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06" codeName="{00000000-0000-0000-0000-000000000000}"/>
  <workbookPr showInkAnnotation="0" updateLinks="never" codeName="ThisWorkbook" defaultThemeVersion="166925"/>
  <mc:AlternateContent xmlns:mc="http://schemas.openxmlformats.org/markup-compatibility/2006">
    <mc:Choice Requires="x15">
      <x15ac:absPath xmlns:x15ac="http://schemas.microsoft.com/office/spreadsheetml/2010/11/ac" url="https://jwsite.sharepoint.com/sites/USA-LDC/Locations/Zone02/USA3563/Projects/15799-OH Wooster 3233 Geyers Chapel Rd 2/Phase 6 Documents/"/>
    </mc:Choice>
  </mc:AlternateContent>
  <xr:revisionPtr revIDLastSave="629" documentId="8_{EEE195E3-267E-4E6B-90DE-AEBF4FD2EED5}" xr6:coauthVersionLast="47" xr6:coauthVersionMax="47" xr10:uidLastSave="{CF99765E-D5BB-421F-9D06-A24B1F02188A}"/>
  <bookViews>
    <workbookView xWindow="0" yWindow="0" windowWidth="28800" windowHeight="12105" tabRatio="689" firstSheet="3" activeTab="2" xr2:uid="{00000000-000D-0000-FFFF-FFFF00000000}"/>
  </bookViews>
  <sheets>
    <sheet name="00 Instructions" sheetId="20" r:id="rId1"/>
    <sheet name="01 Project Details" sheetId="18" r:id="rId2"/>
    <sheet name="02 VSG Recommendations" sheetId="9" r:id="rId3"/>
    <sheet name="03 Project Staff" sheetId="2" r:id="rId4"/>
    <sheet name="04 Project Support " sheetId="21" r:id="rId5"/>
    <sheet name="05 Schedule" sheetId="14" r:id="rId6"/>
    <sheet name="06 Calendar" sheetId="16" r:id="rId7"/>
    <sheet name="07 Three Week Look Ahead" sheetId="25" r:id="rId8"/>
    <sheet name="08 Email" sheetId="22" r:id="rId9"/>
    <sheet name="10 Admin" sheetId="17" state="hidden" r:id="rId10"/>
  </sheets>
  <definedNames>
    <definedName name="SelectedTrades">OFFSET('10 Admin'!$A$1,1,0,TradesCount,1)</definedName>
    <definedName name="TradesCount">'10 Admin'!$D$1</definedName>
    <definedName name="Years">'10 Admin'!$F$2:$F$7</definedName>
  </definedNames>
  <calcPr calcId="191028"/>
  <customWorkbookViews>
    <customWorkbookView name="LDC Field - Personal View" guid="{863CCB4D-AD69-4DA1-B6AD-6625CB13562E}" mergeInterval="0" personalView="1" maximized="1" windowWidth="1920" windowHeight="854"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9" i="2" l="1"/>
  <c r="B59" i="2"/>
  <c r="B60" i="2"/>
  <c r="B61" i="2"/>
  <c r="B62" i="2"/>
  <c r="B64" i="2"/>
  <c r="B65" i="2"/>
  <c r="B66" i="2"/>
  <c r="B67" i="2"/>
  <c r="B68" i="2"/>
  <c r="B70" i="2"/>
  <c r="B71" i="2"/>
  <c r="B72" i="2"/>
  <c r="B73" i="2"/>
  <c r="B74" i="2"/>
  <c r="B75" i="2"/>
  <c r="B76" i="2"/>
  <c r="B77" i="2"/>
  <c r="B78" i="2"/>
  <c r="B79" i="2"/>
  <c r="B82" i="2"/>
  <c r="B84" i="2"/>
  <c r="B85" i="2"/>
  <c r="B86" i="2"/>
  <c r="B87" i="2"/>
  <c r="B88" i="2"/>
  <c r="B89" i="2"/>
  <c r="B90" i="2"/>
  <c r="D249" i="9"/>
  <c r="D248" i="9" s="1"/>
  <c r="B248" i="9" s="1"/>
  <c r="D243" i="9"/>
  <c r="D242" i="9" s="1"/>
  <c r="B242" i="9" s="1"/>
  <c r="D237" i="9"/>
  <c r="D236" i="9" s="1"/>
  <c r="B236" i="9" s="1"/>
  <c r="D231" i="9"/>
  <c r="D230" i="9" s="1"/>
  <c r="B230" i="9" s="1"/>
  <c r="D225" i="9"/>
  <c r="D224" i="9" s="1"/>
  <c r="B224" i="9" s="1"/>
  <c r="D219" i="9"/>
  <c r="D218" i="9" s="1"/>
  <c r="B218" i="9" s="1"/>
  <c r="D213" i="9"/>
  <c r="D212" i="9" s="1"/>
  <c r="B212" i="9" s="1"/>
  <c r="D207" i="9"/>
  <c r="D206" i="9" s="1"/>
  <c r="B206" i="9" s="1"/>
  <c r="D222" i="9" l="1"/>
  <c r="D220" i="9"/>
  <c r="D221" i="9"/>
  <c r="D208" i="9"/>
  <c r="D209" i="9"/>
  <c r="D210" i="9"/>
  <c r="D171" i="9"/>
  <c r="D172" i="9" s="1"/>
  <c r="G49" i="2"/>
  <c r="A71" i="2"/>
  <c r="F44" i="14"/>
  <c r="F45" i="14"/>
  <c r="F46" i="14"/>
  <c r="F47" i="14"/>
  <c r="F52" i="14"/>
  <c r="F53" i="14"/>
  <c r="F54" i="14"/>
  <c r="F55" i="14"/>
  <c r="F86" i="14"/>
  <c r="F83" i="14"/>
  <c r="F84" i="14"/>
  <c r="F85" i="14"/>
  <c r="F126" i="14"/>
  <c r="F127" i="14"/>
  <c r="F128" i="14"/>
  <c r="F129" i="14"/>
  <c r="F130" i="14"/>
  <c r="F115" i="14"/>
  <c r="F116" i="14"/>
  <c r="F117" i="14"/>
  <c r="F118" i="14"/>
  <c r="F119" i="14"/>
  <c r="F120" i="14"/>
  <c r="F75" i="14"/>
  <c r="F76" i="14"/>
  <c r="F77" i="14"/>
  <c r="F78" i="14"/>
  <c r="F61" i="14"/>
  <c r="F62" i="14"/>
  <c r="F63" i="14"/>
  <c r="F64" i="14"/>
  <c r="F65" i="14"/>
  <c r="F66" i="14"/>
  <c r="F67" i="14"/>
  <c r="F68" i="14"/>
  <c r="F69" i="14"/>
  <c r="F70" i="14"/>
  <c r="F71" i="14"/>
  <c r="F72" i="14"/>
  <c r="F73" i="14"/>
  <c r="F40" i="14"/>
  <c r="F41" i="14"/>
  <c r="F42" i="14"/>
  <c r="F43" i="14"/>
  <c r="F19" i="14"/>
  <c r="F20" i="14"/>
  <c r="F21" i="14"/>
  <c r="F9" i="14"/>
  <c r="F10" i="14"/>
  <c r="F11" i="14"/>
  <c r="L5" i="25"/>
  <c r="K5" i="25" s="1"/>
  <c r="J5" i="25" s="1"/>
  <c r="I5" i="25" s="1"/>
  <c r="H5" i="25" s="1"/>
  <c r="B43" i="25"/>
  <c r="A43" i="25"/>
  <c r="B42" i="25"/>
  <c r="A42" i="25"/>
  <c r="B41" i="25"/>
  <c r="A41" i="25"/>
  <c r="B40" i="25"/>
  <c r="A40" i="25"/>
  <c r="B39" i="25"/>
  <c r="A39" i="25"/>
  <c r="B38" i="25"/>
  <c r="A38" i="25"/>
  <c r="B37" i="25"/>
  <c r="A37" i="25"/>
  <c r="B36" i="25"/>
  <c r="A36" i="25"/>
  <c r="B35" i="25"/>
  <c r="A35" i="25"/>
  <c r="B34" i="25"/>
  <c r="A34" i="25"/>
  <c r="B33" i="25"/>
  <c r="A33" i="25"/>
  <c r="B32" i="25"/>
  <c r="A32" i="25"/>
  <c r="B31" i="25"/>
  <c r="A31" i="25"/>
  <c r="B30" i="25"/>
  <c r="A30" i="25"/>
  <c r="B29" i="25"/>
  <c r="A29" i="25"/>
  <c r="B28" i="25"/>
  <c r="A28" i="25"/>
  <c r="B27" i="25"/>
  <c r="A27" i="25"/>
  <c r="B26" i="25"/>
  <c r="A26" i="25"/>
  <c r="B25" i="25"/>
  <c r="A25" i="25"/>
  <c r="B24" i="25"/>
  <c r="A24" i="25"/>
  <c r="B23" i="25"/>
  <c r="A23" i="25"/>
  <c r="B22" i="25"/>
  <c r="A22" i="25"/>
  <c r="B21" i="25"/>
  <c r="A21" i="25"/>
  <c r="B20" i="25"/>
  <c r="A20" i="25"/>
  <c r="B19" i="25"/>
  <c r="A19" i="25"/>
  <c r="B18" i="25"/>
  <c r="A18" i="25"/>
  <c r="B17" i="25"/>
  <c r="A17" i="25"/>
  <c r="B16" i="25"/>
  <c r="A16" i="25"/>
  <c r="B15" i="25"/>
  <c r="A15" i="25"/>
  <c r="B14" i="25"/>
  <c r="A14" i="25"/>
  <c r="B13" i="25"/>
  <c r="A13" i="25"/>
  <c r="B12" i="25"/>
  <c r="A12" i="25"/>
  <c r="B11" i="25"/>
  <c r="A11" i="25"/>
  <c r="B10" i="25"/>
  <c r="A10" i="25"/>
  <c r="B9" i="25"/>
  <c r="A9" i="25"/>
  <c r="B8" i="25"/>
  <c r="A8" i="25"/>
  <c r="B7" i="25"/>
  <c r="A7" i="25"/>
  <c r="B6" i="25"/>
  <c r="A6" i="25"/>
  <c r="M5" i="25" l="1"/>
  <c r="N5" i="25" s="1"/>
  <c r="O5" i="25" s="1"/>
  <c r="P5" i="25" s="1"/>
  <c r="Q5" i="25" s="1"/>
  <c r="R5" i="25" s="1"/>
  <c r="S5" i="25" s="1"/>
  <c r="T5" i="25" s="1"/>
  <c r="U5" i="25" s="1"/>
  <c r="V5" i="25" s="1"/>
  <c r="W5" i="25" s="1"/>
  <c r="X5" i="25" s="1"/>
  <c r="Y5" i="25" s="1"/>
  <c r="Z5" i="25" s="1"/>
  <c r="AA5" i="25" s="1"/>
  <c r="AB5" i="25" s="1"/>
  <c r="AC5" i="25" s="1"/>
  <c r="AD5" i="25" s="1"/>
  <c r="AE5" i="25" s="1"/>
  <c r="AF5" i="25" s="1"/>
  <c r="AG5" i="25" s="1"/>
  <c r="AH5" i="25" s="1"/>
  <c r="AI5" i="25" s="1"/>
  <c r="AJ5" i="25" s="1"/>
  <c r="AK5" i="25" s="1"/>
  <c r="AL5" i="25" s="1"/>
  <c r="F114" i="14"/>
  <c r="F121" i="14"/>
  <c r="F122" i="14"/>
  <c r="F98" i="14"/>
  <c r="F99" i="14"/>
  <c r="F100" i="14"/>
  <c r="F101" i="14"/>
  <c r="F102" i="14"/>
  <c r="F103" i="14"/>
  <c r="F104" i="14"/>
  <c r="F105" i="14"/>
  <c r="F106" i="14"/>
  <c r="F107" i="14"/>
  <c r="F108" i="14"/>
  <c r="F109" i="14"/>
  <c r="F110" i="14"/>
  <c r="F91" i="14"/>
  <c r="F92" i="14"/>
  <c r="F93" i="14"/>
  <c r="F94" i="14"/>
  <c r="F95" i="14"/>
  <c r="F96" i="14"/>
  <c r="F97" i="14"/>
  <c r="F60" i="14"/>
  <c r="F29" i="14"/>
  <c r="F30" i="14"/>
  <c r="F31" i="14"/>
  <c r="F32" i="14"/>
  <c r="F33" i="14"/>
  <c r="F34" i="14"/>
  <c r="F35" i="14"/>
  <c r="F36" i="14"/>
  <c r="F37" i="14"/>
  <c r="F38" i="14"/>
  <c r="F16" i="14"/>
  <c r="F17" i="14"/>
  <c r="B2" i="18"/>
  <c r="A2" i="14" s="1"/>
  <c r="F51" i="14"/>
  <c r="F56" i="14"/>
  <c r="F82" i="14"/>
  <c r="F87" i="14"/>
  <c r="F50" i="14"/>
  <c r="F123" i="14"/>
  <c r="F113" i="14"/>
  <c r="F90" i="14"/>
  <c r="F89" i="14"/>
  <c r="F74" i="14"/>
  <c r="F59" i="14"/>
  <c r="F58" i="14"/>
  <c r="F8" i="14"/>
  <c r="F12" i="14"/>
  <c r="F39" i="14"/>
  <c r="F48" i="14"/>
  <c r="F23" i="14"/>
  <c r="F18" i="14"/>
  <c r="F22" i="14"/>
  <c r="F24" i="14"/>
  <c r="F25" i="14"/>
  <c r="F27" i="14"/>
  <c r="F28" i="14"/>
  <c r="F7" i="14"/>
  <c r="F5" i="14"/>
  <c r="F6" i="14"/>
  <c r="A69" i="9"/>
  <c r="A68" i="9" s="1"/>
  <c r="D69" i="9"/>
  <c r="D68" i="9" s="1"/>
  <c r="B68" i="9" s="1"/>
  <c r="F13" i="14"/>
  <c r="F4" i="14"/>
  <c r="F131" i="14"/>
  <c r="F125" i="14"/>
  <c r="F112" i="14"/>
  <c r="F46" i="2"/>
  <c r="G46" i="2"/>
  <c r="I46" i="2"/>
  <c r="D46" i="2"/>
  <c r="D49" i="2"/>
  <c r="F49" i="2"/>
  <c r="A57" i="2"/>
  <c r="A58" i="2"/>
  <c r="A59" i="2"/>
  <c r="A60" i="2"/>
  <c r="A61" i="2"/>
  <c r="A62" i="2"/>
  <c r="A64" i="2"/>
  <c r="A65" i="2"/>
  <c r="A66" i="2"/>
  <c r="A67" i="2"/>
  <c r="A68" i="2"/>
  <c r="A69" i="2"/>
  <c r="A70" i="2"/>
  <c r="A72" i="2"/>
  <c r="A73" i="2"/>
  <c r="A74" i="2"/>
  <c r="A75" i="2"/>
  <c r="A76" i="2"/>
  <c r="A77" i="2"/>
  <c r="A78" i="2"/>
  <c r="A79" i="2"/>
  <c r="A82" i="2"/>
  <c r="A84" i="2"/>
  <c r="A85" i="2"/>
  <c r="A86" i="2"/>
  <c r="A87" i="2"/>
  <c r="A88" i="2"/>
  <c r="A89" i="2"/>
  <c r="A90" i="2"/>
  <c r="A92" i="2"/>
  <c r="A93" i="2"/>
  <c r="A94" i="2"/>
  <c r="A95" i="2"/>
  <c r="A96" i="2"/>
  <c r="A97" i="2"/>
  <c r="A98" i="2"/>
  <c r="A99" i="2"/>
  <c r="F15" i="14"/>
  <c r="F26" i="14"/>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BL4" i="16"/>
  <c r="BM4" i="16"/>
  <c r="BN4" i="16"/>
  <c r="BO4" i="16"/>
  <c r="BP4" i="16"/>
  <c r="BQ4" i="16"/>
  <c r="BR4" i="16"/>
  <c r="BS4" i="16"/>
  <c r="BT4" i="16"/>
  <c r="BU4" i="16"/>
  <c r="BV4" i="16"/>
  <c r="BW4" i="16"/>
  <c r="BX4" i="16"/>
  <c r="BY4" i="16"/>
  <c r="BZ4" i="16"/>
  <c r="CA4" i="16"/>
  <c r="CB4" i="16"/>
  <c r="CC4" i="16"/>
  <c r="CD4" i="16"/>
  <c r="CE4" i="16"/>
  <c r="CF4" i="16"/>
  <c r="CG4" i="16"/>
  <c r="CH4" i="16"/>
  <c r="CI4" i="16"/>
  <c r="CJ4" i="16"/>
  <c r="CK4" i="16"/>
  <c r="CL4" i="16"/>
  <c r="CM4" i="16"/>
  <c r="CN4" i="16"/>
  <c r="CO4" i="16"/>
  <c r="CP4" i="16"/>
  <c r="CQ4" i="16"/>
  <c r="CR4" i="16"/>
  <c r="CS4" i="16"/>
  <c r="CT4" i="16"/>
  <c r="CU4" i="16"/>
  <c r="CV4" i="16"/>
  <c r="CW4" i="16"/>
  <c r="CX4" i="16"/>
  <c r="CY4" i="16"/>
  <c r="CZ4" i="16"/>
  <c r="DA4" i="16"/>
  <c r="DB4" i="16"/>
  <c r="DC4" i="16"/>
  <c r="DD4" i="16"/>
  <c r="DE4" i="16"/>
  <c r="DF4" i="16"/>
  <c r="DG4" i="16"/>
  <c r="DH4" i="16"/>
  <c r="DI4" i="16"/>
  <c r="DJ4" i="16"/>
  <c r="DK4" i="16"/>
  <c r="DL4" i="16"/>
  <c r="DM4" i="16"/>
  <c r="DN4" i="16"/>
  <c r="DO4" i="16"/>
  <c r="DP4" i="16"/>
  <c r="DQ4" i="16"/>
  <c r="DR4" i="16"/>
  <c r="DS4" i="16"/>
  <c r="DT4" i="16"/>
  <c r="DU4" i="16"/>
  <c r="DV4" i="16"/>
  <c r="DW4" i="16"/>
  <c r="DX4" i="16"/>
  <c r="DY4" i="16"/>
  <c r="DZ4" i="16"/>
  <c r="EA4" i="16"/>
  <c r="EB4" i="16"/>
  <c r="EC4" i="16"/>
  <c r="ED4" i="16"/>
  <c r="EE4" i="16"/>
  <c r="EF4" i="16"/>
  <c r="EG4" i="16"/>
  <c r="EH4" i="16"/>
  <c r="EI4" i="16"/>
  <c r="EJ4" i="16"/>
  <c r="EK4" i="16"/>
  <c r="EL4" i="16"/>
  <c r="EM4" i="16"/>
  <c r="EN4" i="16"/>
  <c r="EO4" i="16"/>
  <c r="EP4" i="16"/>
  <c r="EQ4" i="16"/>
  <c r="ER4" i="16"/>
  <c r="ES4" i="16"/>
  <c r="ET4" i="16"/>
  <c r="EU4" i="16"/>
  <c r="EV4" i="16"/>
  <c r="EW4" i="16"/>
  <c r="EX4" i="16"/>
  <c r="EY4" i="16"/>
  <c r="EZ4" i="16"/>
  <c r="FA4" i="16"/>
  <c r="FB4" i="16"/>
  <c r="FC4" i="16"/>
  <c r="FD4" i="16"/>
  <c r="FE4" i="16"/>
  <c r="FF4" i="16"/>
  <c r="FG4" i="16"/>
  <c r="FH4" i="16"/>
  <c r="FI4" i="16"/>
  <c r="FJ4" i="16"/>
  <c r="FK4" i="16"/>
  <c r="FL4" i="16"/>
  <c r="FM4" i="16"/>
  <c r="FN4" i="16"/>
  <c r="FO4" i="16"/>
  <c r="FP4" i="16"/>
  <c r="FQ4" i="16"/>
  <c r="FR4" i="16"/>
  <c r="FS4" i="16"/>
  <c r="FT4" i="16"/>
  <c r="FU4" i="16"/>
  <c r="FV4" i="16"/>
  <c r="FW4" i="16"/>
  <c r="FX4" i="16"/>
  <c r="FY4" i="16"/>
  <c r="FZ4" i="16"/>
  <c r="GA4" i="16"/>
  <c r="GB4" i="16"/>
  <c r="GC4" i="16"/>
  <c r="GD4" i="16"/>
  <c r="GE4" i="16"/>
  <c r="GF4" i="16"/>
  <c r="GG4" i="16"/>
  <c r="GH4" i="16"/>
  <c r="GI4" i="16"/>
  <c r="GJ4" i="16"/>
  <c r="GK4" i="16"/>
  <c r="GL4" i="16"/>
  <c r="GM4" i="16"/>
  <c r="GN4" i="16"/>
  <c r="GO4" i="16"/>
  <c r="GP4" i="16"/>
  <c r="GQ4" i="16"/>
  <c r="GR4" i="16"/>
  <c r="GS4" i="16"/>
  <c r="GT4" i="16"/>
  <c r="GU4" i="16"/>
  <c r="GV4" i="16"/>
  <c r="GW4" i="16"/>
  <c r="GX4" i="16"/>
  <c r="GY4" i="16"/>
  <c r="GZ4" i="16"/>
  <c r="HA4" i="16"/>
  <c r="HB4" i="16"/>
  <c r="HC4" i="16"/>
  <c r="HD4" i="16"/>
  <c r="HE4" i="16"/>
  <c r="HF4" i="16"/>
  <c r="HG4" i="16"/>
  <c r="HH4" i="16"/>
  <c r="HI4" i="16"/>
  <c r="HJ4" i="16"/>
  <c r="HK4" i="16"/>
  <c r="HL4" i="16"/>
  <c r="HM4" i="16"/>
  <c r="HN4" i="16"/>
  <c r="HO4" i="16"/>
  <c r="HP4" i="16"/>
  <c r="HQ4" i="16"/>
  <c r="HR4" i="16"/>
  <c r="HS4" i="16"/>
  <c r="HT4" i="16"/>
  <c r="HU4" i="16"/>
  <c r="HV4" i="16"/>
  <c r="HW4" i="16"/>
  <c r="HX4" i="16"/>
  <c r="HY4" i="16"/>
  <c r="HZ4" i="16"/>
  <c r="IA4" i="16"/>
  <c r="IB4" i="16"/>
  <c r="IC4" i="16"/>
  <c r="ID4" i="16"/>
  <c r="IE4" i="16"/>
  <c r="IF4" i="16"/>
  <c r="IG4" i="16"/>
  <c r="IH4" i="16"/>
  <c r="II4" i="16"/>
  <c r="IJ4" i="16"/>
  <c r="IK4" i="16"/>
  <c r="IL4" i="16"/>
  <c r="IM4" i="16"/>
  <c r="IN4" i="16"/>
  <c r="IO4" i="16"/>
  <c r="IP4" i="16"/>
  <c r="IQ4" i="16"/>
  <c r="IR4" i="16"/>
  <c r="IS4" i="16"/>
  <c r="IT4" i="16"/>
  <c r="IU4" i="16"/>
  <c r="IV4" i="16"/>
  <c r="IW4" i="16"/>
  <c r="IX4" i="16"/>
  <c r="IY4" i="16"/>
  <c r="IZ4" i="16"/>
  <c r="JA4" i="16"/>
  <c r="JB4" i="16"/>
  <c r="JC4" i="16"/>
  <c r="JD4" i="16"/>
  <c r="JE4" i="16"/>
  <c r="JF4" i="16"/>
  <c r="JG4" i="16"/>
  <c r="JH4" i="16"/>
  <c r="JI4" i="16"/>
  <c r="JJ4" i="16"/>
  <c r="JK4" i="16"/>
  <c r="JL4" i="16"/>
  <c r="JM4" i="16"/>
  <c r="JN4" i="16"/>
  <c r="JO4" i="16"/>
  <c r="JP4" i="16"/>
  <c r="JQ4" i="16"/>
  <c r="JR4" i="16"/>
  <c r="JS4" i="16"/>
  <c r="JT4" i="16"/>
  <c r="JU4" i="16"/>
  <c r="JV4" i="16"/>
  <c r="JW4" i="16"/>
  <c r="JX4" i="16"/>
  <c r="JY4" i="16"/>
  <c r="JZ4" i="16"/>
  <c r="KA4" i="16"/>
  <c r="KB4" i="16"/>
  <c r="KC4" i="16"/>
  <c r="KD4" i="16"/>
  <c r="KE4" i="16"/>
  <c r="KF4" i="16"/>
  <c r="KG4" i="16"/>
  <c r="KH4" i="16"/>
  <c r="KI4" i="16"/>
  <c r="KJ4" i="16"/>
  <c r="KK4" i="16"/>
  <c r="KL4" i="16"/>
  <c r="KM4" i="16"/>
  <c r="KN4" i="16"/>
  <c r="KO4" i="16"/>
  <c r="KP4" i="16"/>
  <c r="KQ4" i="16"/>
  <c r="KR4" i="16"/>
  <c r="KS4" i="16"/>
  <c r="KT4" i="16"/>
  <c r="KU4" i="16"/>
  <c r="KV4" i="16"/>
  <c r="KW4" i="16"/>
  <c r="KX4" i="16"/>
  <c r="KY4" i="16"/>
  <c r="KZ4" i="16"/>
  <c r="LA4" i="16"/>
  <c r="LB4" i="16"/>
  <c r="LC4" i="16"/>
  <c r="LD4" i="16"/>
  <c r="LE4" i="16"/>
  <c r="LF4" i="16"/>
  <c r="LG4" i="16"/>
  <c r="LH4" i="16"/>
  <c r="LI4" i="16"/>
  <c r="LJ4" i="16"/>
  <c r="LK4" i="16"/>
  <c r="LL4" i="16"/>
  <c r="LM4" i="16"/>
  <c r="LN4" i="16"/>
  <c r="LO4" i="16"/>
  <c r="LP4" i="16"/>
  <c r="LQ4" i="16"/>
  <c r="LR4" i="16"/>
  <c r="LS4" i="16"/>
  <c r="LT4" i="16"/>
  <c r="LU4" i="16"/>
  <c r="LV4" i="16"/>
  <c r="LW4" i="16"/>
  <c r="LX4" i="16"/>
  <c r="LY4" i="16"/>
  <c r="LZ4" i="16"/>
  <c r="MA4" i="16"/>
  <c r="MB4" i="16"/>
  <c r="MC4" i="16"/>
  <c r="MD4" i="16"/>
  <c r="ME4" i="16"/>
  <c r="MF4" i="16"/>
  <c r="MG4" i="16"/>
  <c r="MH4" i="16"/>
  <c r="MI4" i="16"/>
  <c r="MJ4" i="16"/>
  <c r="MK4" i="16"/>
  <c r="ML4" i="16"/>
  <c r="MM4" i="16"/>
  <c r="MN4" i="16"/>
  <c r="MO4" i="16"/>
  <c r="MP4" i="16"/>
  <c r="MQ4" i="16"/>
  <c r="MR4" i="16"/>
  <c r="MS4" i="16"/>
  <c r="MT4" i="16"/>
  <c r="MU4" i="16"/>
  <c r="MV4" i="16"/>
  <c r="MW4" i="16"/>
  <c r="MX4" i="16"/>
  <c r="MY4" i="16"/>
  <c r="MZ4" i="16"/>
  <c r="NA4" i="16"/>
  <c r="NB4" i="16"/>
  <c r="NC4" i="16"/>
  <c r="ND4" i="16"/>
  <c r="NE4" i="16"/>
  <c r="NF4" i="16"/>
  <c r="NG4" i="16"/>
  <c r="NH4" i="16"/>
  <c r="NI4" i="16"/>
  <c r="NJ4" i="16"/>
  <c r="NK4" i="16"/>
  <c r="NL4" i="16"/>
  <c r="NM4" i="16"/>
  <c r="NN4" i="16"/>
  <c r="NO4" i="16"/>
  <c r="NP4" i="16"/>
  <c r="NQ4" i="16"/>
  <c r="NR4" i="16"/>
  <c r="NS4" i="16"/>
  <c r="NT4" i="16"/>
  <c r="NU4" i="16"/>
  <c r="NV4" i="16"/>
  <c r="NW4" i="16"/>
  <c r="NX4" i="16"/>
  <c r="NY4" i="16"/>
  <c r="NZ4" i="16"/>
  <c r="OA4" i="16"/>
  <c r="OB4" i="16"/>
  <c r="OC4" i="16"/>
  <c r="OD4" i="16"/>
  <c r="OE4" i="16"/>
  <c r="OF4" i="16"/>
  <c r="OG4" i="16"/>
  <c r="OH4" i="16"/>
  <c r="OI4" i="16"/>
  <c r="OJ4" i="16"/>
  <c r="OK4" i="16"/>
  <c r="OL4" i="16"/>
  <c r="OM4" i="16"/>
  <c r="ON4" i="16"/>
  <c r="OO4" i="16"/>
  <c r="OP4" i="16"/>
  <c r="OQ4" i="16"/>
  <c r="OR4" i="16"/>
  <c r="OS4" i="16"/>
  <c r="OT4" i="16"/>
  <c r="OU4" i="16"/>
  <c r="OV4" i="16"/>
  <c r="OW4" i="16"/>
  <c r="OX4" i="16"/>
  <c r="OY4" i="16"/>
  <c r="OZ4" i="16"/>
  <c r="PA4" i="16"/>
  <c r="PB4" i="16"/>
  <c r="PC4" i="16"/>
  <c r="PD4" i="16"/>
  <c r="PE4" i="16"/>
  <c r="PF4" i="16"/>
  <c r="PG4" i="16"/>
  <c r="PH4" i="16"/>
  <c r="PI4" i="16"/>
  <c r="PJ4" i="16"/>
  <c r="PK4" i="16"/>
  <c r="PL4" i="16"/>
  <c r="PM4" i="16"/>
  <c r="PN4" i="16"/>
  <c r="PO4" i="16"/>
  <c r="PP4" i="16"/>
  <c r="PQ4" i="16"/>
  <c r="PR4" i="16"/>
  <c r="PS4" i="16"/>
  <c r="PT4" i="16"/>
  <c r="PU4" i="16"/>
  <c r="PV4" i="16"/>
  <c r="PW4" i="16"/>
  <c r="PX4" i="16"/>
  <c r="PY4" i="16"/>
  <c r="PZ4" i="16"/>
  <c r="QA4" i="16"/>
  <c r="QB4" i="16"/>
  <c r="QC4" i="16"/>
  <c r="QD4" i="16"/>
  <c r="QE4" i="16"/>
  <c r="QF4" i="16"/>
  <c r="QG4" i="16"/>
  <c r="QH4" i="16"/>
  <c r="QI4" i="16"/>
  <c r="QJ4" i="16"/>
  <c r="QK4" i="16"/>
  <c r="QL4" i="16"/>
  <c r="QM4" i="16"/>
  <c r="QN4" i="16"/>
  <c r="QO4" i="16"/>
  <c r="QP4" i="16"/>
  <c r="QQ4" i="16"/>
  <c r="QR4" i="16"/>
  <c r="QS4" i="16"/>
  <c r="QT4" i="16"/>
  <c r="QU4" i="16"/>
  <c r="QV4" i="16"/>
  <c r="QW4" i="16"/>
  <c r="QX4" i="16"/>
  <c r="QY4" i="16"/>
  <c r="QZ4" i="16"/>
  <c r="RA4" i="16"/>
  <c r="RB4" i="16"/>
  <c r="RC4" i="16"/>
  <c r="RD4" i="16"/>
  <c r="RE4" i="16"/>
  <c r="RF4" i="16"/>
  <c r="RG4" i="16"/>
  <c r="RH4" i="16"/>
  <c r="RI4" i="16"/>
  <c r="RJ4" i="16"/>
  <c r="RK4" i="16"/>
  <c r="RL4" i="16"/>
  <c r="RM4" i="16"/>
  <c r="RN4" i="16"/>
  <c r="RO4" i="16"/>
  <c r="RP4" i="16"/>
  <c r="RQ4" i="16"/>
  <c r="RR4" i="16"/>
  <c r="RS4" i="16"/>
  <c r="RT4" i="16"/>
  <c r="RU4" i="16"/>
  <c r="RV4" i="16"/>
  <c r="RW4" i="16"/>
  <c r="RX4" i="16"/>
  <c r="RY4" i="16"/>
  <c r="RZ4" i="16"/>
  <c r="SA4" i="16"/>
  <c r="SB4" i="16"/>
  <c r="SC4" i="16"/>
  <c r="SD4" i="16"/>
  <c r="SE4" i="16"/>
  <c r="SF4" i="16"/>
  <c r="SG4" i="16"/>
  <c r="SH4" i="16"/>
  <c r="SI4" i="16"/>
  <c r="SJ4" i="16"/>
  <c r="SK4" i="16"/>
  <c r="SL4" i="16"/>
  <c r="SM4" i="16"/>
  <c r="SN4" i="16"/>
  <c r="SO4" i="16"/>
  <c r="SP4" i="16"/>
  <c r="SQ4" i="16"/>
  <c r="SR4" i="16"/>
  <c r="SS4" i="16"/>
  <c r="ST4" i="16"/>
  <c r="SU4" i="16"/>
  <c r="SV4" i="16"/>
  <c r="SW4" i="16"/>
  <c r="SX4" i="16"/>
  <c r="SY4" i="16"/>
  <c r="SZ4" i="16"/>
  <c r="TA4" i="16"/>
  <c r="TB4" i="16"/>
  <c r="TC4" i="16"/>
  <c r="TD4" i="16"/>
  <c r="TE4" i="16"/>
  <c r="TF4" i="16"/>
  <c r="TG4" i="16"/>
  <c r="TH4" i="16"/>
  <c r="TI4" i="16"/>
  <c r="TJ4" i="16"/>
  <c r="TK4" i="16"/>
  <c r="TL4" i="16"/>
  <c r="TM4" i="16"/>
  <c r="TN4" i="16"/>
  <c r="TO4" i="16"/>
  <c r="TP4" i="16"/>
  <c r="TQ4" i="16"/>
  <c r="TR4" i="16"/>
  <c r="TS4" i="16"/>
  <c r="TT4" i="16"/>
  <c r="TU4" i="16"/>
  <c r="TV4" i="16"/>
  <c r="TW4" i="16"/>
  <c r="TX4" i="16"/>
  <c r="TY4" i="16"/>
  <c r="TZ4" i="16"/>
  <c r="UA4" i="16"/>
  <c r="UB4" i="16"/>
  <c r="UC4" i="16"/>
  <c r="UD4" i="16"/>
  <c r="UE4" i="16"/>
  <c r="UF4" i="16"/>
  <c r="UG4" i="16"/>
  <c r="UH4" i="16"/>
  <c r="UI4" i="16"/>
  <c r="UJ4" i="16"/>
  <c r="UK4" i="16"/>
  <c r="UL4" i="16"/>
  <c r="UM4" i="16"/>
  <c r="UN4" i="16"/>
  <c r="UO4" i="16"/>
  <c r="UP4" i="16"/>
  <c r="UQ4" i="16"/>
  <c r="UR4" i="16"/>
  <c r="US4" i="16"/>
  <c r="UT4" i="16"/>
  <c r="UU4" i="16"/>
  <c r="UV4" i="16"/>
  <c r="UW4" i="16"/>
  <c r="UX4" i="16"/>
  <c r="UY4" i="16"/>
  <c r="UZ4" i="16"/>
  <c r="VA4" i="16"/>
  <c r="VB4" i="16"/>
  <c r="VC4" i="16"/>
  <c r="VD4" i="16"/>
  <c r="VE4" i="16"/>
  <c r="VF4" i="16"/>
  <c r="VG4" i="16"/>
  <c r="VH4" i="16"/>
  <c r="VI4" i="16"/>
  <c r="VJ4" i="16"/>
  <c r="VK4" i="16"/>
  <c r="VL4" i="16"/>
  <c r="VM4" i="16"/>
  <c r="VN4" i="16"/>
  <c r="VO4" i="16"/>
  <c r="VP4" i="16"/>
  <c r="VQ4" i="16"/>
  <c r="VR4" i="16"/>
  <c r="VS4" i="16"/>
  <c r="VT4" i="16"/>
  <c r="VU4" i="16"/>
  <c r="VV4" i="16"/>
  <c r="VW4" i="16"/>
  <c r="VX4" i="16"/>
  <c r="VY4" i="16"/>
  <c r="VZ4" i="16"/>
  <c r="WA4" i="16"/>
  <c r="WB4" i="16"/>
  <c r="WC4" i="16"/>
  <c r="WD4" i="16"/>
  <c r="WE4" i="16"/>
  <c r="WF4" i="16"/>
  <c r="WG4" i="16"/>
  <c r="WH4" i="16"/>
  <c r="WI4" i="16"/>
  <c r="WJ4" i="16"/>
  <c r="WK4" i="16"/>
  <c r="WL4" i="16"/>
  <c r="WM4" i="16"/>
  <c r="WN4" i="16"/>
  <c r="WO4" i="16"/>
  <c r="WP4" i="16"/>
  <c r="WQ4" i="16"/>
  <c r="WR4" i="16"/>
  <c r="WS4" i="16"/>
  <c r="WT4" i="16"/>
  <c r="WU4" i="16"/>
  <c r="WV4" i="16"/>
  <c r="WW4" i="16"/>
  <c r="WX4" i="16"/>
  <c r="WY4" i="16"/>
  <c r="WZ4" i="16"/>
  <c r="XA4" i="16"/>
  <c r="XB4" i="16"/>
  <c r="XC4" i="16"/>
  <c r="XD4" i="16"/>
  <c r="XE4" i="16"/>
  <c r="XF4" i="16"/>
  <c r="XG4" i="16"/>
  <c r="XH4" i="16"/>
  <c r="XI4" i="16"/>
  <c r="XJ4" i="16"/>
  <c r="XK4" i="16"/>
  <c r="XL4" i="16"/>
  <c r="XM4" i="16"/>
  <c r="XN4" i="16"/>
  <c r="XO4" i="16"/>
  <c r="XP4" i="16"/>
  <c r="XQ4" i="16"/>
  <c r="XR4" i="16"/>
  <c r="XS4" i="16"/>
  <c r="XT4" i="16"/>
  <c r="XU4" i="16"/>
  <c r="XV4" i="16"/>
  <c r="XW4" i="16"/>
  <c r="XX4" i="16"/>
  <c r="XY4" i="16"/>
  <c r="XZ4" i="16"/>
  <c r="YA4" i="16"/>
  <c r="YB4" i="16"/>
  <c r="YC4" i="16"/>
  <c r="YD4" i="16"/>
  <c r="YE4" i="16"/>
  <c r="YF4" i="16"/>
  <c r="YG4" i="16"/>
  <c r="YH4" i="16"/>
  <c r="YI4" i="16"/>
  <c r="YJ4" i="16"/>
  <c r="YK4" i="16"/>
  <c r="YL4" i="16"/>
  <c r="YM4" i="16"/>
  <c r="YN4" i="16"/>
  <c r="YO4" i="16"/>
  <c r="YP4" i="16"/>
  <c r="YQ4" i="16"/>
  <c r="YR4" i="16"/>
  <c r="YS4" i="16"/>
  <c r="YT4" i="16"/>
  <c r="YU4" i="16"/>
  <c r="YV4" i="16"/>
  <c r="YW4" i="16"/>
  <c r="YX4" i="16"/>
  <c r="YY4" i="16"/>
  <c r="YZ4" i="16"/>
  <c r="ZA4" i="16"/>
  <c r="ZB4" i="16"/>
  <c r="ZC4" i="16"/>
  <c r="ZD4" i="16"/>
  <c r="ZE4" i="16"/>
  <c r="ZF4" i="16"/>
  <c r="ZG4" i="16"/>
  <c r="ZH4" i="16"/>
  <c r="ZI4" i="16"/>
  <c r="ZJ4" i="16"/>
  <c r="ZK4" i="16"/>
  <c r="ZL4" i="16"/>
  <c r="ZM4" i="16"/>
  <c r="ZN4" i="16"/>
  <c r="ZO4" i="16"/>
  <c r="ZP4" i="16"/>
  <c r="ZQ4" i="16"/>
  <c r="ZR4" i="16"/>
  <c r="ZS4" i="16"/>
  <c r="ZT4" i="16"/>
  <c r="ZU4" i="16"/>
  <c r="ZV4" i="16"/>
  <c r="ZW4" i="16"/>
  <c r="ZX4" i="16"/>
  <c r="ZY4" i="16"/>
  <c r="ZZ4" i="16"/>
  <c r="AAA4" i="16"/>
  <c r="AAB4" i="16"/>
  <c r="AAC4" i="16"/>
  <c r="AAD4" i="16"/>
  <c r="AAE4" i="16"/>
  <c r="AAF4" i="16"/>
  <c r="AAG4" i="16"/>
  <c r="AAH4" i="16"/>
  <c r="AAI4" i="16"/>
  <c r="AAJ4" i="16"/>
  <c r="AAK4" i="16"/>
  <c r="AAL4" i="16"/>
  <c r="AAM4" i="16"/>
  <c r="AAN4" i="16"/>
  <c r="AAO4" i="16"/>
  <c r="AAP4" i="16"/>
  <c r="AAQ4" i="16"/>
  <c r="AAR4" i="16"/>
  <c r="AAS4" i="16"/>
  <c r="AAT4" i="16"/>
  <c r="AAU4" i="16"/>
  <c r="AAV4" i="16"/>
  <c r="AAW4" i="16"/>
  <c r="AAX4" i="16"/>
  <c r="AAY4" i="16"/>
  <c r="AAZ4" i="16"/>
  <c r="ABA4" i="16"/>
  <c r="ABB4" i="16"/>
  <c r="ABC4" i="16"/>
  <c r="ABD4" i="16"/>
  <c r="ABE4" i="16"/>
  <c r="ABF4" i="16"/>
  <c r="ABG4" i="16"/>
  <c r="ABH4" i="16"/>
  <c r="ABI4" i="16"/>
  <c r="ABJ4" i="16"/>
  <c r="ABK4" i="16"/>
  <c r="ABL4" i="16"/>
  <c r="ABM4" i="16"/>
  <c r="ABN4" i="16"/>
  <c r="ABO4" i="16"/>
  <c r="ABP4" i="16"/>
  <c r="ABQ4" i="16"/>
  <c r="ABR4" i="16"/>
  <c r="ABS4" i="16"/>
  <c r="ABT4" i="16"/>
  <c r="ABU4" i="16"/>
  <c r="ABV4" i="16"/>
  <c r="ABW4" i="16"/>
  <c r="ABX4" i="16"/>
  <c r="ABY4" i="16"/>
  <c r="ABZ4" i="16"/>
  <c r="ACA4" i="16"/>
  <c r="ACB4" i="16"/>
  <c r="ACC4" i="16"/>
  <c r="ACD4" i="16"/>
  <c r="ACE4" i="16"/>
  <c r="ACF4" i="16"/>
  <c r="ACG4" i="16"/>
  <c r="ACH4" i="16"/>
  <c r="ACI4" i="16"/>
  <c r="ACJ4" i="16"/>
  <c r="ACK4" i="16"/>
  <c r="ACL4" i="16"/>
  <c r="ACM4" i="16"/>
  <c r="ACN4" i="16"/>
  <c r="ACO4" i="16"/>
  <c r="ACP4" i="16"/>
  <c r="ACQ4" i="16"/>
  <c r="ACR4" i="16"/>
  <c r="ACS4" i="16"/>
  <c r="ACT4" i="16"/>
  <c r="ACU4" i="16"/>
  <c r="ACV4" i="16"/>
  <c r="ACW4" i="16"/>
  <c r="ACX4" i="16"/>
  <c r="ACY4" i="16"/>
  <c r="ACZ4" i="16"/>
  <c r="ADA4" i="16"/>
  <c r="ADB4" i="16"/>
  <c r="ADC4" i="16"/>
  <c r="ADD4" i="16"/>
  <c r="ADE4" i="16"/>
  <c r="ADF4" i="16"/>
  <c r="ADG4" i="16"/>
  <c r="ADH4" i="16"/>
  <c r="ADI4" i="16"/>
  <c r="ADJ4" i="16"/>
  <c r="ADK4" i="16"/>
  <c r="ADL4" i="16"/>
  <c r="ADM4" i="16"/>
  <c r="ADN4" i="16"/>
  <c r="ADO4" i="16"/>
  <c r="ADP4" i="16"/>
  <c r="ADQ4" i="16"/>
  <c r="ADR4" i="16"/>
  <c r="ADS4" i="16"/>
  <c r="ADT4" i="16"/>
  <c r="ADU4" i="16"/>
  <c r="ADV4" i="16"/>
  <c r="ADW4" i="16"/>
  <c r="ADX4" i="16"/>
  <c r="ADY4" i="16"/>
  <c r="ADZ4" i="16"/>
  <c r="AEA4" i="16"/>
  <c r="AEB4" i="16"/>
  <c r="AEC4" i="16"/>
  <c r="AED4" i="16"/>
  <c r="AEE4" i="16"/>
  <c r="AEF4" i="16"/>
  <c r="AEG4" i="16"/>
  <c r="AEH4" i="16"/>
  <c r="AEI4" i="16"/>
  <c r="AEJ4" i="16"/>
  <c r="AEK4" i="16"/>
  <c r="AEL4" i="16"/>
  <c r="AEM4" i="16"/>
  <c r="AEN4" i="16"/>
  <c r="AEO4" i="16"/>
  <c r="AEP4" i="16"/>
  <c r="AEQ4" i="16"/>
  <c r="AER4" i="16"/>
  <c r="AES4" i="16"/>
  <c r="AET4" i="16"/>
  <c r="AEU4" i="16"/>
  <c r="AEV4" i="16"/>
  <c r="AEW4" i="16"/>
  <c r="AEX4" i="16"/>
  <c r="AEY4" i="16"/>
  <c r="AEZ4" i="16"/>
  <c r="AFA4" i="16"/>
  <c r="AFB4" i="16"/>
  <c r="AFC4" i="16"/>
  <c r="AFD4" i="16"/>
  <c r="AFE4" i="16"/>
  <c r="AFF4" i="16"/>
  <c r="AFG4" i="16"/>
  <c r="AFH4" i="16"/>
  <c r="AFI4" i="16"/>
  <c r="AFJ4" i="16"/>
  <c r="AFK4" i="16"/>
  <c r="AFL4" i="16"/>
  <c r="AFM4" i="16"/>
  <c r="AFN4" i="16"/>
  <c r="AFO4" i="16"/>
  <c r="AFP4" i="16"/>
  <c r="AFQ4" i="16"/>
  <c r="AFR4" i="16"/>
  <c r="AFS4" i="16"/>
  <c r="AFT4" i="16"/>
  <c r="AFU4" i="16"/>
  <c r="AFV4" i="16"/>
  <c r="AFW4" i="16"/>
  <c r="AFX4" i="16"/>
  <c r="AFY4" i="16"/>
  <c r="AFZ4" i="16"/>
  <c r="AGA4" i="16"/>
  <c r="AGB4" i="16"/>
  <c r="AGC4" i="16"/>
  <c r="AGD4" i="16"/>
  <c r="AGE4" i="16"/>
  <c r="AGF4" i="16"/>
  <c r="AGG4" i="16"/>
  <c r="AGH4" i="16"/>
  <c r="AGI4" i="16"/>
  <c r="AGJ4" i="16"/>
  <c r="AGK4" i="16"/>
  <c r="AGL4" i="16"/>
  <c r="AGM4" i="16"/>
  <c r="AGN4" i="16"/>
  <c r="AGO4" i="16"/>
  <c r="AGP4" i="16"/>
  <c r="AGQ4" i="16"/>
  <c r="AGR4" i="16"/>
  <c r="AGS4" i="16"/>
  <c r="AGT4" i="16"/>
  <c r="AGU4" i="16"/>
  <c r="AGV4" i="16"/>
  <c r="AGW4" i="16"/>
  <c r="AGX4" i="16"/>
  <c r="AGY4" i="16"/>
  <c r="AGZ4" i="16"/>
  <c r="AHA4" i="16"/>
  <c r="AHB4" i="16"/>
  <c r="AHC4" i="16"/>
  <c r="AHD4" i="16"/>
  <c r="AHE4" i="16"/>
  <c r="AHF4" i="16"/>
  <c r="AHG4" i="16"/>
  <c r="AHH4" i="16"/>
  <c r="AHI4" i="16"/>
  <c r="AHJ4" i="16"/>
  <c r="AHK4" i="16"/>
  <c r="AHL4" i="16"/>
  <c r="AHM4" i="16"/>
  <c r="AHN4" i="16"/>
  <c r="AHO4" i="16"/>
  <c r="AHP4" i="16"/>
  <c r="AHQ4" i="16"/>
  <c r="AHR4" i="16"/>
  <c r="AHS4" i="16"/>
  <c r="AHT4" i="16"/>
  <c r="AHU4" i="16"/>
  <c r="AHV4" i="16"/>
  <c r="AHW4" i="16"/>
  <c r="AHX4" i="16"/>
  <c r="AHY4" i="16"/>
  <c r="AHZ4" i="16"/>
  <c r="AIA4" i="16"/>
  <c r="AIB4" i="16"/>
  <c r="AIC4" i="16"/>
  <c r="AID4" i="16"/>
  <c r="AIE4" i="16"/>
  <c r="AIF4" i="16"/>
  <c r="AIG4" i="16"/>
  <c r="AIH4" i="16"/>
  <c r="AII4" i="16"/>
  <c r="AIJ4" i="16"/>
  <c r="AIK4" i="16"/>
  <c r="AIL4" i="16"/>
  <c r="AIM4" i="16"/>
  <c r="AIN4" i="16"/>
  <c r="AIO4" i="16"/>
  <c r="AIP4" i="16"/>
  <c r="AIQ4" i="16"/>
  <c r="AIR4" i="16"/>
  <c r="AIS4" i="16"/>
  <c r="AIT4" i="16"/>
  <c r="AIU4" i="16"/>
  <c r="AIV4" i="16"/>
  <c r="AIW4" i="16"/>
  <c r="AIX4" i="16"/>
  <c r="AIY4" i="16"/>
  <c r="AIZ4" i="16"/>
  <c r="AJA4" i="16"/>
  <c r="AJB4" i="16"/>
  <c r="AJC4" i="16"/>
  <c r="AJD4" i="16"/>
  <c r="AJE4" i="16"/>
  <c r="AJF4" i="16"/>
  <c r="AJG4" i="16"/>
  <c r="AJH4" i="16"/>
  <c r="AJI4" i="16"/>
  <c r="AJJ4" i="16"/>
  <c r="AJK4" i="16"/>
  <c r="AJL4" i="16"/>
  <c r="AJM4" i="16"/>
  <c r="AJN4" i="16"/>
  <c r="AJO4" i="16"/>
  <c r="AJP4" i="16"/>
  <c r="AJQ4" i="16"/>
  <c r="AJR4" i="16"/>
  <c r="AJS4" i="16"/>
  <c r="AJT4" i="16"/>
  <c r="AJU4" i="16"/>
  <c r="AJV4" i="16"/>
  <c r="AJW4" i="16"/>
  <c r="AJX4" i="16"/>
  <c r="AJY4" i="16"/>
  <c r="AJZ4" i="16"/>
  <c r="AKA4" i="16"/>
  <c r="AKB4" i="16"/>
  <c r="AKC4" i="16"/>
  <c r="AKD4" i="16"/>
  <c r="AKE4" i="16"/>
  <c r="AKF4" i="16"/>
  <c r="AKG4" i="16"/>
  <c r="AKH4" i="16"/>
  <c r="AKI4" i="16"/>
  <c r="AKJ4" i="16"/>
  <c r="AKK4" i="16"/>
  <c r="AKL4" i="16"/>
  <c r="AKM4" i="16"/>
  <c r="AKN4" i="16"/>
  <c r="AKO4" i="16"/>
  <c r="AKP4" i="16"/>
  <c r="AKQ4" i="16"/>
  <c r="AKR4" i="16"/>
  <c r="AKS4" i="16"/>
  <c r="AKT4" i="16"/>
  <c r="AKU4" i="16"/>
  <c r="AKV4" i="16"/>
  <c r="AKW4" i="16"/>
  <c r="AKX4" i="16"/>
  <c r="AKY4" i="16"/>
  <c r="AKZ4" i="16"/>
  <c r="ALA4" i="16"/>
  <c r="ALB4" i="16"/>
  <c r="ALC4" i="16"/>
  <c r="ALD4" i="16"/>
  <c r="ALE4" i="16"/>
  <c r="ALF4" i="16"/>
  <c r="ALG4" i="16"/>
  <c r="ALH4" i="16"/>
  <c r="ALI4" i="16"/>
  <c r="ALJ4" i="16"/>
  <c r="ALK4" i="16"/>
  <c r="ALL4" i="16"/>
  <c r="ALM4" i="16"/>
  <c r="ALN4" i="16"/>
  <c r="ALO4" i="16"/>
  <c r="ALP4" i="16"/>
  <c r="ALQ4" i="16"/>
  <c r="ALR4" i="16"/>
  <c r="ALS4" i="16"/>
  <c r="ALT4" i="16"/>
  <c r="ALU4" i="16"/>
  <c r="ALV4" i="16"/>
  <c r="ALW4" i="16"/>
  <c r="ALX4" i="16"/>
  <c r="ALY4" i="16"/>
  <c r="ALZ4" i="16"/>
  <c r="AMA4" i="16"/>
  <c r="AMB4" i="16"/>
  <c r="AMC4" i="16"/>
  <c r="AMD4" i="16"/>
  <c r="AME4" i="16"/>
  <c r="AMF4" i="16"/>
  <c r="AMG4" i="16"/>
  <c r="AMH4" i="16"/>
  <c r="AMI4" i="16"/>
  <c r="AMJ4" i="16"/>
  <c r="AMK4" i="16"/>
  <c r="AML4" i="16"/>
  <c r="AMM4" i="16"/>
  <c r="AMN4" i="16"/>
  <c r="AMO4" i="16"/>
  <c r="AMP4" i="16"/>
  <c r="AMQ4" i="16"/>
  <c r="AMR4" i="16"/>
  <c r="AMS4" i="16"/>
  <c r="AMT4" i="16"/>
  <c r="AMU4" i="16"/>
  <c r="AMV4" i="16"/>
  <c r="AMW4" i="16"/>
  <c r="AMX4" i="16"/>
  <c r="AMY4" i="16"/>
  <c r="AMZ4" i="16"/>
  <c r="ANA4" i="16"/>
  <c r="ANB4" i="16"/>
  <c r="ANC4" i="16"/>
  <c r="AND4" i="16"/>
  <c r="ANE4" i="16"/>
  <c r="ANF4" i="16"/>
  <c r="ANG4" i="16"/>
  <c r="ANH4" i="16"/>
  <c r="ANI4" i="16"/>
  <c r="ANJ4" i="16"/>
  <c r="ANK4" i="16"/>
  <c r="ANL4" i="16"/>
  <c r="ANM4" i="16"/>
  <c r="ANN4" i="16"/>
  <c r="ANO4" i="16"/>
  <c r="ANP4" i="16"/>
  <c r="ANQ4" i="16"/>
  <c r="ANR4" i="16"/>
  <c r="ANS4" i="16"/>
  <c r="ANT4" i="16"/>
  <c r="ANU4" i="16"/>
  <c r="ANV4" i="16"/>
  <c r="ANW4" i="16"/>
  <c r="ANX4" i="16"/>
  <c r="ANY4" i="16"/>
  <c r="ANZ4" i="16"/>
  <c r="AOA4" i="16"/>
  <c r="AOB4" i="16"/>
  <c r="AOC4" i="16"/>
  <c r="AOD4" i="16"/>
  <c r="AOE4" i="16"/>
  <c r="AOF4" i="16"/>
  <c r="AOG4" i="16"/>
  <c r="AOH4" i="16"/>
  <c r="AOI4" i="16"/>
  <c r="AOJ4" i="16"/>
  <c r="AOK4" i="16"/>
  <c r="AOL4" i="16"/>
  <c r="AOM4" i="16"/>
  <c r="AON4" i="16"/>
  <c r="AOO4" i="16"/>
  <c r="AOP4" i="16"/>
  <c r="AOQ4" i="16"/>
  <c r="AOR4" i="16"/>
  <c r="AOS4" i="16"/>
  <c r="AOT4" i="16"/>
  <c r="AOU4" i="16"/>
  <c r="AOV4" i="16"/>
  <c r="AOW4" i="16"/>
  <c r="AOX4" i="16"/>
  <c r="AOY4" i="16"/>
  <c r="AOZ4" i="16"/>
  <c r="APA4" i="16"/>
  <c r="APB4" i="16"/>
  <c r="APC4" i="16"/>
  <c r="APD4" i="16"/>
  <c r="APE4" i="16"/>
  <c r="APF4" i="16"/>
  <c r="APG4" i="16"/>
  <c r="APH4" i="16"/>
  <c r="API4" i="16"/>
  <c r="APJ4" i="16"/>
  <c r="APK4" i="16"/>
  <c r="APL4" i="16"/>
  <c r="APM4" i="16"/>
  <c r="APN4" i="16"/>
  <c r="APO4" i="16"/>
  <c r="APP4" i="16"/>
  <c r="APQ4" i="16"/>
  <c r="APR4" i="16"/>
  <c r="APS4" i="16"/>
  <c r="APT4" i="16"/>
  <c r="APU4" i="16"/>
  <c r="APV4" i="16"/>
  <c r="APW4" i="16"/>
  <c r="APX4" i="16"/>
  <c r="APY4" i="16"/>
  <c r="APZ4" i="16"/>
  <c r="AQA4" i="16"/>
  <c r="AQB4" i="16"/>
  <c r="AQC4" i="16"/>
  <c r="AQD4" i="16"/>
  <c r="AQE4" i="16"/>
  <c r="AQF4" i="16"/>
  <c r="AQG4" i="16"/>
  <c r="AQH4" i="16"/>
  <c r="AQI4" i="16"/>
  <c r="AQJ4" i="16"/>
  <c r="AQK4" i="16"/>
  <c r="AQL4" i="16"/>
  <c r="AQM4" i="16"/>
  <c r="AQN4" i="16"/>
  <c r="AQO4" i="16"/>
  <c r="AQP4" i="16"/>
  <c r="AQQ4" i="16"/>
  <c r="AQR4" i="16"/>
  <c r="AQS4" i="16"/>
  <c r="AQT4" i="16"/>
  <c r="AQU4" i="16"/>
  <c r="AQV4" i="16"/>
  <c r="AQW4" i="16"/>
  <c r="AQX4" i="16"/>
  <c r="AQY4" i="16"/>
  <c r="AQZ4" i="16"/>
  <c r="ARA4" i="16"/>
  <c r="ARB4" i="16"/>
  <c r="ARC4" i="16"/>
  <c r="ARD4" i="16"/>
  <c r="ARE4" i="16"/>
  <c r="ARF4" i="16"/>
  <c r="ARG4" i="16"/>
  <c r="ARH4" i="16"/>
  <c r="ARI4" i="16"/>
  <c r="ARJ4" i="16"/>
  <c r="ARK4" i="16"/>
  <c r="ARL4" i="16"/>
  <c r="ARM4" i="16"/>
  <c r="ARN4" i="16"/>
  <c r="ARO4" i="16"/>
  <c r="ARP4" i="16"/>
  <c r="ARQ4" i="16"/>
  <c r="ARR4" i="16"/>
  <c r="ARS4" i="16"/>
  <c r="ART4" i="16"/>
  <c r="ARU4" i="16"/>
  <c r="ARV4" i="16"/>
  <c r="ARW4" i="16"/>
  <c r="ARX4" i="16"/>
  <c r="ARY4" i="16"/>
  <c r="ARZ4" i="16"/>
  <c r="ASA4" i="16"/>
  <c r="ASB4" i="16"/>
  <c r="ASC4" i="16"/>
  <c r="ASD4" i="16"/>
  <c r="ASE4" i="16"/>
  <c r="ASF4" i="16"/>
  <c r="ASG4" i="16"/>
  <c r="ASH4" i="16"/>
  <c r="ASI4" i="16"/>
  <c r="ASJ4" i="16"/>
  <c r="ASK4" i="16"/>
  <c r="ASL4" i="16"/>
  <c r="ASM4" i="16"/>
  <c r="ASN4" i="16"/>
  <c r="ASO4" i="16"/>
  <c r="ASP4" i="16"/>
  <c r="ASQ4" i="16"/>
  <c r="ASR4" i="16"/>
  <c r="ASS4" i="16"/>
  <c r="AST4" i="16"/>
  <c r="ASU4" i="16"/>
  <c r="ASV4" i="16"/>
  <c r="ASW4" i="16"/>
  <c r="ASX4" i="16"/>
  <c r="ASY4" i="16"/>
  <c r="ASZ4" i="16"/>
  <c r="ATA4" i="16"/>
  <c r="ATB4" i="16"/>
  <c r="ATC4" i="16"/>
  <c r="ATD4" i="16"/>
  <c r="ATE4" i="16"/>
  <c r="ATF4" i="16"/>
  <c r="ATG4" i="16"/>
  <c r="ATH4" i="16"/>
  <c r="ATI4" i="16"/>
  <c r="ATJ4" i="16"/>
  <c r="ATK4" i="16"/>
  <c r="ATL4" i="16"/>
  <c r="ATM4" i="16"/>
  <c r="ATN4" i="16"/>
  <c r="ATO4" i="16"/>
  <c r="ATP4" i="16"/>
  <c r="ATQ4" i="16"/>
  <c r="ATR4" i="16"/>
  <c r="ATS4" i="16"/>
  <c r="ATT4" i="16"/>
  <c r="ATU4" i="16"/>
  <c r="ATV4" i="16"/>
  <c r="ATW4" i="16"/>
  <c r="ATX4" i="16"/>
  <c r="ATY4" i="16"/>
  <c r="ATZ4" i="16"/>
  <c r="AUA4" i="16"/>
  <c r="AUB4" i="16"/>
  <c r="AUC4" i="16"/>
  <c r="AUD4" i="16"/>
  <c r="AUE4" i="16"/>
  <c r="AUF4" i="16"/>
  <c r="AUG4" i="16"/>
  <c r="AUH4" i="16"/>
  <c r="AUI4" i="16"/>
  <c r="AUJ4" i="16"/>
  <c r="AUK4" i="16"/>
  <c r="AUL4" i="16"/>
  <c r="AUM4" i="16"/>
  <c r="AUN4" i="16"/>
  <c r="AUO4" i="16"/>
  <c r="AUP4" i="16"/>
  <c r="AUQ4" i="16"/>
  <c r="AUR4" i="16"/>
  <c r="AUS4" i="16"/>
  <c r="AUT4" i="16"/>
  <c r="AUU4" i="16"/>
  <c r="AUV4" i="16"/>
  <c r="AUW4" i="16"/>
  <c r="AUX4" i="16"/>
  <c r="AUY4" i="16"/>
  <c r="AUZ4" i="16"/>
  <c r="AVA4" i="16"/>
  <c r="AVB4" i="16"/>
  <c r="AVC4" i="16"/>
  <c r="AVD4" i="16"/>
  <c r="AVE4" i="16"/>
  <c r="AVF4" i="16"/>
  <c r="AVG4" i="16"/>
  <c r="AVH4" i="16"/>
  <c r="AVI4" i="16"/>
  <c r="AVJ4" i="16"/>
  <c r="AVK4" i="16"/>
  <c r="AVL4" i="16"/>
  <c r="AVM4" i="16"/>
  <c r="AVN4" i="16"/>
  <c r="AVO4" i="16"/>
  <c r="AVP4" i="16"/>
  <c r="AVQ4" i="16"/>
  <c r="AVR4" i="16"/>
  <c r="AVS4" i="16"/>
  <c r="AVT4" i="16"/>
  <c r="AVU4" i="16"/>
  <c r="AVV4" i="16"/>
  <c r="AVW4" i="16"/>
  <c r="AVX4" i="16"/>
  <c r="AVY4" i="16"/>
  <c r="AVZ4" i="16"/>
  <c r="AWA4" i="16"/>
  <c r="AWB4" i="16"/>
  <c r="AWC4" i="16"/>
  <c r="AWD4" i="16"/>
  <c r="AWE4" i="16"/>
  <c r="AWF4" i="16"/>
  <c r="AWG4" i="16"/>
  <c r="AWH4" i="16"/>
  <c r="AWI4" i="16"/>
  <c r="AWJ4" i="16"/>
  <c r="AWK4" i="16"/>
  <c r="AWL4" i="16"/>
  <c r="AWM4" i="16"/>
  <c r="AWN4" i="16"/>
  <c r="AWO4" i="16"/>
  <c r="AWP4" i="16"/>
  <c r="AWQ4" i="16"/>
  <c r="AWR4" i="16"/>
  <c r="AWS4" i="16"/>
  <c r="AWT4" i="16"/>
  <c r="AWU4" i="16"/>
  <c r="AWV4" i="16"/>
  <c r="AWW4" i="16"/>
  <c r="AWX4" i="16"/>
  <c r="AWY4" i="16"/>
  <c r="AWZ4" i="16"/>
  <c r="AXA4" i="16"/>
  <c r="AXB4" i="16"/>
  <c r="AXC4" i="16"/>
  <c r="AXD4" i="16"/>
  <c r="AXE4" i="16"/>
  <c r="AXF4" i="16"/>
  <c r="AXG4" i="16"/>
  <c r="AXH4" i="16"/>
  <c r="AXI4" i="16"/>
  <c r="AXJ4" i="16"/>
  <c r="AXK4" i="16"/>
  <c r="AXL4" i="16"/>
  <c r="AXM4" i="16"/>
  <c r="AXN4" i="16"/>
  <c r="AXO4" i="16"/>
  <c r="AXP4" i="16"/>
  <c r="AXQ4" i="16"/>
  <c r="AXR4" i="16"/>
  <c r="AXS4" i="16"/>
  <c r="AXT4" i="16"/>
  <c r="AXU4" i="16"/>
  <c r="AXV4" i="16"/>
  <c r="AXW4" i="16"/>
  <c r="AXX4" i="16"/>
  <c r="AXY4" i="16"/>
  <c r="AXZ4" i="16"/>
  <c r="AYA4" i="16"/>
  <c r="AYB4" i="16"/>
  <c r="AYC4" i="16"/>
  <c r="AYD4" i="16"/>
  <c r="AYE4" i="16"/>
  <c r="AYF4" i="16"/>
  <c r="AYG4" i="16"/>
  <c r="AYH4" i="16"/>
  <c r="AYI4" i="16"/>
  <c r="AYJ4" i="16"/>
  <c r="AYK4" i="16"/>
  <c r="AYL4" i="16"/>
  <c r="AYM4" i="16"/>
  <c r="AYN4" i="16"/>
  <c r="AYO4" i="16"/>
  <c r="AYP4" i="16"/>
  <c r="AYQ4" i="16"/>
  <c r="AYR4" i="16"/>
  <c r="AYS4" i="16"/>
  <c r="AYT4" i="16"/>
  <c r="AYU4" i="16"/>
  <c r="AYV4" i="16"/>
  <c r="AYW4" i="16"/>
  <c r="AYX4" i="16"/>
  <c r="AYY4" i="16"/>
  <c r="AYZ4" i="16"/>
  <c r="AZA4" i="16"/>
  <c r="AZB4" i="16"/>
  <c r="AZC4" i="16"/>
  <c r="AZD4" i="16"/>
  <c r="AZE4" i="16"/>
  <c r="AZF4" i="16"/>
  <c r="AZG4" i="16"/>
  <c r="AZH4" i="16"/>
  <c r="AZI4" i="16"/>
  <c r="AZJ4" i="16"/>
  <c r="AZK4" i="16"/>
  <c r="AZL4" i="16"/>
  <c r="AZM4" i="16"/>
  <c r="AZN4" i="16"/>
  <c r="AZO4" i="16"/>
  <c r="AZP4" i="16"/>
  <c r="AZQ4" i="16"/>
  <c r="AZR4" i="16"/>
  <c r="AZS4" i="16"/>
  <c r="AZT4" i="16"/>
  <c r="AZU4" i="16"/>
  <c r="AZV4" i="16"/>
  <c r="AZW4" i="16"/>
  <c r="AZX4" i="16"/>
  <c r="AZY4" i="16"/>
  <c r="AZZ4" i="16"/>
  <c r="BAA4" i="16"/>
  <c r="BAB4" i="16"/>
  <c r="BAC4" i="16"/>
  <c r="BAD4" i="16"/>
  <c r="BAE4" i="16"/>
  <c r="BAF4" i="16"/>
  <c r="BAG4" i="16"/>
  <c r="BAH4" i="16"/>
  <c r="BAI4" i="16"/>
  <c r="BAJ4" i="16"/>
  <c r="BAK4" i="16"/>
  <c r="BAL4" i="16"/>
  <c r="BAM4" i="16"/>
  <c r="BAN4" i="16"/>
  <c r="BAO4" i="16"/>
  <c r="BAP4" i="16"/>
  <c r="BAQ4" i="16"/>
  <c r="BAR4" i="16"/>
  <c r="BAS4" i="16"/>
  <c r="BAT4" i="16"/>
  <c r="BAU4" i="16"/>
  <c r="BAV4" i="16"/>
  <c r="BAW4" i="16"/>
  <c r="BAX4" i="16"/>
  <c r="BAY4" i="16"/>
  <c r="BAZ4" i="16"/>
  <c r="BBA4" i="16"/>
  <c r="BBB4" i="16"/>
  <c r="BBC4" i="16"/>
  <c r="BBD4" i="16"/>
  <c r="BBE4" i="16"/>
  <c r="BBF4" i="16"/>
  <c r="BBG4" i="16"/>
  <c r="BBH4" i="16"/>
  <c r="BBI4" i="16"/>
  <c r="BBJ4" i="16"/>
  <c r="BBK4" i="16"/>
  <c r="BBL4" i="16"/>
  <c r="BBM4" i="16"/>
  <c r="BBN4" i="16"/>
  <c r="BBO4" i="16"/>
  <c r="BBP4" i="16"/>
  <c r="BBQ4" i="16"/>
  <c r="BBR4" i="16"/>
  <c r="BBS4" i="16"/>
  <c r="BBT4" i="16"/>
  <c r="BBU4" i="16"/>
  <c r="BBV4" i="16"/>
  <c r="BBW4" i="16"/>
  <c r="BBX4" i="16"/>
  <c r="BBY4" i="16"/>
  <c r="BBZ4" i="16"/>
  <c r="BCA4" i="16"/>
  <c r="BCB4" i="16"/>
  <c r="BCC4" i="16"/>
  <c r="BCD4" i="16"/>
  <c r="BCE4" i="16"/>
  <c r="BCF4" i="16"/>
  <c r="BCG4" i="16"/>
  <c r="BCH4" i="16"/>
  <c r="BCI4" i="16"/>
  <c r="BCJ4" i="16"/>
  <c r="BCK4" i="16"/>
  <c r="BCL4" i="16"/>
  <c r="BCM4" i="16"/>
  <c r="BCN4" i="16"/>
  <c r="BCO4" i="16"/>
  <c r="BCP4" i="16"/>
  <c r="BCQ4" i="16"/>
  <c r="BCR4" i="16"/>
  <c r="BCS4" i="16"/>
  <c r="BCT4" i="16"/>
  <c r="BCU4" i="16"/>
  <c r="BCV4" i="16"/>
  <c r="BCW4" i="16"/>
  <c r="BCX4" i="16"/>
  <c r="BCY4" i="16"/>
  <c r="BCZ4" i="16"/>
  <c r="BDA4" i="16"/>
  <c r="BDB4" i="16"/>
  <c r="BDC4" i="16"/>
  <c r="BDD4" i="16"/>
  <c r="BDE4" i="16"/>
  <c r="BDF4" i="16"/>
  <c r="BDG4" i="16"/>
  <c r="BDH4" i="16"/>
  <c r="BDI4" i="16"/>
  <c r="BDJ4" i="16"/>
  <c r="BDK4" i="16"/>
  <c r="BDL4" i="16"/>
  <c r="BDM4" i="16"/>
  <c r="BDN4" i="16"/>
  <c r="BDO4" i="16"/>
  <c r="BDP4" i="16"/>
  <c r="BDQ4" i="16"/>
  <c r="BDR4" i="16"/>
  <c r="BDS4" i="16"/>
  <c r="BDT4" i="16"/>
  <c r="BDU4" i="16"/>
  <c r="BDV4" i="16"/>
  <c r="BDW4" i="16"/>
  <c r="BDX4" i="16"/>
  <c r="BDY4" i="16"/>
  <c r="BDZ4" i="16"/>
  <c r="BEA4" i="16"/>
  <c r="BEB4" i="16"/>
  <c r="BEC4" i="16"/>
  <c r="BED4" i="16"/>
  <c r="BEE4" i="16"/>
  <c r="BEF4" i="16"/>
  <c r="BEG4" i="16"/>
  <c r="BEH4" i="16"/>
  <c r="BEI4" i="16"/>
  <c r="BEJ4" i="16"/>
  <c r="BEK4" i="16"/>
  <c r="BEL4" i="16"/>
  <c r="BEM4" i="16"/>
  <c r="BEN4" i="16"/>
  <c r="BEO4" i="16"/>
  <c r="BEP4" i="16"/>
  <c r="BEQ4" i="16"/>
  <c r="BER4" i="16"/>
  <c r="BES4" i="16"/>
  <c r="BET4" i="16"/>
  <c r="BEU4" i="16"/>
  <c r="BEV4" i="16"/>
  <c r="BEW4" i="16"/>
  <c r="BEX4" i="16"/>
  <c r="BEY4" i="16"/>
  <c r="BEZ4" i="16"/>
  <c r="BFA4" i="16"/>
  <c r="BFB4" i="16"/>
  <c r="BFC4" i="16"/>
  <c r="BFD4" i="16"/>
  <c r="BFE4" i="16"/>
  <c r="BFF4" i="16"/>
  <c r="BFG4" i="16"/>
  <c r="BFH4" i="16"/>
  <c r="BFI4" i="16"/>
  <c r="BFJ4" i="16"/>
  <c r="BFK4" i="16"/>
  <c r="BFL4" i="16"/>
  <c r="BFM4" i="16"/>
  <c r="BFN4" i="16"/>
  <c r="BFO4" i="16"/>
  <c r="BFP4" i="16"/>
  <c r="BFQ4" i="16"/>
  <c r="BFR4" i="16"/>
  <c r="BFS4" i="16"/>
  <c r="BFT4" i="16"/>
  <c r="BFU4" i="16"/>
  <c r="BFV4" i="16"/>
  <c r="BFW4" i="16"/>
  <c r="BFX4" i="16"/>
  <c r="BFY4" i="16"/>
  <c r="BFZ4" i="16"/>
  <c r="BGA4" i="16"/>
  <c r="BGB4" i="16"/>
  <c r="BGC4" i="16"/>
  <c r="BGD4" i="16"/>
  <c r="BGE4" i="16"/>
  <c r="BGF4" i="16"/>
  <c r="BGG4" i="16"/>
  <c r="BGH4" i="16"/>
  <c r="BGI4" i="16"/>
  <c r="BGJ4" i="16"/>
  <c r="BGK4" i="16"/>
  <c r="BGL4" i="16"/>
  <c r="BGM4" i="16"/>
  <c r="BGN4" i="16"/>
  <c r="BGO4" i="16"/>
  <c r="BGP4" i="16"/>
  <c r="BGQ4" i="16"/>
  <c r="BGR4" i="16"/>
  <c r="BGS4" i="16"/>
  <c r="BGT4" i="16"/>
  <c r="BGU4" i="16"/>
  <c r="BGV4" i="16"/>
  <c r="BGW4" i="16"/>
  <c r="BGX4" i="16"/>
  <c r="BGY4" i="16"/>
  <c r="BGZ4" i="16"/>
  <c r="BHA4" i="16"/>
  <c r="BHB4" i="16"/>
  <c r="BHC4" i="16"/>
  <c r="BHD4" i="16"/>
  <c r="BHE4" i="16"/>
  <c r="BHF4" i="16"/>
  <c r="BHG4" i="16"/>
  <c r="BHH4" i="16"/>
  <c r="BHI4" i="16"/>
  <c r="BHJ4" i="16"/>
  <c r="BHK4" i="16"/>
  <c r="BHL4" i="16"/>
  <c r="BHM4" i="16"/>
  <c r="BHN4" i="16"/>
  <c r="BHO4" i="16"/>
  <c r="BHP4" i="16"/>
  <c r="BHQ4" i="16"/>
  <c r="BHR4" i="16"/>
  <c r="BHS4" i="16"/>
  <c r="BHT4" i="16"/>
  <c r="BHU4" i="16"/>
  <c r="BHV4" i="16"/>
  <c r="BHW4" i="16"/>
  <c r="BHX4" i="16"/>
  <c r="BHY4" i="16"/>
  <c r="BHZ4" i="16"/>
  <c r="BIA4" i="16"/>
  <c r="BIB4" i="16"/>
  <c r="BIC4" i="16"/>
  <c r="BID4" i="16"/>
  <c r="BIE4" i="16"/>
  <c r="BIF4" i="16"/>
  <c r="BIG4" i="16"/>
  <c r="BIH4" i="16"/>
  <c r="BII4" i="16"/>
  <c r="BIJ4" i="16"/>
  <c r="BIK4" i="16"/>
  <c r="BIL4" i="16"/>
  <c r="BIM4" i="16"/>
  <c r="BIN4" i="16"/>
  <c r="BIO4" i="16"/>
  <c r="BIP4" i="16"/>
  <c r="BIQ4" i="16"/>
  <c r="BIR4" i="16"/>
  <c r="BIS4" i="16"/>
  <c r="BIT4" i="16"/>
  <c r="BIU4" i="16"/>
  <c r="BIV4" i="16"/>
  <c r="BIW4" i="16"/>
  <c r="BIX4" i="16"/>
  <c r="BIY4" i="16"/>
  <c r="BIZ4" i="16"/>
  <c r="BJA4" i="16"/>
  <c r="BJB4" i="16"/>
  <c r="BJC4" i="16"/>
  <c r="BJD4" i="16"/>
  <c r="BJE4" i="16"/>
  <c r="BJF4" i="16"/>
  <c r="BJG4" i="16"/>
  <c r="BJH4" i="16"/>
  <c r="BJI4" i="16"/>
  <c r="BJJ4" i="16"/>
  <c r="BJK4" i="16"/>
  <c r="BJL4" i="16"/>
  <c r="BJM4" i="16"/>
  <c r="BJN4" i="16"/>
  <c r="BJO4" i="16"/>
  <c r="BJP4" i="16"/>
  <c r="BJQ4" i="16"/>
  <c r="BJR4" i="16"/>
  <c r="BJS4" i="16"/>
  <c r="BJT4" i="16"/>
  <c r="BJU4" i="16"/>
  <c r="BJV4" i="16"/>
  <c r="BJW4" i="16"/>
  <c r="BJX4" i="16"/>
  <c r="BJY4" i="16"/>
  <c r="BJZ4" i="16"/>
  <c r="BKA4" i="16"/>
  <c r="BKB4" i="16"/>
  <c r="BKC4" i="16"/>
  <c r="BKD4" i="16"/>
  <c r="BKE4" i="16"/>
  <c r="BKF4" i="16"/>
  <c r="BKG4" i="16"/>
  <c r="BKH4" i="16"/>
  <c r="BKI4" i="16"/>
  <c r="BKJ4" i="16"/>
  <c r="BKK4" i="16"/>
  <c r="BKL4" i="16"/>
  <c r="BKM4" i="16"/>
  <c r="BKN4" i="16"/>
  <c r="BKO4" i="16"/>
  <c r="BKP4" i="16"/>
  <c r="BKQ4" i="16"/>
  <c r="BKR4" i="16"/>
  <c r="BKS4" i="16"/>
  <c r="BKT4" i="16"/>
  <c r="BKU4" i="16"/>
  <c r="BKV4" i="16"/>
  <c r="BKW4" i="16"/>
  <c r="BKX4" i="16"/>
  <c r="BKY4" i="16"/>
  <c r="BKZ4" i="16"/>
  <c r="BLA4" i="16"/>
  <c r="BLB4" i="16"/>
  <c r="BLC4" i="16"/>
  <c r="BLD4" i="16"/>
  <c r="BLE4" i="16"/>
  <c r="BLF4" i="16"/>
  <c r="BLG4" i="16"/>
  <c r="BLH4" i="16"/>
  <c r="BLI4" i="16"/>
  <c r="BLJ4" i="16"/>
  <c r="BLK4" i="16"/>
  <c r="BLL4" i="16"/>
  <c r="BLM4" i="16"/>
  <c r="BLN4" i="16"/>
  <c r="BLO4" i="16"/>
  <c r="BLP4" i="16"/>
  <c r="BLQ4" i="16"/>
  <c r="BLR4" i="16"/>
  <c r="BLS4" i="16"/>
  <c r="BLT4" i="16"/>
  <c r="BLU4" i="16"/>
  <c r="BLV4" i="16"/>
  <c r="BLW4" i="16"/>
  <c r="BLX4" i="16"/>
  <c r="BLY4" i="16"/>
  <c r="BLZ4" i="16"/>
  <c r="BMA4" i="16"/>
  <c r="BMB4" i="16"/>
  <c r="BMC4" i="16"/>
  <c r="BMD4" i="16"/>
  <c r="BME4" i="16"/>
  <c r="BMF4" i="16"/>
  <c r="BMG4" i="16"/>
  <c r="BMH4" i="16"/>
  <c r="BMI4" i="16"/>
  <c r="BMJ4" i="16"/>
  <c r="BMK4" i="16"/>
  <c r="BML4" i="16"/>
  <c r="BMM4" i="16"/>
  <c r="BMN4" i="16"/>
  <c r="BMO4" i="16"/>
  <c r="BMP4" i="16"/>
  <c r="BMQ4" i="16"/>
  <c r="BMR4" i="16"/>
  <c r="BMS4" i="16"/>
  <c r="BMT4" i="16"/>
  <c r="BMU4" i="16"/>
  <c r="BMV4" i="16"/>
  <c r="BMW4" i="16"/>
  <c r="BMX4" i="16"/>
  <c r="BMY4" i="16"/>
  <c r="BMZ4" i="16"/>
  <c r="BNA4" i="16"/>
  <c r="BNB4" i="16"/>
  <c r="BNC4" i="16"/>
  <c r="BND4" i="16"/>
  <c r="BNE4" i="16"/>
  <c r="BNF4" i="16"/>
  <c r="BNG4" i="16"/>
  <c r="BNH4" i="16"/>
  <c r="BNI4" i="16"/>
  <c r="BNJ4" i="16"/>
  <c r="BNK4" i="16"/>
  <c r="BNL4" i="16"/>
  <c r="BNM4" i="16"/>
  <c r="BNN4" i="16"/>
  <c r="BNO4" i="16"/>
  <c r="BNP4" i="16"/>
  <c r="BNQ4" i="16"/>
  <c r="BNR4" i="16"/>
  <c r="BNS4" i="16"/>
  <c r="BNT4" i="16"/>
  <c r="BNU4" i="16"/>
  <c r="BNV4" i="16"/>
  <c r="BNW4" i="16"/>
  <c r="BNX4" i="16"/>
  <c r="BNY4" i="16"/>
  <c r="BNZ4" i="16"/>
  <c r="BOA4" i="16"/>
  <c r="BOB4" i="16"/>
  <c r="BOC4" i="16"/>
  <c r="BOD4" i="16"/>
  <c r="BOE4" i="16"/>
  <c r="BOF4" i="16"/>
  <c r="BOG4" i="16"/>
  <c r="BOH4" i="16"/>
  <c r="BOI4" i="16"/>
  <c r="BOJ4" i="16"/>
  <c r="BOK4" i="16"/>
  <c r="BOL4" i="16"/>
  <c r="BOM4" i="16"/>
  <c r="BON4" i="16"/>
  <c r="BOO4" i="16"/>
  <c r="BOP4" i="16"/>
  <c r="BOQ4" i="16"/>
  <c r="BOR4" i="16"/>
  <c r="BOS4" i="16"/>
  <c r="BOT4" i="16"/>
  <c r="BOU4" i="16"/>
  <c r="BOV4" i="16"/>
  <c r="BOW4" i="16"/>
  <c r="BOX4" i="16"/>
  <c r="BOY4" i="16"/>
  <c r="BOZ4" i="16"/>
  <c r="BPA4" i="16"/>
  <c r="BPB4" i="16"/>
  <c r="BPC4" i="16"/>
  <c r="BPD4" i="16"/>
  <c r="BPE4" i="16"/>
  <c r="BPF4" i="16"/>
  <c r="BPG4" i="16"/>
  <c r="BPH4" i="16"/>
  <c r="BPI4" i="16"/>
  <c r="BPJ4" i="16"/>
  <c r="BPK4" i="16"/>
  <c r="BPL4" i="16"/>
  <c r="BPM4" i="16"/>
  <c r="BPN4" i="16"/>
  <c r="BPO4" i="16"/>
  <c r="BPP4" i="16"/>
  <c r="BPQ4" i="16"/>
  <c r="BPR4" i="16"/>
  <c r="BPS4" i="16"/>
  <c r="BPT4" i="16"/>
  <c r="BPU4" i="16"/>
  <c r="BPV4" i="16"/>
  <c r="BPW4" i="16"/>
  <c r="BPX4" i="16"/>
  <c r="BPY4" i="16"/>
  <c r="BPZ4" i="16"/>
  <c r="BQA4" i="16"/>
  <c r="BQB4" i="16"/>
  <c r="BQC4" i="16"/>
  <c r="BQD4" i="16"/>
  <c r="BQE4" i="16"/>
  <c r="BQF4" i="16"/>
  <c r="BQG4" i="16"/>
  <c r="BQH4" i="16"/>
  <c r="BQI4" i="16"/>
  <c r="BQJ4" i="16"/>
  <c r="BQK4" i="16"/>
  <c r="BQL4" i="16"/>
  <c r="BQM4" i="16"/>
  <c r="BQN4" i="16"/>
  <c r="BQO4" i="16"/>
  <c r="BQP4" i="16"/>
  <c r="BQQ4" i="16"/>
  <c r="BQR4" i="16"/>
  <c r="BQS4" i="16"/>
  <c r="BQT4" i="16"/>
  <c r="BQU4" i="16"/>
  <c r="BQV4" i="16"/>
  <c r="BQW4" i="16"/>
  <c r="BQX4" i="16"/>
  <c r="BQY4" i="16"/>
  <c r="BQZ4" i="16"/>
  <c r="BRA4" i="16"/>
  <c r="BRB4" i="16"/>
  <c r="BRC4" i="16"/>
  <c r="BRD4" i="16"/>
  <c r="BRE4" i="16"/>
  <c r="BRF4" i="16"/>
  <c r="BRG4" i="16"/>
  <c r="BRH4" i="16"/>
  <c r="BRI4" i="16"/>
  <c r="BRJ4" i="16"/>
  <c r="BRK4" i="16"/>
  <c r="BRL4" i="16"/>
  <c r="BRM4" i="16"/>
  <c r="BRN4" i="16"/>
  <c r="BRO4" i="16"/>
  <c r="BRP4" i="16"/>
  <c r="BRQ4" i="16"/>
  <c r="BRR4" i="16"/>
  <c r="BRS4" i="16"/>
  <c r="BRT4" i="16"/>
  <c r="BRU4" i="16"/>
  <c r="BRV4" i="16"/>
  <c r="BRW4" i="16"/>
  <c r="BRX4" i="16"/>
  <c r="BRY4" i="16"/>
  <c r="BRZ4" i="16"/>
  <c r="BSA4" i="16"/>
  <c r="BSB4" i="16"/>
  <c r="BSC4" i="16"/>
  <c r="BSD4" i="16"/>
  <c r="BSE4" i="16"/>
  <c r="BSF4" i="16"/>
  <c r="BSG4" i="16"/>
  <c r="BSH4" i="16"/>
  <c r="BSI4" i="16"/>
  <c r="BSJ4" i="16"/>
  <c r="BSK4" i="16"/>
  <c r="BSL4" i="16"/>
  <c r="BSM4" i="16"/>
  <c r="BSN4" i="16"/>
  <c r="BSO4" i="16"/>
  <c r="BSP4" i="16"/>
  <c r="BSQ4" i="16"/>
  <c r="BSR4" i="16"/>
  <c r="BSS4" i="16"/>
  <c r="BST4" i="16"/>
  <c r="BSU4" i="16"/>
  <c r="BSV4" i="16"/>
  <c r="BSW4" i="16"/>
  <c r="BSX4" i="16"/>
  <c r="BSY4" i="16"/>
  <c r="BSZ4" i="16"/>
  <c r="BTA4" i="16"/>
  <c r="BTB4" i="16"/>
  <c r="BTC4" i="16"/>
  <c r="BTD4" i="16"/>
  <c r="BTE4" i="16"/>
  <c r="BTF4" i="16"/>
  <c r="BTG4" i="16"/>
  <c r="BTH4" i="16"/>
  <c r="BTI4" i="16"/>
  <c r="BTJ4" i="16"/>
  <c r="BTK4" i="16"/>
  <c r="BTL4" i="16"/>
  <c r="BTM4" i="16"/>
  <c r="BTN4" i="16"/>
  <c r="BTO4" i="16"/>
  <c r="BTP4" i="16"/>
  <c r="BTQ4" i="16"/>
  <c r="BTR4" i="16"/>
  <c r="BTS4" i="16"/>
  <c r="BTT4" i="16"/>
  <c r="BTU4" i="16"/>
  <c r="BTV4" i="16"/>
  <c r="BTW4" i="16"/>
  <c r="BTX4" i="16"/>
  <c r="BTY4" i="16"/>
  <c r="BTZ4" i="16"/>
  <c r="BUA4" i="16"/>
  <c r="BUB4" i="16"/>
  <c r="BUC4" i="16"/>
  <c r="BUD4" i="16"/>
  <c r="BUE4" i="16"/>
  <c r="BUF4" i="16"/>
  <c r="BUG4" i="16"/>
  <c r="BUH4" i="16"/>
  <c r="BUI4" i="16"/>
  <c r="BUJ4" i="16"/>
  <c r="BUK4" i="16"/>
  <c r="BUL4" i="16"/>
  <c r="BUM4" i="16"/>
  <c r="BUN4" i="16"/>
  <c r="BUO4" i="16"/>
  <c r="BUP4" i="16"/>
  <c r="BUQ4" i="16"/>
  <c r="BUR4" i="16"/>
  <c r="BUS4" i="16"/>
  <c r="BUT4" i="16"/>
  <c r="BUU4" i="16"/>
  <c r="BUV4" i="16"/>
  <c r="BUW4" i="16"/>
  <c r="BUX4" i="16"/>
  <c r="BUY4" i="16"/>
  <c r="BUZ4" i="16"/>
  <c r="BVA4" i="16"/>
  <c r="BVB4" i="16"/>
  <c r="BVC4" i="16"/>
  <c r="BVD4" i="16"/>
  <c r="BVE4" i="16"/>
  <c r="BVF4" i="16"/>
  <c r="BVG4" i="16"/>
  <c r="BVH4" i="16"/>
  <c r="BVI4" i="16"/>
  <c r="BVJ4" i="16"/>
  <c r="BVK4" i="16"/>
  <c r="BVL4" i="16"/>
  <c r="BVM4" i="16"/>
  <c r="BVN4" i="16"/>
  <c r="BVO4" i="16"/>
  <c r="BVP4" i="16"/>
  <c r="BVQ4" i="16"/>
  <c r="BVR4" i="16"/>
  <c r="BVS4" i="16"/>
  <c r="BVT4" i="16"/>
  <c r="BVU4" i="16"/>
  <c r="BVV4" i="16"/>
  <c r="BVW4" i="16"/>
  <c r="BVX4" i="16"/>
  <c r="BVY4" i="16"/>
  <c r="BVZ4" i="16"/>
  <c r="BWA4" i="16"/>
  <c r="BWB4" i="16"/>
  <c r="BWC4" i="16"/>
  <c r="BWD4" i="16"/>
  <c r="BWE4" i="16"/>
  <c r="BWF4" i="16"/>
  <c r="BWG4" i="16"/>
  <c r="BWH4" i="16"/>
  <c r="BWI4" i="16"/>
  <c r="BWJ4" i="16"/>
  <c r="BWK4" i="16"/>
  <c r="BWL4" i="16"/>
  <c r="BWM4" i="16"/>
  <c r="BWN4" i="16"/>
  <c r="BWO4" i="16"/>
  <c r="BWP4" i="16"/>
  <c r="BWQ4" i="16"/>
  <c r="BWR4" i="16"/>
  <c r="BWS4" i="16"/>
  <c r="BWT4" i="16"/>
  <c r="BWU4" i="16"/>
  <c r="BWV4" i="16"/>
  <c r="BWW4" i="16"/>
  <c r="BWX4" i="16"/>
  <c r="BWY4" i="16"/>
  <c r="BWZ4" i="16"/>
  <c r="BXA4" i="16"/>
  <c r="BXB4" i="16"/>
  <c r="BXC4" i="16"/>
  <c r="BXD4" i="16"/>
  <c r="BXE4" i="16"/>
  <c r="BXF4" i="16"/>
  <c r="BXG4" i="16"/>
  <c r="BXH4" i="16"/>
  <c r="BXI4" i="16"/>
  <c r="BXJ4" i="16"/>
  <c r="BXK4" i="16"/>
  <c r="BXL4" i="16"/>
  <c r="BXM4" i="16"/>
  <c r="BXN4" i="16"/>
  <c r="BXO4" i="16"/>
  <c r="BXP4" i="16"/>
  <c r="BXQ4" i="16"/>
  <c r="BXR4" i="16"/>
  <c r="BXS4" i="16"/>
  <c r="BXT4" i="16"/>
  <c r="BXU4" i="16"/>
  <c r="BXV4" i="16"/>
  <c r="BXW4" i="16"/>
  <c r="BXX4" i="16"/>
  <c r="BXY4" i="16"/>
  <c r="BXZ4" i="16"/>
  <c r="BYA4" i="16"/>
  <c r="BYB4" i="16"/>
  <c r="BYC4" i="16"/>
  <c r="BYD4" i="16"/>
  <c r="BYE4" i="16"/>
  <c r="BYF4" i="16"/>
  <c r="BYG4" i="16"/>
  <c r="BYH4" i="16"/>
  <c r="BYI4" i="16"/>
  <c r="BYJ4" i="16"/>
  <c r="BYK4" i="16"/>
  <c r="BYL4" i="16"/>
  <c r="BYM4" i="16"/>
  <c r="BYN4" i="16"/>
  <c r="BYO4" i="16"/>
  <c r="BYP4" i="16"/>
  <c r="BYQ4" i="16"/>
  <c r="BYR4" i="16"/>
  <c r="BYS4" i="16"/>
  <c r="BYT4" i="16"/>
  <c r="BYU4" i="16"/>
  <c r="BYV4" i="16"/>
  <c r="BYW4" i="16"/>
  <c r="BYX4" i="16"/>
  <c r="BYY4" i="16"/>
  <c r="BYZ4" i="16"/>
  <c r="BZA4" i="16"/>
  <c r="BZB4" i="16"/>
  <c r="BZC4" i="16"/>
  <c r="BZD4" i="16"/>
  <c r="BZE4" i="16"/>
  <c r="BZF4" i="16"/>
  <c r="BZG4" i="16"/>
  <c r="BZH4" i="16"/>
  <c r="BZI4" i="16"/>
  <c r="BZJ4" i="16"/>
  <c r="BZK4" i="16"/>
  <c r="BZL4" i="16"/>
  <c r="BZM4" i="16"/>
  <c r="BZN4" i="16"/>
  <c r="BZO4" i="16"/>
  <c r="BZP4" i="16"/>
  <c r="BZQ4" i="16"/>
  <c r="BZR4" i="16"/>
  <c r="BZS4" i="16"/>
  <c r="BZT4" i="16"/>
  <c r="BZU4" i="16"/>
  <c r="BZV4" i="16"/>
  <c r="BZW4" i="16"/>
  <c r="BZX4" i="16"/>
  <c r="BZY4" i="16"/>
  <c r="BZZ4" i="16"/>
  <c r="CAA4" i="16"/>
  <c r="CAB4" i="16"/>
  <c r="CAC4" i="16"/>
  <c r="CAD4" i="16"/>
  <c r="CAE4" i="16"/>
  <c r="CAF4" i="16"/>
  <c r="CAG4" i="16"/>
  <c r="CAH4" i="16"/>
  <c r="CAI4" i="16"/>
  <c r="CAJ4" i="16"/>
  <c r="CAK4" i="16"/>
  <c r="CAL4" i="16"/>
  <c r="CAM4" i="16"/>
  <c r="CAN4" i="16"/>
  <c r="CAO4" i="16"/>
  <c r="CAP4" i="16"/>
  <c r="CAQ4" i="16"/>
  <c r="CAR4" i="16"/>
  <c r="CAS4" i="16"/>
  <c r="CAT4" i="16"/>
  <c r="CAU4" i="16"/>
  <c r="CAV4" i="16"/>
  <c r="CAW4" i="16"/>
  <c r="CAX4" i="16"/>
  <c r="CAY4" i="16"/>
  <c r="CAZ4" i="16"/>
  <c r="CBA4" i="16"/>
  <c r="CBB4" i="16"/>
  <c r="CBC4" i="16"/>
  <c r="CBD4" i="16"/>
  <c r="CBE4" i="16"/>
  <c r="CBF4" i="16"/>
  <c r="CBG4" i="16"/>
  <c r="CBH4" i="16"/>
  <c r="CBI4" i="16"/>
  <c r="CBJ4" i="16"/>
  <c r="CBK4" i="16"/>
  <c r="CBL4" i="16"/>
  <c r="CBM4" i="16"/>
  <c r="CBN4" i="16"/>
  <c r="CBO4" i="16"/>
  <c r="CBP4" i="16"/>
  <c r="CBQ4" i="16"/>
  <c r="CBR4" i="16"/>
  <c r="CBS4" i="16"/>
  <c r="CBT4" i="16"/>
  <c r="CBU4" i="16"/>
  <c r="CBV4" i="16"/>
  <c r="CBW4" i="16"/>
  <c r="CBX4" i="16"/>
  <c r="CBY4" i="16"/>
  <c r="CBZ4" i="16"/>
  <c r="CCA4" i="16"/>
  <c r="CCB4" i="16"/>
  <c r="CCC4" i="16"/>
  <c r="CCD4" i="16"/>
  <c r="CCE4" i="16"/>
  <c r="CCF4" i="16"/>
  <c r="CCG4" i="16"/>
  <c r="CCH4" i="16"/>
  <c r="CCI4" i="16"/>
  <c r="CCJ4" i="16"/>
  <c r="CCK4" i="16"/>
  <c r="CCL4" i="16"/>
  <c r="CCM4" i="16"/>
  <c r="CCN4" i="16"/>
  <c r="CCO4" i="16"/>
  <c r="CCP4" i="16"/>
  <c r="CCQ4" i="16"/>
  <c r="CCR4" i="16"/>
  <c r="CCS4" i="16"/>
  <c r="CCT4" i="16"/>
  <c r="CCU4" i="16"/>
  <c r="CCV4" i="16"/>
  <c r="CCW4" i="16"/>
  <c r="CCX4" i="16"/>
  <c r="CCY4" i="16"/>
  <c r="CCZ4" i="16"/>
  <c r="CDA4" i="16"/>
  <c r="CDB4" i="16"/>
  <c r="CDC4" i="16"/>
  <c r="CDD4" i="16"/>
  <c r="CDE4" i="16"/>
  <c r="CDF4" i="16"/>
  <c r="CDG4" i="16"/>
  <c r="CDH4" i="16"/>
  <c r="CDI4" i="16"/>
  <c r="CDJ4" i="16"/>
  <c r="CDK4" i="16"/>
  <c r="CDL4" i="16"/>
  <c r="CDM4" i="16"/>
  <c r="CDN4" i="16"/>
  <c r="CDO4" i="16"/>
  <c r="CDP4" i="16"/>
  <c r="CDQ4" i="16"/>
  <c r="CDR4" i="16"/>
  <c r="CDS4" i="16"/>
  <c r="CDT4" i="16"/>
  <c r="CDU4" i="16"/>
  <c r="CDV4" i="16"/>
  <c r="CDW4" i="16"/>
  <c r="CDX4" i="16"/>
  <c r="CDY4" i="16"/>
  <c r="CDZ4" i="16"/>
  <c r="CEA4" i="16"/>
  <c r="CEB4" i="16"/>
  <c r="CEC4" i="16"/>
  <c r="CED4" i="16"/>
  <c r="CEE4" i="16"/>
  <c r="CEF4" i="16"/>
  <c r="CEG4" i="16"/>
  <c r="CEH4" i="16"/>
  <c r="CEI4" i="16"/>
  <c r="CEJ4" i="16"/>
  <c r="CEK4" i="16"/>
  <c r="CEL4" i="16"/>
  <c r="CEM4" i="16"/>
  <c r="CEN4" i="16"/>
  <c r="CEO4" i="16"/>
  <c r="CEP4" i="16"/>
  <c r="CEQ4" i="16"/>
  <c r="CER4" i="16"/>
  <c r="CES4" i="16"/>
  <c r="CET4" i="16"/>
  <c r="CEU4" i="16"/>
  <c r="CEV4" i="16"/>
  <c r="CEW4" i="16"/>
  <c r="CEX4" i="16"/>
  <c r="CEY4" i="16"/>
  <c r="CEZ4" i="16"/>
  <c r="CFA4" i="16"/>
  <c r="CFB4" i="16"/>
  <c r="CFC4" i="16"/>
  <c r="CFD4" i="16"/>
  <c r="CFE4" i="16"/>
  <c r="CFF4" i="16"/>
  <c r="CFG4" i="16"/>
  <c r="CFH4" i="16"/>
  <c r="CFI4" i="16"/>
  <c r="CFJ4" i="16"/>
  <c r="CFK4" i="16"/>
  <c r="CFL4" i="16"/>
  <c r="CFM4" i="16"/>
  <c r="F4" i="16"/>
  <c r="A231" i="9"/>
  <c r="A230" i="9" s="1"/>
  <c r="A225" i="9"/>
  <c r="A224" i="9" s="1"/>
  <c r="A75" i="9"/>
  <c r="A76" i="9" s="1"/>
  <c r="A63" i="9"/>
  <c r="A62" i="9" s="1"/>
  <c r="F14" i="14"/>
  <c r="F49" i="14"/>
  <c r="F57" i="14"/>
  <c r="F79" i="14"/>
  <c r="F80" i="14"/>
  <c r="F81" i="14"/>
  <c r="F88" i="14"/>
  <c r="F111" i="14"/>
  <c r="F124" i="14"/>
  <c r="A56" i="17" a="1"/>
  <c r="A56" i="17" s="1"/>
  <c r="A57" i="17" a="1"/>
  <c r="A57" i="17" s="1"/>
  <c r="A58" i="17" a="1"/>
  <c r="A58" i="17" s="1"/>
  <c r="A59" i="17" a="1"/>
  <c r="A59" i="17" s="1"/>
  <c r="A60" i="17" a="1"/>
  <c r="A60" i="17" s="1"/>
  <c r="A61" i="17" a="1"/>
  <c r="A61" i="17" s="1"/>
  <c r="A62" i="17" a="1"/>
  <c r="A62" i="17" s="1"/>
  <c r="A63" i="17" a="1"/>
  <c r="A63" i="17" s="1"/>
  <c r="A64" i="17" a="1"/>
  <c r="A64" i="17" s="1"/>
  <c r="A65" i="17" a="1"/>
  <c r="A65" i="17" s="1"/>
  <c r="A66" i="17" a="1"/>
  <c r="A66" i="17" s="1"/>
  <c r="A67" i="17" a="1"/>
  <c r="A67" i="17" s="1"/>
  <c r="A68" i="17" a="1"/>
  <c r="A68" i="17" s="1"/>
  <c r="A69" i="17" a="1"/>
  <c r="A69" i="17" s="1"/>
  <c r="A70" i="17" a="1"/>
  <c r="A70" i="17" s="1"/>
  <c r="A71" i="17" a="1"/>
  <c r="A71" i="17" s="1"/>
  <c r="A72" i="17" a="1"/>
  <c r="A72" i="17" s="1"/>
  <c r="A73" i="17" a="1"/>
  <c r="A73" i="17" s="1"/>
  <c r="A74" i="17" a="1"/>
  <c r="A74" i="17" s="1"/>
  <c r="A75" i="17" a="1"/>
  <c r="A75" i="17" s="1"/>
  <c r="A76" i="17" a="1"/>
  <c r="A76" i="17" s="1"/>
  <c r="A77" i="17" a="1"/>
  <c r="A77" i="17" s="1"/>
  <c r="A78" i="17" a="1"/>
  <c r="A78" i="17" s="1"/>
  <c r="A79" i="17" a="1"/>
  <c r="A79" i="17" s="1"/>
  <c r="A80" i="17" a="1"/>
  <c r="A80" i="17" s="1"/>
  <c r="A81" i="17" a="1"/>
  <c r="A81" i="17" s="1"/>
  <c r="A82" i="17" a="1"/>
  <c r="A82" i="17" s="1"/>
  <c r="A83" i="17" a="1"/>
  <c r="A83" i="17" s="1"/>
  <c r="A84" i="17" a="1"/>
  <c r="A84" i="17" s="1"/>
  <c r="A85" i="17" a="1"/>
  <c r="A85" i="17" s="1"/>
  <c r="A86" i="17" a="1"/>
  <c r="A86" i="17" s="1"/>
  <c r="A87" i="17" a="1"/>
  <c r="A87" i="17" s="1"/>
  <c r="A88" i="17" a="1"/>
  <c r="A88" i="17" s="1"/>
  <c r="A89" i="17" a="1"/>
  <c r="A89" i="17" s="1"/>
  <c r="A90" i="17" a="1"/>
  <c r="A90" i="17" s="1"/>
  <c r="A91" i="17" a="1"/>
  <c r="A91" i="17" s="1"/>
  <c r="A92" i="17" a="1"/>
  <c r="A92" i="17" s="1"/>
  <c r="A93" i="17" a="1"/>
  <c r="A93" i="17" s="1"/>
  <c r="A94" i="17" a="1"/>
  <c r="A94" i="17" s="1"/>
  <c r="A95" i="17" a="1"/>
  <c r="A95" i="17" s="1"/>
  <c r="A96" i="17" a="1"/>
  <c r="A96" i="17" s="1"/>
  <c r="A97" i="17" a="1"/>
  <c r="A97" i="17" s="1"/>
  <c r="A98" i="17" a="1"/>
  <c r="A98" i="17" s="1"/>
  <c r="A99" i="17" a="1"/>
  <c r="A99" i="17" s="1"/>
  <c r="A100" i="17" a="1"/>
  <c r="A100" i="17" s="1"/>
  <c r="A39" i="17" a="1"/>
  <c r="A39" i="17" s="1"/>
  <c r="A40" i="17" a="1"/>
  <c r="A40" i="17" s="1"/>
  <c r="A41" i="17" a="1"/>
  <c r="A41" i="17" s="1"/>
  <c r="A42" i="17" a="1"/>
  <c r="A42" i="17" s="1"/>
  <c r="A43" i="17" a="1"/>
  <c r="A43" i="17" s="1"/>
  <c r="A44" i="17" a="1"/>
  <c r="A44" i="17" s="1"/>
  <c r="A45" i="17" a="1"/>
  <c r="A45" i="17" s="1"/>
  <c r="A46" i="17" a="1"/>
  <c r="A46" i="17" s="1"/>
  <c r="A47" i="17" a="1"/>
  <c r="A47" i="17" s="1"/>
  <c r="A48" i="17" a="1"/>
  <c r="A48" i="17" s="1"/>
  <c r="A49" i="17" a="1"/>
  <c r="A49" i="17" s="1"/>
  <c r="A50" i="17" a="1"/>
  <c r="A50" i="17" s="1"/>
  <c r="A51" i="17" a="1"/>
  <c r="A51" i="17" s="1"/>
  <c r="A52" i="17" a="1"/>
  <c r="A52" i="17" s="1"/>
  <c r="A53" i="17" a="1"/>
  <c r="A53" i="17" s="1"/>
  <c r="A54" i="17" a="1"/>
  <c r="A54" i="17" s="1"/>
  <c r="A55" i="17" a="1"/>
  <c r="A55" i="17" s="1"/>
  <c r="A17" i="17" a="1"/>
  <c r="A17" i="17" s="1"/>
  <c r="A18" i="17" a="1"/>
  <c r="A18" i="17" s="1"/>
  <c r="A19" i="17" a="1"/>
  <c r="A19" i="17" s="1"/>
  <c r="A20" i="17" a="1"/>
  <c r="A20" i="17" s="1"/>
  <c r="A21" i="17" a="1"/>
  <c r="A21" i="17" s="1"/>
  <c r="A22" i="17" a="1"/>
  <c r="A22" i="17" s="1"/>
  <c r="A23" i="17" a="1"/>
  <c r="A23" i="17" s="1"/>
  <c r="A24" i="17" a="1"/>
  <c r="A24" i="17" s="1"/>
  <c r="A25" i="17" a="1"/>
  <c r="A25" i="17" s="1"/>
  <c r="A26" i="17" a="1"/>
  <c r="A26" i="17" s="1"/>
  <c r="A27" i="17" a="1"/>
  <c r="A27" i="17" s="1"/>
  <c r="A28" i="17" a="1"/>
  <c r="A28" i="17" s="1"/>
  <c r="A29" i="17" a="1"/>
  <c r="A29" i="17" s="1"/>
  <c r="A30" i="17" a="1"/>
  <c r="A30" i="17" s="1"/>
  <c r="A31" i="17" a="1"/>
  <c r="A31" i="17" s="1"/>
  <c r="A32" i="17" a="1"/>
  <c r="A32" i="17" s="1"/>
  <c r="A33" i="17" a="1"/>
  <c r="A33" i="17" s="1"/>
  <c r="A34" i="17" a="1"/>
  <c r="A34" i="17" s="1"/>
  <c r="A35" i="17" a="1"/>
  <c r="A35" i="17" s="1"/>
  <c r="A36" i="17" a="1"/>
  <c r="A36" i="17" s="1"/>
  <c r="A37" i="17" a="1"/>
  <c r="A37" i="17" s="1"/>
  <c r="A38" i="17" a="1"/>
  <c r="A38" i="17" s="1"/>
  <c r="A8" i="17" a="1"/>
  <c r="A8" i="17" s="1"/>
  <c r="A9" i="17" a="1"/>
  <c r="A9" i="17" s="1"/>
  <c r="A10" i="17" a="1"/>
  <c r="A10" i="17" s="1"/>
  <c r="A11" i="17" a="1"/>
  <c r="A11" i="17" s="1"/>
  <c r="A12" i="17" a="1"/>
  <c r="A12" i="17" s="1"/>
  <c r="A13" i="17" a="1"/>
  <c r="A13" i="17" s="1"/>
  <c r="A14" i="17" a="1"/>
  <c r="A14" i="17" s="1"/>
  <c r="A15" i="17" a="1"/>
  <c r="A15" i="17" s="1"/>
  <c r="A16" i="17" a="1"/>
  <c r="A16" i="17" s="1"/>
  <c r="A7" i="17" a="1"/>
  <c r="A7" i="17" s="1"/>
  <c r="B99" i="2"/>
  <c r="B98" i="2"/>
  <c r="B97" i="2"/>
  <c r="B96" i="2"/>
  <c r="B95" i="2"/>
  <c r="B94" i="2"/>
  <c r="B93" i="2"/>
  <c r="B92" i="2"/>
  <c r="B57" i="2"/>
  <c r="A249" i="9"/>
  <c r="A248" i="9" s="1"/>
  <c r="A243" i="9"/>
  <c r="A242" i="9" s="1"/>
  <c r="A237" i="9"/>
  <c r="A240" i="9" s="1"/>
  <c r="A219" i="9"/>
  <c r="A218" i="9" s="1"/>
  <c r="A213" i="9"/>
  <c r="A214" i="9" s="1"/>
  <c r="A207" i="9"/>
  <c r="A206" i="9" s="1"/>
  <c r="D201" i="9"/>
  <c r="D200" i="9" s="1"/>
  <c r="B200" i="9" s="1"/>
  <c r="A201" i="9"/>
  <c r="A204" i="9" s="1"/>
  <c r="D195" i="9"/>
  <c r="D194" i="9" s="1"/>
  <c r="B194" i="9" s="1"/>
  <c r="A195" i="9"/>
  <c r="A194" i="9" s="1"/>
  <c r="D189" i="9"/>
  <c r="D191" i="9" s="1"/>
  <c r="A189" i="9"/>
  <c r="A188" i="9" s="1"/>
  <c r="D183" i="9"/>
  <c r="D184" i="9" s="1"/>
  <c r="A183" i="9"/>
  <c r="A186" i="9" s="1"/>
  <c r="D177" i="9"/>
  <c r="D176" i="9" s="1"/>
  <c r="A177" i="9"/>
  <c r="D173" i="9"/>
  <c r="A171" i="9"/>
  <c r="A170" i="9" s="1"/>
  <c r="D165" i="9"/>
  <c r="D168" i="9" s="1"/>
  <c r="A165" i="9"/>
  <c r="A164" i="9" s="1"/>
  <c r="D159" i="9"/>
  <c r="D161" i="9" s="1"/>
  <c r="A159" i="9"/>
  <c r="A162" i="9" s="1"/>
  <c r="D153" i="9"/>
  <c r="D152" i="9" s="1"/>
  <c r="B152" i="9" s="1"/>
  <c r="A153" i="9"/>
  <c r="A154" i="9" s="1"/>
  <c r="D147" i="9"/>
  <c r="D150" i="9" s="1"/>
  <c r="A147" i="9"/>
  <c r="A146" i="9" s="1"/>
  <c r="D141" i="9"/>
  <c r="D142" i="9" s="1"/>
  <c r="A141" i="9"/>
  <c r="A142" i="9" s="1"/>
  <c r="D135" i="9"/>
  <c r="D136" i="9" s="1"/>
  <c r="A135" i="9"/>
  <c r="A138" i="9" s="1"/>
  <c r="D129" i="9"/>
  <c r="D128" i="9" s="1"/>
  <c r="B128" i="9" s="1"/>
  <c r="A129" i="9"/>
  <c r="D123" i="9"/>
  <c r="D122" i="9" s="1"/>
  <c r="B122" i="9" s="1"/>
  <c r="A123" i="9"/>
  <c r="A122" i="9" s="1"/>
  <c r="D117" i="9"/>
  <c r="D116" i="9" s="1"/>
  <c r="B116" i="9" s="1"/>
  <c r="A117" i="9"/>
  <c r="A116" i="9" s="1"/>
  <c r="D111" i="9"/>
  <c r="A111" i="9"/>
  <c r="A114" i="9" s="1"/>
  <c r="D105" i="9"/>
  <c r="D104" i="9" s="1"/>
  <c r="B104" i="9" s="1"/>
  <c r="A105" i="9"/>
  <c r="D99" i="9"/>
  <c r="D100" i="9" s="1"/>
  <c r="A99" i="9"/>
  <c r="A98" i="9" s="1"/>
  <c r="D93" i="9"/>
  <c r="D95" i="9" s="1"/>
  <c r="A93" i="9"/>
  <c r="A95" i="9" s="1"/>
  <c r="D87" i="9"/>
  <c r="D88" i="9" s="1"/>
  <c r="A87" i="9"/>
  <c r="A89" i="9" s="1"/>
  <c r="D81" i="9"/>
  <c r="D80" i="9" s="1"/>
  <c r="B80" i="9" s="1"/>
  <c r="A81" i="9"/>
  <c r="D75" i="9"/>
  <c r="D76" i="9" s="1"/>
  <c r="D63" i="9"/>
  <c r="D62" i="9" s="1"/>
  <c r="B62" i="9" s="1"/>
  <c r="D57" i="9"/>
  <c r="A57" i="9"/>
  <c r="A58" i="9" s="1"/>
  <c r="D51" i="9"/>
  <c r="D50" i="9" s="1"/>
  <c r="B50" i="9" s="1"/>
  <c r="A51" i="9"/>
  <c r="D45" i="9"/>
  <c r="D46" i="9" s="1"/>
  <c r="A45" i="9"/>
  <c r="A44" i="9" s="1"/>
  <c r="D39" i="9"/>
  <c r="D40" i="9" s="1"/>
  <c r="A39" i="9"/>
  <c r="A41" i="9" s="1"/>
  <c r="D33" i="9"/>
  <c r="D35" i="9" s="1"/>
  <c r="A33" i="9"/>
  <c r="A36" i="9" s="1"/>
  <c r="D27" i="9"/>
  <c r="D28" i="9" s="1"/>
  <c r="A27" i="9"/>
  <c r="A28" i="9" s="1"/>
  <c r="B2" i="2"/>
  <c r="C2" i="9"/>
  <c r="A173" i="9" l="1"/>
  <c r="B176" i="9"/>
  <c r="D196" i="9"/>
  <c r="A232" i="9"/>
  <c r="D101" i="9"/>
  <c r="D130" i="9"/>
  <c r="A2" i="21"/>
  <c r="A2" i="22"/>
  <c r="B2" i="25"/>
  <c r="A126" i="9"/>
  <c r="A96" i="9"/>
  <c r="D98" i="9"/>
  <c r="B98" i="9" s="1"/>
  <c r="A110" i="9"/>
  <c r="A238" i="9"/>
  <c r="A113" i="9"/>
  <c r="A156" i="9"/>
  <c r="A191" i="9"/>
  <c r="D90" i="9"/>
  <c r="A209" i="9"/>
  <c r="D41" i="9"/>
  <c r="A143" i="9"/>
  <c r="D132" i="9"/>
  <c r="D30" i="9"/>
  <c r="A172" i="9"/>
  <c r="A112" i="9"/>
  <c r="A140" i="9"/>
  <c r="D146" i="9"/>
  <c r="B146" i="9" s="1"/>
  <c r="A158" i="9"/>
  <c r="D164" i="9"/>
  <c r="B164" i="9" s="1"/>
  <c r="A42" i="9"/>
  <c r="A185" i="9"/>
  <c r="D65" i="9"/>
  <c r="A196" i="9"/>
  <c r="D66" i="9"/>
  <c r="A26" i="9"/>
  <c r="D170" i="9"/>
  <c r="B170" i="9" s="1"/>
  <c r="A182" i="9"/>
  <c r="A227" i="9"/>
  <c r="D106" i="9"/>
  <c r="A119" i="9"/>
  <c r="D174" i="9"/>
  <c r="A40" i="9"/>
  <c r="D64" i="9"/>
  <c r="A208" i="9"/>
  <c r="D203" i="9"/>
  <c r="D78" i="9"/>
  <c r="A38" i="9"/>
  <c r="A46" i="9"/>
  <c r="A150" i="9"/>
  <c r="A226" i="9"/>
  <c r="D204" i="9"/>
  <c r="D156" i="9"/>
  <c r="A228" i="9"/>
  <c r="A148" i="9"/>
  <c r="D74" i="9"/>
  <c r="B74" i="9" s="1"/>
  <c r="A86" i="9"/>
  <c r="D92" i="9"/>
  <c r="B92" i="9" s="1"/>
  <c r="A212" i="9"/>
  <c r="A120" i="9"/>
  <c r="A118" i="9"/>
  <c r="A190" i="9"/>
  <c r="D202" i="9"/>
  <c r="D167" i="9"/>
  <c r="D53" i="9"/>
  <c r="D166" i="9"/>
  <c r="A30" i="9"/>
  <c r="A144" i="9"/>
  <c r="A216" i="9"/>
  <c r="A65" i="9"/>
  <c r="D148" i="9"/>
  <c r="A192" i="9"/>
  <c r="A184" i="9"/>
  <c r="A215" i="9"/>
  <c r="D102" i="9"/>
  <c r="D42" i="9"/>
  <c r="A161" i="9"/>
  <c r="D149" i="9"/>
  <c r="D38" i="9"/>
  <c r="B38" i="9" s="1"/>
  <c r="A59" i="9"/>
  <c r="D71" i="9"/>
  <c r="A251" i="9"/>
  <c r="A210" i="9"/>
  <c r="A250" i="9"/>
  <c r="A94" i="9"/>
  <c r="A60" i="9"/>
  <c r="D155" i="9"/>
  <c r="A233" i="9"/>
  <c r="A252" i="9"/>
  <c r="D190" i="9"/>
  <c r="D72" i="9"/>
  <c r="A174" i="9"/>
  <c r="D198" i="9"/>
  <c r="D126" i="9"/>
  <c r="A77" i="9"/>
  <c r="A90" i="9"/>
  <c r="A72" i="9"/>
  <c r="A71" i="9"/>
  <c r="D197" i="9"/>
  <c r="D154" i="9"/>
  <c r="D124" i="9"/>
  <c r="D94" i="9"/>
  <c r="D52" i="9"/>
  <c r="D192" i="9"/>
  <c r="D54" i="9"/>
  <c r="A48" i="9"/>
  <c r="A64" i="9"/>
  <c r="D77" i="9"/>
  <c r="A66" i="9"/>
  <c r="A149" i="9"/>
  <c r="D44" i="9"/>
  <c r="B44" i="9" s="1"/>
  <c r="A56" i="9"/>
  <c r="A92" i="9"/>
  <c r="D140" i="9"/>
  <c r="B140" i="9" s="1"/>
  <c r="D188" i="9"/>
  <c r="B188" i="9" s="1"/>
  <c r="A245" i="9"/>
  <c r="D84" i="9"/>
  <c r="A168" i="9"/>
  <c r="D120" i="9"/>
  <c r="D83" i="9"/>
  <c r="A101" i="9"/>
  <c r="A197" i="9"/>
  <c r="A222" i="9"/>
  <c r="A160" i="9"/>
  <c r="A137" i="9"/>
  <c r="A125" i="9"/>
  <c r="A100" i="9"/>
  <c r="D180" i="9"/>
  <c r="D118" i="9"/>
  <c r="D82" i="9"/>
  <c r="D70" i="9"/>
  <c r="A102" i="9"/>
  <c r="D119" i="9"/>
  <c r="A167" i="9"/>
  <c r="D144" i="9"/>
  <c r="D47" i="9"/>
  <c r="D143" i="9"/>
  <c r="D108" i="9"/>
  <c r="D48" i="9"/>
  <c r="A166" i="9"/>
  <c r="A246" i="9"/>
  <c r="A244" i="9"/>
  <c r="A29" i="9"/>
  <c r="A34" i="9"/>
  <c r="A220" i="9"/>
  <c r="A47" i="9"/>
  <c r="A198" i="9"/>
  <c r="D179" i="9"/>
  <c r="D125" i="9"/>
  <c r="D107" i="9"/>
  <c r="D178" i="9"/>
  <c r="D131" i="9"/>
  <c r="A88" i="9"/>
  <c r="A124" i="9"/>
  <c r="A221" i="9"/>
  <c r="A234" i="9"/>
  <c r="A134" i="9"/>
  <c r="A53" i="9"/>
  <c r="A50" i="9"/>
  <c r="A52" i="9"/>
  <c r="A54" i="9"/>
  <c r="D56" i="9"/>
  <c r="B56" i="9" s="1"/>
  <c r="D58" i="9"/>
  <c r="D59" i="9"/>
  <c r="D60" i="9"/>
  <c r="A155" i="9"/>
  <c r="A152" i="9"/>
  <c r="D162" i="9"/>
  <c r="D158" i="9"/>
  <c r="B158" i="9" s="1"/>
  <c r="D160" i="9"/>
  <c r="A104" i="9"/>
  <c r="A107" i="9"/>
  <c r="A106" i="9"/>
  <c r="A108" i="9"/>
  <c r="D114" i="9"/>
  <c r="D113" i="9"/>
  <c r="D110" i="9"/>
  <c r="B110" i="9" s="1"/>
  <c r="D112" i="9"/>
  <c r="A200" i="9"/>
  <c r="A203" i="9"/>
  <c r="A202" i="9"/>
  <c r="D36" i="9"/>
  <c r="D32" i="9"/>
  <c r="B32" i="9" s="1"/>
  <c r="D34" i="9"/>
  <c r="A131" i="9"/>
  <c r="A128" i="9"/>
  <c r="D137" i="9"/>
  <c r="D134" i="9"/>
  <c r="B134" i="9" s="1"/>
  <c r="D138" i="9"/>
  <c r="A239" i="9"/>
  <c r="A236" i="9"/>
  <c r="A130" i="9"/>
  <c r="A132" i="9"/>
  <c r="D29" i="9"/>
  <c r="D26" i="9"/>
  <c r="A80" i="9"/>
  <c r="A83" i="9"/>
  <c r="A84" i="9"/>
  <c r="A82" i="9"/>
  <c r="D89" i="9"/>
  <c r="D86" i="9"/>
  <c r="B86" i="9" s="1"/>
  <c r="A180" i="9"/>
  <c r="A178" i="9"/>
  <c r="A176" i="9"/>
  <c r="A179" i="9"/>
  <c r="D185" i="9"/>
  <c r="D182" i="9"/>
  <c r="B182" i="9" s="1"/>
  <c r="D186" i="9"/>
  <c r="D1" i="17" a="1"/>
  <c r="D1" i="17" s="1"/>
  <c r="A78" i="9"/>
  <c r="A74" i="9"/>
  <c r="A32" i="9"/>
  <c r="A136" i="9"/>
  <c r="D96" i="9"/>
  <c r="A35" i="9"/>
  <c r="A70" i="9"/>
  <c r="C6" i="25" l="1" a="1"/>
  <c r="C6" i="25" s="1"/>
  <c r="C7" i="25" a="1"/>
  <c r="C7" i="25" s="1"/>
  <c r="C8" i="25" a="1"/>
  <c r="C8" i="25" s="1"/>
  <c r="D8" i="25" a="1"/>
  <c r="D8" i="25" s="1"/>
  <c r="C9" i="25" a="1"/>
  <c r="C9" i="25" s="1"/>
  <c r="D9" i="25" a="1"/>
  <c r="D9" i="25" s="1"/>
  <c r="C10" i="25" a="1"/>
  <c r="C10" i="25" s="1"/>
  <c r="D10" i="25" a="1"/>
  <c r="D10" i="25" s="1"/>
  <c r="C11" i="25" a="1"/>
  <c r="C11" i="25" s="1"/>
  <c r="D11" i="25" a="1"/>
  <c r="D11" i="25" s="1"/>
  <c r="C12" i="25" a="1"/>
  <c r="C12" i="25" s="1"/>
  <c r="C13" i="25" a="1"/>
  <c r="C13" i="25" s="1"/>
  <c r="C14" i="25" a="1"/>
  <c r="C14" i="25" s="1"/>
  <c r="C15" i="25" a="1"/>
  <c r="C15" i="25" s="1"/>
  <c r="C16" i="25" a="1"/>
  <c r="C16" i="25" s="1"/>
  <c r="C17" i="25" a="1"/>
  <c r="C17" i="25" s="1"/>
  <c r="C18" i="25" a="1"/>
  <c r="C18" i="25" s="1"/>
  <c r="C19" i="25" a="1"/>
  <c r="C19" i="25" s="1"/>
  <c r="C20" i="25" a="1"/>
  <c r="C20" i="25" s="1"/>
  <c r="C21" i="25" a="1"/>
  <c r="C21" i="25" s="1"/>
  <c r="C22" i="25" a="1"/>
  <c r="C22" i="25" s="1"/>
  <c r="C23" i="25" a="1"/>
  <c r="C23" i="25" s="1"/>
  <c r="C24" i="25" a="1"/>
  <c r="C24" i="25" s="1"/>
  <c r="C25" i="25" a="1"/>
  <c r="C25" i="25" s="1"/>
  <c r="C26" i="25" a="1"/>
  <c r="C26" i="25" s="1"/>
  <c r="C27" i="25" a="1"/>
  <c r="C27" i="25" s="1"/>
  <c r="C28" i="25" a="1"/>
  <c r="C28" i="25" s="1"/>
  <c r="C29" i="25" a="1"/>
  <c r="C29" i="25" s="1"/>
  <c r="C30" i="25" a="1"/>
  <c r="C30" i="25" s="1"/>
  <c r="C31" i="25" a="1"/>
  <c r="C31" i="25" s="1"/>
  <c r="C32" i="25" a="1"/>
  <c r="C32" i="25" s="1"/>
  <c r="C33" i="25" a="1"/>
  <c r="C33" i="25" s="1"/>
  <c r="C34" i="25" a="1"/>
  <c r="C34" i="25" s="1"/>
  <c r="C35" i="25" a="1"/>
  <c r="C35" i="25" s="1"/>
  <c r="C36" i="25" a="1"/>
  <c r="C36" i="25" s="1"/>
  <c r="C37" i="25" a="1"/>
  <c r="C37" i="25" s="1"/>
  <c r="C38" i="25" a="1"/>
  <c r="C38" i="25" s="1"/>
  <c r="C39" i="25" a="1"/>
  <c r="C39" i="25" s="1"/>
  <c r="C40" i="25" a="1"/>
  <c r="C40" i="25" s="1"/>
  <c r="C41" i="25" a="1"/>
  <c r="C41" i="25" s="1"/>
  <c r="C42" i="25" a="1"/>
  <c r="C42" i="25" s="1"/>
  <c r="C43" i="25" a="1"/>
  <c r="C43" i="25" s="1"/>
  <c r="C5" i="25" a="1"/>
  <c r="C5" i="25" s="1"/>
  <c r="E17" i="25" a="1"/>
  <c r="E17" i="25" s="1"/>
  <c r="D26" i="25" a="1"/>
  <c r="D26" i="25" s="1"/>
  <c r="E21" i="25" a="1"/>
  <c r="E21" i="25" s="1"/>
  <c r="E28" i="25" a="1"/>
  <c r="E28" i="25" s="1"/>
  <c r="F19" i="25" a="1"/>
  <c r="F19" i="25" s="1"/>
  <c r="F35" i="25" a="1"/>
  <c r="F35" i="25" s="1"/>
  <c r="F22" i="25" a="1"/>
  <c r="F22" i="25" s="1"/>
  <c r="F18" i="25" a="1"/>
  <c r="F18" i="25" s="1"/>
  <c r="D35" i="25" a="1"/>
  <c r="D35" i="25" s="1"/>
  <c r="F24" i="25" a="1"/>
  <c r="F24" i="25" s="1"/>
  <c r="D39" i="25" a="1"/>
  <c r="D39" i="25" s="1"/>
  <c r="F17" i="25" a="1"/>
  <c r="F17" i="25" s="1"/>
  <c r="E29" i="25" a="1"/>
  <c r="E29" i="25" s="1"/>
  <c r="E18" i="25" a="1"/>
  <c r="E18" i="25" s="1"/>
  <c r="E26" i="25" a="1"/>
  <c r="E26" i="25" s="1"/>
  <c r="E30" i="25" a="1"/>
  <c r="E30" i="25" s="1"/>
  <c r="E34" i="25" a="1"/>
  <c r="E34" i="25" s="1"/>
  <c r="E38" i="25" a="1"/>
  <c r="E38" i="25" s="1"/>
  <c r="D29" i="25" a="1"/>
  <c r="D29" i="25" s="1"/>
  <c r="D42" i="25" a="1"/>
  <c r="D42" i="25" s="1"/>
  <c r="E35" i="25" a="1"/>
  <c r="E35" i="25" s="1"/>
  <c r="E41" i="25" a="1"/>
  <c r="E41" i="25" s="1"/>
  <c r="E27" i="25" a="1"/>
  <c r="E27" i="25" s="1"/>
  <c r="F23" i="25" a="1"/>
  <c r="F23" i="25" s="1"/>
  <c r="D30" i="25" a="1"/>
  <c r="D30" i="25" s="1"/>
  <c r="E16" i="25" a="1"/>
  <c r="E16" i="25" s="1"/>
  <c r="E32" i="25" a="1"/>
  <c r="E32" i="25" s="1"/>
  <c r="E25" i="25" a="1"/>
  <c r="E25" i="25" s="1"/>
  <c r="F39" i="25" a="1"/>
  <c r="F39" i="25" s="1"/>
  <c r="F36" i="25" a="1"/>
  <c r="F36" i="25" s="1"/>
  <c r="D19" i="25" a="1"/>
  <c r="D19" i="25" s="1"/>
  <c r="D41" i="25" a="1"/>
  <c r="D41" i="25" s="1"/>
  <c r="F40" i="25" a="1"/>
  <c r="F40" i="25" s="1"/>
  <c r="F26" i="25" a="1"/>
  <c r="F26" i="25" s="1"/>
  <c r="D40" i="25" a="1"/>
  <c r="D40" i="25" s="1"/>
  <c r="F6" i="25" a="1"/>
  <c r="F6" i="25" s="1"/>
  <c r="F7" i="25" a="1"/>
  <c r="F7" i="25" s="1"/>
  <c r="F8" i="25" a="1"/>
  <c r="F8" i="25" s="1"/>
  <c r="F9" i="25" a="1"/>
  <c r="F9" i="25" s="1"/>
  <c r="F10" i="25" a="1"/>
  <c r="F10" i="25" s="1"/>
  <c r="F11" i="25" a="1"/>
  <c r="F11" i="25" s="1"/>
  <c r="F12" i="25" a="1"/>
  <c r="F12" i="25" s="1"/>
  <c r="F13" i="25" a="1"/>
  <c r="F13" i="25" s="1"/>
  <c r="F14" i="25" a="1"/>
  <c r="F14" i="25" s="1"/>
  <c r="F15" i="25" a="1"/>
  <c r="F15" i="25" s="1"/>
  <c r="D21" i="25" a="1"/>
  <c r="D21" i="25" s="1"/>
  <c r="E33" i="25" a="1"/>
  <c r="E33" i="25" s="1"/>
  <c r="D20" i="25" a="1"/>
  <c r="D20" i="25" s="1"/>
  <c r="D28" i="25" a="1"/>
  <c r="D28" i="25" s="1"/>
  <c r="D32" i="25" a="1"/>
  <c r="D32" i="25" s="1"/>
  <c r="D36" i="25" a="1"/>
  <c r="D36" i="25" s="1"/>
  <c r="E42" i="25" a="1"/>
  <c r="E42" i="25" s="1"/>
  <c r="E31" i="25" a="1"/>
  <c r="E31" i="25" s="1"/>
  <c r="E19" i="25" a="1"/>
  <c r="E19" i="25" s="1"/>
  <c r="D18" i="25" a="1"/>
  <c r="D18" i="25" s="1"/>
  <c r="D34" i="25" a="1"/>
  <c r="D34" i="25" s="1"/>
  <c r="E20" i="25" a="1"/>
  <c r="E20" i="25" s="1"/>
  <c r="E36" i="25" a="1"/>
  <c r="E36" i="25" s="1"/>
  <c r="F27" i="25" a="1"/>
  <c r="F27" i="25" s="1"/>
  <c r="F41" i="25" a="1"/>
  <c r="F41" i="25" s="1"/>
  <c r="F32" i="25" a="1"/>
  <c r="F32" i="25" s="1"/>
  <c r="F30" i="25" a="1"/>
  <c r="F30" i="25" s="1"/>
  <c r="F20" i="25" a="1"/>
  <c r="F20" i="25" s="1"/>
  <c r="D31" i="25" a="1"/>
  <c r="D31" i="25" s="1"/>
  <c r="D27" i="25" a="1"/>
  <c r="D27" i="25" s="1"/>
  <c r="D43" i="25" a="1"/>
  <c r="D43" i="25" s="1"/>
  <c r="D25" i="25" a="1"/>
  <c r="D25" i="25" s="1"/>
  <c r="D6" i="25" a="1"/>
  <c r="D6" i="25" s="1"/>
  <c r="D7" i="25" a="1"/>
  <c r="D7" i="25" s="1"/>
  <c r="D12" i="25" a="1"/>
  <c r="D12" i="25" s="1"/>
  <c r="D13" i="25" a="1"/>
  <c r="D13" i="25" s="1"/>
  <c r="D14" i="25" a="1"/>
  <c r="D14" i="25" s="1"/>
  <c r="D15" i="25" a="1"/>
  <c r="D15" i="25" s="1"/>
  <c r="F21" i="25" a="1"/>
  <c r="F21" i="25" s="1"/>
  <c r="E37" i="25" a="1"/>
  <c r="E37" i="25" s="1"/>
  <c r="E22" i="25" a="1"/>
  <c r="E22" i="25" s="1"/>
  <c r="D22" i="25" a="1"/>
  <c r="D22" i="25" s="1"/>
  <c r="F42" i="25" a="1"/>
  <c r="F42" i="25" s="1"/>
  <c r="E24" i="25" a="1"/>
  <c r="E24" i="25" s="1"/>
  <c r="D38" i="25" a="1"/>
  <c r="D38" i="25" s="1"/>
  <c r="F31" i="25" a="1"/>
  <c r="F31" i="25" s="1"/>
  <c r="F43" i="25" a="1"/>
  <c r="F43" i="25" s="1"/>
  <c r="F16" i="25" a="1"/>
  <c r="F16" i="25" s="1"/>
  <c r="F34" i="25" a="1"/>
  <c r="F34" i="25" s="1"/>
  <c r="D23" i="25" a="1"/>
  <c r="D23" i="25" s="1"/>
  <c r="F28" i="25" a="1"/>
  <c r="F28" i="25" s="1"/>
  <c r="F38" i="25" a="1"/>
  <c r="F38" i="25" s="1"/>
  <c r="D17" i="25" a="1"/>
  <c r="D17" i="25" s="1"/>
  <c r="F25" i="25" a="1"/>
  <c r="F25" i="25" s="1"/>
  <c r="E6" i="25" a="1"/>
  <c r="E6" i="25" s="1"/>
  <c r="E7" i="25" a="1"/>
  <c r="E7" i="25" s="1"/>
  <c r="E8" i="25" a="1"/>
  <c r="E8" i="25" s="1"/>
  <c r="E9" i="25" a="1"/>
  <c r="E9" i="25" s="1"/>
  <c r="E10" i="25" a="1"/>
  <c r="E10" i="25" s="1"/>
  <c r="E11" i="25" a="1"/>
  <c r="E11" i="25" s="1"/>
  <c r="E12" i="25" a="1"/>
  <c r="E12" i="25" s="1"/>
  <c r="E13" i="25" a="1"/>
  <c r="E13" i="25" s="1"/>
  <c r="E14" i="25" a="1"/>
  <c r="E14" i="25" s="1"/>
  <c r="E15" i="25" a="1"/>
  <c r="E15" i="25" s="1"/>
  <c r="D16" i="25" a="1"/>
  <c r="D16" i="25" s="1"/>
  <c r="D24" i="25" a="1"/>
  <c r="D24" i="25" s="1"/>
  <c r="F29" i="25" a="1"/>
  <c r="F29" i="25" s="1"/>
  <c r="F33" i="25" a="1"/>
  <c r="F33" i="25" s="1"/>
  <c r="F37" i="25" a="1"/>
  <c r="F37" i="25" s="1"/>
  <c r="E23" i="25" a="1"/>
  <c r="E23" i="25" s="1"/>
  <c r="E39" i="25" a="1"/>
  <c r="E39" i="25" s="1"/>
  <c r="D33" i="25" a="1"/>
  <c r="D33" i="25" s="1"/>
  <c r="E40" i="25" a="1"/>
  <c r="E40" i="25" s="1"/>
  <c r="D37" i="25" a="1"/>
  <c r="D37" i="25" s="1"/>
  <c r="E43" i="25" a="1"/>
  <c r="E43" i="25" s="1"/>
  <c r="B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Jonathan Barrick</author>
  </authors>
  <commentList>
    <comment ref="D18" authorId="0" shapeId="0" xr:uid="{00000000-0006-0000-0100-000001000000}">
      <text>
        <r>
          <rPr>
            <b/>
            <sz val="9"/>
            <color indexed="81"/>
            <rFont val="Tahoma"/>
            <family val="2"/>
          </rPr>
          <t>Jonathan Barrick:</t>
        </r>
        <r>
          <rPr>
            <sz val="9"/>
            <color indexed="81"/>
            <rFont val="Tahoma"/>
            <family val="2"/>
          </rPr>
          <t xml:space="preserve">
SOW levels of Easy, AVG, or Hard related to the intensity or skill required for this trade on this perticular project. If set to Hard, please ensure only exeprt and previously used PTOs are recommended. If set to easy please make sure previously unused Brothers are given the oppertunity to be considered.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B3" authorId="0" shapeId="0" xr:uid="{00000000-0006-0000-0200-000001000000}">
      <text>
        <r>
          <rPr>
            <b/>
            <sz val="9"/>
            <color indexed="81"/>
            <rFont val="Tahoma"/>
            <family val="2"/>
          </rPr>
          <t>JBarrick:</t>
        </r>
        <r>
          <rPr>
            <sz val="9"/>
            <color indexed="81"/>
            <rFont val="Tahoma"/>
            <family val="2"/>
          </rPr>
          <t xml:space="preserve">
SOW levels of Easy, AVG, or Hard related to the intensity or skill required for this trade on this perticular project. If set to HARD, please ensure only exeprt and previously used PTOs are recommended. If set to EASY, please make sure previously unused Brothers are given the oppertunity to be considered. </t>
        </r>
      </text>
    </comment>
    <comment ref="C3" authorId="0" shapeId="0" xr:uid="{00000000-0006-0000-0200-000002000000}">
      <text>
        <r>
          <rPr>
            <b/>
            <sz val="9"/>
            <color indexed="81"/>
            <rFont val="Tahoma"/>
            <family val="2"/>
          </rPr>
          <t>Jonathan Barrick:</t>
        </r>
        <r>
          <rPr>
            <sz val="9"/>
            <color indexed="81"/>
            <rFont val="Tahoma"/>
            <family val="2"/>
          </rPr>
          <t xml:space="preserve">
VSG Vetted is default since any any posted is a recommendation. 
Declined means CG does not feel this is the right choice for this perticular project and circumstances. Please ensure other options are presented.  
CG Approved means this is the CG selection for PTO. No further options are required. </t>
        </r>
      </text>
    </comment>
    <comment ref="G3" authorId="0" shapeId="0" xr:uid="{00000000-0006-0000-0200-000003000000}">
      <text>
        <r>
          <rPr>
            <b/>
            <sz val="9"/>
            <color indexed="81"/>
            <rFont val="Tahoma"/>
            <family val="2"/>
          </rPr>
          <t>JBarrick:</t>
        </r>
        <r>
          <rPr>
            <sz val="9"/>
            <color indexed="81"/>
            <rFont val="Tahoma"/>
            <family val="2"/>
          </rPr>
          <t xml:space="preserve">
Please enter phone only as 10 degit. Cell will auto format the number. 
</t>
        </r>
      </text>
    </comment>
    <comment ref="J3" authorId="0" shapeId="0" xr:uid="{00000000-0006-0000-0200-000004000000}">
      <text>
        <r>
          <rPr>
            <b/>
            <sz val="9"/>
            <color indexed="81"/>
            <rFont val="Tahoma"/>
            <family val="2"/>
          </rPr>
          <t>JBarrick:</t>
        </r>
        <r>
          <rPr>
            <sz val="9"/>
            <color indexed="81"/>
            <rFont val="Tahoma"/>
            <family val="2"/>
          </rPr>
          <t xml:space="preserve">
MM/DD/YY
</t>
        </r>
      </text>
    </comment>
    <comment ref="K3" authorId="0" shapeId="0" xr:uid="{00000000-0006-0000-0200-000005000000}">
      <text>
        <r>
          <rPr>
            <b/>
            <sz val="9"/>
            <color indexed="81"/>
            <rFont val="Tahoma"/>
            <family val="2"/>
          </rPr>
          <t>JBarrick:</t>
        </r>
        <r>
          <rPr>
            <sz val="9"/>
            <color indexed="81"/>
            <rFont val="Tahoma"/>
            <family val="2"/>
          </rPr>
          <t xml:space="preserve">
Dropdown YES/NO Box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F3" authorId="0" shapeId="0" xr:uid="{00000000-0006-0000-0300-000001000000}">
      <text>
        <r>
          <rPr>
            <b/>
            <sz val="9"/>
            <color indexed="81"/>
            <rFont val="Tahoma"/>
            <family val="2"/>
          </rPr>
          <t>JBarrick:</t>
        </r>
        <r>
          <rPr>
            <sz val="9"/>
            <color indexed="81"/>
            <rFont val="Tahoma"/>
            <family val="2"/>
          </rPr>
          <t xml:space="preserve">
Please enter phone only as 10 degit. Cell will auto format the number. 
</t>
        </r>
      </text>
    </comment>
    <comment ref="N3" authorId="0" shapeId="0" xr:uid="{00000000-0006-0000-0300-000002000000}">
      <text>
        <r>
          <rPr>
            <b/>
            <sz val="9"/>
            <color indexed="81"/>
            <rFont val="Tahoma"/>
            <family val="2"/>
          </rPr>
          <t>JBarrick:</t>
        </r>
        <r>
          <rPr>
            <sz val="9"/>
            <color indexed="81"/>
            <rFont val="Tahoma"/>
            <family val="2"/>
          </rPr>
          <t xml:space="preserve">
Unlocked Cell so you can change the header.
</t>
        </r>
      </text>
    </comment>
    <comment ref="O3" authorId="0" shapeId="0" xr:uid="{00000000-0006-0000-0300-000003000000}">
      <text>
        <r>
          <rPr>
            <b/>
            <sz val="9"/>
            <color indexed="81"/>
            <rFont val="Tahoma"/>
            <family val="2"/>
          </rPr>
          <t>JBarrick:</t>
        </r>
        <r>
          <rPr>
            <sz val="9"/>
            <color indexed="81"/>
            <rFont val="Tahoma"/>
            <family val="2"/>
          </rPr>
          <t xml:space="preserve">
Unlocked Cell so you can change the header.</t>
        </r>
      </text>
    </comment>
    <comment ref="P3" authorId="0" shapeId="0" xr:uid="{00000000-0006-0000-0300-000004000000}">
      <text>
        <r>
          <rPr>
            <b/>
            <sz val="9"/>
            <color indexed="81"/>
            <rFont val="Tahoma"/>
            <family val="2"/>
          </rPr>
          <t>JBarrick:</t>
        </r>
        <r>
          <rPr>
            <sz val="9"/>
            <color indexed="81"/>
            <rFont val="Tahoma"/>
            <family val="2"/>
          </rPr>
          <t xml:space="preserve">
Unlocked Cell so you can change the header.</t>
        </r>
      </text>
    </comment>
    <comment ref="Q3" authorId="0" shapeId="0" xr:uid="{00000000-0006-0000-0300-000005000000}">
      <text>
        <r>
          <rPr>
            <b/>
            <sz val="9"/>
            <color indexed="81"/>
            <rFont val="Tahoma"/>
            <family val="2"/>
          </rPr>
          <t>JBarrick:</t>
        </r>
        <r>
          <rPr>
            <sz val="9"/>
            <color indexed="81"/>
            <rFont val="Tahoma"/>
            <family val="2"/>
          </rPr>
          <t xml:space="preserve">
Unlocked Cell so you can change the header.</t>
        </r>
      </text>
    </comment>
    <comment ref="R3" authorId="0" shapeId="0" xr:uid="{00000000-0006-0000-0300-000006000000}">
      <text>
        <r>
          <rPr>
            <b/>
            <sz val="9"/>
            <color indexed="81"/>
            <rFont val="Tahoma"/>
            <family val="2"/>
          </rPr>
          <t>JBarrick:</t>
        </r>
        <r>
          <rPr>
            <sz val="9"/>
            <color indexed="81"/>
            <rFont val="Tahoma"/>
            <family val="2"/>
          </rPr>
          <t xml:space="preserve">
</t>
        </r>
      </text>
    </comment>
    <comment ref="J101" authorId="0" shapeId="0" xr:uid="{00000000-0006-0000-0300-000007000000}">
      <text>
        <r>
          <rPr>
            <b/>
            <sz val="9"/>
            <color rgb="FF000000"/>
            <rFont val="Tahoma"/>
            <family val="2"/>
          </rPr>
          <t>JBarrick:</t>
        </r>
        <r>
          <rPr>
            <sz val="9"/>
            <color rgb="FF000000"/>
            <rFont val="Tahoma"/>
            <family val="2"/>
          </rPr>
          <t xml:space="preserve">
</t>
        </r>
        <r>
          <rPr>
            <sz val="9"/>
            <color rgb="FF000000"/>
            <rFont val="Tahoma"/>
            <family val="2"/>
          </rPr>
          <t>Unlocked Cell so you can change the header.</t>
        </r>
      </text>
    </comment>
    <comment ref="K101" authorId="0" shapeId="0" xr:uid="{00000000-0006-0000-0300-000008000000}">
      <text>
        <r>
          <rPr>
            <b/>
            <sz val="9"/>
            <color indexed="81"/>
            <rFont val="Tahoma"/>
            <family val="2"/>
          </rPr>
          <t>JBarrick:</t>
        </r>
        <r>
          <rPr>
            <sz val="9"/>
            <color indexed="81"/>
            <rFont val="Tahoma"/>
            <family val="2"/>
          </rPr>
          <t xml:space="preserve">
Unlocked Cell so you can change the header.</t>
        </r>
      </text>
    </comment>
    <comment ref="L101" authorId="0" shapeId="0" xr:uid="{00000000-0006-0000-0300-000009000000}">
      <text>
        <r>
          <rPr>
            <b/>
            <sz val="9"/>
            <color indexed="81"/>
            <rFont val="Tahoma"/>
            <family val="2"/>
          </rPr>
          <t>JBarrick:</t>
        </r>
        <r>
          <rPr>
            <sz val="9"/>
            <color indexed="81"/>
            <rFont val="Tahoma"/>
            <family val="2"/>
          </rPr>
          <t xml:space="preserve">
Unlocked Cell so you can change the header.</t>
        </r>
      </text>
    </comment>
    <comment ref="M101" authorId="0" shapeId="0" xr:uid="{00000000-0006-0000-0300-00000A000000}">
      <text>
        <r>
          <rPr>
            <b/>
            <sz val="9"/>
            <color indexed="81"/>
            <rFont val="Tahoma"/>
            <family val="2"/>
          </rPr>
          <t>JBarrick:</t>
        </r>
        <r>
          <rPr>
            <sz val="9"/>
            <color indexed="81"/>
            <rFont val="Tahoma"/>
            <family val="2"/>
          </rPr>
          <t xml:space="preserve">
Unlocked Cell so you can change the header.</t>
        </r>
      </text>
    </comment>
    <comment ref="N101" authorId="0" shapeId="0" xr:uid="{00000000-0006-0000-0300-00000B000000}">
      <text>
        <r>
          <rPr>
            <b/>
            <sz val="9"/>
            <color indexed="81"/>
            <rFont val="Tahoma"/>
            <family val="2"/>
          </rPr>
          <t>JBarrick:</t>
        </r>
        <r>
          <rPr>
            <sz val="9"/>
            <color indexed="81"/>
            <rFont val="Tahoma"/>
            <family val="2"/>
          </rPr>
          <t xml:space="preserve">
Unlocked Cell so you can change the header.</t>
        </r>
      </text>
    </comment>
    <comment ref="O101" authorId="0" shapeId="0" xr:uid="{00000000-0006-0000-0300-00000C000000}">
      <text>
        <r>
          <rPr>
            <b/>
            <sz val="9"/>
            <color indexed="81"/>
            <rFont val="Tahoma"/>
            <family val="2"/>
          </rPr>
          <t>JBarrick:</t>
        </r>
        <r>
          <rPr>
            <sz val="9"/>
            <color indexed="81"/>
            <rFont val="Tahoma"/>
            <family val="2"/>
          </rPr>
          <t xml:space="preserve">
Unlocked Cell so you can change the header.</t>
        </r>
      </text>
    </comment>
    <comment ref="P101" authorId="0" shapeId="0" xr:uid="{00000000-0006-0000-0300-00000D000000}">
      <text>
        <r>
          <rPr>
            <b/>
            <sz val="9"/>
            <color indexed="81"/>
            <rFont val="Tahoma"/>
            <family val="2"/>
          </rPr>
          <t>JBarrick:</t>
        </r>
        <r>
          <rPr>
            <sz val="9"/>
            <color indexed="81"/>
            <rFont val="Tahoma"/>
            <family val="2"/>
          </rPr>
          <t xml:space="preserve">
Unlocked Cell so you can change the header.</t>
        </r>
      </text>
    </comment>
    <comment ref="Q101" authorId="0" shapeId="0" xr:uid="{00000000-0006-0000-0300-00000E000000}">
      <text>
        <r>
          <rPr>
            <b/>
            <sz val="9"/>
            <color indexed="81"/>
            <rFont val="Tahoma"/>
            <family val="2"/>
          </rPr>
          <t>JBarrick:</t>
        </r>
        <r>
          <rPr>
            <sz val="9"/>
            <color indexed="81"/>
            <rFont val="Tahoma"/>
            <family val="2"/>
          </rPr>
          <t xml:space="preserve">
Unlocked Cell so you can change the header.</t>
        </r>
      </text>
    </comment>
    <comment ref="R101" authorId="0" shapeId="0" xr:uid="{00000000-0006-0000-0300-00000F000000}">
      <text>
        <r>
          <rPr>
            <b/>
            <sz val="9"/>
            <color indexed="81"/>
            <rFont val="Tahoma"/>
            <family val="2"/>
          </rPr>
          <t>JBarrick:</t>
        </r>
        <r>
          <rPr>
            <sz val="9"/>
            <color indexed="81"/>
            <rFont val="Tahoma"/>
            <family val="2"/>
          </rPr>
          <t xml:space="preserve">
Unlocked Cell so you can change the header.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B3" authorId="0" shapeId="0" xr:uid="{00000000-0006-0000-0500-000001000000}">
      <text>
        <r>
          <rPr>
            <b/>
            <sz val="9"/>
            <color indexed="81"/>
            <rFont val="Tahoma"/>
            <family val="2"/>
          </rPr>
          <t>JBarrick:</t>
        </r>
        <r>
          <rPr>
            <sz val="9"/>
            <color indexed="81"/>
            <rFont val="Tahoma"/>
            <family val="2"/>
          </rPr>
          <t xml:space="preserve">
This should have drop down to all PTOs. Its your call if they are only active or just keep it a generic full list. 
However, it shoud also include the follow: CGO, ACGO, PCC, SC, LPRC</t>
        </r>
      </text>
    </comment>
    <comment ref="E3" authorId="0" shapeId="0" xr:uid="{00000000-0006-0000-0500-000002000000}">
      <text>
        <r>
          <rPr>
            <b/>
            <sz val="9"/>
            <color indexed="81"/>
            <rFont val="Tahoma"/>
            <family val="2"/>
          </rPr>
          <t xml:space="preserve">JBarrick:
</t>
        </r>
        <r>
          <rPr>
            <sz val="9"/>
            <color indexed="81"/>
            <rFont val="Tahoma"/>
            <family val="2"/>
          </rPr>
          <t>can be calculated from start date plus duration. (except for Sunday Monday)</t>
        </r>
        <r>
          <rPr>
            <b/>
            <sz val="9"/>
            <color indexed="81"/>
            <rFont val="Tahoma"/>
            <family val="2"/>
          </rPr>
          <t xml:space="preserve">
</t>
        </r>
      </text>
    </comment>
    <comment ref="F3" authorId="0" shapeId="0" xr:uid="{00000000-0006-0000-0500-000003000000}">
      <text>
        <r>
          <rPr>
            <b/>
            <sz val="9"/>
            <color indexed="81"/>
            <rFont val="Tahoma"/>
            <family val="2"/>
          </rPr>
          <t>JBarrick:</t>
        </r>
        <r>
          <rPr>
            <sz val="9"/>
            <color indexed="81"/>
            <rFont val="Tahoma"/>
            <family val="2"/>
          </rPr>
          <t xml:space="preserve">
Sunday and Monday are not normal working days.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JBarrick</author>
  </authors>
  <commentList>
    <comment ref="E3" authorId="0" shapeId="0" xr:uid="{00000000-0006-0000-0700-000001000000}">
      <text>
        <r>
          <rPr>
            <b/>
            <sz val="9"/>
            <color indexed="81"/>
            <rFont val="Tahoma"/>
            <family val="2"/>
          </rPr>
          <t>JBarrick:</t>
        </r>
        <r>
          <rPr>
            <sz val="9"/>
            <color indexed="81"/>
            <rFont val="Tahoma"/>
            <family val="2"/>
          </rPr>
          <t xml:space="preserve">
Please enter phone only as 10 degit. Cell will auto format the number. 
</t>
        </r>
      </text>
    </comment>
    <comment ref="L5" authorId="0" shapeId="0" xr:uid="{00000000-0006-0000-0700-000002000000}">
      <text>
        <r>
          <rPr>
            <b/>
            <sz val="9"/>
            <color indexed="81"/>
            <rFont val="Tahoma"/>
            <family val="2"/>
          </rPr>
          <t>JBarrick:</t>
        </r>
        <r>
          <rPr>
            <sz val="9"/>
            <color indexed="81"/>
            <rFont val="Tahoma"/>
            <family val="2"/>
          </rPr>
          <t xml:space="preserve">
This date is generated by the start date listed on tab 01 Project Details.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Gadi Bizinyan</author>
  </authors>
  <commentList>
    <comment ref="A1" authorId="0" shapeId="0" xr:uid="{00000000-0006-0000-0900-000001000000}">
      <text>
        <r>
          <rPr>
            <b/>
            <sz val="9"/>
            <color indexed="81"/>
            <rFont val="Tahoma"/>
            <family val="2"/>
          </rPr>
          <t>Gadi Bizinyan:</t>
        </r>
        <r>
          <rPr>
            <sz val="9"/>
            <color indexed="81"/>
            <rFont val="Tahoma"/>
            <family val="2"/>
          </rPr>
          <t xml:space="preserve">
For the dropdown of 'Assigned To' in sheet "Project Staff"</t>
        </r>
      </text>
    </comment>
    <comment ref="F1" authorId="0" shapeId="0" xr:uid="{00000000-0006-0000-0900-000002000000}">
      <text>
        <r>
          <rPr>
            <b/>
            <sz val="9"/>
            <color indexed="81"/>
            <rFont val="Tahoma"/>
            <family val="2"/>
          </rPr>
          <t>Gadi Bizinyan:</t>
        </r>
        <r>
          <rPr>
            <sz val="9"/>
            <color indexed="81"/>
            <rFont val="Tahoma"/>
            <family val="2"/>
          </rPr>
          <t xml:space="preserve">
For the years dropdown in sheet "Calendar"</t>
        </r>
      </text>
    </comment>
  </commentList>
</comments>
</file>

<file path=xl/sharedStrings.xml><?xml version="1.0" encoding="utf-8"?>
<sst xmlns="http://schemas.openxmlformats.org/spreadsheetml/2006/main" count="3523" uniqueCount="558">
  <si>
    <t>Project Management: Instructions / Updates Page</t>
  </si>
  <si>
    <t xml:space="preserve">Any questions or adjustments to the file please feel free to reach out to document creator Jonathan Barrick. </t>
  </si>
  <si>
    <t xml:space="preserve">Doument Password is LDC. Edit if needed, however please be careful. File contains a lot hidden formulas, macros, or conditional formatting, and some changes could have unintended side effects. </t>
  </si>
  <si>
    <t>Project Management: Project Details</t>
  </si>
  <si>
    <t>Project Site</t>
  </si>
  <si>
    <t>Tracking Number</t>
  </si>
  <si>
    <t>Street Address</t>
  </si>
  <si>
    <t>City</t>
  </si>
  <si>
    <t>State</t>
  </si>
  <si>
    <t>Zip Code</t>
  </si>
  <si>
    <t>Project Milestones</t>
  </si>
  <si>
    <t>Construction Start Date (Mobilization)</t>
  </si>
  <si>
    <t>Construction End Date</t>
  </si>
  <si>
    <t xml:space="preserve">Required PTO's </t>
  </si>
  <si>
    <t>Trade</t>
  </si>
  <si>
    <t>Required</t>
  </si>
  <si>
    <t>SOW</t>
  </si>
  <si>
    <t>Asphalt</t>
  </si>
  <si>
    <t>NO</t>
  </si>
  <si>
    <t>AVG</t>
  </si>
  <si>
    <t xml:space="preserve">A/V </t>
  </si>
  <si>
    <t>Caseworks </t>
  </si>
  <si>
    <t>Carpentry - Rough Framing </t>
  </si>
  <si>
    <t>Ceilings - ACT  </t>
  </si>
  <si>
    <t>Concrete </t>
  </si>
  <si>
    <t>Demolition</t>
  </si>
  <si>
    <t>Doors and Windows</t>
  </si>
  <si>
    <t>Drywall - Hanging</t>
  </si>
  <si>
    <t>Drywall - Finish/Texture</t>
  </si>
  <si>
    <t>EFIS / Stucco</t>
  </si>
  <si>
    <t>Electrical</t>
  </si>
  <si>
    <t>Fencing</t>
  </si>
  <si>
    <t>Fire Alarm</t>
  </si>
  <si>
    <t xml:space="preserve">Flooring - Carpet </t>
  </si>
  <si>
    <t>Flooring - Tile</t>
  </si>
  <si>
    <t>Gutters &amp; Downspouts</t>
  </si>
  <si>
    <t>HVAC </t>
  </si>
  <si>
    <t>ICF</t>
  </si>
  <si>
    <t>Insulation</t>
  </si>
  <si>
    <t>Landscaping</t>
  </si>
  <si>
    <t>Masonry</t>
  </si>
  <si>
    <t>Paint </t>
  </si>
  <si>
    <t>Plumbing</t>
  </si>
  <si>
    <t>Restroom  Partitions &amp; Accessories</t>
  </si>
  <si>
    <t>Roofing</t>
  </si>
  <si>
    <t>Scaffolding</t>
  </si>
  <si>
    <t>Septic Systems</t>
  </si>
  <si>
    <t>Siding, Soffits, Fascia</t>
  </si>
  <si>
    <t>Siteworks</t>
  </si>
  <si>
    <t xml:space="preserve">Tree Removal </t>
  </si>
  <si>
    <t xml:space="preserve">Wall Paper Removal </t>
  </si>
  <si>
    <t>Welding</t>
  </si>
  <si>
    <t>Additional #1A</t>
  </si>
  <si>
    <t>Additional #2A</t>
  </si>
  <si>
    <t>Additional #3A</t>
  </si>
  <si>
    <t>Additional #4A</t>
  </si>
  <si>
    <t>Additional #5A</t>
  </si>
  <si>
    <t>Project Management: VSG Recommendations</t>
  </si>
  <si>
    <t xml:space="preserve">Status </t>
  </si>
  <si>
    <t>Enrollment / Role / Trade</t>
  </si>
  <si>
    <t>Name</t>
  </si>
  <si>
    <t>BA#</t>
  </si>
  <si>
    <t>Cell #</t>
  </si>
  <si>
    <t xml:space="preserve">Personal Email </t>
  </si>
  <si>
    <t xml:space="preserve">JWPUB Email </t>
  </si>
  <si>
    <t>DC-50 Exp Date</t>
  </si>
  <si>
    <t>Pioneer?</t>
  </si>
  <si>
    <t>Comments</t>
  </si>
  <si>
    <t>VSG Local Coordinators</t>
  </si>
  <si>
    <t>PCC - Project Construction Coordinator</t>
  </si>
  <si>
    <t>SC - Safety Coordinator</t>
  </si>
  <si>
    <t/>
  </si>
  <si>
    <t>_Status</t>
  </si>
  <si>
    <t>Project TO's</t>
  </si>
  <si>
    <t>Column1</t>
  </si>
  <si>
    <t>CG APPROVED</t>
  </si>
  <si>
    <t>UNAVAILIBLE</t>
  </si>
  <si>
    <t>Project Management: Project Staff </t>
  </si>
  <si>
    <t>Req'd
Trade</t>
  </si>
  <si>
    <t xml:space="preserve">Personal / JW.ORG Email </t>
  </si>
  <si>
    <t xml:space="preserve">DC-50 
Exp. Date </t>
  </si>
  <si>
    <t>Moodle Safety Date</t>
  </si>
  <si>
    <t>Invite to PPS</t>
  </si>
  <si>
    <t xml:space="preserve">Attended PPS </t>
  </si>
  <si>
    <t>PTO Group on BA</t>
  </si>
  <si>
    <t>For Future Use</t>
  </si>
  <si>
    <t>LDC Representatives</t>
  </si>
  <si>
    <t>YES</t>
  </si>
  <si>
    <t xml:space="preserve">CFR - Coordinating Field Rep </t>
  </si>
  <si>
    <t>Sorge, Sandro</t>
  </si>
  <si>
    <t>864470</t>
  </si>
  <si>
    <t>570-336-0379</t>
  </si>
  <si>
    <t>ssorge@jw.org</t>
  </si>
  <si>
    <t>sandrosorge@jwpub.org</t>
  </si>
  <si>
    <t>CFR - AA Suport</t>
  </si>
  <si>
    <t>Sorge, Christine</t>
  </si>
  <si>
    <t>883675</t>
  </si>
  <si>
    <t>570-336-0389</t>
  </si>
  <si>
    <t>csorge@jw.org</t>
  </si>
  <si>
    <t>csorge@jwpub.org</t>
  </si>
  <si>
    <t>FR - Field Rep</t>
  </si>
  <si>
    <t>Sonny LeRoy</t>
  </si>
  <si>
    <t xml:space="preserve">FR - Field Rep (Wife) </t>
  </si>
  <si>
    <t>Brittany LeRoy</t>
  </si>
  <si>
    <t>FRAA</t>
  </si>
  <si>
    <t>FRAA (Wife)</t>
  </si>
  <si>
    <t>DC - Design Contact</t>
  </si>
  <si>
    <t>DL - Design Lead</t>
  </si>
  <si>
    <t xml:space="preserve">     - Mechanical </t>
  </si>
  <si>
    <t xml:space="preserve">     - Structural &amp; Roofing </t>
  </si>
  <si>
    <t xml:space="preserve">     - Electrical</t>
  </si>
  <si>
    <t xml:space="preserve">     - Architectural  </t>
  </si>
  <si>
    <t xml:space="preserve">     - A/V &amp; Low Voltage </t>
  </si>
  <si>
    <t xml:space="preserve">     - Plumbing </t>
  </si>
  <si>
    <t>PFR - Purchasing Field Rep</t>
  </si>
  <si>
    <t>FS - Field Scheduler</t>
  </si>
  <si>
    <t>FCC - Field Cost Controller</t>
  </si>
  <si>
    <t>FCC - Field Cost Controller (wife)</t>
  </si>
  <si>
    <t xml:space="preserve">PTC - </t>
  </si>
  <si>
    <t>PTC - (Wife)</t>
  </si>
  <si>
    <t>CCGO</t>
  </si>
  <si>
    <t>CCGO - AA Support</t>
  </si>
  <si>
    <t>Zone 2 Safety Contact</t>
  </si>
  <si>
    <t>Zone 2 - Housing Contact </t>
  </si>
  <si>
    <t>CGO - Construction Group Overseer</t>
  </si>
  <si>
    <t>Dathan Sours</t>
  </si>
  <si>
    <t>851077</t>
  </si>
  <si>
    <t>254-230-3281</t>
  </si>
  <si>
    <t>dathansours@gmail.com</t>
  </si>
  <si>
    <t>dsours1@jwpub.org</t>
  </si>
  <si>
    <t>ACGO - Assistant Construction Group Overseer</t>
  </si>
  <si>
    <t>Zac Smith</t>
  </si>
  <si>
    <t>886033</t>
  </si>
  <si>
    <t>254-723-0653</t>
  </si>
  <si>
    <t>debbie.sours@gmail.com</t>
  </si>
  <si>
    <t>soursd1@jwpub.org</t>
  </si>
  <si>
    <t>CG - Support</t>
  </si>
  <si>
    <t xml:space="preserve">STC </t>
  </si>
  <si>
    <t>STC - Support</t>
  </si>
  <si>
    <t xml:space="preserve">Additional CG Member </t>
  </si>
  <si>
    <t xml:space="preserve">PSC - Project Staffing Contact </t>
  </si>
  <si>
    <t>PSC - Project Staffing Contact - Assistant</t>
  </si>
  <si>
    <t xml:space="preserve">LPRC - Local Project Regulatory Contact  </t>
  </si>
  <si>
    <t>Tobias Torres</t>
  </si>
  <si>
    <t>PCC - Assistant #1</t>
  </si>
  <si>
    <t>PCC - Assistant #2</t>
  </si>
  <si>
    <t>Dan Brainard</t>
  </si>
  <si>
    <t>SC - Safety Coordinator - Assistant #1</t>
  </si>
  <si>
    <t>SC - Safety Coordinator - Assistant #2</t>
  </si>
  <si>
    <t>MT - Maintenance Trainer</t>
  </si>
  <si>
    <t xml:space="preserve">MTA - Maintenance Trainer Asssitant </t>
  </si>
  <si>
    <t>Additional Contact #1</t>
  </si>
  <si>
    <t>Additional Contact #2</t>
  </si>
  <si>
    <t>Additional Contact #3</t>
  </si>
  <si>
    <t>AV Data</t>
  </si>
  <si>
    <t>Jason Huckeba</t>
  </si>
  <si>
    <t>Phil Ketchum</t>
  </si>
  <si>
    <t>Kosta Aslanidis</t>
  </si>
  <si>
    <t>Matt Cain</t>
  </si>
  <si>
    <t>Josh Gest</t>
  </si>
  <si>
    <t>Concrete Caulking</t>
  </si>
  <si>
    <t>Michael White</t>
  </si>
  <si>
    <t>Clint Snyder</t>
  </si>
  <si>
    <t>Mike DeLouise</t>
  </si>
  <si>
    <t>Michael Powers</t>
  </si>
  <si>
    <t>Frank Paratore</t>
  </si>
  <si>
    <t>Joe Moses</t>
  </si>
  <si>
    <t>Clinton Anderson</t>
  </si>
  <si>
    <t>Phil Gregg</t>
  </si>
  <si>
    <t>Al Skowron</t>
  </si>
  <si>
    <t>Brian Nebelski</t>
  </si>
  <si>
    <t>Theodore Joseph Thomas</t>
  </si>
  <si>
    <t>Tyler Bronzan</t>
  </si>
  <si>
    <t>Brandon Fichena</t>
  </si>
  <si>
    <t>Nathan Byler</t>
  </si>
  <si>
    <t>Mold</t>
  </si>
  <si>
    <t>Mike Sims</t>
  </si>
  <si>
    <t>James Lawrence</t>
  </si>
  <si>
    <t>Parking Lot Striping</t>
  </si>
  <si>
    <t>Dennis Cole</t>
  </si>
  <si>
    <t>Wilfred Alert</t>
  </si>
  <si>
    <t>Dino DiFranco</t>
  </si>
  <si>
    <t>Rory McClelland</t>
  </si>
  <si>
    <t>Corey Brewer</t>
  </si>
  <si>
    <t>Site Setup</t>
  </si>
  <si>
    <t>Pete Mancini</t>
  </si>
  <si>
    <t>Local Contacts</t>
  </si>
  <si>
    <t xml:space="preserve">KHOCC </t>
  </si>
  <si>
    <t xml:space="preserve">Local Food Contact </t>
  </si>
  <si>
    <t xml:space="preserve"> --- Asst Food</t>
  </si>
  <si>
    <t>Local Rooming  Contact</t>
  </si>
  <si>
    <t xml:space="preserve"> --- Asst Rooming</t>
  </si>
  <si>
    <t>Local Volunteers Contact</t>
  </si>
  <si>
    <t xml:space="preserve"> --- Asst Volunteers</t>
  </si>
  <si>
    <t xml:space="preserve">Local Security Contact </t>
  </si>
  <si>
    <t xml:space="preserve"> --- Asst Security </t>
  </si>
  <si>
    <t>Project Management: Project Support</t>
  </si>
  <si>
    <t xml:space="preserve">Congregation Name </t>
  </si>
  <si>
    <t xml:space="preserve">Comments: </t>
  </si>
  <si>
    <t xml:space="preserve">Congregation Contacts </t>
  </si>
  <si>
    <t>Circuit Overseer - #1</t>
  </si>
  <si>
    <t>Circuit Overseer - #2</t>
  </si>
  <si>
    <t>Circuit Overseer - #3</t>
  </si>
  <si>
    <t>Circuit Overseer - #4</t>
  </si>
  <si>
    <t xml:space="preserve">COBE - Title Holding Cong </t>
  </si>
  <si>
    <t xml:space="preserve">COBE - Attending Cong </t>
  </si>
  <si>
    <t xml:space="preserve">Supporting Congregtion #1 - COBE </t>
  </si>
  <si>
    <t xml:space="preserve">Supporting Congregtion #2 - COBE </t>
  </si>
  <si>
    <t xml:space="preserve">Supporting Congregtion #3 - COBE </t>
  </si>
  <si>
    <t xml:space="preserve">Supporting Congregtion #4 - COBE </t>
  </si>
  <si>
    <t xml:space="preserve">Supporting Congregtion #5 - COBE </t>
  </si>
  <si>
    <t xml:space="preserve">Supporting Congregtion #6 - COBE </t>
  </si>
  <si>
    <t xml:space="preserve">Supporting Congregtion #7 - COBE </t>
  </si>
  <si>
    <t xml:space="preserve">Supporting Congregtion #8 - COBE </t>
  </si>
  <si>
    <t xml:space="preserve">Supporting Congregtion #9 - COBE </t>
  </si>
  <si>
    <t xml:space="preserve">Supporting Congregtion #10 - COBE </t>
  </si>
  <si>
    <t xml:space="preserve">Supporting Congregtion #11 - COBE </t>
  </si>
  <si>
    <t xml:space="preserve">Supporting Congregtion #12 - COBE </t>
  </si>
  <si>
    <t xml:space="preserve">Supporting Congregtion #13 - COBE </t>
  </si>
  <si>
    <t xml:space="preserve">Supporting Congregtion #14 - COBE </t>
  </si>
  <si>
    <t xml:space="preserve">Supporting Congregtion #15 - COBE </t>
  </si>
  <si>
    <t xml:space="preserve">Supporting Congregtion #16 - COBE </t>
  </si>
  <si>
    <t xml:space="preserve">Supporting Congregtion #17 - COBE </t>
  </si>
  <si>
    <t xml:space="preserve">Supporting Congregtion #18 - COBE </t>
  </si>
  <si>
    <t xml:space="preserve">Supporting Congregtion #19 - COBE </t>
  </si>
  <si>
    <t xml:space="preserve">Supporting Congregtion #20 - COBE </t>
  </si>
  <si>
    <t xml:space="preserve">Supporting Congregtion #21 - COBE </t>
  </si>
  <si>
    <t xml:space="preserve">Local Support (Haircuts, Photos, Auto, ETC) </t>
  </si>
  <si>
    <t xml:space="preserve">Comments about skills or things they have offered. </t>
  </si>
  <si>
    <t>Primary Food Overseer</t>
  </si>
  <si>
    <t>Assistant Food Overseer</t>
  </si>
  <si>
    <t>Primary Security Overseer</t>
  </si>
  <si>
    <t>Assistant Security Overseer</t>
  </si>
  <si>
    <t>Primary Congregation Volunteer Overseer</t>
  </si>
  <si>
    <t>Assistant Congregation Volunteer Overseer</t>
  </si>
  <si>
    <t> </t>
  </si>
  <si>
    <t>Assistant Food Service Contact</t>
  </si>
  <si>
    <t>Assistant Congregation Volunteer Contact</t>
  </si>
  <si>
    <t>Assistant Security Contact</t>
  </si>
  <si>
    <t xml:space="preserve">Project Management: Schedule </t>
  </si>
  <si>
    <t>Task #</t>
  </si>
  <si>
    <t>Assigned to:</t>
  </si>
  <si>
    <t>Task Name</t>
  </si>
  <si>
    <t>Start</t>
  </si>
  <si>
    <t>Finish</t>
  </si>
  <si>
    <t>Duration</t>
  </si>
  <si>
    <t>Skilled</t>
  </si>
  <si>
    <t>Helpers</t>
  </si>
  <si>
    <t>JHA</t>
  </si>
  <si>
    <t>Comments (If Needed)</t>
  </si>
  <si>
    <t xml:space="preserve">Construction Phase </t>
  </si>
  <si>
    <t>6.09.00</t>
  </si>
  <si>
    <t>6.09.00 Pre-Construction Activity</t>
  </si>
  <si>
    <t>6.09.001</t>
  </si>
  <si>
    <t>6.09.003</t>
  </si>
  <si>
    <t>6.09.005</t>
  </si>
  <si>
    <t>6.09.007</t>
  </si>
  <si>
    <t>6.09.009</t>
  </si>
  <si>
    <t>6.09 - Construction Mobilization / Float Week #1</t>
  </si>
  <si>
    <t>6.09.01</t>
  </si>
  <si>
    <t>6.09.03</t>
  </si>
  <si>
    <t>Temp Site Setup-Electric</t>
  </si>
  <si>
    <t>6.09.05</t>
  </si>
  <si>
    <t>Temp Site Setup-Plumbing</t>
  </si>
  <si>
    <t>6.09.07</t>
  </si>
  <si>
    <t>Temp Site Setup-Construction Group</t>
  </si>
  <si>
    <t>6.09.09</t>
  </si>
  <si>
    <t>PCC: Chair Removal</t>
  </si>
  <si>
    <t>6.09.11</t>
  </si>
  <si>
    <t>Demolition-Furnishing/Carpet/Suspended Ceiling/Partitions/Doors</t>
  </si>
  <si>
    <t>6.09.13</t>
  </si>
  <si>
    <t>Demolition-Electric-Demo Ceiling</t>
  </si>
  <si>
    <t>6.09.15</t>
  </si>
  <si>
    <t>Demolition-Plumbing Fixtures</t>
  </si>
  <si>
    <t>6.09.17</t>
  </si>
  <si>
    <t>A/V: Demo and Salvage</t>
  </si>
  <si>
    <t>6.09.19</t>
  </si>
  <si>
    <t>HVAC Demo</t>
  </si>
  <si>
    <t>6.09.21</t>
  </si>
  <si>
    <t xml:space="preserve">(Demo) Carpet and ACT </t>
  </si>
  <si>
    <t>6.10.00</t>
  </si>
  <si>
    <t>6.10 - Demo/Underground</t>
  </si>
  <si>
    <t>6.10.01</t>
  </si>
  <si>
    <t>Siteworks: Demo Concrete, Light Pole Bases</t>
  </si>
  <si>
    <t>6.10.03</t>
  </si>
  <si>
    <t>Demolition-Drywall/Interior Walls/Stage</t>
  </si>
  <si>
    <t>6.10.05</t>
  </si>
  <si>
    <t>Demolition-Tile Flooring</t>
  </si>
  <si>
    <t>6.10.07</t>
  </si>
  <si>
    <t>Demolition-Plumbing</t>
  </si>
  <si>
    <t>6.10.09</t>
  </si>
  <si>
    <t>Demolition - Electric</t>
  </si>
  <si>
    <t>6.10.11</t>
  </si>
  <si>
    <t>Demolition-Mechanical</t>
  </si>
  <si>
    <t>6.10.13</t>
  </si>
  <si>
    <t>Concrete-Form and Pour Sidewalk/Carport/Handicap Parking/HVAC pad</t>
  </si>
  <si>
    <t>6.10.15</t>
  </si>
  <si>
    <t>Siteworks-Electric/Plumbing Excavation</t>
  </si>
  <si>
    <t>6.10.17</t>
  </si>
  <si>
    <t>Carpentry-Truss Reinforcement/Wall Framing</t>
  </si>
  <si>
    <t>6.10.19</t>
  </si>
  <si>
    <t>Demolition- Concrete Interior Form/Pour</t>
  </si>
  <si>
    <t>6.10.21</t>
  </si>
  <si>
    <t>Electrical Underground</t>
  </si>
  <si>
    <t>6.10.23</t>
  </si>
  <si>
    <t>Plumbing Underground</t>
  </si>
  <si>
    <t>6.10.25</t>
  </si>
  <si>
    <t>Landscaping: Landscaping</t>
  </si>
  <si>
    <t>6.10.27</t>
  </si>
  <si>
    <t>6.10.29</t>
  </si>
  <si>
    <t>6.10.31</t>
  </si>
  <si>
    <t>6.10.33</t>
  </si>
  <si>
    <t>6.10.35</t>
  </si>
  <si>
    <t>6.10.37</t>
  </si>
  <si>
    <t>6.10.39</t>
  </si>
  <si>
    <t>6.11.00</t>
  </si>
  <si>
    <t>6.11 - Float Week #2 - Between Demo/Rough-In</t>
  </si>
  <si>
    <t>6.11.01</t>
  </si>
  <si>
    <t>6.11.03</t>
  </si>
  <si>
    <t>6.11.05</t>
  </si>
  <si>
    <t>6.11.07</t>
  </si>
  <si>
    <t>6.11.09</t>
  </si>
  <si>
    <t>6.12.00</t>
  </si>
  <si>
    <t>6.12 - Rough-In</t>
  </si>
  <si>
    <t>6.12.01</t>
  </si>
  <si>
    <t>Carpentry-Rough Framing/Blocking</t>
  </si>
  <si>
    <t>6.12.03</t>
  </si>
  <si>
    <t>HVAC-Rough-In</t>
  </si>
  <si>
    <t>6.12.05</t>
  </si>
  <si>
    <t>Plumbing-Rough-In</t>
  </si>
  <si>
    <t>6.12.07</t>
  </si>
  <si>
    <t>Electric-Rough-In</t>
  </si>
  <si>
    <t>6.12.09</t>
  </si>
  <si>
    <t>A/V-Rough-In</t>
  </si>
  <si>
    <t>6.12.11</t>
  </si>
  <si>
    <t>Insulation- Wall Insulation</t>
  </si>
  <si>
    <t>6.12.13</t>
  </si>
  <si>
    <t>Insulation: Attic Insulation</t>
  </si>
  <si>
    <t>6.12.15</t>
  </si>
  <si>
    <t>Drywall-Hanging</t>
  </si>
  <si>
    <t>6.12.17</t>
  </si>
  <si>
    <t>6.12.19</t>
  </si>
  <si>
    <t>6.12.21</t>
  </si>
  <si>
    <t>6.12.23</t>
  </si>
  <si>
    <t>6.12.25</t>
  </si>
  <si>
    <t>6.12.27</t>
  </si>
  <si>
    <t>6.12.29</t>
  </si>
  <si>
    <t>6.12.31</t>
  </si>
  <si>
    <t>6.12.33</t>
  </si>
  <si>
    <t>6.12.35</t>
  </si>
  <si>
    <t>6.12.37</t>
  </si>
  <si>
    <t>6.12.39</t>
  </si>
  <si>
    <t>6.13.00</t>
  </si>
  <si>
    <t>6.13 - Float Week #2 - Between Rough-In/Finishes</t>
  </si>
  <si>
    <t>6.13.01</t>
  </si>
  <si>
    <t>6.13.03</t>
  </si>
  <si>
    <t>6.13.05</t>
  </si>
  <si>
    <t>6.13.07</t>
  </si>
  <si>
    <t>6.13.09</t>
  </si>
  <si>
    <t>6.14.00</t>
  </si>
  <si>
    <t>6.14 - Finishes</t>
  </si>
  <si>
    <t>6.14.01</t>
  </si>
  <si>
    <t>Drywall-Finish/Texture</t>
  </si>
  <si>
    <t>6.14.03</t>
  </si>
  <si>
    <t>Paint-Interior Paint</t>
  </si>
  <si>
    <t>6.14.05</t>
  </si>
  <si>
    <t>ACT-Grid and Perimeter Tiles</t>
  </si>
  <si>
    <t>6.14.07</t>
  </si>
  <si>
    <t>Tile-Bathroom floor tile</t>
  </si>
  <si>
    <t>6.14.09</t>
  </si>
  <si>
    <t>Caseworks: Handrails</t>
  </si>
  <si>
    <t>6.14.11</t>
  </si>
  <si>
    <t>HVAC-Finishes</t>
  </si>
  <si>
    <t>6.14.13</t>
  </si>
  <si>
    <t>Electric-Finishes</t>
  </si>
  <si>
    <t>6.14.15</t>
  </si>
  <si>
    <t>Plumbing-Finishes</t>
  </si>
  <si>
    <t>6.14.17</t>
  </si>
  <si>
    <t>Partitions: RR Partitions and Accessories</t>
  </si>
  <si>
    <t>6.14.19</t>
  </si>
  <si>
    <t>A/V-Finishes</t>
  </si>
  <si>
    <t>6.14.21</t>
  </si>
  <si>
    <t>Caseworks: Signage, Accessories &amp; Sounddesk</t>
  </si>
  <si>
    <t>6.14.23</t>
  </si>
  <si>
    <t>Carpet: Tiles &amp; Vinyl Base</t>
  </si>
  <si>
    <t>6.14.25</t>
  </si>
  <si>
    <t>Casework: Furniture</t>
  </si>
  <si>
    <t>6.14.27</t>
  </si>
  <si>
    <t>PCC: Ceiling Tiles</t>
  </si>
  <si>
    <t>6.14.29</t>
  </si>
  <si>
    <t>Doors: Doors Windows</t>
  </si>
  <si>
    <t>6.14.31</t>
  </si>
  <si>
    <t>PCC: Chairs</t>
  </si>
  <si>
    <t>6.14.33</t>
  </si>
  <si>
    <t>HVAC: TAB</t>
  </si>
  <si>
    <t>6.14.35</t>
  </si>
  <si>
    <t>A/V: TAB</t>
  </si>
  <si>
    <t>6.14.37</t>
  </si>
  <si>
    <t>PCC: Final Cleaning</t>
  </si>
  <si>
    <t>6.14.39</t>
  </si>
  <si>
    <t>ACGO: Preparing Congregations for Maintenance</t>
  </si>
  <si>
    <t>6.15.00</t>
  </si>
  <si>
    <t>6.15 - Final Construction Demobilization</t>
  </si>
  <si>
    <t>6.15.01</t>
  </si>
  <si>
    <t>Carpentry Site Tear Down - Temp Structures</t>
  </si>
  <si>
    <t>6.15.03</t>
  </si>
  <si>
    <t>Electrical Site Tear Down</t>
  </si>
  <si>
    <t>6.15.05</t>
  </si>
  <si>
    <t>Plumbing Site Tear Down</t>
  </si>
  <si>
    <t>6.15.07</t>
  </si>
  <si>
    <t>ACGO: Site Tear Down: IT Systems</t>
  </si>
  <si>
    <t>6.15.09</t>
  </si>
  <si>
    <t>6.15.11</t>
  </si>
  <si>
    <t>6.15.13</t>
  </si>
  <si>
    <t>6.15.15</t>
  </si>
  <si>
    <t>6.15.17</t>
  </si>
  <si>
    <t>6.15.19</t>
  </si>
  <si>
    <t>6.16.00</t>
  </si>
  <si>
    <t>6.16 - Construction Finish Date</t>
  </si>
  <si>
    <t>6.16.01</t>
  </si>
  <si>
    <t>6.16.03</t>
  </si>
  <si>
    <t>6.16.05</t>
  </si>
  <si>
    <t>6.16.07</t>
  </si>
  <si>
    <t>6.16.09</t>
  </si>
  <si>
    <t>January - 2019</t>
  </si>
  <si>
    <t>February - 2019</t>
  </si>
  <si>
    <t>March - 2019</t>
  </si>
  <si>
    <t>April - 2019</t>
  </si>
  <si>
    <t>May - 2019</t>
  </si>
  <si>
    <t>June - 2019</t>
  </si>
  <si>
    <t>July - 2019</t>
  </si>
  <si>
    <t>August - 2019</t>
  </si>
  <si>
    <t>September - 2019</t>
  </si>
  <si>
    <t>October - 2019</t>
  </si>
  <si>
    <t>November - 2019</t>
  </si>
  <si>
    <t>December - 2019</t>
  </si>
  <si>
    <t>January - 2020</t>
  </si>
  <si>
    <t>February - 2020</t>
  </si>
  <si>
    <t>March - 2020</t>
  </si>
  <si>
    <t>April - 2020</t>
  </si>
  <si>
    <t>May - 2020</t>
  </si>
  <si>
    <t>June - 2020</t>
  </si>
  <si>
    <t>July - 2020</t>
  </si>
  <si>
    <t>August - 2020</t>
  </si>
  <si>
    <t>September - 2020</t>
  </si>
  <si>
    <t>October - 2020</t>
  </si>
  <si>
    <t>November - 2020</t>
  </si>
  <si>
    <t>December - 2020</t>
  </si>
  <si>
    <t>January - 2021</t>
  </si>
  <si>
    <t>February - 2021</t>
  </si>
  <si>
    <t>March - 2021</t>
  </si>
  <si>
    <t>April - 2021</t>
  </si>
  <si>
    <t>May - 2021</t>
  </si>
  <si>
    <t>June - 2021</t>
  </si>
  <si>
    <t>July - 2021</t>
  </si>
  <si>
    <t>August - 2021</t>
  </si>
  <si>
    <t>September - 2021</t>
  </si>
  <si>
    <t>October - 2021</t>
  </si>
  <si>
    <t>November - 2021</t>
  </si>
  <si>
    <t>December - 2021</t>
  </si>
  <si>
    <t>January - 2022</t>
  </si>
  <si>
    <t>February - 2022</t>
  </si>
  <si>
    <t>March - 2022</t>
  </si>
  <si>
    <t>April - 2022</t>
  </si>
  <si>
    <t>May - 2022</t>
  </si>
  <si>
    <t>June - 2022</t>
  </si>
  <si>
    <t>July - 2022</t>
  </si>
  <si>
    <t>August - 2022</t>
  </si>
  <si>
    <t>September - 2022</t>
  </si>
  <si>
    <t>October - 2022</t>
  </si>
  <si>
    <t>November - 2022</t>
  </si>
  <si>
    <t>December - 2022</t>
  </si>
  <si>
    <t>January - 2023</t>
  </si>
  <si>
    <t>February - 2023</t>
  </si>
  <si>
    <t>March - 2023</t>
  </si>
  <si>
    <t>April - 2023</t>
  </si>
  <si>
    <t>May - 2023</t>
  </si>
  <si>
    <t>June - 2023</t>
  </si>
  <si>
    <t>July - 2023</t>
  </si>
  <si>
    <t>August - 2023</t>
  </si>
  <si>
    <t>September - 2023</t>
  </si>
  <si>
    <t>October - 2023</t>
  </si>
  <si>
    <t>November - 2023</t>
  </si>
  <si>
    <t>December - 2023</t>
  </si>
  <si>
    <t>January - 2024</t>
  </si>
  <si>
    <t>February - 2024</t>
  </si>
  <si>
    <t>March - 2024</t>
  </si>
  <si>
    <t>April - 2024</t>
  </si>
  <si>
    <t>May - 2024</t>
  </si>
  <si>
    <t>June - 2024</t>
  </si>
  <si>
    <t>July - 2024</t>
  </si>
  <si>
    <t>August - 2024</t>
  </si>
  <si>
    <t>September - 2024</t>
  </si>
  <si>
    <t>October - 2024</t>
  </si>
  <si>
    <t>November - 2024</t>
  </si>
  <si>
    <t>December - 2024</t>
  </si>
  <si>
    <t>1 - 5</t>
  </si>
  <si>
    <t>6 - 12</t>
  </si>
  <si>
    <t>13 - 19</t>
  </si>
  <si>
    <t>20 - 26</t>
  </si>
  <si>
    <t>27 - 2</t>
  </si>
  <si>
    <t>3 - 9</t>
  </si>
  <si>
    <t>10 - 16</t>
  </si>
  <si>
    <t>17 - 23</t>
  </si>
  <si>
    <t>24 - 2</t>
  </si>
  <si>
    <t>24 - 30</t>
  </si>
  <si>
    <t>31 - 6</t>
  </si>
  <si>
    <t>7 - 13</t>
  </si>
  <si>
    <t>14 - 20</t>
  </si>
  <si>
    <t>21 - 27</t>
  </si>
  <si>
    <t>28 - 4</t>
  </si>
  <si>
    <t>5 - 11</t>
  </si>
  <si>
    <t>12 - 18</t>
  </si>
  <si>
    <t>19 - 25</t>
  </si>
  <si>
    <t>26 - 1</t>
  </si>
  <si>
    <t>2 - 8</t>
  </si>
  <si>
    <t>9 - 15</t>
  </si>
  <si>
    <t>16 - 22</t>
  </si>
  <si>
    <t>23 - 29</t>
  </si>
  <si>
    <t>30 - 6</t>
  </si>
  <si>
    <t>28 - 3</t>
  </si>
  <si>
    <t>4 - 10</t>
  </si>
  <si>
    <t>11 - 17</t>
  </si>
  <si>
    <t>18 - 24</t>
  </si>
  <si>
    <t>25 - 31</t>
  </si>
  <si>
    <t>1 - 7</t>
  </si>
  <si>
    <t>8 - 14</t>
  </si>
  <si>
    <t>15 - 21</t>
  </si>
  <si>
    <t>22 - 28</t>
  </si>
  <si>
    <t>29 - 5</t>
  </si>
  <si>
    <t>29 - 4</t>
  </si>
  <si>
    <t>26 - 2</t>
  </si>
  <si>
    <t>30 - 5</t>
  </si>
  <si>
    <t>27 - 3</t>
  </si>
  <si>
    <t>28 - 6</t>
  </si>
  <si>
    <t>25 - 1</t>
  </si>
  <si>
    <t>27 - 5</t>
  </si>
  <si>
    <t>26 - 4</t>
  </si>
  <si>
    <t>25 - 2</t>
  </si>
  <si>
    <t>29 - 30</t>
  </si>
  <si>
    <t>T</t>
  </si>
  <si>
    <t>W</t>
  </si>
  <si>
    <t>F</t>
  </si>
  <si>
    <t>S</t>
  </si>
  <si>
    <t>M</t>
  </si>
  <si>
    <t>Dates of the Saturday Based Meeting</t>
  </si>
  <si>
    <t xml:space="preserve">Project Management: Email Clusters </t>
  </si>
  <si>
    <t xml:space="preserve">All PTO's </t>
  </si>
  <si>
    <t>Selected Trades</t>
  </si>
  <si>
    <t>Trades Count:</t>
  </si>
  <si>
    <t>Years</t>
  </si>
  <si>
    <t>INSPECTIONS</t>
  </si>
  <si>
    <t>Value</t>
  </si>
  <si>
    <t>ACGO</t>
  </si>
  <si>
    <t>CGO</t>
  </si>
  <si>
    <t>PCC</t>
  </si>
  <si>
    <t>SC</t>
  </si>
  <si>
    <t>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</si>
</sst>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 &quot;Days&quot;"/>
    <numFmt numFmtId="165" formatCode="d"/>
    <numFmt numFmtId="166" formatCode="mm/dd/yy;@"/>
    <numFmt numFmtId="167" formatCode="00000000"/>
    <numFmt numFmtId="168" formatCode="\(###\)\ ###\-####"/>
    <numFmt numFmtId="169" formatCode="[&lt;=9999999]\(###\)\ ###\-####;General"/>
    <numFmt numFmtId="170" formatCode="m/d;@"/>
  </numFmts>
  <fonts count="49">
    <font>
      <sz val="11"/>
      <color theme="1"/>
      <name val="Calibri"/>
      <family val="2"/>
      <scheme val="minor"/>
    </font>
    <font>
      <sz val="11"/>
      <color theme="1"/>
      <name val="Calibri"/>
      <family val="2"/>
      <scheme val="minor"/>
    </font>
    <font>
      <u/>
      <sz val="11"/>
      <color theme="10"/>
      <name val="Calibri"/>
      <family val="2"/>
      <scheme val="minor"/>
    </font>
    <font>
      <b/>
      <sz val="36"/>
      <color theme="1"/>
      <name val="Calibri"/>
      <family val="2"/>
      <scheme val="minor"/>
    </font>
    <font>
      <sz val="11"/>
      <color theme="1"/>
      <name val="Calibri"/>
      <family val="2"/>
      <scheme val="minor"/>
    </font>
    <font>
      <b/>
      <sz val="11"/>
      <name val="Calibri"/>
      <family val="2"/>
      <scheme val="minor"/>
    </font>
    <font>
      <b/>
      <sz val="11"/>
      <color theme="1"/>
      <name val="Calibri"/>
      <family val="2"/>
      <scheme val="minor"/>
    </font>
    <font>
      <b/>
      <u/>
      <sz val="11"/>
      <name val="Calibri"/>
      <family val="2"/>
      <scheme val="minor"/>
    </font>
    <font>
      <sz val="11"/>
      <name val="Calibri"/>
      <family val="2"/>
      <scheme val="minor"/>
    </font>
    <font>
      <sz val="11"/>
      <name val="Calibri"/>
      <family val="2"/>
      <charset val="1"/>
      <scheme val="minor"/>
    </font>
    <font>
      <b/>
      <sz val="10"/>
      <color theme="1"/>
      <name val="Calibri"/>
      <family val="2"/>
      <scheme val="minor"/>
    </font>
    <font>
      <b/>
      <sz val="20"/>
      <color rgb="FFFFFFFF"/>
      <name val="Calibri"/>
      <family val="2"/>
      <scheme val="minor"/>
    </font>
    <font>
      <sz val="11"/>
      <color rgb="FF212121"/>
      <name val="Calibri"/>
      <family val="2"/>
      <scheme val="minor"/>
    </font>
    <font>
      <b/>
      <sz val="26"/>
      <color theme="1"/>
      <name val="Calibri"/>
      <family val="2"/>
      <scheme val="minor"/>
    </font>
    <font>
      <b/>
      <sz val="9"/>
      <color indexed="81"/>
      <name val="Tahoma"/>
      <family val="2"/>
    </font>
    <font>
      <sz val="9"/>
      <color indexed="81"/>
      <name val="Tahoma"/>
      <family val="2"/>
    </font>
    <font>
      <sz val="11"/>
      <color rgb="FF000000"/>
      <name val="Calibri"/>
      <family val="2"/>
      <scheme val="minor"/>
    </font>
    <font>
      <sz val="11"/>
      <color theme="0"/>
      <name val="Calibri"/>
      <family val="2"/>
      <scheme val="minor"/>
    </font>
    <font>
      <sz val="11"/>
      <color theme="1" tint="0.499984740745262"/>
      <name val="Calibri"/>
      <family val="2"/>
      <scheme val="minor"/>
    </font>
    <font>
      <b/>
      <sz val="11"/>
      <color rgb="FF000000"/>
      <name val="Calibri"/>
      <family val="2"/>
      <scheme val="minor"/>
    </font>
    <font>
      <b/>
      <sz val="11"/>
      <color rgb="FF363636"/>
      <name val="Calibri"/>
      <family val="2"/>
      <scheme val="minor"/>
    </font>
    <font>
      <sz val="11"/>
      <color rgb="FF008000"/>
      <name val="Calibri"/>
      <family val="2"/>
      <scheme val="minor"/>
    </font>
    <font>
      <b/>
      <sz val="11"/>
      <color theme="0"/>
      <name val="Calibri"/>
      <family val="2"/>
      <scheme val="minor"/>
    </font>
    <font>
      <sz val="12"/>
      <color theme="0"/>
      <name val="Calibri"/>
      <family val="2"/>
      <scheme val="minor"/>
    </font>
    <font>
      <b/>
      <sz val="12"/>
      <color theme="0"/>
      <name val="Calibri"/>
      <family val="2"/>
      <scheme val="minor"/>
    </font>
    <font>
      <sz val="11"/>
      <color rgb="FF000000"/>
      <name val="Times New Roman"/>
      <family val="1"/>
    </font>
    <font>
      <sz val="11"/>
      <color indexed="8"/>
      <name val="Calibri"/>
      <family val="2"/>
    </font>
    <font>
      <u/>
      <sz val="11"/>
      <color theme="10"/>
      <name val="Calibri"/>
      <family val="2"/>
    </font>
    <font>
      <b/>
      <sz val="12"/>
      <name val="Calibri"/>
      <family val="2"/>
      <scheme val="minor"/>
    </font>
    <font>
      <sz val="12"/>
      <color theme="1"/>
      <name val="Calibri"/>
      <family val="2"/>
      <scheme val="minor"/>
    </font>
    <font>
      <b/>
      <sz val="26"/>
      <color theme="0"/>
      <name val="Calibri"/>
      <family val="2"/>
      <scheme val="minor"/>
    </font>
    <font>
      <b/>
      <sz val="11"/>
      <color rgb="FFFF0000"/>
      <name val="Calibri"/>
      <family val="2"/>
      <scheme val="minor"/>
    </font>
    <font>
      <u/>
      <sz val="12"/>
      <color rgb="FF373433"/>
      <name val="Noto Sans"/>
      <charset val="1"/>
    </font>
    <font>
      <sz val="11"/>
      <name val="Calibri"/>
      <family val="2"/>
    </font>
    <font>
      <sz val="10"/>
      <color rgb="FF373433"/>
      <name val="Noto Sans"/>
    </font>
    <font>
      <sz val="11"/>
      <color rgb="FF000000"/>
      <name val="Calibri"/>
      <family val="2"/>
    </font>
    <font>
      <sz val="10"/>
      <color rgb="FF373433"/>
      <name val="Noto Sans"/>
      <family val="2"/>
    </font>
    <font>
      <sz val="11"/>
      <color rgb="FFFF0000"/>
      <name val="Calibri"/>
      <family val="2"/>
      <scheme val="minor"/>
    </font>
    <font>
      <sz val="11"/>
      <color rgb="FF373433"/>
      <name val="Calibri"/>
      <family val="2"/>
      <scheme val="minor"/>
    </font>
    <font>
      <strike/>
      <sz val="11"/>
      <color theme="1"/>
      <name val="Calibri"/>
      <family val="2"/>
      <scheme val="minor"/>
    </font>
    <font>
      <strike/>
      <sz val="11"/>
      <name val="Calibri"/>
      <family val="2"/>
      <scheme val="minor"/>
    </font>
    <font>
      <strike/>
      <sz val="11"/>
      <color rgb="FF373433"/>
      <name val="Calibri"/>
      <family val="2"/>
      <scheme val="minor"/>
    </font>
    <font>
      <strike/>
      <u/>
      <sz val="11"/>
      <color theme="10"/>
      <name val="Calibri"/>
      <family val="2"/>
      <scheme val="minor"/>
    </font>
    <font>
      <b/>
      <sz val="9"/>
      <color rgb="FF000000"/>
      <name val="Tahoma"/>
      <family val="2"/>
    </font>
    <font>
      <sz val="9"/>
      <color rgb="FF000000"/>
      <name val="Tahoma"/>
      <family val="2"/>
    </font>
    <font>
      <b/>
      <sz val="11"/>
      <name val="Calibri"/>
      <family val="2"/>
      <charset val="1"/>
    </font>
    <font>
      <sz val="11"/>
      <name val="Calibri"/>
      <family val="2"/>
      <charset val="1"/>
    </font>
    <font>
      <b/>
      <sz val="11"/>
      <name val="Calibri"/>
      <family val="2"/>
    </font>
    <font>
      <b/>
      <sz val="11"/>
      <color rgb="FF000000"/>
      <name val="Calibri"/>
      <family val="2"/>
    </font>
  </fonts>
  <fills count="23">
    <fill>
      <patternFill patternType="none"/>
    </fill>
    <fill>
      <patternFill patternType="gray125"/>
    </fill>
    <fill>
      <patternFill patternType="solid">
        <fgColor theme="8" tint="-0.249977111117893"/>
        <bgColor indexed="64"/>
      </patternFill>
    </fill>
    <fill>
      <patternFill patternType="solid">
        <fgColor rgb="FFFFC00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0B4"/>
        <bgColor indexed="64"/>
      </patternFill>
    </fill>
    <fill>
      <patternFill patternType="solid">
        <fgColor rgb="FFFFFFFF"/>
        <bgColor indexed="64"/>
      </patternFill>
    </fill>
    <fill>
      <patternFill patternType="solid">
        <fgColor theme="8" tint="0.79998168889431442"/>
        <bgColor indexed="64"/>
      </patternFill>
    </fill>
    <fill>
      <patternFill patternType="solid">
        <fgColor theme="7"/>
        <bgColor indexed="64"/>
      </patternFill>
    </fill>
    <fill>
      <patternFill patternType="solid">
        <fgColor rgb="FF6E747A"/>
        <bgColor rgb="FF000000"/>
      </patternFill>
    </fill>
    <fill>
      <patternFill patternType="solid">
        <fgColor theme="0" tint="-0.14999847407452621"/>
        <bgColor indexed="64"/>
      </patternFill>
    </fill>
    <fill>
      <patternFill patternType="solid">
        <fgColor rgb="FFB2A1C7"/>
        <bgColor indexed="64"/>
      </patternFill>
    </fill>
    <fill>
      <patternFill patternType="solid">
        <fgColor rgb="FFEEC57A"/>
        <bgColor indexed="64"/>
      </patternFill>
    </fill>
    <fill>
      <patternFill patternType="solid">
        <fgColor rgb="FFFFC000"/>
        <bgColor rgb="FF000000"/>
      </patternFill>
    </fill>
    <fill>
      <patternFill patternType="solid">
        <fgColor rgb="FF6E747A"/>
        <bgColor indexed="64"/>
      </patternFill>
    </fill>
    <fill>
      <patternFill patternType="solid">
        <fgColor theme="9" tint="0.59999389629810485"/>
        <bgColor rgb="FF000000"/>
      </patternFill>
    </fill>
    <fill>
      <patternFill patternType="solid">
        <fgColor theme="2" tint="-0.499984740745262"/>
        <bgColor rgb="FF000000"/>
      </patternFill>
    </fill>
    <fill>
      <patternFill patternType="solid">
        <fgColor rgb="FFC6E0B4"/>
        <bgColor rgb="FF000000"/>
      </patternFill>
    </fill>
    <fill>
      <patternFill patternType="solid">
        <fgColor theme="2"/>
        <bgColor indexed="64"/>
      </patternFill>
    </fill>
    <fill>
      <patternFill patternType="solid">
        <fgColor rgb="FF92D050"/>
        <bgColor rgb="FF000000"/>
      </patternFill>
    </fill>
    <fill>
      <patternFill patternType="solid">
        <fgColor rgb="FFD9D9D9"/>
        <bgColor rgb="FF000000"/>
      </patternFill>
    </fill>
    <fill>
      <patternFill patternType="solid">
        <fgColor rgb="FFE7E6E6"/>
        <bgColor rgb="FF000000"/>
      </patternFill>
    </fill>
  </fills>
  <borders count="5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style="medium">
        <color indexed="64"/>
      </bottom>
      <diagonal/>
    </border>
    <border>
      <left/>
      <right/>
      <top/>
      <bottom style="thin">
        <color theme="1" tint="0.499984740745262"/>
      </bottom>
      <diagonal/>
    </border>
    <border>
      <left/>
      <right/>
      <top style="thin">
        <color theme="1" tint="0.499984740745262"/>
      </top>
      <bottom/>
      <diagonal/>
    </border>
    <border>
      <left style="double">
        <color rgb="FF808000"/>
      </left>
      <right/>
      <top/>
      <bottom/>
      <diagonal/>
    </border>
    <border>
      <left/>
      <right style="double">
        <color rgb="FF808000"/>
      </right>
      <top/>
      <bottom/>
      <diagonal/>
    </border>
    <border>
      <left/>
      <right style="medium">
        <color auto="1"/>
      </right>
      <top/>
      <bottom/>
      <diagonal/>
    </border>
    <border>
      <left style="medium">
        <color auto="1"/>
      </left>
      <right/>
      <top/>
      <bottom/>
      <diagonal/>
    </border>
    <border>
      <left style="double">
        <color rgb="FF808000"/>
      </left>
      <right style="medium">
        <color auto="1"/>
      </right>
      <top/>
      <bottom/>
      <diagonal/>
    </border>
    <border>
      <left style="medium">
        <color auto="1"/>
      </left>
      <right style="double">
        <color rgb="FF808000"/>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right style="thin">
        <color rgb="FF000000"/>
      </right>
      <top/>
      <bottom style="thin">
        <color rgb="FF000000"/>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top style="thin">
        <color rgb="FF000000"/>
      </top>
      <bottom style="thin">
        <color rgb="FF000000"/>
      </bottom>
      <diagonal/>
    </border>
  </borders>
  <cellStyleXfs count="4">
    <xf numFmtId="0" fontId="0" fillId="0" borderId="0"/>
    <xf numFmtId="0" fontId="2" fillId="0" borderId="0" applyNumberFormat="0" applyFill="0" applyBorder="0" applyAlignment="0" applyProtection="0"/>
    <xf numFmtId="0" fontId="26" fillId="0" borderId="0" applyNumberFormat="0" applyFill="0" applyBorder="0" applyProtection="0"/>
    <xf numFmtId="0" fontId="27" fillId="0" borderId="0" applyNumberFormat="0" applyFill="0" applyBorder="0" applyAlignment="0" applyProtection="0"/>
  </cellStyleXfs>
  <cellXfs count="611">
    <xf numFmtId="0" fontId="0" fillId="0" borderId="0" xfId="0"/>
    <xf numFmtId="0" fontId="18" fillId="0" borderId="0" xfId="0" applyFont="1" applyAlignment="1">
      <alignment horizontal="center"/>
    </xf>
    <xf numFmtId="0" fontId="18" fillId="0" borderId="31" xfId="0" applyFont="1" applyBorder="1" applyAlignment="1">
      <alignment horizontal="center"/>
    </xf>
    <xf numFmtId="0" fontId="18" fillId="0" borderId="32" xfId="0" applyFont="1" applyBorder="1" applyAlignment="1">
      <alignment horizontal="center"/>
    </xf>
    <xf numFmtId="0" fontId="6" fillId="11" borderId="0" xfId="0" applyFont="1" applyFill="1"/>
    <xf numFmtId="0" fontId="0" fillId="0" borderId="31" xfId="0" applyBorder="1"/>
    <xf numFmtId="0" fontId="0" fillId="0" borderId="32" xfId="0" applyBorder="1"/>
    <xf numFmtId="0" fontId="0" fillId="5" borderId="3" xfId="0" applyFill="1" applyBorder="1" applyAlignment="1" applyProtection="1">
      <alignment vertical="top" wrapText="1"/>
      <protection locked="0"/>
    </xf>
    <xf numFmtId="0" fontId="0" fillId="5" borderId="3" xfId="0" applyFill="1" applyBorder="1" applyAlignment="1" applyProtection="1">
      <alignment horizontal="center" vertical="top"/>
      <protection locked="0"/>
    </xf>
    <xf numFmtId="0" fontId="0" fillId="5" borderId="3" xfId="0" applyFill="1" applyBorder="1" applyAlignment="1" applyProtection="1">
      <alignment horizontal="left" vertical="top" wrapText="1"/>
      <protection locked="0"/>
    </xf>
    <xf numFmtId="0" fontId="16" fillId="5" borderId="3" xfId="0" applyFont="1" applyFill="1" applyBorder="1" applyAlignment="1" applyProtection="1">
      <alignment horizontal="center" vertical="top" wrapText="1"/>
      <protection locked="0"/>
    </xf>
    <xf numFmtId="0" fontId="4" fillId="0" borderId="0" xfId="0" applyFont="1"/>
    <xf numFmtId="0" fontId="19" fillId="3" borderId="0" xfId="0" applyFont="1" applyFill="1" applyAlignment="1">
      <alignment wrapText="1"/>
    </xf>
    <xf numFmtId="0" fontId="19" fillId="3" borderId="0" xfId="0" applyFont="1" applyFill="1" applyAlignment="1">
      <alignment horizontal="center" wrapText="1"/>
    </xf>
    <xf numFmtId="0" fontId="20" fillId="14" borderId="0" xfId="0" applyFont="1" applyFill="1" applyAlignment="1">
      <alignment horizontal="left" wrapText="1"/>
    </xf>
    <xf numFmtId="0" fontId="20" fillId="14" borderId="0" xfId="0" applyFont="1" applyFill="1" applyAlignment="1">
      <alignment horizontal="center" wrapText="1"/>
    </xf>
    <xf numFmtId="14" fontId="20" fillId="14" borderId="0" xfId="0" applyNumberFormat="1" applyFont="1" applyFill="1" applyAlignment="1">
      <alignment horizontal="center" wrapText="1"/>
    </xf>
    <xf numFmtId="0" fontId="20" fillId="14" borderId="0" xfId="0" applyFont="1" applyFill="1" applyAlignment="1">
      <alignment wrapText="1"/>
    </xf>
    <xf numFmtId="0" fontId="0" fillId="0" borderId="0" xfId="0" applyAlignment="1">
      <alignment horizontal="center"/>
    </xf>
    <xf numFmtId="0" fontId="0" fillId="0" borderId="0" xfId="0" applyAlignment="1">
      <alignment horizontal="left" wrapText="1"/>
    </xf>
    <xf numFmtId="0" fontId="0" fillId="5" borderId="3" xfId="0" applyFill="1" applyBorder="1" applyAlignment="1" applyProtection="1">
      <alignment horizontal="center" vertical="top" wrapText="1"/>
      <protection locked="0"/>
    </xf>
    <xf numFmtId="0" fontId="16" fillId="5" borderId="3" xfId="0" applyFont="1" applyFill="1" applyBorder="1" applyAlignment="1" applyProtection="1">
      <alignment horizontal="left" vertical="top" wrapText="1"/>
      <protection locked="0"/>
    </xf>
    <xf numFmtId="0" fontId="20" fillId="16" borderId="3" xfId="0" applyFont="1" applyFill="1" applyBorder="1" applyAlignment="1" applyProtection="1">
      <alignment horizontal="center" vertical="top" wrapText="1"/>
      <protection locked="0"/>
    </xf>
    <xf numFmtId="0" fontId="20" fillId="16" borderId="3" xfId="0" applyFont="1" applyFill="1" applyBorder="1" applyAlignment="1" applyProtection="1">
      <alignment vertical="top" wrapText="1"/>
      <protection locked="0"/>
    </xf>
    <xf numFmtId="164" fontId="24" fillId="15" borderId="27" xfId="0" applyNumberFormat="1" applyFont="1" applyFill="1" applyBorder="1" applyAlignment="1">
      <alignment horizontal="center" vertical="top"/>
    </xf>
    <xf numFmtId="0" fontId="0" fillId="5" borderId="3" xfId="0" quotePrefix="1" applyFill="1" applyBorder="1" applyAlignment="1" applyProtection="1">
      <alignment horizontal="center" vertical="top"/>
      <protection locked="0"/>
    </xf>
    <xf numFmtId="14" fontId="0" fillId="5" borderId="3" xfId="0" applyNumberFormat="1" applyFill="1" applyBorder="1" applyAlignment="1" applyProtection="1">
      <alignment horizontal="center" vertical="top"/>
      <protection locked="0"/>
    </xf>
    <xf numFmtId="164" fontId="0" fillId="0" borderId="27" xfId="0" applyNumberFormat="1" applyBorder="1" applyAlignment="1">
      <alignment horizontal="center" vertical="top"/>
    </xf>
    <xf numFmtId="0" fontId="5" fillId="3" borderId="42" xfId="0" applyFont="1" applyFill="1" applyBorder="1" applyAlignment="1">
      <alignment vertical="center" wrapText="1"/>
    </xf>
    <xf numFmtId="0" fontId="6" fillId="3" borderId="25" xfId="0" applyFont="1" applyFill="1" applyBorder="1" applyAlignment="1">
      <alignment horizontal="center" vertical="center" wrapText="1"/>
    </xf>
    <xf numFmtId="0" fontId="6" fillId="3" borderId="26" xfId="0" applyFont="1" applyFill="1" applyBorder="1" applyAlignment="1">
      <alignment horizontal="center" vertical="center" wrapText="1"/>
    </xf>
    <xf numFmtId="0" fontId="0" fillId="5" borderId="3" xfId="0" applyFill="1" applyBorder="1" applyAlignment="1" applyProtection="1">
      <alignment vertical="center" wrapText="1"/>
      <protection locked="0"/>
    </xf>
    <xf numFmtId="0" fontId="23" fillId="15" borderId="3" xfId="0" applyFont="1" applyFill="1" applyBorder="1" applyAlignment="1">
      <alignment horizontal="left" vertical="top" wrapText="1"/>
    </xf>
    <xf numFmtId="0" fontId="23" fillId="15" borderId="3" xfId="0" applyFont="1" applyFill="1" applyBorder="1" applyAlignment="1">
      <alignment horizontal="center" vertical="top" wrapText="1"/>
    </xf>
    <xf numFmtId="0" fontId="24" fillId="10" borderId="3" xfId="0" applyFont="1" applyFill="1" applyBorder="1" applyAlignment="1">
      <alignment horizontal="left" vertical="top" wrapText="1"/>
    </xf>
    <xf numFmtId="0" fontId="24" fillId="10" borderId="3" xfId="0" applyFont="1" applyFill="1" applyBorder="1" applyAlignment="1">
      <alignment horizontal="center" vertical="top" wrapText="1"/>
    </xf>
    <xf numFmtId="0" fontId="24" fillId="10" borderId="3" xfId="0" applyFont="1" applyFill="1" applyBorder="1" applyAlignment="1">
      <alignment vertical="top" wrapText="1"/>
    </xf>
    <xf numFmtId="0" fontId="24" fillId="16" borderId="3" xfId="0" applyFont="1" applyFill="1" applyBorder="1" applyAlignment="1" applyProtection="1">
      <alignment horizontal="center" vertical="top" wrapText="1"/>
      <protection locked="0"/>
    </xf>
    <xf numFmtId="14" fontId="28" fillId="16" borderId="3" xfId="0" applyNumberFormat="1" applyFont="1" applyFill="1" applyBorder="1" applyAlignment="1" applyProtection="1">
      <alignment horizontal="center" vertical="top" wrapText="1"/>
      <protection locked="0"/>
    </xf>
    <xf numFmtId="0" fontId="8" fillId="16" borderId="3" xfId="0" applyFont="1" applyFill="1" applyBorder="1" applyAlignment="1" applyProtection="1">
      <alignment horizontal="left" vertical="top" wrapText="1"/>
      <protection locked="0"/>
    </xf>
    <xf numFmtId="14" fontId="8" fillId="16" borderId="3" xfId="0" applyNumberFormat="1" applyFont="1" applyFill="1" applyBorder="1" applyAlignment="1" applyProtection="1">
      <alignment horizontal="center" vertical="top" wrapText="1"/>
      <protection locked="0"/>
    </xf>
    <xf numFmtId="164" fontId="8" fillId="0" borderId="27" xfId="0" applyNumberFormat="1" applyFont="1" applyBorder="1" applyAlignment="1">
      <alignment horizontal="center" vertical="top"/>
    </xf>
    <xf numFmtId="164" fontId="24" fillId="0" borderId="27" xfId="0" applyNumberFormat="1" applyFont="1" applyBorder="1" applyAlignment="1">
      <alignment horizontal="center" vertical="top"/>
    </xf>
    <xf numFmtId="0" fontId="24" fillId="5" borderId="3" xfId="0" applyFont="1" applyFill="1" applyBorder="1" applyAlignment="1" applyProtection="1">
      <alignment horizontal="center" vertical="top"/>
      <protection locked="0"/>
    </xf>
    <xf numFmtId="0" fontId="24" fillId="16" borderId="3" xfId="0" applyFont="1" applyFill="1" applyBorder="1" applyAlignment="1" applyProtection="1">
      <alignment vertical="top" wrapText="1"/>
      <protection locked="0"/>
    </xf>
    <xf numFmtId="0" fontId="23" fillId="16" borderId="3" xfId="0" applyFont="1" applyFill="1" applyBorder="1" applyAlignment="1" applyProtection="1">
      <alignment horizontal="left" vertical="top" wrapText="1"/>
      <protection locked="0"/>
    </xf>
    <xf numFmtId="0" fontId="7" fillId="4" borderId="17" xfId="0" applyFont="1" applyFill="1" applyBorder="1" applyAlignment="1">
      <alignment vertical="center"/>
    </xf>
    <xf numFmtId="0" fontId="7" fillId="4" borderId="20" xfId="0" applyFont="1" applyFill="1" applyBorder="1" applyAlignment="1">
      <alignment vertical="center"/>
    </xf>
    <xf numFmtId="0" fontId="4" fillId="0" borderId="0" xfId="0" applyFont="1" applyAlignment="1">
      <alignment horizontal="center" vertical="center"/>
    </xf>
    <xf numFmtId="0" fontId="4" fillId="0" borderId="0" xfId="0" applyFont="1" applyAlignment="1">
      <alignment vertical="center"/>
    </xf>
    <xf numFmtId="0" fontId="0" fillId="0" borderId="0" xfId="0" applyAlignment="1">
      <alignment vertical="center"/>
    </xf>
    <xf numFmtId="0" fontId="11" fillId="2" borderId="1" xfId="0" applyFont="1" applyFill="1" applyBorder="1" applyAlignment="1">
      <alignment horizontal="left" vertical="center"/>
    </xf>
    <xf numFmtId="0" fontId="11" fillId="2" borderId="2" xfId="0" applyFont="1" applyFill="1" applyBorder="1" applyAlignment="1">
      <alignment horizontal="center" vertical="center"/>
    </xf>
    <xf numFmtId="0" fontId="5" fillId="3" borderId="22" xfId="0" applyFont="1" applyFill="1" applyBorder="1" applyAlignment="1">
      <alignment vertical="center" wrapText="1"/>
    </xf>
    <xf numFmtId="0" fontId="6" fillId="3" borderId="4" xfId="0" applyFont="1" applyFill="1" applyBorder="1" applyAlignment="1">
      <alignment horizontal="center" vertical="center" wrapText="1"/>
    </xf>
    <xf numFmtId="0" fontId="6" fillId="3" borderId="23" xfId="0" applyFont="1" applyFill="1" applyBorder="1" applyAlignment="1">
      <alignment horizontal="center" vertical="center" wrapText="1"/>
    </xf>
    <xf numFmtId="0" fontId="0" fillId="0" borderId="3" xfId="0" applyBorder="1" applyAlignment="1">
      <alignment vertical="center"/>
    </xf>
    <xf numFmtId="0" fontId="7" fillId="4" borderId="22" xfId="0" applyFont="1" applyFill="1" applyBorder="1" applyAlignment="1">
      <alignment vertical="center"/>
    </xf>
    <xf numFmtId="0" fontId="8" fillId="4" borderId="18" xfId="0" applyFont="1" applyFill="1" applyBorder="1" applyAlignment="1">
      <alignment vertical="center"/>
    </xf>
    <xf numFmtId="0" fontId="8" fillId="7" borderId="6" xfId="0" applyFont="1" applyFill="1" applyBorder="1" applyAlignment="1">
      <alignment vertical="center" wrapText="1"/>
    </xf>
    <xf numFmtId="0" fontId="0" fillId="5" borderId="6" xfId="0" applyFill="1" applyBorder="1" applyAlignment="1" applyProtection="1">
      <alignment vertical="center"/>
      <protection locked="0"/>
    </xf>
    <xf numFmtId="0" fontId="9" fillId="0" borderId="3" xfId="0" applyFont="1" applyBorder="1" applyAlignment="1">
      <alignment vertical="center" wrapText="1"/>
    </xf>
    <xf numFmtId="0" fontId="0" fillId="5" borderId="3" xfId="0" applyFill="1" applyBorder="1" applyAlignment="1" applyProtection="1">
      <alignment vertical="center"/>
      <protection locked="0"/>
    </xf>
    <xf numFmtId="0" fontId="8" fillId="0" borderId="3" xfId="0" applyFont="1" applyBorder="1" applyAlignment="1">
      <alignment vertical="center"/>
    </xf>
    <xf numFmtId="0" fontId="8" fillId="0" borderId="29" xfId="0" applyFont="1" applyBorder="1" applyAlignment="1">
      <alignment vertical="center"/>
    </xf>
    <xf numFmtId="0" fontId="8" fillId="0" borderId="8" xfId="0" applyFont="1" applyBorder="1" applyAlignment="1">
      <alignment vertical="center"/>
    </xf>
    <xf numFmtId="0" fontId="0" fillId="5" borderId="8" xfId="0" applyFill="1" applyBorder="1" applyAlignment="1" applyProtection="1">
      <alignment vertical="center"/>
      <protection locked="0"/>
    </xf>
    <xf numFmtId="0" fontId="0" fillId="9" borderId="1" xfId="0" applyFill="1" applyBorder="1" applyAlignment="1">
      <alignment vertical="center"/>
    </xf>
    <xf numFmtId="0" fontId="6" fillId="9" borderId="19" xfId="0" applyFont="1" applyFill="1" applyBorder="1" applyAlignment="1">
      <alignment horizontal="center" vertical="center"/>
    </xf>
    <xf numFmtId="0" fontId="6" fillId="9" borderId="19" xfId="0" applyFont="1" applyFill="1" applyBorder="1" applyAlignment="1">
      <alignment horizontal="center" vertical="center" wrapText="1"/>
    </xf>
    <xf numFmtId="0" fontId="5" fillId="3" borderId="30" xfId="0" applyFont="1" applyFill="1" applyBorder="1" applyAlignment="1">
      <alignment vertical="center" wrapText="1"/>
    </xf>
    <xf numFmtId="0" fontId="10" fillId="3" borderId="25" xfId="0" applyFont="1" applyFill="1" applyBorder="1" applyAlignment="1">
      <alignment horizontal="center" vertical="center" wrapText="1"/>
    </xf>
    <xf numFmtId="0" fontId="6" fillId="3" borderId="26" xfId="0" applyFont="1" applyFill="1" applyBorder="1" applyAlignment="1">
      <alignment vertical="center" wrapText="1"/>
    </xf>
    <xf numFmtId="0" fontId="0" fillId="0" borderId="0" xfId="0" applyAlignment="1">
      <alignment horizontal="center" vertical="center"/>
    </xf>
    <xf numFmtId="0" fontId="6" fillId="0" borderId="0" xfId="0" applyFont="1" applyAlignment="1">
      <alignment horizontal="center" vertical="center"/>
    </xf>
    <xf numFmtId="0" fontId="6" fillId="0" borderId="0" xfId="0" applyFont="1" applyAlignment="1">
      <alignment vertical="center"/>
    </xf>
    <xf numFmtId="0" fontId="8" fillId="0" borderId="3" xfId="0" applyFont="1" applyBorder="1" applyAlignment="1">
      <alignment vertical="center" wrapText="1"/>
    </xf>
    <xf numFmtId="49" fontId="8" fillId="5" borderId="3" xfId="0" applyNumberFormat="1"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protection locked="0"/>
    </xf>
    <xf numFmtId="0" fontId="8" fillId="5" borderId="3" xfId="1" applyFont="1" applyFill="1" applyBorder="1" applyAlignment="1" applyProtection="1">
      <alignment horizontal="center" vertical="center"/>
      <protection locked="0"/>
    </xf>
    <xf numFmtId="0" fontId="8" fillId="5" borderId="3" xfId="0" applyFont="1" applyFill="1" applyBorder="1" applyAlignment="1" applyProtection="1">
      <alignment vertical="center" wrapText="1"/>
      <protection locked="0"/>
    </xf>
    <xf numFmtId="0" fontId="2" fillId="5" borderId="3" xfId="1" applyFill="1" applyBorder="1" applyAlignment="1" applyProtection="1">
      <alignment horizontal="center" vertical="center"/>
      <protection locked="0"/>
    </xf>
    <xf numFmtId="0" fontId="0" fillId="5" borderId="3" xfId="0" applyFill="1" applyBorder="1" applyAlignment="1" applyProtection="1">
      <alignment horizontal="center" vertical="center"/>
      <protection locked="0"/>
    </xf>
    <xf numFmtId="0" fontId="22" fillId="0" borderId="0" xfId="0" applyFont="1" applyAlignment="1">
      <alignment horizontal="center" vertical="center"/>
    </xf>
    <xf numFmtId="0" fontId="22" fillId="0" borderId="35" xfId="0" applyFont="1" applyBorder="1" applyAlignment="1">
      <alignment horizontal="center" vertical="center" wrapText="1"/>
    </xf>
    <xf numFmtId="0" fontId="7" fillId="4" borderId="17" xfId="0" applyFont="1" applyFill="1" applyBorder="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5" fillId="0" borderId="0" xfId="0" applyFont="1" applyAlignment="1">
      <alignment vertical="center" wrapText="1"/>
    </xf>
    <xf numFmtId="0" fontId="8" fillId="0" borderId="0" xfId="0" applyFont="1" applyAlignment="1">
      <alignment horizontal="center" vertical="center"/>
    </xf>
    <xf numFmtId="0" fontId="8" fillId="0" borderId="0" xfId="0" applyFont="1" applyAlignment="1">
      <alignment vertical="center"/>
    </xf>
    <xf numFmtId="0" fontId="5" fillId="8" borderId="3" xfId="0" applyFont="1" applyFill="1" applyBorder="1" applyAlignment="1">
      <alignment vertical="center" wrapText="1"/>
    </xf>
    <xf numFmtId="0" fontId="8" fillId="0" borderId="3" xfId="0" applyFont="1" applyBorder="1" applyAlignment="1">
      <alignment horizontal="center" vertical="center"/>
    </xf>
    <xf numFmtId="0" fontId="8" fillId="7" borderId="3" xfId="0" applyFont="1" applyFill="1" applyBorder="1" applyAlignment="1">
      <alignment vertical="center" wrapText="1"/>
    </xf>
    <xf numFmtId="0" fontId="8" fillId="6" borderId="3" xfId="0" applyFont="1" applyFill="1" applyBorder="1" applyAlignment="1" applyProtection="1">
      <alignment horizontal="center" vertical="center"/>
      <protection locked="0"/>
    </xf>
    <xf numFmtId="0" fontId="8" fillId="6" borderId="3" xfId="0" applyFont="1" applyFill="1" applyBorder="1" applyAlignment="1" applyProtection="1">
      <alignment vertical="center" wrapText="1"/>
      <protection locked="0"/>
    </xf>
    <xf numFmtId="0" fontId="0" fillId="0" borderId="17" xfId="0" applyBorder="1" applyAlignment="1">
      <alignment horizontal="center" vertical="center"/>
    </xf>
    <xf numFmtId="0" fontId="5" fillId="8" borderId="20" xfId="0" applyFont="1" applyFill="1" applyBorder="1" applyAlignment="1">
      <alignment vertical="center" wrapText="1"/>
    </xf>
    <xf numFmtId="49" fontId="0" fillId="5" borderId="3" xfId="0" applyNumberFormat="1" applyFill="1" applyBorder="1" applyAlignment="1" applyProtection="1">
      <alignment horizontal="center" vertical="center"/>
      <protection locked="0"/>
    </xf>
    <xf numFmtId="0" fontId="0" fillId="5" borderId="3" xfId="0" quotePrefix="1" applyFill="1" applyBorder="1" applyAlignment="1" applyProtection="1">
      <alignment horizontal="center" vertical="center"/>
      <protection locked="0"/>
    </xf>
    <xf numFmtId="0" fontId="2" fillId="5" borderId="3" xfId="1" applyFill="1" applyBorder="1" applyAlignment="1" applyProtection="1">
      <alignment horizontal="center" vertical="center" wrapText="1"/>
      <protection locked="0"/>
    </xf>
    <xf numFmtId="0" fontId="0" fillId="5" borderId="6" xfId="0" applyFill="1" applyBorder="1" applyAlignment="1" applyProtection="1">
      <alignment horizontal="center" vertical="center"/>
      <protection locked="0"/>
    </xf>
    <xf numFmtId="0" fontId="2" fillId="5" borderId="6" xfId="1" applyFill="1" applyBorder="1" applyAlignment="1" applyProtection="1">
      <alignment horizontal="center" vertical="center"/>
      <protection locked="0"/>
    </xf>
    <xf numFmtId="0" fontId="2" fillId="5" borderId="8" xfId="1" applyFill="1" applyBorder="1" applyAlignment="1" applyProtection="1">
      <alignment horizontal="center" vertical="center"/>
      <protection locked="0"/>
    </xf>
    <xf numFmtId="0" fontId="0" fillId="5" borderId="8" xfId="0" applyFill="1" applyBorder="1" applyAlignment="1" applyProtection="1">
      <alignment horizontal="center" vertical="center"/>
      <protection locked="0"/>
    </xf>
    <xf numFmtId="0" fontId="25" fillId="5" borderId="3" xfId="0" applyFont="1" applyFill="1" applyBorder="1" applyAlignment="1" applyProtection="1">
      <alignment horizontal="center" vertical="center"/>
      <protection locked="0"/>
    </xf>
    <xf numFmtId="14" fontId="8" fillId="5" borderId="3" xfId="1" applyNumberFormat="1" applyFont="1" applyFill="1" applyBorder="1" applyAlignment="1" applyProtection="1">
      <alignment horizontal="center" vertical="center"/>
      <protection locked="0"/>
    </xf>
    <xf numFmtId="0" fontId="8" fillId="5" borderId="3" xfId="1" applyFont="1" applyFill="1" applyBorder="1" applyAlignment="1" applyProtection="1">
      <alignment vertical="center" wrapText="1"/>
      <protection locked="0"/>
    </xf>
    <xf numFmtId="0" fontId="5" fillId="8" borderId="17" xfId="0" applyFont="1" applyFill="1" applyBorder="1" applyAlignment="1">
      <alignment vertical="center" wrapText="1"/>
    </xf>
    <xf numFmtId="0" fontId="8" fillId="0" borderId="6" xfId="0" applyFont="1" applyBorder="1" applyAlignment="1">
      <alignment vertical="center"/>
    </xf>
    <xf numFmtId="14" fontId="8" fillId="5" borderId="3" xfId="0" applyNumberFormat="1" applyFont="1" applyFill="1" applyBorder="1" applyAlignment="1" applyProtection="1">
      <alignment horizontal="center" vertical="center"/>
      <protection locked="0"/>
    </xf>
    <xf numFmtId="0" fontId="13" fillId="2" borderId="39" xfId="0" applyFont="1" applyFill="1" applyBorder="1" applyAlignment="1">
      <alignment vertical="center"/>
    </xf>
    <xf numFmtId="0" fontId="13" fillId="2" borderId="39" xfId="0" applyFont="1" applyFill="1" applyBorder="1" applyAlignment="1">
      <alignment horizontal="left" vertical="center"/>
    </xf>
    <xf numFmtId="0" fontId="13" fillId="2" borderId="41" xfId="0" applyFont="1" applyFill="1" applyBorder="1" applyAlignment="1">
      <alignment horizontal="left" vertical="center"/>
    </xf>
    <xf numFmtId="0" fontId="0" fillId="0" borderId="0" xfId="0" applyAlignment="1">
      <alignment vertical="center" wrapText="1"/>
    </xf>
    <xf numFmtId="0" fontId="7" fillId="4" borderId="18" xfId="0" applyFont="1" applyFill="1" applyBorder="1" applyAlignment="1">
      <alignment vertical="center"/>
    </xf>
    <xf numFmtId="0" fontId="0" fillId="0" borderId="6" xfId="0" applyBorder="1" applyAlignment="1">
      <alignment vertical="center"/>
    </xf>
    <xf numFmtId="0" fontId="0" fillId="0" borderId="0" xfId="0" applyAlignment="1">
      <alignment horizontal="center" vertical="center" wrapText="1"/>
    </xf>
    <xf numFmtId="0" fontId="0" fillId="5" borderId="0" xfId="0" applyFill="1" applyAlignment="1" applyProtection="1">
      <alignment vertical="center"/>
      <protection locked="0"/>
    </xf>
    <xf numFmtId="0" fontId="0" fillId="5" borderId="3" xfId="0" applyFill="1" applyBorder="1" applyAlignment="1" applyProtection="1">
      <alignment horizontal="center" vertical="center" wrapText="1"/>
      <protection locked="0"/>
    </xf>
    <xf numFmtId="0" fontId="0" fillId="0" borderId="3" xfId="0" applyBorder="1" applyAlignment="1">
      <alignment horizontal="center" vertical="center"/>
    </xf>
    <xf numFmtId="0" fontId="8" fillId="0" borderId="3" xfId="1" applyNumberFormat="1" applyFont="1" applyFill="1" applyBorder="1" applyAlignment="1" applyProtection="1">
      <alignment horizontal="center" vertical="center"/>
    </xf>
    <xf numFmtId="0" fontId="9" fillId="0" borderId="8" xfId="0" applyFont="1" applyBorder="1" applyAlignment="1">
      <alignment vertical="center" wrapText="1"/>
    </xf>
    <xf numFmtId="0" fontId="0" fillId="5" borderId="9" xfId="0" applyFill="1" applyBorder="1" applyAlignment="1" applyProtection="1">
      <alignment horizontal="center" vertical="center"/>
      <protection locked="0"/>
    </xf>
    <xf numFmtId="0" fontId="9" fillId="5" borderId="3" xfId="0" applyFont="1" applyFill="1" applyBorder="1" applyAlignment="1" applyProtection="1">
      <alignment vertical="center" wrapText="1"/>
      <protection locked="0"/>
    </xf>
    <xf numFmtId="0" fontId="0" fillId="6" borderId="8" xfId="0" applyFill="1" applyBorder="1" applyAlignment="1" applyProtection="1">
      <alignment horizontal="center" vertical="center" wrapText="1"/>
      <protection locked="0"/>
    </xf>
    <xf numFmtId="0" fontId="0" fillId="5" borderId="11" xfId="0" applyFill="1" applyBorder="1" applyAlignment="1" applyProtection="1">
      <alignment vertical="center"/>
      <protection locked="0"/>
    </xf>
    <xf numFmtId="0" fontId="8" fillId="0" borderId="12" xfId="0" applyFont="1" applyBorder="1" applyAlignment="1">
      <alignment horizontal="center" vertical="center"/>
    </xf>
    <xf numFmtId="0" fontId="8" fillId="0" borderId="10" xfId="0" applyFont="1" applyBorder="1" applyAlignment="1">
      <alignment horizontal="center" vertical="center"/>
    </xf>
    <xf numFmtId="0" fontId="8" fillId="0" borderId="10" xfId="1" applyFont="1" applyBorder="1" applyAlignment="1" applyProtection="1">
      <alignment horizontal="center" vertical="center"/>
    </xf>
    <xf numFmtId="0" fontId="8" fillId="0" borderId="6" xfId="1" applyFont="1" applyBorder="1" applyAlignment="1" applyProtection="1">
      <alignment horizontal="center" vertical="center"/>
    </xf>
    <xf numFmtId="14" fontId="8" fillId="6" borderId="3" xfId="1" applyNumberFormat="1" applyFont="1" applyFill="1" applyBorder="1" applyAlignment="1" applyProtection="1">
      <alignment horizontal="center" vertical="center"/>
      <protection locked="0"/>
    </xf>
    <xf numFmtId="49" fontId="8" fillId="0" borderId="3"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8" fillId="0" borderId="3" xfId="1" applyNumberFormat="1" applyFont="1" applyBorder="1" applyAlignment="1" applyProtection="1">
      <alignment horizontal="center" vertical="center"/>
    </xf>
    <xf numFmtId="14" fontId="8" fillId="0" borderId="7" xfId="0" applyNumberFormat="1" applyFont="1" applyBorder="1" applyAlignment="1">
      <alignment horizontal="center" vertical="center"/>
    </xf>
    <xf numFmtId="14" fontId="8" fillId="0" borderId="7" xfId="1" applyNumberFormat="1" applyFont="1" applyBorder="1" applyAlignment="1" applyProtection="1">
      <alignment horizontal="center" vertical="center"/>
    </xf>
    <xf numFmtId="0" fontId="8" fillId="5" borderId="3" xfId="1" applyFont="1" applyFill="1" applyBorder="1" applyAlignment="1" applyProtection="1">
      <alignment horizontal="center" vertical="center" wrapText="1"/>
      <protection locked="0"/>
    </xf>
    <xf numFmtId="14" fontId="8" fillId="0" borderId="8" xfId="1" applyNumberFormat="1" applyFont="1" applyBorder="1" applyAlignment="1" applyProtection="1">
      <alignment horizontal="center" vertical="center"/>
    </xf>
    <xf numFmtId="0" fontId="8" fillId="0" borderId="3" xfId="1" applyFont="1" applyBorder="1" applyAlignment="1" applyProtection="1">
      <alignment horizontal="center" vertical="center"/>
    </xf>
    <xf numFmtId="0" fontId="8" fillId="0" borderId="0" xfId="1" applyFont="1" applyAlignment="1" applyProtection="1">
      <alignment horizontal="center" vertical="center"/>
    </xf>
    <xf numFmtId="0" fontId="9" fillId="7" borderId="3" xfId="0" applyFont="1" applyFill="1" applyBorder="1" applyAlignment="1">
      <alignment vertical="center" wrapText="1"/>
    </xf>
    <xf numFmtId="0" fontId="0" fillId="5" borderId="7" xfId="0" applyFill="1" applyBorder="1" applyAlignment="1" applyProtection="1">
      <alignment horizontal="center" vertical="center"/>
      <protection locked="0"/>
    </xf>
    <xf numFmtId="0" fontId="0" fillId="5" borderId="13" xfId="0" applyFill="1" applyBorder="1" applyAlignment="1" applyProtection="1">
      <alignment horizontal="center" vertical="center"/>
      <protection locked="0"/>
    </xf>
    <xf numFmtId="0" fontId="8" fillId="0" borderId="13" xfId="0" applyFont="1" applyBorder="1" applyAlignment="1">
      <alignment vertical="center"/>
    </xf>
    <xf numFmtId="0" fontId="9" fillId="7" borderId="13" xfId="0" applyFont="1" applyFill="1" applyBorder="1" applyAlignment="1">
      <alignment vertical="center" wrapText="1"/>
    </xf>
    <xf numFmtId="0" fontId="9" fillId="7" borderId="15" xfId="0" applyFont="1" applyFill="1" applyBorder="1" applyAlignment="1">
      <alignment vertical="center" wrapText="1"/>
    </xf>
    <xf numFmtId="0" fontId="9" fillId="0" borderId="0" xfId="0" applyFont="1" applyAlignment="1">
      <alignment vertical="center" wrapText="1"/>
    </xf>
    <xf numFmtId="49" fontId="0" fillId="0" borderId="0" xfId="0" applyNumberFormat="1" applyAlignment="1" applyProtection="1">
      <alignment horizontal="center" vertical="center"/>
      <protection locked="0"/>
    </xf>
    <xf numFmtId="0" fontId="2" fillId="0" borderId="0" xfId="1" applyFill="1" applyBorder="1" applyAlignment="1" applyProtection="1">
      <alignment horizontal="center" vertical="center"/>
      <protection locked="0"/>
    </xf>
    <xf numFmtId="0" fontId="0" fillId="0" borderId="0" xfId="0" applyAlignment="1" applyProtection="1">
      <alignment horizontal="center" vertical="center"/>
      <protection locked="0"/>
    </xf>
    <xf numFmtId="49" fontId="0" fillId="5" borderId="3" xfId="0" applyNumberFormat="1" applyFill="1" applyBorder="1" applyAlignment="1" applyProtection="1">
      <alignment horizontal="left" vertical="center"/>
      <protection locked="0"/>
    </xf>
    <xf numFmtId="0" fontId="8" fillId="0" borderId="24" xfId="0" applyFont="1" applyBorder="1" applyAlignment="1">
      <alignment horizontal="center" vertical="center"/>
    </xf>
    <xf numFmtId="0" fontId="8" fillId="0" borderId="44" xfId="0" applyFont="1" applyBorder="1" applyAlignment="1">
      <alignment horizontal="center" vertical="center"/>
    </xf>
    <xf numFmtId="0" fontId="8" fillId="0" borderId="44" xfId="0" applyFont="1" applyBorder="1" applyAlignment="1">
      <alignment vertical="center"/>
    </xf>
    <xf numFmtId="0" fontId="0" fillId="0" borderId="28" xfId="0" applyBorder="1" applyAlignment="1">
      <alignment horizontal="center" vertical="center"/>
    </xf>
    <xf numFmtId="0" fontId="8" fillId="0" borderId="6" xfId="0" applyFont="1" applyBorder="1" applyAlignment="1">
      <alignment vertical="center" wrapText="1"/>
    </xf>
    <xf numFmtId="0" fontId="6" fillId="8" borderId="17" xfId="0" applyFont="1" applyFill="1" applyBorder="1" applyAlignment="1">
      <alignment vertical="center"/>
    </xf>
    <xf numFmtId="0" fontId="16" fillId="5" borderId="3" xfId="0" applyFont="1" applyFill="1" applyBorder="1" applyAlignment="1">
      <alignment horizontal="left" vertical="top" wrapText="1"/>
    </xf>
    <xf numFmtId="0" fontId="16" fillId="5" borderId="3" xfId="0" applyFont="1" applyFill="1" applyBorder="1" applyAlignment="1">
      <alignment horizontal="center" vertical="top" wrapText="1"/>
    </xf>
    <xf numFmtId="0" fontId="5" fillId="16" borderId="3" xfId="0" applyFont="1" applyFill="1" applyBorder="1" applyAlignment="1">
      <alignment horizontal="left" vertical="top" wrapText="1"/>
    </xf>
    <xf numFmtId="0" fontId="24" fillId="16" borderId="3" xfId="0" applyFont="1" applyFill="1" applyBorder="1" applyAlignment="1">
      <alignment horizontal="center" vertical="top" wrapText="1"/>
    </xf>
    <xf numFmtId="0" fontId="24" fillId="5" borderId="3" xfId="0" applyFont="1" applyFill="1" applyBorder="1" applyAlignment="1">
      <alignment horizontal="center" vertical="top"/>
    </xf>
    <xf numFmtId="0" fontId="24" fillId="16" borderId="3" xfId="0" applyFont="1" applyFill="1" applyBorder="1" applyAlignment="1">
      <alignment vertical="top" wrapText="1"/>
    </xf>
    <xf numFmtId="0" fontId="0" fillId="0" borderId="0" xfId="0" applyAlignment="1">
      <alignment vertical="top"/>
    </xf>
    <xf numFmtId="0" fontId="0" fillId="13" borderId="0" xfId="0" applyFill="1" applyAlignment="1">
      <alignment vertical="top"/>
    </xf>
    <xf numFmtId="0" fontId="0" fillId="13" borderId="0" xfId="0" applyFill="1" applyAlignment="1">
      <alignment horizontal="right" vertical="top"/>
    </xf>
    <xf numFmtId="0" fontId="6" fillId="0" borderId="0" xfId="0" quotePrefix="1" applyFont="1" applyAlignment="1">
      <alignment vertical="top"/>
    </xf>
    <xf numFmtId="0" fontId="0" fillId="12" borderId="35" xfId="0" applyFill="1" applyBorder="1" applyAlignment="1">
      <alignment vertical="top"/>
    </xf>
    <xf numFmtId="0" fontId="6" fillId="0" borderId="36" xfId="0" quotePrefix="1" applyFont="1" applyBorder="1" applyAlignment="1">
      <alignment vertical="top"/>
    </xf>
    <xf numFmtId="0" fontId="0" fillId="0" borderId="0" xfId="0" applyAlignment="1">
      <alignment horizontal="right" vertical="top"/>
    </xf>
    <xf numFmtId="0" fontId="21" fillId="0" borderId="0" xfId="0" quotePrefix="1" applyFont="1" applyAlignment="1">
      <alignment horizontal="center" vertical="top"/>
    </xf>
    <xf numFmtId="0" fontId="21" fillId="0" borderId="0" xfId="0" applyFont="1" applyAlignment="1">
      <alignment horizontal="center" vertical="top"/>
    </xf>
    <xf numFmtId="0" fontId="21" fillId="0" borderId="33" xfId="0" quotePrefix="1" applyFont="1" applyBorder="1" applyAlignment="1">
      <alignment horizontal="center" vertical="top"/>
    </xf>
    <xf numFmtId="0" fontId="21" fillId="0" borderId="34" xfId="0" applyFont="1" applyBorder="1" applyAlignment="1">
      <alignment horizontal="center" vertical="top"/>
    </xf>
    <xf numFmtId="0" fontId="0" fillId="0" borderId="0" xfId="0" applyAlignment="1">
      <alignment horizontal="center" vertical="top"/>
    </xf>
    <xf numFmtId="0" fontId="8" fillId="0" borderId="0" xfId="0" quotePrefix="1" applyFont="1" applyAlignment="1">
      <alignment horizontal="center" vertical="top"/>
    </xf>
    <xf numFmtId="0" fontId="8" fillId="0" borderId="0" xfId="0" applyFont="1" applyAlignment="1">
      <alignment horizontal="center" vertical="top"/>
    </xf>
    <xf numFmtId="0" fontId="8" fillId="0" borderId="33" xfId="0" quotePrefix="1" applyFont="1" applyBorder="1" applyAlignment="1">
      <alignment horizontal="center" vertical="top"/>
    </xf>
    <xf numFmtId="0" fontId="8" fillId="0" borderId="34" xfId="0" applyFont="1" applyBorder="1" applyAlignment="1">
      <alignment horizontal="center" vertical="top"/>
    </xf>
    <xf numFmtId="0" fontId="6" fillId="0" borderId="0" xfId="0" applyFont="1" applyAlignment="1">
      <alignment vertical="top"/>
    </xf>
    <xf numFmtId="0" fontId="6" fillId="11" borderId="0" xfId="0" applyFont="1" applyFill="1" applyAlignment="1">
      <alignment vertical="top"/>
    </xf>
    <xf numFmtId="165" fontId="0" fillId="11" borderId="0" xfId="0" applyNumberFormat="1" applyFill="1" applyAlignment="1">
      <alignment horizontal="center" vertical="top"/>
    </xf>
    <xf numFmtId="165" fontId="0" fillId="11" borderId="33" xfId="0" applyNumberFormat="1" applyFill="1" applyBorder="1" applyAlignment="1">
      <alignment horizontal="center" vertical="top"/>
    </xf>
    <xf numFmtId="165" fontId="0" fillId="11" borderId="34" xfId="0" applyNumberFormat="1" applyFill="1" applyBorder="1" applyAlignment="1">
      <alignment horizontal="center" vertical="top"/>
    </xf>
    <xf numFmtId="16" fontId="0" fillId="0" borderId="0" xfId="0" applyNumberFormat="1" applyAlignment="1">
      <alignment vertical="top"/>
    </xf>
    <xf numFmtId="14" fontId="0" fillId="0" borderId="0" xfId="0" applyNumberFormat="1" applyAlignment="1">
      <alignment vertical="top"/>
    </xf>
    <xf numFmtId="0" fontId="0" fillId="0" borderId="33" xfId="0" applyBorder="1" applyAlignment="1">
      <alignment vertical="top"/>
    </xf>
    <xf numFmtId="0" fontId="0" fillId="0" borderId="34" xfId="0" applyBorder="1" applyAlignment="1">
      <alignment vertical="top"/>
    </xf>
    <xf numFmtId="0" fontId="0" fillId="0" borderId="36" xfId="0" applyBorder="1" applyAlignment="1">
      <alignment vertical="top"/>
    </xf>
    <xf numFmtId="0" fontId="0" fillId="12" borderId="37" xfId="0" applyFill="1" applyBorder="1" applyAlignment="1">
      <alignment vertical="top"/>
    </xf>
    <xf numFmtId="0" fontId="0" fillId="0" borderId="38" xfId="0" applyBorder="1" applyAlignment="1">
      <alignment vertical="top"/>
    </xf>
    <xf numFmtId="0" fontId="0" fillId="5" borderId="3" xfId="0" quotePrefix="1" applyFill="1" applyBorder="1" applyAlignment="1" applyProtection="1">
      <alignment horizontal="center" vertical="center" wrapText="1"/>
      <protection locked="0"/>
    </xf>
    <xf numFmtId="0" fontId="0" fillId="6" borderId="3" xfId="0" applyFill="1" applyBorder="1" applyAlignment="1" applyProtection="1">
      <alignment horizontal="center" vertical="center"/>
      <protection locked="0"/>
    </xf>
    <xf numFmtId="0" fontId="0" fillId="5" borderId="6" xfId="0" applyFill="1" applyBorder="1" applyAlignment="1" applyProtection="1">
      <alignment vertical="center" wrapText="1"/>
      <protection locked="0"/>
    </xf>
    <xf numFmtId="0" fontId="8" fillId="5" borderId="6" xfId="0" applyFont="1" applyFill="1" applyBorder="1" applyAlignment="1" applyProtection="1">
      <alignment horizontal="center" vertical="center"/>
      <protection locked="0"/>
    </xf>
    <xf numFmtId="0" fontId="2" fillId="5" borderId="7" xfId="1" applyFill="1" applyBorder="1" applyAlignment="1" applyProtection="1">
      <alignment horizontal="center" vertical="center"/>
      <protection locked="0"/>
    </xf>
    <xf numFmtId="14" fontId="5" fillId="16" borderId="3" xfId="0" applyNumberFormat="1" applyFont="1" applyFill="1" applyBorder="1" applyAlignment="1" applyProtection="1">
      <alignment horizontal="center" vertical="top" wrapText="1"/>
      <protection locked="0"/>
    </xf>
    <xf numFmtId="164" fontId="6" fillId="0" borderId="3" xfId="0" applyNumberFormat="1" applyFont="1" applyBorder="1" applyAlignment="1">
      <alignment horizontal="center" vertical="top"/>
    </xf>
    <xf numFmtId="0" fontId="2" fillId="5" borderId="3" xfId="1" applyFill="1" applyBorder="1" applyAlignment="1" applyProtection="1">
      <alignment horizontal="left" vertical="center"/>
      <protection locked="0"/>
    </xf>
    <xf numFmtId="14" fontId="8" fillId="0" borderId="10" xfId="0" applyNumberFormat="1" applyFont="1" applyBorder="1" applyAlignment="1">
      <alignment horizontal="center" vertical="center"/>
    </xf>
    <xf numFmtId="0" fontId="0" fillId="5" borderId="7" xfId="0" applyFill="1" applyBorder="1" applyAlignment="1" applyProtection="1">
      <alignment horizontal="center" vertical="center" wrapText="1"/>
      <protection locked="0"/>
    </xf>
    <xf numFmtId="0" fontId="13" fillId="2" borderId="39" xfId="0" applyFont="1" applyFill="1" applyBorder="1"/>
    <xf numFmtId="0" fontId="13" fillId="2" borderId="39" xfId="0" applyFont="1" applyFill="1" applyBorder="1" applyAlignment="1">
      <alignment horizontal="center"/>
    </xf>
    <xf numFmtId="0" fontId="13" fillId="2" borderId="39" xfId="0" applyFont="1" applyFill="1" applyBorder="1" applyAlignment="1">
      <alignment horizontal="left"/>
    </xf>
    <xf numFmtId="0" fontId="11" fillId="2" borderId="4" xfId="0" applyFont="1" applyFill="1" applyBorder="1"/>
    <xf numFmtId="0" fontId="11" fillId="2" borderId="23" xfId="0" applyFont="1" applyFill="1" applyBorder="1"/>
    <xf numFmtId="0" fontId="11" fillId="2" borderId="2" xfId="0" applyFont="1" applyFill="1" applyBorder="1" applyAlignment="1">
      <alignment vertical="center"/>
    </xf>
    <xf numFmtId="0" fontId="11" fillId="2" borderId="21" xfId="0" applyFont="1" applyFill="1" applyBorder="1" applyAlignment="1">
      <alignment vertical="center"/>
    </xf>
    <xf numFmtId="166" fontId="8" fillId="6" borderId="3" xfId="0" applyNumberFormat="1" applyFont="1" applyFill="1" applyBorder="1" applyAlignment="1" applyProtection="1">
      <alignment horizontal="center" vertical="center"/>
      <protection locked="0"/>
    </xf>
    <xf numFmtId="166" fontId="2" fillId="5" borderId="3" xfId="1" applyNumberFormat="1" applyFill="1" applyBorder="1" applyAlignment="1" applyProtection="1">
      <alignment horizontal="center" vertical="center"/>
      <protection locked="0"/>
    </xf>
    <xf numFmtId="166" fontId="0" fillId="6" borderId="3" xfId="0" applyNumberFormat="1" applyFill="1" applyBorder="1" applyAlignment="1" applyProtection="1">
      <alignment horizontal="center" vertical="center"/>
      <protection locked="0"/>
    </xf>
    <xf numFmtId="166" fontId="8" fillId="5" borderId="3" xfId="1" applyNumberFormat="1" applyFont="1" applyFill="1" applyBorder="1" applyAlignment="1" applyProtection="1">
      <alignment horizontal="center" vertical="center"/>
      <protection locked="0"/>
    </xf>
    <xf numFmtId="166" fontId="0" fillId="5" borderId="3" xfId="0" applyNumberFormat="1" applyFill="1" applyBorder="1" applyAlignment="1" applyProtection="1">
      <alignment horizontal="center" vertical="center"/>
      <protection locked="0"/>
    </xf>
    <xf numFmtId="166" fontId="0" fillId="5" borderId="6" xfId="0" applyNumberFormat="1" applyFill="1" applyBorder="1" applyAlignment="1" applyProtection="1">
      <alignment horizontal="center" vertical="center"/>
      <protection locked="0"/>
    </xf>
    <xf numFmtId="166" fontId="8" fillId="5" borderId="3" xfId="0" applyNumberFormat="1" applyFont="1" applyFill="1" applyBorder="1" applyAlignment="1" applyProtection="1">
      <alignment horizontal="center" vertical="center"/>
      <protection locked="0"/>
    </xf>
    <xf numFmtId="167" fontId="8" fillId="5" borderId="3" xfId="0" applyNumberFormat="1" applyFont="1" applyFill="1" applyBorder="1" applyAlignment="1" applyProtection="1">
      <alignment horizontal="center" vertical="center"/>
      <protection locked="0"/>
    </xf>
    <xf numFmtId="167" fontId="8" fillId="6" borderId="3" xfId="0" applyNumberFormat="1" applyFont="1" applyFill="1" applyBorder="1" applyAlignment="1" applyProtection="1">
      <alignment horizontal="center" vertical="center"/>
      <protection locked="0"/>
    </xf>
    <xf numFmtId="167" fontId="0" fillId="5" borderId="3" xfId="0" applyNumberFormat="1" applyFill="1" applyBorder="1" applyAlignment="1" applyProtection="1">
      <alignment horizontal="center" vertical="center"/>
      <protection locked="0"/>
    </xf>
    <xf numFmtId="168" fontId="8" fillId="5" borderId="3" xfId="0" applyNumberFormat="1" applyFont="1" applyFill="1" applyBorder="1" applyAlignment="1" applyProtection="1">
      <alignment horizontal="center" vertical="center"/>
      <protection locked="0"/>
    </xf>
    <xf numFmtId="168" fontId="0" fillId="5" borderId="3" xfId="0" applyNumberFormat="1" applyFill="1" applyBorder="1" applyAlignment="1" applyProtection="1">
      <alignment horizontal="center" vertical="center"/>
      <protection locked="0"/>
    </xf>
    <xf numFmtId="168" fontId="8" fillId="6" borderId="3" xfId="0" applyNumberFormat="1" applyFont="1" applyFill="1" applyBorder="1" applyAlignment="1" applyProtection="1">
      <alignment horizontal="center" vertical="center"/>
      <protection locked="0"/>
    </xf>
    <xf numFmtId="167" fontId="8" fillId="0" borderId="3" xfId="0" applyNumberFormat="1" applyFont="1" applyBorder="1" applyAlignment="1">
      <alignment horizontal="center" vertical="center"/>
    </xf>
    <xf numFmtId="168" fontId="8" fillId="0" borderId="3" xfId="0" applyNumberFormat="1" applyFont="1" applyBorder="1" applyAlignment="1">
      <alignment horizontal="center" vertical="center"/>
    </xf>
    <xf numFmtId="168" fontId="8" fillId="0" borderId="10" xfId="0" applyNumberFormat="1" applyFont="1" applyBorder="1" applyAlignment="1">
      <alignment horizontal="center" vertical="center"/>
    </xf>
    <xf numFmtId="168" fontId="8" fillId="0" borderId="6" xfId="0" applyNumberFormat="1" applyFont="1" applyBorder="1" applyAlignment="1">
      <alignment horizontal="center" vertical="center"/>
    </xf>
    <xf numFmtId="168" fontId="8" fillId="0" borderId="8" xfId="0" applyNumberFormat="1" applyFont="1" applyBorder="1" applyAlignment="1">
      <alignment horizontal="center" vertical="center"/>
    </xf>
    <xf numFmtId="168" fontId="8" fillId="0" borderId="8" xfId="0" applyNumberFormat="1" applyFont="1" applyBorder="1" applyAlignment="1">
      <alignment horizontal="center" vertical="center" wrapText="1"/>
    </xf>
    <xf numFmtId="168" fontId="0" fillId="5" borderId="3" xfId="0" applyNumberFormat="1" applyFill="1" applyBorder="1" applyAlignment="1" applyProtection="1">
      <alignment horizontal="center" vertical="center" wrapText="1"/>
      <protection locked="0"/>
    </xf>
    <xf numFmtId="168" fontId="0" fillId="0" borderId="3" xfId="0" applyNumberFormat="1" applyBorder="1" applyAlignment="1">
      <alignment horizontal="center" vertical="center" wrapText="1"/>
    </xf>
    <xf numFmtId="168" fontId="0" fillId="0" borderId="3" xfId="0" applyNumberFormat="1" applyBorder="1" applyAlignment="1">
      <alignment horizontal="center" vertical="center"/>
    </xf>
    <xf numFmtId="168" fontId="0" fillId="5" borderId="8" xfId="0" applyNumberFormat="1" applyFill="1" applyBorder="1" applyAlignment="1" applyProtection="1">
      <alignment horizontal="center" vertical="center"/>
      <protection locked="0"/>
    </xf>
    <xf numFmtId="168" fontId="0" fillId="6" borderId="8" xfId="0" applyNumberFormat="1" applyFill="1" applyBorder="1" applyAlignment="1" applyProtection="1">
      <alignment horizontal="center" vertical="center" wrapText="1"/>
      <protection locked="0"/>
    </xf>
    <xf numFmtId="0" fontId="2" fillId="6" borderId="7" xfId="1" applyFill="1" applyBorder="1" applyAlignment="1" applyProtection="1">
      <alignment horizontal="center" vertical="center"/>
      <protection locked="0"/>
    </xf>
    <xf numFmtId="0" fontId="11" fillId="2" borderId="1" xfId="0" applyFont="1" applyFill="1" applyBorder="1" applyAlignment="1">
      <alignment vertical="center"/>
    </xf>
    <xf numFmtId="0" fontId="2" fillId="5" borderId="7" xfId="1" applyFill="1" applyBorder="1" applyAlignment="1" applyProtection="1">
      <alignment horizontal="center" vertical="center" wrapText="1"/>
      <protection locked="0"/>
    </xf>
    <xf numFmtId="0" fontId="8" fillId="5" borderId="3" xfId="1" applyNumberFormat="1" applyFont="1" applyFill="1" applyBorder="1" applyAlignment="1" applyProtection="1">
      <alignment horizontal="center" vertical="center"/>
      <protection locked="0"/>
    </xf>
    <xf numFmtId="0" fontId="12" fillId="5" borderId="3" xfId="0" applyFont="1" applyFill="1" applyBorder="1" applyAlignment="1" applyProtection="1">
      <alignment horizontal="center" vertical="center"/>
      <protection locked="0"/>
    </xf>
    <xf numFmtId="0" fontId="7" fillId="0" borderId="0" xfId="0" applyFont="1" applyAlignment="1">
      <alignment vertical="center"/>
    </xf>
    <xf numFmtId="0" fontId="9" fillId="7" borderId="7" xfId="0" applyFont="1" applyFill="1" applyBorder="1" applyAlignment="1">
      <alignment vertical="center" wrapText="1"/>
    </xf>
    <xf numFmtId="0" fontId="8" fillId="0" borderId="7" xfId="0" applyFont="1" applyBorder="1" applyAlignment="1">
      <alignment vertical="center"/>
    </xf>
    <xf numFmtId="0" fontId="0" fillId="0" borderId="0" xfId="0" applyProtection="1">
      <protection locked="0"/>
    </xf>
    <xf numFmtId="0" fontId="11" fillId="2" borderId="4" xfId="0" applyFont="1" applyFill="1" applyBorder="1" applyAlignment="1">
      <alignment vertical="center"/>
    </xf>
    <xf numFmtId="0" fontId="11" fillId="2" borderId="4" xfId="0" applyFont="1" applyFill="1" applyBorder="1" applyAlignment="1">
      <alignment horizontal="center" vertical="center"/>
    </xf>
    <xf numFmtId="0" fontId="11" fillId="2" borderId="23" xfId="0" applyFont="1" applyFill="1" applyBorder="1" applyAlignment="1">
      <alignment vertical="center"/>
    </xf>
    <xf numFmtId="0" fontId="13" fillId="0" borderId="2" xfId="0" applyFont="1" applyBorder="1" applyAlignment="1">
      <alignment vertical="center"/>
    </xf>
    <xf numFmtId="0" fontId="13" fillId="0" borderId="21" xfId="0" applyFont="1" applyBorder="1" applyAlignment="1">
      <alignment vertical="center"/>
    </xf>
    <xf numFmtId="0" fontId="13" fillId="0" borderId="1" xfId="0" applyFont="1" applyBorder="1" applyAlignment="1">
      <alignment horizontal="left" vertical="center"/>
    </xf>
    <xf numFmtId="0" fontId="3" fillId="0" borderId="2" xfId="0" applyFont="1" applyBorder="1" applyAlignment="1">
      <alignment horizontal="left" vertical="center"/>
    </xf>
    <xf numFmtId="0" fontId="3" fillId="0" borderId="21" xfId="0" applyFont="1" applyBorder="1" applyAlignment="1">
      <alignment horizontal="left" vertical="center"/>
    </xf>
    <xf numFmtId="0" fontId="13" fillId="2" borderId="40" xfId="0" applyFont="1" applyFill="1" applyBorder="1" applyAlignment="1">
      <alignment horizontal="center" vertical="center"/>
    </xf>
    <xf numFmtId="0" fontId="13" fillId="2" borderId="39" xfId="0" applyFont="1" applyFill="1" applyBorder="1" applyAlignment="1">
      <alignment horizontal="center" vertical="center"/>
    </xf>
    <xf numFmtId="0" fontId="13" fillId="2" borderId="41" xfId="0" applyFont="1" applyFill="1" applyBorder="1" applyAlignment="1">
      <alignment vertical="center"/>
    </xf>
    <xf numFmtId="0" fontId="13" fillId="0" borderId="40" xfId="0" applyFont="1" applyBorder="1" applyAlignment="1">
      <alignment vertical="center"/>
    </xf>
    <xf numFmtId="0" fontId="13" fillId="0" borderId="39" xfId="0" applyFont="1" applyBorder="1" applyAlignment="1">
      <alignment vertical="center"/>
    </xf>
    <xf numFmtId="0" fontId="13" fillId="0" borderId="41" xfId="0" applyFont="1" applyBorder="1" applyAlignment="1">
      <alignment vertical="center"/>
    </xf>
    <xf numFmtId="0" fontId="13" fillId="0" borderId="2" xfId="0" applyFont="1" applyBorder="1"/>
    <xf numFmtId="0" fontId="13" fillId="0" borderId="21" xfId="0" applyFont="1" applyBorder="1"/>
    <xf numFmtId="0" fontId="13" fillId="0" borderId="1" xfId="0" applyFont="1" applyBorder="1"/>
    <xf numFmtId="0" fontId="11" fillId="2" borderId="1" xfId="0" applyFont="1" applyFill="1" applyBorder="1"/>
    <xf numFmtId="0" fontId="11" fillId="2" borderId="2" xfId="0" applyFont="1" applyFill="1" applyBorder="1"/>
    <xf numFmtId="0" fontId="11" fillId="2" borderId="21" xfId="0" applyFont="1" applyFill="1" applyBorder="1"/>
    <xf numFmtId="0" fontId="13" fillId="0" borderId="1" xfId="0" applyFont="1" applyBorder="1" applyAlignment="1">
      <alignment vertical="center"/>
    </xf>
    <xf numFmtId="14" fontId="8" fillId="5" borderId="7" xfId="1" applyNumberFormat="1" applyFont="1" applyFill="1" applyBorder="1" applyAlignment="1" applyProtection="1">
      <alignment horizontal="center" vertical="center"/>
      <protection locked="0"/>
    </xf>
    <xf numFmtId="14" fontId="8" fillId="5" borderId="7" xfId="0" applyNumberFormat="1" applyFont="1" applyFill="1" applyBorder="1" applyAlignment="1" applyProtection="1">
      <alignment horizontal="center" vertical="center"/>
      <protection locked="0"/>
    </xf>
    <xf numFmtId="14" fontId="8" fillId="5" borderId="8" xfId="1" applyNumberFormat="1" applyFont="1" applyFill="1" applyBorder="1" applyAlignment="1" applyProtection="1">
      <alignment horizontal="center" vertical="center"/>
      <protection locked="0"/>
    </xf>
    <xf numFmtId="0" fontId="2" fillId="5" borderId="3" xfId="1" quotePrefix="1" applyFill="1" applyBorder="1" applyAlignment="1" applyProtection="1">
      <alignment horizontal="center" vertical="center" wrapText="1"/>
      <protection locked="0"/>
    </xf>
    <xf numFmtId="0" fontId="13" fillId="0" borderId="21" xfId="0" applyFont="1" applyBorder="1" applyAlignment="1">
      <alignment horizontal="center" vertical="center"/>
    </xf>
    <xf numFmtId="0" fontId="11" fillId="2" borderId="21" xfId="0" applyFont="1" applyFill="1" applyBorder="1" applyAlignment="1">
      <alignment horizontal="center" vertical="center"/>
    </xf>
    <xf numFmtId="166" fontId="26" fillId="5" borderId="0" xfId="2" applyNumberFormat="1" applyFill="1" applyAlignment="1" applyProtection="1">
      <alignment horizontal="center"/>
      <protection locked="0"/>
    </xf>
    <xf numFmtId="166" fontId="26" fillId="5" borderId="5" xfId="2" applyNumberFormat="1" applyFill="1" applyBorder="1" applyAlignment="1" applyProtection="1">
      <alignment horizontal="center"/>
      <protection locked="0"/>
    </xf>
    <xf numFmtId="0" fontId="11" fillId="2" borderId="22" xfId="0" applyFont="1" applyFill="1" applyBorder="1" applyAlignment="1">
      <alignment horizontal="center" vertical="center"/>
    </xf>
    <xf numFmtId="166" fontId="26" fillId="5" borderId="3" xfId="2" applyNumberFormat="1" applyFill="1" applyBorder="1" applyAlignment="1" applyProtection="1">
      <alignment horizontal="center"/>
      <protection locked="0"/>
    </xf>
    <xf numFmtId="49" fontId="0" fillId="5" borderId="45" xfId="0" applyNumberFormat="1" applyFill="1" applyBorder="1" applyAlignment="1" applyProtection="1">
      <alignment horizontal="center" vertical="center"/>
      <protection locked="0"/>
    </xf>
    <xf numFmtId="0" fontId="0" fillId="6" borderId="13" xfId="0" applyFill="1" applyBorder="1" applyAlignment="1" applyProtection="1">
      <alignment horizontal="center" vertical="center" wrapText="1"/>
      <protection locked="0"/>
    </xf>
    <xf numFmtId="49" fontId="0" fillId="5" borderId="5" xfId="0" applyNumberFormat="1" applyFill="1" applyBorder="1" applyAlignment="1" applyProtection="1">
      <alignment horizontal="center" vertical="center"/>
      <protection locked="0"/>
    </xf>
    <xf numFmtId="0" fontId="0" fillId="6" borderId="7" xfId="0" applyFill="1" applyBorder="1" applyAlignment="1" applyProtection="1">
      <alignment horizontal="center" vertical="center"/>
      <protection locked="0"/>
    </xf>
    <xf numFmtId="0" fontId="0" fillId="6" borderId="13" xfId="0" applyFill="1" applyBorder="1" applyAlignment="1" applyProtection="1">
      <alignment horizontal="center" vertical="center"/>
      <protection locked="0"/>
    </xf>
    <xf numFmtId="0" fontId="0" fillId="5" borderId="5" xfId="0" applyFill="1" applyBorder="1" applyAlignment="1" applyProtection="1">
      <alignment horizontal="center" vertical="center"/>
      <protection locked="0"/>
    </xf>
    <xf numFmtId="49" fontId="0" fillId="5" borderId="9" xfId="0" applyNumberFormat="1" applyFill="1" applyBorder="1" applyAlignment="1" applyProtection="1">
      <alignment horizontal="center" vertical="center"/>
      <protection locked="0"/>
    </xf>
    <xf numFmtId="49" fontId="0" fillId="5" borderId="12" xfId="0" applyNumberFormat="1" applyFill="1" applyBorder="1" applyAlignment="1" applyProtection="1">
      <alignment horizontal="center" vertical="center"/>
      <protection locked="0"/>
    </xf>
    <xf numFmtId="0" fontId="0" fillId="6" borderId="14" xfId="0" applyFill="1" applyBorder="1" applyAlignment="1" applyProtection="1">
      <alignment horizontal="center" vertical="center"/>
      <protection locked="0"/>
    </xf>
    <xf numFmtId="49" fontId="0" fillId="5" borderId="16" xfId="0" applyNumberFormat="1" applyFill="1" applyBorder="1" applyAlignment="1" applyProtection="1">
      <alignment horizontal="center" vertical="center"/>
      <protection locked="0"/>
    </xf>
    <xf numFmtId="0" fontId="0" fillId="6" borderId="15" xfId="0" applyFill="1" applyBorder="1" applyAlignment="1" applyProtection="1">
      <alignment horizontal="center" vertical="center"/>
      <protection locked="0"/>
    </xf>
    <xf numFmtId="0" fontId="0" fillId="0" borderId="0" xfId="0" applyAlignment="1">
      <alignment horizontal="left" vertical="center"/>
    </xf>
    <xf numFmtId="0" fontId="0" fillId="0" borderId="0" xfId="0" applyAlignment="1" applyProtection="1">
      <alignment horizontal="center" vertical="center" wrapText="1"/>
      <protection locked="0"/>
    </xf>
    <xf numFmtId="0" fontId="0" fillId="5" borderId="3" xfId="0" applyFill="1" applyBorder="1" applyAlignment="1">
      <alignment horizontal="center" vertical="center"/>
    </xf>
    <xf numFmtId="0" fontId="30" fillId="2" borderId="17" xfId="0" applyFont="1" applyFill="1" applyBorder="1" applyAlignment="1">
      <alignment horizontal="left" vertical="center"/>
    </xf>
    <xf numFmtId="0" fontId="5" fillId="3" borderId="18" xfId="0" applyFont="1" applyFill="1" applyBorder="1" applyAlignment="1">
      <alignment vertical="center" wrapText="1"/>
    </xf>
    <xf numFmtId="0" fontId="0" fillId="0" borderId="0" xfId="0" applyAlignment="1">
      <alignment wrapText="1"/>
    </xf>
    <xf numFmtId="0" fontId="2" fillId="5" borderId="5" xfId="1" applyFill="1" applyBorder="1" applyAlignment="1" applyProtection="1">
      <alignment horizontal="center" vertical="center"/>
      <protection locked="0"/>
    </xf>
    <xf numFmtId="49" fontId="2" fillId="5" borderId="0" xfId="1" applyNumberFormat="1" applyFill="1" applyBorder="1" applyAlignment="1" applyProtection="1">
      <alignment horizontal="center" vertical="center"/>
      <protection locked="0"/>
    </xf>
    <xf numFmtId="0" fontId="2" fillId="5" borderId="0" xfId="1" applyFill="1" applyBorder="1" applyAlignment="1" applyProtection="1">
      <alignment horizontal="center" vertical="center"/>
      <protection locked="0"/>
    </xf>
    <xf numFmtId="0" fontId="8" fillId="5" borderId="5" xfId="0" applyFont="1" applyFill="1" applyBorder="1" applyAlignment="1" applyProtection="1">
      <alignment horizontal="center" vertical="center"/>
      <protection locked="0"/>
    </xf>
    <xf numFmtId="0" fontId="8" fillId="5" borderId="0" xfId="0" applyFont="1" applyFill="1" applyAlignment="1" applyProtection="1">
      <alignment horizontal="center" vertical="center"/>
      <protection locked="0"/>
    </xf>
    <xf numFmtId="49" fontId="27" fillId="5" borderId="0" xfId="3" applyNumberFormat="1" applyFill="1" applyBorder="1" applyAlignment="1" applyProtection="1">
      <alignment horizontal="center" vertical="center"/>
      <protection locked="0"/>
    </xf>
    <xf numFmtId="0" fontId="5"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center" vertical="center" wrapText="1"/>
    </xf>
    <xf numFmtId="0" fontId="6" fillId="3" borderId="17" xfId="0" applyFont="1" applyFill="1" applyBorder="1" applyAlignment="1" applyProtection="1">
      <alignment horizontal="left" vertical="center"/>
      <protection locked="0"/>
    </xf>
    <xf numFmtId="0" fontId="6" fillId="3" borderId="21" xfId="0" applyFont="1" applyFill="1" applyBorder="1" applyAlignment="1" applyProtection="1">
      <alignment horizontal="left" vertical="center"/>
      <protection locked="0"/>
    </xf>
    <xf numFmtId="0" fontId="6" fillId="3" borderId="2" xfId="0" applyFont="1" applyFill="1" applyBorder="1" applyAlignment="1" applyProtection="1">
      <alignment horizontal="left" vertical="center"/>
      <protection locked="0"/>
    </xf>
    <xf numFmtId="0" fontId="0" fillId="3" borderId="17" xfId="0" applyFill="1" applyBorder="1" applyAlignment="1" applyProtection="1">
      <alignment vertical="center"/>
      <protection locked="0"/>
    </xf>
    <xf numFmtId="0" fontId="6" fillId="3" borderId="26" xfId="0" applyFont="1" applyFill="1" applyBorder="1" applyAlignment="1" applyProtection="1">
      <alignment horizontal="center" vertical="center" wrapText="1"/>
      <protection locked="0"/>
    </xf>
    <xf numFmtId="0" fontId="0" fillId="5" borderId="0" xfId="0" quotePrefix="1" applyFill="1" applyAlignment="1" applyProtection="1">
      <alignment vertical="center"/>
      <protection locked="0"/>
    </xf>
    <xf numFmtId="0" fontId="8" fillId="5" borderId="3" xfId="1" applyFont="1" applyFill="1" applyBorder="1" applyAlignment="1" applyProtection="1">
      <alignment horizontal="center" vertical="center"/>
    </xf>
    <xf numFmtId="14" fontId="8" fillId="5" borderId="3" xfId="0" applyNumberFormat="1" applyFont="1" applyFill="1" applyBorder="1" applyAlignment="1">
      <alignment horizontal="center" vertical="center"/>
    </xf>
    <xf numFmtId="14" fontId="8" fillId="5" borderId="3" xfId="1" applyNumberFormat="1" applyFont="1" applyFill="1" applyBorder="1" applyAlignment="1" applyProtection="1">
      <alignment horizontal="center" vertical="center"/>
    </xf>
    <xf numFmtId="14" fontId="8" fillId="5" borderId="7" xfId="1" applyNumberFormat="1" applyFont="1" applyFill="1" applyBorder="1" applyAlignment="1" applyProtection="1">
      <alignment horizontal="center" vertical="center"/>
    </xf>
    <xf numFmtId="14" fontId="8" fillId="5" borderId="7" xfId="0" applyNumberFormat="1" applyFont="1" applyFill="1" applyBorder="1" applyAlignment="1">
      <alignment horizontal="center" vertical="center"/>
    </xf>
    <xf numFmtId="14" fontId="8" fillId="5" borderId="8" xfId="1" applyNumberFormat="1" applyFont="1" applyFill="1" applyBorder="1" applyAlignment="1" applyProtection="1">
      <alignment horizontal="center" vertical="center"/>
    </xf>
    <xf numFmtId="170" fontId="22" fillId="2" borderId="17" xfId="0" applyNumberFormat="1" applyFont="1" applyFill="1" applyBorder="1" applyAlignment="1">
      <alignment horizontal="center" vertical="center"/>
    </xf>
    <xf numFmtId="0" fontId="6" fillId="3" borderId="48" xfId="0" applyFont="1" applyFill="1" applyBorder="1" applyAlignment="1">
      <alignment horizontal="center" vertical="center" wrapText="1"/>
    </xf>
    <xf numFmtId="0" fontId="8" fillId="0" borderId="49" xfId="0" applyFont="1" applyBorder="1" applyAlignment="1">
      <alignment horizontal="center" vertical="center"/>
    </xf>
    <xf numFmtId="0" fontId="8" fillId="5" borderId="14" xfId="1" applyFont="1" applyFill="1" applyBorder="1" applyAlignment="1" applyProtection="1">
      <alignment horizontal="center" vertical="center"/>
    </xf>
    <xf numFmtId="0" fontId="8" fillId="5" borderId="24" xfId="1" applyFont="1" applyFill="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4" borderId="17" xfId="0" applyFont="1" applyFill="1" applyBorder="1" applyAlignment="1">
      <alignment horizontal="center" vertical="center" wrapText="1"/>
    </xf>
    <xf numFmtId="14" fontId="28" fillId="17" borderId="3" xfId="0" applyNumberFormat="1" applyFont="1" applyFill="1" applyBorder="1" applyAlignment="1" applyProtection="1">
      <alignment horizontal="center" vertical="top" wrapText="1"/>
      <protection locked="0"/>
    </xf>
    <xf numFmtId="0" fontId="0" fillId="5" borderId="3" xfId="0" applyFill="1" applyBorder="1" applyAlignment="1" applyProtection="1">
      <alignment horizontal="center"/>
      <protection locked="0"/>
    </xf>
    <xf numFmtId="0" fontId="29" fillId="5" borderId="7" xfId="0" applyFont="1" applyFill="1" applyBorder="1" applyAlignment="1" applyProtection="1">
      <alignment horizontal="center" vertical="center"/>
      <protection locked="0"/>
    </xf>
    <xf numFmtId="0" fontId="5" fillId="8" borderId="20" xfId="0" applyFont="1" applyFill="1" applyBorder="1" applyAlignment="1">
      <alignment vertical="center"/>
    </xf>
    <xf numFmtId="0" fontId="8" fillId="5" borderId="3" xfId="0" quotePrefix="1" applyFont="1" applyFill="1" applyBorder="1" applyAlignment="1" applyProtection="1">
      <alignment horizontal="center" vertical="center"/>
      <protection locked="0"/>
    </xf>
    <xf numFmtId="0" fontId="2" fillId="0" borderId="3" xfId="1" applyNumberFormat="1" applyFill="1" applyBorder="1" applyAlignment="1" applyProtection="1">
      <alignment horizontal="center" vertical="center"/>
    </xf>
    <xf numFmtId="0" fontId="2" fillId="0" borderId="3" xfId="1" applyBorder="1" applyAlignment="1">
      <alignment horizontal="center" vertical="center"/>
    </xf>
    <xf numFmtId="168" fontId="2" fillId="5" borderId="3" xfId="1" applyNumberFormat="1" applyFill="1" applyBorder="1" applyAlignment="1" applyProtection="1">
      <alignment horizontal="center" vertical="center" wrapText="1"/>
      <protection locked="0"/>
    </xf>
    <xf numFmtId="49" fontId="0" fillId="6" borderId="3" xfId="0" applyNumberFormat="1" applyFill="1" applyBorder="1" applyAlignment="1" applyProtection="1">
      <alignment horizontal="center" vertical="center"/>
      <protection locked="0"/>
    </xf>
    <xf numFmtId="49" fontId="13" fillId="0" borderId="21" xfId="0" applyNumberFormat="1" applyFont="1" applyBorder="1" applyAlignment="1">
      <alignment vertical="center"/>
    </xf>
    <xf numFmtId="49" fontId="11" fillId="2" borderId="21" xfId="0" applyNumberFormat="1" applyFont="1" applyFill="1" applyBorder="1" applyAlignment="1">
      <alignment vertical="center"/>
    </xf>
    <xf numFmtId="49" fontId="6" fillId="3" borderId="25" xfId="0" applyNumberFormat="1" applyFont="1" applyFill="1" applyBorder="1" applyAlignment="1">
      <alignment horizontal="center" vertical="center" wrapText="1"/>
    </xf>
    <xf numFmtId="49" fontId="4" fillId="0" borderId="0" xfId="0" applyNumberFormat="1" applyFont="1" applyAlignment="1">
      <alignment horizontal="center" vertical="center"/>
    </xf>
    <xf numFmtId="49" fontId="6" fillId="0" borderId="0" xfId="0" applyNumberFormat="1" applyFont="1" applyAlignment="1">
      <alignment horizontal="center" vertical="center"/>
    </xf>
    <xf numFmtId="49" fontId="0" fillId="0" borderId="3" xfId="0" applyNumberFormat="1" applyBorder="1" applyAlignment="1">
      <alignment horizontal="center" vertical="center"/>
    </xf>
    <xf numFmtId="49" fontId="0" fillId="5" borderId="8" xfId="0" applyNumberFormat="1" applyFill="1" applyBorder="1" applyAlignment="1" applyProtection="1">
      <alignment horizontal="center" vertical="center"/>
      <protection locked="0"/>
    </xf>
    <xf numFmtId="49" fontId="5" fillId="0" borderId="0" xfId="0" applyNumberFormat="1" applyFont="1" applyAlignment="1">
      <alignment horizontal="left" vertical="center"/>
    </xf>
    <xf numFmtId="0" fontId="31" fillId="5" borderId="3" xfId="0" applyFont="1" applyFill="1" applyBorder="1" applyAlignment="1" applyProtection="1">
      <alignment horizontal="center" vertical="center"/>
      <protection locked="0"/>
    </xf>
    <xf numFmtId="0" fontId="2" fillId="5" borderId="3" xfId="1" applyNumberFormat="1" applyFill="1" applyBorder="1" applyAlignment="1" applyProtection="1">
      <alignment horizontal="center" vertical="center"/>
      <protection locked="0"/>
    </xf>
    <xf numFmtId="14" fontId="0" fillId="0" borderId="0" xfId="0" applyNumberFormat="1" applyAlignment="1">
      <alignment horizontal="center" vertical="center"/>
    </xf>
    <xf numFmtId="14" fontId="0" fillId="0" borderId="0" xfId="0" applyNumberFormat="1" applyAlignment="1">
      <alignment horizontal="center" vertical="center" wrapText="1"/>
    </xf>
    <xf numFmtId="14" fontId="13" fillId="2" borderId="39" xfId="0" applyNumberFormat="1" applyFont="1" applyFill="1" applyBorder="1" applyAlignment="1">
      <alignment vertical="center"/>
    </xf>
    <xf numFmtId="14" fontId="11" fillId="2" borderId="4" xfId="0" applyNumberFormat="1" applyFont="1" applyFill="1" applyBorder="1" applyAlignment="1">
      <alignment vertical="center"/>
    </xf>
    <xf numFmtId="14" fontId="6" fillId="3" borderId="25" xfId="0" applyNumberFormat="1" applyFont="1" applyFill="1" applyBorder="1" applyAlignment="1">
      <alignment horizontal="center" vertical="center" wrapText="1"/>
    </xf>
    <xf numFmtId="14" fontId="4" fillId="0" borderId="0" xfId="0" applyNumberFormat="1" applyFont="1" applyAlignment="1">
      <alignment vertical="center"/>
    </xf>
    <xf numFmtId="14" fontId="6" fillId="0" borderId="0" xfId="0" applyNumberFormat="1" applyFont="1" applyAlignment="1">
      <alignment horizontal="center" vertical="center"/>
    </xf>
    <xf numFmtId="14" fontId="0" fillId="0" borderId="3" xfId="0" applyNumberFormat="1" applyBorder="1" applyAlignment="1">
      <alignment horizontal="center" vertical="center" wrapText="1"/>
    </xf>
    <xf numFmtId="14" fontId="0" fillId="5" borderId="3" xfId="0" applyNumberFormat="1" applyFill="1" applyBorder="1" applyAlignment="1" applyProtection="1">
      <alignment horizontal="center" vertical="center" wrapText="1"/>
      <protection locked="0"/>
    </xf>
    <xf numFmtId="14" fontId="5" fillId="0" borderId="0" xfId="0" applyNumberFormat="1" applyFont="1" applyAlignment="1">
      <alignment horizontal="left" vertical="center"/>
    </xf>
    <xf numFmtId="0" fontId="31" fillId="0" borderId="0" xfId="0" applyFont="1" applyAlignment="1">
      <alignment horizontal="center" vertical="center"/>
    </xf>
    <xf numFmtId="49" fontId="32" fillId="5" borderId="5" xfId="1" applyNumberFormat="1" applyFont="1" applyFill="1" applyBorder="1" applyAlignment="1" applyProtection="1">
      <alignment horizontal="center" vertical="center"/>
      <protection locked="0"/>
    </xf>
    <xf numFmtId="49" fontId="33" fillId="18" borderId="3" xfId="0" applyNumberFormat="1" applyFont="1" applyFill="1" applyBorder="1" applyAlignment="1" applyProtection="1">
      <alignment horizontal="center" vertical="center"/>
      <protection locked="0"/>
    </xf>
    <xf numFmtId="167" fontId="33" fillId="18" borderId="5" xfId="0" applyNumberFormat="1" applyFont="1" applyFill="1" applyBorder="1" applyAlignment="1" applyProtection="1">
      <alignment horizontal="center" vertical="center"/>
      <protection locked="0"/>
    </xf>
    <xf numFmtId="168" fontId="34" fillId="18" borderId="5" xfId="0" applyNumberFormat="1" applyFont="1" applyFill="1" applyBorder="1" applyAlignment="1" applyProtection="1">
      <alignment horizontal="center" vertical="center"/>
      <protection locked="0"/>
    </xf>
    <xf numFmtId="0" fontId="34" fillId="18" borderId="5" xfId="1" applyFont="1" applyFill="1" applyBorder="1" applyAlignment="1" applyProtection="1">
      <alignment horizontal="center" vertical="center"/>
      <protection locked="0"/>
    </xf>
    <xf numFmtId="14" fontId="33" fillId="18" borderId="5" xfId="1" applyNumberFormat="1" applyFont="1" applyFill="1" applyBorder="1" applyAlignment="1" applyProtection="1">
      <alignment horizontal="center" vertical="center"/>
      <protection locked="0"/>
    </xf>
    <xf numFmtId="166" fontId="33" fillId="18" borderId="5" xfId="0" applyNumberFormat="1" applyFont="1" applyFill="1" applyBorder="1" applyAlignment="1" applyProtection="1">
      <alignment horizontal="center" vertical="center"/>
      <protection locked="0"/>
    </xf>
    <xf numFmtId="166" fontId="35" fillId="18" borderId="5" xfId="0" applyNumberFormat="1" applyFont="1" applyFill="1" applyBorder="1" applyAlignment="1" applyProtection="1">
      <alignment horizontal="center" vertical="center"/>
      <protection locked="0"/>
    </xf>
    <xf numFmtId="14" fontId="8" fillId="5" borderId="5" xfId="0" applyNumberFormat="1" applyFont="1" applyFill="1" applyBorder="1" applyAlignment="1" applyProtection="1">
      <alignment horizontal="center" vertical="center"/>
      <protection locked="0"/>
    </xf>
    <xf numFmtId="0" fontId="33" fillId="18" borderId="3" xfId="0" applyFont="1" applyFill="1" applyBorder="1" applyAlignment="1" applyProtection="1">
      <alignment vertical="center" wrapText="1"/>
      <protection locked="0"/>
    </xf>
    <xf numFmtId="166" fontId="16" fillId="5" borderId="3" xfId="1" applyNumberFormat="1" applyFont="1" applyFill="1" applyBorder="1" applyAlignment="1" applyProtection="1">
      <alignment horizontal="center" vertical="center"/>
      <protection locked="0"/>
    </xf>
    <xf numFmtId="0" fontId="33" fillId="18" borderId="3" xfId="0" applyFont="1" applyFill="1" applyBorder="1" applyAlignment="1">
      <alignment wrapText="1"/>
    </xf>
    <xf numFmtId="0" fontId="37" fillId="6" borderId="3" xfId="0" applyFont="1" applyFill="1" applyBorder="1" applyAlignment="1" applyProtection="1">
      <alignment vertical="center" wrapText="1"/>
      <protection locked="0"/>
    </xf>
    <xf numFmtId="166" fontId="16" fillId="5" borderId="6" xfId="1" applyNumberFormat="1" applyFont="1" applyFill="1" applyBorder="1" applyAlignment="1" applyProtection="1">
      <alignment horizontal="center" vertical="center"/>
      <protection locked="0"/>
    </xf>
    <xf numFmtId="168" fontId="36" fillId="18" borderId="5" xfId="0" applyNumberFormat="1" applyFont="1" applyFill="1" applyBorder="1" applyAlignment="1" applyProtection="1">
      <alignment horizontal="left" vertical="center"/>
      <protection locked="0"/>
    </xf>
    <xf numFmtId="49" fontId="8" fillId="5" borderId="3" xfId="0" applyNumberFormat="1" applyFont="1" applyFill="1" applyBorder="1" applyAlignment="1" applyProtection="1">
      <alignment horizontal="left" vertical="center"/>
      <protection locked="0"/>
    </xf>
    <xf numFmtId="167" fontId="8" fillId="5" borderId="3" xfId="0" applyNumberFormat="1" applyFont="1" applyFill="1" applyBorder="1" applyAlignment="1" applyProtection="1">
      <alignment horizontal="left" vertical="center"/>
      <protection locked="0"/>
    </xf>
    <xf numFmtId="49" fontId="33" fillId="18" borderId="6" xfId="0" applyNumberFormat="1" applyFont="1" applyFill="1" applyBorder="1" applyAlignment="1" applyProtection="1">
      <alignment horizontal="left" vertical="center"/>
      <protection locked="0"/>
    </xf>
    <xf numFmtId="167" fontId="36" fillId="18" borderId="28" xfId="0" applyNumberFormat="1" applyFont="1" applyFill="1" applyBorder="1" applyAlignment="1" applyProtection="1">
      <alignment horizontal="left" vertical="center"/>
      <protection locked="0"/>
    </xf>
    <xf numFmtId="168" fontId="36" fillId="18" borderId="28" xfId="0" applyNumberFormat="1" applyFont="1" applyFill="1" applyBorder="1" applyAlignment="1" applyProtection="1">
      <alignment horizontal="left" vertical="center"/>
      <protection locked="0"/>
    </xf>
    <xf numFmtId="0" fontId="33" fillId="18" borderId="3" xfId="0" applyFont="1" applyFill="1" applyBorder="1" applyAlignment="1" applyProtection="1">
      <alignment horizontal="left" vertical="center"/>
      <protection locked="0"/>
    </xf>
    <xf numFmtId="167" fontId="8" fillId="6" borderId="3" xfId="0" applyNumberFormat="1" applyFont="1" applyFill="1" applyBorder="1" applyAlignment="1" applyProtection="1">
      <alignment horizontal="left" vertical="center"/>
      <protection locked="0"/>
    </xf>
    <xf numFmtId="168" fontId="8" fillId="6" borderId="3" xfId="0" applyNumberFormat="1" applyFont="1" applyFill="1" applyBorder="1" applyAlignment="1" applyProtection="1">
      <alignment horizontal="left" vertical="center"/>
      <protection locked="0"/>
    </xf>
    <xf numFmtId="167" fontId="36" fillId="18" borderId="5" xfId="0" applyNumberFormat="1" applyFont="1" applyFill="1" applyBorder="1" applyAlignment="1" applyProtection="1">
      <alignment horizontal="left" vertical="center"/>
      <protection locked="0"/>
    </xf>
    <xf numFmtId="0" fontId="36" fillId="18" borderId="5" xfId="0" applyFont="1" applyFill="1" applyBorder="1" applyAlignment="1" applyProtection="1">
      <alignment horizontal="left" vertical="center"/>
      <protection locked="0"/>
    </xf>
    <xf numFmtId="0" fontId="8" fillId="0" borderId="0" xfId="0" applyFont="1" applyAlignment="1">
      <alignment horizontal="left" vertical="center"/>
    </xf>
    <xf numFmtId="0" fontId="8" fillId="6" borderId="3" xfId="0" applyFont="1" applyFill="1" applyBorder="1" applyAlignment="1" applyProtection="1">
      <alignment horizontal="left" vertical="center"/>
      <protection locked="0"/>
    </xf>
    <xf numFmtId="167" fontId="33" fillId="18" borderId="5" xfId="0" applyNumberFormat="1" applyFont="1" applyFill="1" applyBorder="1" applyAlignment="1" applyProtection="1">
      <alignment horizontal="left" vertical="center"/>
      <protection locked="0"/>
    </xf>
    <xf numFmtId="167" fontId="33" fillId="18" borderId="28" xfId="0" applyNumberFormat="1" applyFont="1" applyFill="1" applyBorder="1" applyAlignment="1" applyProtection="1">
      <alignment horizontal="left" vertical="center"/>
      <protection locked="0"/>
    </xf>
    <xf numFmtId="0" fontId="36" fillId="18" borderId="28" xfId="1" applyFont="1" applyFill="1" applyBorder="1" applyAlignment="1" applyProtection="1">
      <alignment horizontal="left" vertical="center"/>
      <protection locked="0"/>
    </xf>
    <xf numFmtId="167" fontId="26" fillId="5" borderId="7" xfId="2" quotePrefix="1" applyNumberFormat="1" applyFill="1" applyBorder="1" applyAlignment="1" applyProtection="1">
      <alignment horizontal="left"/>
      <protection locked="0"/>
    </xf>
    <xf numFmtId="168" fontId="8" fillId="5" borderId="3" xfId="0" applyNumberFormat="1" applyFont="1" applyFill="1" applyBorder="1" applyAlignment="1" applyProtection="1">
      <alignment horizontal="left" vertical="center"/>
      <protection locked="0"/>
    </xf>
    <xf numFmtId="0" fontId="8" fillId="5" borderId="3" xfId="0" applyFont="1" applyFill="1" applyBorder="1" applyAlignment="1" applyProtection="1">
      <alignment horizontal="left" vertical="center"/>
      <protection locked="0"/>
    </xf>
    <xf numFmtId="168" fontId="33" fillId="18" borderId="28" xfId="0" applyNumberFormat="1" applyFont="1" applyFill="1" applyBorder="1" applyAlignment="1" applyProtection="1">
      <alignment horizontal="left" vertical="center"/>
      <protection locked="0"/>
    </xf>
    <xf numFmtId="167" fontId="0" fillId="5" borderId="3" xfId="0" applyNumberFormat="1" applyFill="1" applyBorder="1" applyAlignment="1" applyProtection="1">
      <alignment horizontal="left" vertical="center"/>
      <protection locked="0"/>
    </xf>
    <xf numFmtId="168" fontId="0" fillId="5" borderId="3" xfId="0" applyNumberFormat="1" applyFill="1" applyBorder="1" applyAlignment="1" applyProtection="1">
      <alignment horizontal="left" vertical="center"/>
      <protection locked="0"/>
    </xf>
    <xf numFmtId="0" fontId="8" fillId="5" borderId="3" xfId="1" applyFont="1" applyFill="1" applyBorder="1" applyAlignment="1" applyProtection="1">
      <alignment horizontal="left" vertical="center"/>
      <protection locked="0"/>
    </xf>
    <xf numFmtId="169" fontId="8" fillId="0" borderId="0" xfId="0" applyNumberFormat="1" applyFont="1" applyAlignment="1">
      <alignment horizontal="left" vertical="center"/>
    </xf>
    <xf numFmtId="0" fontId="2" fillId="18" borderId="28" xfId="1" applyFill="1" applyBorder="1" applyAlignment="1" applyProtection="1">
      <alignment horizontal="left" vertical="center"/>
      <protection locked="0"/>
    </xf>
    <xf numFmtId="167" fontId="26" fillId="5" borderId="3" xfId="2" applyNumberFormat="1" applyFill="1" applyBorder="1" applyAlignment="1" applyProtection="1">
      <alignment horizontal="left"/>
      <protection locked="0"/>
    </xf>
    <xf numFmtId="167" fontId="26" fillId="5" borderId="7" xfId="2" applyNumberFormat="1" applyFill="1" applyBorder="1" applyAlignment="1" applyProtection="1">
      <alignment horizontal="left"/>
      <protection locked="0"/>
    </xf>
    <xf numFmtId="49" fontId="26" fillId="5" borderId="43" xfId="2" applyNumberFormat="1" applyFill="1" applyBorder="1" applyAlignment="1" applyProtection="1">
      <alignment horizontal="left" vertical="center"/>
      <protection locked="0"/>
    </xf>
    <xf numFmtId="167" fontId="26" fillId="5" borderId="43" xfId="2" applyNumberFormat="1" applyFill="1" applyBorder="1" applyAlignment="1" applyProtection="1">
      <alignment horizontal="left" vertical="center"/>
      <protection locked="0"/>
    </xf>
    <xf numFmtId="168" fontId="26" fillId="5" borderId="43" xfId="2" applyNumberFormat="1" applyFill="1" applyBorder="1" applyAlignment="1" applyProtection="1">
      <alignment horizontal="left" vertical="center"/>
      <protection locked="0"/>
    </xf>
    <xf numFmtId="49" fontId="2" fillId="5" borderId="43" xfId="1" applyNumberFormat="1" applyFill="1" applyBorder="1" applyAlignment="1" applyProtection="1">
      <alignment horizontal="left" vertical="center"/>
      <protection locked="0"/>
    </xf>
    <xf numFmtId="167" fontId="26" fillId="5" borderId="0" xfId="2" quotePrefix="1" applyNumberFormat="1" applyFill="1" applyAlignment="1" applyProtection="1">
      <alignment horizontal="left"/>
      <protection locked="0"/>
    </xf>
    <xf numFmtId="49" fontId="35" fillId="18" borderId="10" xfId="2" applyNumberFormat="1" applyFont="1" applyFill="1" applyBorder="1" applyAlignment="1" applyProtection="1">
      <alignment horizontal="left" vertical="center"/>
      <protection locked="0"/>
    </xf>
    <xf numFmtId="0" fontId="33" fillId="18" borderId="6" xfId="0" applyFont="1" applyFill="1" applyBorder="1" applyAlignment="1" applyProtection="1">
      <alignment horizontal="left" vertical="center"/>
      <protection locked="0"/>
    </xf>
    <xf numFmtId="0" fontId="25" fillId="5" borderId="3" xfId="0" applyFont="1" applyFill="1" applyBorder="1" applyAlignment="1" applyProtection="1">
      <alignment horizontal="left" vertical="center"/>
      <protection locked="0"/>
    </xf>
    <xf numFmtId="167" fontId="25" fillId="5" borderId="3" xfId="0" applyNumberFormat="1" applyFont="1" applyFill="1" applyBorder="1" applyAlignment="1" applyProtection="1">
      <alignment horizontal="left" vertical="center"/>
      <protection locked="0"/>
    </xf>
    <xf numFmtId="168" fontId="25" fillId="5" borderId="3" xfId="0" applyNumberFormat="1" applyFont="1" applyFill="1" applyBorder="1" applyAlignment="1" applyProtection="1">
      <alignment horizontal="left" vertical="center"/>
      <protection locked="0"/>
    </xf>
    <xf numFmtId="0" fontId="33" fillId="18" borderId="28" xfId="0" applyFont="1" applyFill="1" applyBorder="1" applyAlignment="1" applyProtection="1">
      <alignment horizontal="left" vertical="center"/>
      <protection locked="0"/>
    </xf>
    <xf numFmtId="167" fontId="36" fillId="18" borderId="12" xfId="2" applyNumberFormat="1" applyFont="1" applyFill="1" applyBorder="1" applyAlignment="1" applyProtection="1">
      <alignment horizontal="left" vertical="center"/>
      <protection locked="0"/>
    </xf>
    <xf numFmtId="168" fontId="36" fillId="18" borderId="12" xfId="2" applyNumberFormat="1" applyFont="1" applyFill="1" applyBorder="1" applyAlignment="1" applyProtection="1">
      <alignment horizontal="left" vertical="center"/>
      <protection locked="0"/>
    </xf>
    <xf numFmtId="49" fontId="36" fillId="18" borderId="12" xfId="3" applyNumberFormat="1" applyFont="1" applyFill="1" applyBorder="1" applyAlignment="1" applyProtection="1">
      <alignment horizontal="left" vertical="center"/>
      <protection locked="0"/>
    </xf>
    <xf numFmtId="168" fontId="38" fillId="18" borderId="28" xfId="0" applyNumberFormat="1" applyFont="1" applyFill="1" applyBorder="1" applyAlignment="1" applyProtection="1">
      <alignment horizontal="left" vertical="center"/>
      <protection locked="0"/>
    </xf>
    <xf numFmtId="168" fontId="38" fillId="18" borderId="5" xfId="0" applyNumberFormat="1" applyFont="1" applyFill="1" applyBorder="1" applyAlignment="1" applyProtection="1">
      <alignment horizontal="left" vertical="center"/>
      <protection locked="0"/>
    </xf>
    <xf numFmtId="0" fontId="38" fillId="18" borderId="5" xfId="1" applyFont="1" applyFill="1" applyBorder="1" applyAlignment="1" applyProtection="1">
      <alignment horizontal="left" vertical="center"/>
      <protection locked="0"/>
    </xf>
    <xf numFmtId="0" fontId="38" fillId="18" borderId="28" xfId="0" applyFont="1" applyFill="1" applyBorder="1" applyAlignment="1" applyProtection="1">
      <alignment horizontal="left" vertical="center"/>
      <protection locked="0"/>
    </xf>
    <xf numFmtId="167" fontId="38" fillId="18" borderId="28" xfId="0" applyNumberFormat="1" applyFont="1" applyFill="1" applyBorder="1" applyAlignment="1" applyProtection="1">
      <alignment horizontal="left" vertical="center"/>
      <protection locked="0"/>
    </xf>
    <xf numFmtId="14" fontId="8" fillId="0" borderId="0" xfId="0" applyNumberFormat="1" applyFont="1" applyAlignment="1">
      <alignment horizontal="center" vertical="center"/>
    </xf>
    <xf numFmtId="167" fontId="38" fillId="18" borderId="3" xfId="0" applyNumberFormat="1" applyFont="1" applyFill="1" applyBorder="1" applyAlignment="1" applyProtection="1">
      <alignment horizontal="left" vertical="center"/>
      <protection locked="0"/>
    </xf>
    <xf numFmtId="0" fontId="38" fillId="18" borderId="5" xfId="1" applyFont="1" applyFill="1" applyBorder="1" applyAlignment="1" applyProtection="1">
      <alignment horizontal="left" vertical="center" wrapText="1"/>
      <protection locked="0"/>
    </xf>
    <xf numFmtId="0" fontId="38" fillId="18" borderId="28" xfId="1" applyFont="1" applyFill="1" applyBorder="1" applyAlignment="1" applyProtection="1">
      <alignment horizontal="left" vertical="center"/>
      <protection locked="0"/>
    </xf>
    <xf numFmtId="167" fontId="38" fillId="18" borderId="5" xfId="0" applyNumberFormat="1" applyFont="1" applyFill="1" applyBorder="1" applyAlignment="1" applyProtection="1">
      <alignment horizontal="left" vertical="center"/>
      <protection locked="0"/>
    </xf>
    <xf numFmtId="167" fontId="38" fillId="18" borderId="5" xfId="2" applyNumberFormat="1" applyFont="1" applyFill="1" applyBorder="1" applyAlignment="1" applyProtection="1">
      <alignment horizontal="left"/>
      <protection locked="0"/>
    </xf>
    <xf numFmtId="167" fontId="38" fillId="18" borderId="0" xfId="2" applyNumberFormat="1" applyFont="1" applyFill="1" applyBorder="1" applyAlignment="1" applyProtection="1">
      <alignment horizontal="left"/>
      <protection locked="0"/>
    </xf>
    <xf numFmtId="168" fontId="38" fillId="18" borderId="6" xfId="0" applyNumberFormat="1" applyFont="1" applyFill="1" applyBorder="1" applyAlignment="1" applyProtection="1">
      <alignment horizontal="left" vertical="center"/>
      <protection locked="0"/>
    </xf>
    <xf numFmtId="168" fontId="38" fillId="18" borderId="12" xfId="2" applyNumberFormat="1" applyFont="1" applyFill="1" applyBorder="1" applyAlignment="1" applyProtection="1">
      <alignment horizontal="left" vertical="center" wrapText="1"/>
      <protection locked="0"/>
    </xf>
    <xf numFmtId="49" fontId="38" fillId="18" borderId="12" xfId="1" applyNumberFormat="1" applyFont="1" applyFill="1" applyBorder="1" applyAlignment="1" applyProtection="1">
      <alignment horizontal="left" vertical="center"/>
      <protection locked="0"/>
    </xf>
    <xf numFmtId="0" fontId="38" fillId="18" borderId="5" xfId="0" applyFont="1" applyFill="1" applyBorder="1" applyAlignment="1" applyProtection="1">
      <alignment horizontal="left" vertical="center"/>
      <protection locked="0"/>
    </xf>
    <xf numFmtId="167" fontId="38" fillId="18" borderId="0" xfId="2" quotePrefix="1" applyNumberFormat="1" applyFont="1" applyFill="1" applyBorder="1" applyAlignment="1" applyProtection="1">
      <alignment horizontal="left"/>
      <protection locked="0"/>
    </xf>
    <xf numFmtId="0" fontId="38" fillId="18" borderId="3" xfId="1" applyFont="1" applyFill="1" applyBorder="1" applyAlignment="1" applyProtection="1">
      <alignment horizontal="left" vertical="center" wrapText="1"/>
      <protection locked="0"/>
    </xf>
    <xf numFmtId="168" fontId="38" fillId="18" borderId="3" xfId="0" applyNumberFormat="1" applyFont="1" applyFill="1" applyBorder="1" applyAlignment="1" applyProtection="1">
      <alignment horizontal="left" vertical="center"/>
      <protection locked="0"/>
    </xf>
    <xf numFmtId="49" fontId="38" fillId="18" borderId="5" xfId="0" applyNumberFormat="1" applyFont="1" applyFill="1" applyBorder="1" applyAlignment="1" applyProtection="1">
      <alignment horizontal="left" vertical="center"/>
      <protection locked="0"/>
    </xf>
    <xf numFmtId="0" fontId="16" fillId="5" borderId="3" xfId="0" applyFont="1" applyFill="1" applyBorder="1" applyAlignment="1" applyProtection="1">
      <alignment vertical="center" wrapText="1"/>
      <protection locked="0"/>
    </xf>
    <xf numFmtId="0" fontId="35" fillId="18" borderId="3" xfId="0" applyFont="1" applyFill="1" applyBorder="1" applyAlignment="1" applyProtection="1">
      <alignment vertical="center" wrapText="1"/>
      <protection locked="0"/>
    </xf>
    <xf numFmtId="0" fontId="39" fillId="0" borderId="0" xfId="0" applyFont="1" applyAlignment="1">
      <alignment vertical="center"/>
    </xf>
    <xf numFmtId="0" fontId="39" fillId="0" borderId="0" xfId="0" applyFont="1" applyAlignment="1">
      <alignment horizontal="center" vertical="center"/>
    </xf>
    <xf numFmtId="0" fontId="39" fillId="5" borderId="3" xfId="0" quotePrefix="1" applyFont="1" applyFill="1" applyBorder="1" applyAlignment="1" applyProtection="1">
      <alignment horizontal="center" vertical="center"/>
      <protection locked="0"/>
    </xf>
    <xf numFmtId="0" fontId="40" fillId="0" borderId="3" xfId="0" applyFont="1" applyBorder="1" applyAlignment="1">
      <alignment vertical="center" wrapText="1"/>
    </xf>
    <xf numFmtId="0" fontId="40" fillId="5" borderId="3" xfId="1" applyFont="1" applyFill="1" applyBorder="1" applyAlignment="1" applyProtection="1">
      <alignment horizontal="center" vertical="center"/>
      <protection locked="0"/>
    </xf>
    <xf numFmtId="166" fontId="40" fillId="5" borderId="3" xfId="1" applyNumberFormat="1" applyFont="1" applyFill="1" applyBorder="1" applyAlignment="1" applyProtection="1">
      <alignment horizontal="center" vertical="center"/>
      <protection locked="0"/>
    </xf>
    <xf numFmtId="0" fontId="40" fillId="5" borderId="3" xfId="0" applyFont="1" applyFill="1" applyBorder="1" applyAlignment="1" applyProtection="1">
      <alignment horizontal="center" vertical="center"/>
      <protection locked="0"/>
    </xf>
    <xf numFmtId="0" fontId="40" fillId="5" borderId="3" xfId="0" applyFont="1" applyFill="1" applyBorder="1" applyAlignment="1" applyProtection="1">
      <alignment vertical="center" wrapText="1"/>
      <protection locked="0"/>
    </xf>
    <xf numFmtId="168" fontId="41" fillId="18" borderId="28" xfId="0" applyNumberFormat="1" applyFont="1" applyFill="1" applyBorder="1" applyAlignment="1" applyProtection="1">
      <alignment horizontal="left" vertical="center"/>
      <protection locked="0"/>
    </xf>
    <xf numFmtId="0" fontId="41" fillId="18" borderId="28" xfId="1" applyFont="1" applyFill="1" applyBorder="1" applyAlignment="1" applyProtection="1">
      <alignment horizontal="left" vertical="center"/>
      <protection locked="0"/>
    </xf>
    <xf numFmtId="0" fontId="42" fillId="5" borderId="3" xfId="1" applyFont="1" applyFill="1" applyBorder="1" applyAlignment="1" applyProtection="1">
      <alignment horizontal="center" vertical="center"/>
      <protection locked="0"/>
    </xf>
    <xf numFmtId="0" fontId="41" fillId="18" borderId="28" xfId="1" applyFont="1" applyFill="1" applyBorder="1" applyAlignment="1" applyProtection="1">
      <alignment horizontal="left" vertical="center" wrapText="1"/>
      <protection locked="0"/>
    </xf>
    <xf numFmtId="0" fontId="42" fillId="5" borderId="3" xfId="1" applyFont="1" applyFill="1" applyBorder="1" applyAlignment="1" applyProtection="1">
      <alignment horizontal="center" vertical="center" wrapText="1"/>
      <protection locked="0"/>
    </xf>
    <xf numFmtId="0" fontId="8" fillId="7" borderId="7" xfId="0" applyFont="1" applyFill="1" applyBorder="1" applyAlignment="1">
      <alignment vertical="center" wrapText="1"/>
    </xf>
    <xf numFmtId="49" fontId="1" fillId="5" borderId="3" xfId="0" applyNumberFormat="1" applyFont="1" applyFill="1" applyBorder="1" applyAlignment="1" applyProtection="1">
      <alignment horizontal="left" vertical="center"/>
      <protection locked="0"/>
    </xf>
    <xf numFmtId="167" fontId="1" fillId="5" borderId="3" xfId="0" applyNumberFormat="1" applyFont="1" applyFill="1" applyBorder="1" applyAlignment="1" applyProtection="1">
      <alignment horizontal="left" vertical="center"/>
      <protection locked="0"/>
    </xf>
    <xf numFmtId="168" fontId="1" fillId="5" borderId="3" xfId="0" applyNumberFormat="1" applyFont="1" applyFill="1" applyBorder="1" applyAlignment="1" applyProtection="1">
      <alignment horizontal="left" vertical="center"/>
      <protection locked="0"/>
    </xf>
    <xf numFmtId="168" fontId="1" fillId="5" borderId="6" xfId="0" applyNumberFormat="1" applyFont="1" applyFill="1" applyBorder="1" applyAlignment="1" applyProtection="1">
      <alignment horizontal="left" vertical="center"/>
      <protection locked="0"/>
    </xf>
    <xf numFmtId="0" fontId="1" fillId="5" borderId="6" xfId="0" applyFont="1" applyFill="1" applyBorder="1" applyAlignment="1" applyProtection="1">
      <alignment horizontal="left" vertical="center"/>
      <protection locked="0"/>
    </xf>
    <xf numFmtId="0" fontId="2" fillId="18" borderId="5" xfId="1" applyFill="1" applyBorder="1" applyAlignment="1" applyProtection="1">
      <alignment horizontal="left" vertical="center"/>
      <protection locked="0"/>
    </xf>
    <xf numFmtId="14" fontId="2" fillId="18" borderId="5" xfId="1" applyNumberForma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21" xfId="0" applyFont="1" applyFill="1" applyBorder="1" applyAlignment="1">
      <alignment horizontal="center" vertical="center"/>
    </xf>
    <xf numFmtId="0" fontId="1" fillId="0" borderId="40" xfId="0" applyFont="1" applyBorder="1" applyAlignment="1">
      <alignment vertical="center"/>
    </xf>
    <xf numFmtId="0" fontId="1" fillId="0" borderId="40" xfId="0" applyFont="1" applyBorder="1" applyAlignment="1">
      <alignment horizontal="center" vertical="center"/>
    </xf>
    <xf numFmtId="0" fontId="1" fillId="2" borderId="1" xfId="0" applyFont="1" applyFill="1" applyBorder="1" applyAlignment="1">
      <alignment vertical="center"/>
    </xf>
    <xf numFmtId="0" fontId="1" fillId="0" borderId="0" xfId="0" applyFont="1" applyAlignment="1">
      <alignment vertical="center"/>
    </xf>
    <xf numFmtId="0" fontId="1" fillId="0" borderId="0" xfId="0" applyFont="1" applyAlignment="1">
      <alignment horizontal="center" vertical="center"/>
    </xf>
    <xf numFmtId="0" fontId="1" fillId="5" borderId="3" xfId="0" quotePrefix="1" applyFont="1" applyFill="1" applyBorder="1" applyAlignment="1" applyProtection="1">
      <alignment horizontal="center" vertical="center"/>
      <protection locked="0"/>
    </xf>
    <xf numFmtId="167" fontId="1" fillId="5" borderId="5" xfId="0" applyNumberFormat="1" applyFont="1" applyFill="1" applyBorder="1" applyAlignment="1" applyProtection="1">
      <alignment horizontal="center" vertical="center"/>
      <protection locked="0"/>
    </xf>
    <xf numFmtId="166" fontId="1" fillId="5" borderId="5" xfId="0" applyNumberFormat="1" applyFont="1" applyFill="1" applyBorder="1" applyAlignment="1" applyProtection="1">
      <alignment horizontal="center" vertical="center"/>
      <protection locked="0"/>
    </xf>
    <xf numFmtId="167" fontId="16" fillId="18" borderId="3" xfId="0" applyNumberFormat="1" applyFont="1" applyFill="1" applyBorder="1" applyAlignment="1" applyProtection="1">
      <alignment horizontal="left" vertical="center"/>
      <protection locked="0"/>
    </xf>
    <xf numFmtId="0" fontId="1" fillId="6" borderId="3" xfId="0" applyFont="1" applyFill="1" applyBorder="1" applyAlignment="1" applyProtection="1">
      <alignment horizontal="center" vertical="center"/>
      <protection locked="0"/>
    </xf>
    <xf numFmtId="0" fontId="1" fillId="6" borderId="3" xfId="0" applyFont="1" applyFill="1" applyBorder="1" applyAlignment="1" applyProtection="1">
      <alignment vertical="center" wrapText="1"/>
      <protection locked="0"/>
    </xf>
    <xf numFmtId="0" fontId="8" fillId="18" borderId="3" xfId="0" applyFont="1" applyFill="1" applyBorder="1" applyAlignment="1" applyProtection="1">
      <alignment horizontal="left" vertical="center"/>
      <protection locked="0"/>
    </xf>
    <xf numFmtId="168" fontId="8" fillId="18" borderId="3" xfId="0" applyNumberFormat="1" applyFont="1" applyFill="1" applyBorder="1" applyAlignment="1" applyProtection="1">
      <alignment horizontal="left" vertical="center"/>
      <protection locked="0"/>
    </xf>
    <xf numFmtId="0" fontId="8" fillId="5" borderId="10" xfId="0" applyFont="1" applyFill="1" applyBorder="1" applyAlignment="1" applyProtection="1">
      <alignment vertical="center"/>
      <protection locked="0"/>
    </xf>
    <xf numFmtId="0" fontId="16" fillId="5" borderId="6" xfId="0" applyFont="1" applyFill="1" applyBorder="1" applyAlignment="1" applyProtection="1">
      <alignment horizontal="left" vertical="center"/>
      <protection locked="0"/>
    </xf>
    <xf numFmtId="0" fontId="16" fillId="5" borderId="3" xfId="0" applyFont="1" applyFill="1" applyBorder="1" applyAlignment="1" applyProtection="1">
      <alignment horizontal="left" vertical="center"/>
      <protection locked="0"/>
    </xf>
    <xf numFmtId="168" fontId="16" fillId="18" borderId="5" xfId="0" applyNumberFormat="1" applyFont="1" applyFill="1" applyBorder="1" applyAlignment="1" applyProtection="1">
      <alignment horizontal="left" vertical="center"/>
      <protection locked="0"/>
    </xf>
    <xf numFmtId="49" fontId="8" fillId="18" borderId="3" xfId="0" applyNumberFormat="1" applyFont="1" applyFill="1" applyBorder="1" applyAlignment="1" applyProtection="1">
      <alignment horizontal="left" vertical="center"/>
      <protection locked="0"/>
    </xf>
    <xf numFmtId="167" fontId="8" fillId="18" borderId="5" xfId="0" applyNumberFormat="1" applyFont="1" applyFill="1" applyBorder="1" applyAlignment="1" applyProtection="1">
      <alignment horizontal="left" vertical="center"/>
      <protection locked="0"/>
    </xf>
    <xf numFmtId="168" fontId="8" fillId="18" borderId="5" xfId="0" applyNumberFormat="1" applyFont="1" applyFill="1" applyBorder="1" applyAlignment="1" applyProtection="1">
      <alignment horizontal="left" vertical="center"/>
      <protection locked="0"/>
    </xf>
    <xf numFmtId="49" fontId="16" fillId="5" borderId="3" xfId="0" applyNumberFormat="1" applyFont="1" applyFill="1" applyBorder="1" applyAlignment="1" applyProtection="1">
      <alignment horizontal="left" vertical="center"/>
      <protection locked="0"/>
    </xf>
    <xf numFmtId="167" fontId="16" fillId="18" borderId="5" xfId="2" applyNumberFormat="1" applyFont="1" applyFill="1" applyBorder="1" applyAlignment="1" applyProtection="1">
      <alignment horizontal="left"/>
      <protection locked="0"/>
    </xf>
    <xf numFmtId="167" fontId="16" fillId="18" borderId="28" xfId="0" applyNumberFormat="1" applyFont="1" applyFill="1" applyBorder="1" applyAlignment="1" applyProtection="1">
      <alignment horizontal="left" vertical="center"/>
      <protection locked="0"/>
    </xf>
    <xf numFmtId="168" fontId="16" fillId="18" borderId="28" xfId="0" applyNumberFormat="1" applyFont="1" applyFill="1" applyBorder="1" applyAlignment="1" applyProtection="1">
      <alignment horizontal="left" vertical="center"/>
      <protection locked="0"/>
    </xf>
    <xf numFmtId="0" fontId="1" fillId="5" borderId="3" xfId="0" applyFont="1" applyFill="1" applyBorder="1" applyAlignment="1" applyProtection="1">
      <alignment horizontal="center" vertical="center"/>
      <protection locked="0"/>
    </xf>
    <xf numFmtId="49" fontId="8" fillId="5" borderId="6" xfId="0" applyNumberFormat="1" applyFont="1" applyFill="1" applyBorder="1" applyAlignment="1" applyProtection="1">
      <alignment horizontal="left" vertical="center"/>
      <protection locked="0"/>
    </xf>
    <xf numFmtId="168" fontId="8" fillId="18" borderId="28" xfId="0" applyNumberFormat="1" applyFont="1" applyFill="1" applyBorder="1" applyAlignment="1" applyProtection="1">
      <alignment horizontal="left" vertical="center"/>
      <protection locked="0"/>
    </xf>
    <xf numFmtId="49" fontId="16" fillId="5" borderId="6" xfId="0" applyNumberFormat="1" applyFont="1" applyFill="1" applyBorder="1" applyAlignment="1" applyProtection="1">
      <alignment horizontal="left" vertical="center"/>
      <protection locked="0"/>
    </xf>
    <xf numFmtId="49" fontId="16" fillId="18" borderId="6" xfId="0" applyNumberFormat="1" applyFont="1" applyFill="1" applyBorder="1" applyAlignment="1" applyProtection="1">
      <alignment horizontal="left" vertical="center"/>
      <protection locked="0"/>
    </xf>
    <xf numFmtId="167" fontId="16" fillId="18" borderId="5" xfId="0" applyNumberFormat="1" applyFont="1" applyFill="1" applyBorder="1" applyAlignment="1" applyProtection="1">
      <alignment horizontal="left" vertical="center"/>
      <protection locked="0"/>
    </xf>
    <xf numFmtId="167" fontId="40" fillId="5" borderId="6" xfId="0" applyNumberFormat="1" applyFont="1" applyFill="1" applyBorder="1" applyAlignment="1" applyProtection="1">
      <alignment horizontal="left" vertical="center"/>
      <protection locked="0"/>
    </xf>
    <xf numFmtId="168" fontId="40" fillId="5" borderId="3" xfId="0" applyNumberFormat="1" applyFont="1" applyFill="1" applyBorder="1" applyAlignment="1" applyProtection="1">
      <alignment horizontal="left" vertical="center"/>
      <protection locked="0"/>
    </xf>
    <xf numFmtId="0" fontId="40" fillId="5" borderId="3" xfId="1" applyFont="1" applyFill="1" applyBorder="1" applyAlignment="1" applyProtection="1">
      <alignment horizontal="left" vertical="center"/>
      <protection locked="0"/>
    </xf>
    <xf numFmtId="49" fontId="8" fillId="18" borderId="6" xfId="0" applyNumberFormat="1" applyFont="1" applyFill="1" applyBorder="1" applyAlignment="1" applyProtection="1">
      <alignment horizontal="left" vertical="center"/>
      <protection locked="0"/>
    </xf>
    <xf numFmtId="0" fontId="16" fillId="5" borderId="3" xfId="1" applyFont="1" applyFill="1" applyBorder="1" applyAlignment="1" applyProtection="1">
      <alignment horizontal="left" vertical="center"/>
      <protection locked="0"/>
    </xf>
    <xf numFmtId="0" fontId="16" fillId="18" borderId="5" xfId="1" applyFont="1" applyFill="1" applyBorder="1" applyAlignment="1" applyProtection="1">
      <alignment horizontal="left" vertical="center"/>
      <protection locked="0"/>
    </xf>
    <xf numFmtId="0" fontId="16" fillId="18" borderId="28" xfId="1" applyFont="1" applyFill="1" applyBorder="1" applyAlignment="1" applyProtection="1">
      <alignment horizontal="left" vertical="center"/>
      <protection locked="0"/>
    </xf>
    <xf numFmtId="167" fontId="8" fillId="18" borderId="28" xfId="0" applyNumberFormat="1" applyFont="1" applyFill="1" applyBorder="1" applyAlignment="1" applyProtection="1">
      <alignment horizontal="left" vertical="center"/>
      <protection locked="0"/>
    </xf>
    <xf numFmtId="49" fontId="16" fillId="18" borderId="3" xfId="0" applyNumberFormat="1" applyFont="1" applyFill="1" applyBorder="1" applyAlignment="1" applyProtection="1">
      <alignment horizontal="left" vertical="center"/>
      <protection locked="0"/>
    </xf>
    <xf numFmtId="167" fontId="16" fillId="18" borderId="12" xfId="2" applyNumberFormat="1" applyFont="1" applyFill="1" applyBorder="1" applyAlignment="1" applyProtection="1">
      <alignment horizontal="left" vertical="center"/>
      <protection locked="0"/>
    </xf>
    <xf numFmtId="167" fontId="40" fillId="18" borderId="28" xfId="0" applyNumberFormat="1" applyFont="1" applyFill="1" applyBorder="1" applyAlignment="1" applyProtection="1">
      <alignment horizontal="left" vertical="center"/>
      <protection locked="0"/>
    </xf>
    <xf numFmtId="0" fontId="16" fillId="18" borderId="3" xfId="0" applyFont="1" applyFill="1" applyBorder="1" applyAlignment="1" applyProtection="1">
      <alignment horizontal="left" vertical="center"/>
      <protection locked="0"/>
    </xf>
    <xf numFmtId="0" fontId="8" fillId="18" borderId="6" xfId="0" applyFont="1" applyFill="1" applyBorder="1" applyAlignment="1" applyProtection="1">
      <alignment horizontal="left" vertical="center"/>
      <protection locked="0"/>
    </xf>
    <xf numFmtId="0" fontId="8" fillId="5" borderId="6" xfId="0" applyFont="1" applyFill="1" applyBorder="1" applyAlignment="1" applyProtection="1">
      <alignment horizontal="left" vertical="center"/>
      <protection locked="0"/>
    </xf>
    <xf numFmtId="167" fontId="16" fillId="18" borderId="28" xfId="2" applyNumberFormat="1" applyFont="1" applyFill="1" applyBorder="1" applyAlignment="1" applyProtection="1">
      <alignment horizontal="left"/>
      <protection locked="0"/>
    </xf>
    <xf numFmtId="0" fontId="1" fillId="5" borderId="3" xfId="0" applyFont="1" applyFill="1" applyBorder="1" applyAlignment="1" applyProtection="1">
      <alignment horizontal="left" vertical="center"/>
      <protection locked="0"/>
    </xf>
    <xf numFmtId="49" fontId="1" fillId="0" borderId="0" xfId="0" applyNumberFormat="1" applyFont="1" applyAlignment="1">
      <alignment vertical="center"/>
    </xf>
    <xf numFmtId="14" fontId="1" fillId="0" borderId="0" xfId="0" applyNumberFormat="1" applyFont="1" applyAlignment="1">
      <alignment vertical="center"/>
    </xf>
    <xf numFmtId="14" fontId="1" fillId="0" borderId="0" xfId="0" applyNumberFormat="1" applyFont="1" applyAlignment="1">
      <alignment horizontal="center" vertical="center"/>
    </xf>
    <xf numFmtId="0" fontId="1" fillId="5" borderId="0" xfId="0" quotePrefix="1" applyFont="1" applyFill="1" applyAlignment="1" applyProtection="1">
      <alignment vertical="center"/>
      <protection locked="0"/>
    </xf>
    <xf numFmtId="168" fontId="1" fillId="5" borderId="3" xfId="0" applyNumberFormat="1" applyFont="1" applyFill="1" applyBorder="1" applyAlignment="1" applyProtection="1">
      <alignment horizontal="center" vertical="center"/>
      <protection locked="0"/>
    </xf>
    <xf numFmtId="0" fontId="1" fillId="5" borderId="0" xfId="0" applyFont="1" applyFill="1" applyAlignment="1" applyProtection="1">
      <alignment vertical="center"/>
      <protection locked="0"/>
    </xf>
    <xf numFmtId="168" fontId="1" fillId="5" borderId="3" xfId="0" applyNumberFormat="1" applyFont="1" applyFill="1" applyBorder="1" applyAlignment="1" applyProtection="1">
      <alignment horizontal="center" vertical="center" wrapText="1"/>
      <protection locked="0"/>
    </xf>
    <xf numFmtId="14" fontId="1" fillId="0" borderId="0" xfId="0" applyNumberFormat="1" applyFont="1" applyAlignment="1">
      <alignment horizontal="center" vertical="center" wrapText="1"/>
    </xf>
    <xf numFmtId="14" fontId="1" fillId="0" borderId="3" xfId="0" applyNumberFormat="1" applyFont="1" applyBorder="1" applyAlignment="1">
      <alignment horizontal="center" vertical="center" wrapText="1"/>
    </xf>
    <xf numFmtId="14" fontId="1" fillId="5" borderId="3" xfId="0" applyNumberFormat="1" applyFont="1" applyFill="1" applyBorder="1" applyAlignment="1" applyProtection="1">
      <alignment horizontal="center" vertical="center"/>
      <protection locked="0"/>
    </xf>
    <xf numFmtId="0" fontId="1" fillId="0" borderId="3" xfId="0" applyFont="1" applyBorder="1" applyAlignment="1">
      <alignment vertical="center"/>
    </xf>
    <xf numFmtId="168" fontId="1" fillId="6" borderId="3" xfId="0" applyNumberFormat="1" applyFont="1" applyFill="1" applyBorder="1" applyAlignment="1" applyProtection="1">
      <alignment horizontal="center" vertical="center"/>
      <protection locked="0"/>
    </xf>
    <xf numFmtId="49" fontId="1" fillId="0" borderId="0" xfId="0" applyNumberFormat="1" applyFont="1" applyAlignment="1">
      <alignment horizontal="center" vertical="center"/>
    </xf>
    <xf numFmtId="14" fontId="1" fillId="0" borderId="3" xfId="0" applyNumberFormat="1" applyFont="1" applyBorder="1" applyAlignment="1">
      <alignment horizontal="center" vertical="center"/>
    </xf>
    <xf numFmtId="168" fontId="1" fillId="0" borderId="3" xfId="0" applyNumberFormat="1" applyFont="1" applyBorder="1" applyAlignment="1">
      <alignment horizontal="center" vertical="center"/>
    </xf>
    <xf numFmtId="0" fontId="1" fillId="5" borderId="8" xfId="0" applyFont="1" applyFill="1" applyBorder="1" applyAlignment="1" applyProtection="1">
      <alignment horizontal="center" vertical="center"/>
      <protection locked="0"/>
    </xf>
    <xf numFmtId="0" fontId="1" fillId="5" borderId="5" xfId="0" applyFont="1" applyFill="1" applyBorder="1" applyAlignment="1" applyProtection="1">
      <alignment horizontal="center" vertical="center"/>
      <protection locked="0"/>
    </xf>
    <xf numFmtId="49" fontId="1" fillId="5" borderId="5" xfId="0" applyNumberFormat="1" applyFont="1" applyFill="1" applyBorder="1" applyAlignment="1" applyProtection="1">
      <alignment horizontal="center" vertical="center"/>
      <protection locked="0"/>
    </xf>
    <xf numFmtId="0" fontId="1" fillId="5" borderId="27" xfId="0" applyFont="1" applyFill="1" applyBorder="1" applyAlignment="1" applyProtection="1">
      <alignment horizontal="center" vertical="center"/>
      <protection locked="0"/>
    </xf>
    <xf numFmtId="14" fontId="1" fillId="5" borderId="28" xfId="0" applyNumberFormat="1" applyFont="1" applyFill="1" applyBorder="1" applyAlignment="1" applyProtection="1">
      <alignment horizontal="center" vertical="center"/>
      <protection locked="0"/>
    </xf>
    <xf numFmtId="0" fontId="1" fillId="5" borderId="7" xfId="0" applyFont="1" applyFill="1" applyBorder="1" applyAlignment="1" applyProtection="1">
      <alignment horizontal="center" vertical="center"/>
      <protection locked="0"/>
    </xf>
    <xf numFmtId="0" fontId="1" fillId="5" borderId="3" xfId="0" applyFont="1" applyFill="1" applyBorder="1" applyAlignment="1" applyProtection="1">
      <alignment vertical="center"/>
      <protection locked="0"/>
    </xf>
    <xf numFmtId="0" fontId="1" fillId="6" borderId="7"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2" xfId="0" applyFont="1" applyBorder="1"/>
    <xf numFmtId="0" fontId="1" fillId="2" borderId="41" xfId="0" applyFont="1" applyFill="1" applyBorder="1"/>
    <xf numFmtId="0" fontId="1" fillId="2" borderId="2" xfId="0" applyFont="1" applyFill="1" applyBorder="1"/>
    <xf numFmtId="0" fontId="8" fillId="16" borderId="6" xfId="0" applyFont="1" applyFill="1" applyBorder="1" applyAlignment="1" applyProtection="1">
      <alignment horizontal="left" vertical="center"/>
      <protection locked="0"/>
    </xf>
    <xf numFmtId="49" fontId="33" fillId="16" borderId="6" xfId="0" applyNumberFormat="1" applyFont="1" applyFill="1" applyBorder="1" applyAlignment="1" applyProtection="1">
      <alignment horizontal="left" vertical="center"/>
      <protection locked="0"/>
    </xf>
    <xf numFmtId="49" fontId="16" fillId="5" borderId="10" xfId="2" applyNumberFormat="1" applyFont="1" applyFill="1" applyBorder="1" applyAlignment="1" applyProtection="1">
      <alignment horizontal="left" vertical="center"/>
      <protection locked="0"/>
    </xf>
    <xf numFmtId="49" fontId="8" fillId="16" borderId="6" xfId="0" applyNumberFormat="1" applyFont="1" applyFill="1" applyBorder="1" applyAlignment="1" applyProtection="1">
      <alignment horizontal="left" vertical="center"/>
      <protection locked="0"/>
    </xf>
    <xf numFmtId="49" fontId="40" fillId="16" borderId="6" xfId="0" applyNumberFormat="1" applyFont="1" applyFill="1" applyBorder="1" applyAlignment="1" applyProtection="1">
      <alignment horizontal="left" vertical="center"/>
      <protection locked="0"/>
    </xf>
    <xf numFmtId="0" fontId="16" fillId="16" borderId="6" xfId="0" applyFont="1" applyFill="1" applyBorder="1" applyAlignment="1" applyProtection="1">
      <alignment horizontal="left" vertical="center"/>
      <protection locked="0"/>
    </xf>
    <xf numFmtId="0" fontId="8" fillId="5" borderId="3" xfId="0" applyFont="1" applyFill="1" applyBorder="1" applyAlignment="1">
      <alignment vertical="center"/>
    </xf>
    <xf numFmtId="0" fontId="8" fillId="5" borderId="8" xfId="0" applyFont="1" applyFill="1" applyBorder="1" applyAlignment="1">
      <alignment vertical="center"/>
    </xf>
    <xf numFmtId="0" fontId="0" fillId="5" borderId="0" xfId="0" applyFill="1" applyAlignment="1">
      <alignment horizontal="center" vertical="center"/>
    </xf>
    <xf numFmtId="0" fontId="0" fillId="5" borderId="3" xfId="0" quotePrefix="1" applyFill="1" applyBorder="1" applyAlignment="1">
      <alignment horizontal="center" vertical="center"/>
    </xf>
    <xf numFmtId="0" fontId="8" fillId="0" borderId="0" xfId="0" applyFont="1" applyAlignment="1" applyProtection="1">
      <alignment horizontal="center" vertical="center"/>
      <protection locked="0"/>
    </xf>
    <xf numFmtId="167" fontId="8" fillId="5" borderId="3" xfId="2" applyNumberFormat="1" applyFont="1" applyFill="1" applyBorder="1" applyAlignment="1" applyProtection="1">
      <alignment horizontal="center" vertical="center"/>
      <protection locked="0"/>
    </xf>
    <xf numFmtId="166" fontId="8" fillId="5" borderId="0" xfId="2" applyNumberFormat="1" applyFont="1" applyFill="1" applyAlignment="1" applyProtection="1">
      <alignment horizontal="center" vertical="center"/>
      <protection locked="0"/>
    </xf>
    <xf numFmtId="0" fontId="8" fillId="0" borderId="0" xfId="0" applyFont="1" applyAlignment="1" applyProtection="1">
      <alignment vertical="center"/>
      <protection locked="0"/>
    </xf>
    <xf numFmtId="0" fontId="0" fillId="5" borderId="8" xfId="0" quotePrefix="1" applyFill="1" applyBorder="1" applyAlignment="1">
      <alignment horizontal="center" vertical="center"/>
    </xf>
    <xf numFmtId="0" fontId="8" fillId="0" borderId="8" xfId="0" applyFont="1" applyBorder="1" applyAlignment="1">
      <alignment vertical="center" wrapText="1"/>
    </xf>
    <xf numFmtId="0" fontId="8" fillId="5" borderId="8" xfId="0" applyFont="1" applyFill="1" applyBorder="1" applyAlignment="1" applyProtection="1">
      <alignment horizontal="center" vertical="center"/>
      <protection locked="0"/>
    </xf>
    <xf numFmtId="167" fontId="8" fillId="5" borderId="8" xfId="0" applyNumberFormat="1" applyFont="1" applyFill="1" applyBorder="1" applyAlignment="1" applyProtection="1">
      <alignment horizontal="center" vertical="center"/>
      <protection locked="0"/>
    </xf>
    <xf numFmtId="168" fontId="8" fillId="5" borderId="8" xfId="0" applyNumberFormat="1" applyFont="1" applyFill="1" applyBorder="1" applyAlignment="1" applyProtection="1">
      <alignment horizontal="center" vertical="center"/>
      <protection locked="0"/>
    </xf>
    <xf numFmtId="166" fontId="8" fillId="5" borderId="8" xfId="0" applyNumberFormat="1" applyFont="1" applyFill="1" applyBorder="1" applyAlignment="1" applyProtection="1">
      <alignment horizontal="center" vertical="center"/>
      <protection locked="0"/>
    </xf>
    <xf numFmtId="0" fontId="8" fillId="5" borderId="8" xfId="0" applyFont="1" applyFill="1" applyBorder="1" applyAlignment="1" applyProtection="1">
      <alignment vertical="center" wrapText="1"/>
      <protection locked="0"/>
    </xf>
    <xf numFmtId="0" fontId="0" fillId="0" borderId="4" xfId="0" applyBorder="1" applyAlignment="1">
      <alignment vertical="center"/>
    </xf>
    <xf numFmtId="0" fontId="1" fillId="0" borderId="1" xfId="0" applyFont="1" applyBorder="1" applyAlignment="1">
      <alignment vertical="center"/>
    </xf>
    <xf numFmtId="0" fontId="1" fillId="8" borderId="1" xfId="0" applyFont="1" applyFill="1" applyBorder="1" applyAlignment="1">
      <alignment vertical="center"/>
    </xf>
    <xf numFmtId="0" fontId="1" fillId="8" borderId="0" xfId="0" applyFont="1" applyFill="1" applyAlignment="1">
      <alignment vertical="center"/>
    </xf>
    <xf numFmtId="0" fontId="0" fillId="0" borderId="36" xfId="0" applyBorder="1" applyAlignment="1">
      <alignment vertical="center"/>
    </xf>
    <xf numFmtId="0" fontId="7" fillId="4" borderId="0" xfId="0" applyFont="1" applyFill="1" applyAlignment="1">
      <alignment vertical="center"/>
    </xf>
    <xf numFmtId="0" fontId="9" fillId="0" borderId="9" xfId="0" applyFont="1" applyBorder="1" applyAlignment="1">
      <alignment vertical="center" wrapText="1"/>
    </xf>
    <xf numFmtId="0" fontId="9" fillId="5" borderId="9" xfId="0" applyFont="1" applyFill="1" applyBorder="1" applyAlignment="1" applyProtection="1">
      <alignment vertical="center" wrapText="1"/>
      <protection locked="0"/>
    </xf>
    <xf numFmtId="0" fontId="7" fillId="4" borderId="0" xfId="0" applyFont="1" applyFill="1" applyAlignment="1">
      <alignment vertical="center" wrapText="1"/>
    </xf>
    <xf numFmtId="0" fontId="9" fillId="7" borderId="0" xfId="0" applyFont="1" applyFill="1" applyAlignment="1">
      <alignment vertical="center" wrapText="1"/>
    </xf>
    <xf numFmtId="0" fontId="0" fillId="5" borderId="46" xfId="0" applyFill="1" applyBorder="1" applyAlignment="1" applyProtection="1">
      <alignment horizontal="center" vertical="center"/>
      <protection locked="0"/>
    </xf>
    <xf numFmtId="0" fontId="0" fillId="11" borderId="5" xfId="0" applyFill="1" applyBorder="1" applyAlignment="1" applyProtection="1">
      <alignment horizontal="center" vertical="center"/>
      <protection locked="0"/>
    </xf>
    <xf numFmtId="0" fontId="2" fillId="5" borderId="46" xfId="1" applyFill="1" applyBorder="1" applyAlignment="1" applyProtection="1">
      <alignment horizontal="center" vertical="center"/>
      <protection locked="0"/>
    </xf>
    <xf numFmtId="0" fontId="0" fillId="19" borderId="28" xfId="0" applyFill="1" applyBorder="1" applyAlignment="1" applyProtection="1">
      <alignment horizontal="center" vertical="center"/>
      <protection locked="0"/>
    </xf>
    <xf numFmtId="0" fontId="4" fillId="19" borderId="0" xfId="0" applyFont="1" applyFill="1" applyAlignment="1">
      <alignment vertical="center"/>
    </xf>
    <xf numFmtId="0" fontId="0" fillId="19" borderId="5" xfId="0" applyFill="1" applyBorder="1" applyAlignment="1" applyProtection="1">
      <alignment horizontal="center" vertical="center"/>
      <protection locked="0"/>
    </xf>
    <xf numFmtId="0" fontId="45" fillId="18" borderId="6" xfId="0" applyFont="1" applyFill="1" applyBorder="1" applyAlignment="1">
      <alignment wrapText="1"/>
    </xf>
    <xf numFmtId="0" fontId="45" fillId="21" borderId="6" xfId="0" applyFont="1" applyFill="1" applyBorder="1" applyAlignment="1">
      <alignment wrapText="1"/>
    </xf>
    <xf numFmtId="0" fontId="46" fillId="18" borderId="6" xfId="0" applyFont="1" applyFill="1" applyBorder="1" applyAlignment="1">
      <alignment wrapText="1"/>
    </xf>
    <xf numFmtId="0" fontId="46" fillId="21" borderId="6" xfId="0" applyFont="1" applyFill="1" applyBorder="1" applyAlignment="1">
      <alignment wrapText="1"/>
    </xf>
    <xf numFmtId="0" fontId="46" fillId="22" borderId="6" xfId="0" applyFont="1" applyFill="1" applyBorder="1" applyAlignment="1">
      <alignment wrapText="1"/>
    </xf>
    <xf numFmtId="0" fontId="46" fillId="18" borderId="28" xfId="0" applyFont="1" applyFill="1" applyBorder="1" applyAlignment="1">
      <alignment horizontal="center" wrapText="1"/>
    </xf>
    <xf numFmtId="0" fontId="47" fillId="20" borderId="28" xfId="0" applyFont="1" applyFill="1" applyBorder="1" applyAlignment="1">
      <alignment horizontal="center" wrapText="1"/>
    </xf>
    <xf numFmtId="0" fontId="48" fillId="20" borderId="28" xfId="0" applyFont="1" applyFill="1" applyBorder="1" applyAlignment="1">
      <alignment horizontal="center"/>
    </xf>
    <xf numFmtId="0" fontId="2" fillId="20" borderId="45" xfId="1" applyFill="1" applyBorder="1" applyAlignment="1">
      <alignment horizontal="center"/>
    </xf>
    <xf numFmtId="0" fontId="35" fillId="18" borderId="28" xfId="0" applyFont="1" applyFill="1" applyBorder="1" applyAlignment="1">
      <alignment horizontal="center"/>
    </xf>
    <xf numFmtId="0" fontId="35" fillId="18" borderId="44" xfId="0" applyFont="1" applyFill="1" applyBorder="1" applyAlignment="1">
      <alignment horizontal="center"/>
    </xf>
    <xf numFmtId="0" fontId="35" fillId="18" borderId="11" xfId="0" applyFont="1" applyFill="1" applyBorder="1" applyAlignment="1">
      <alignment horizontal="center"/>
    </xf>
    <xf numFmtId="0" fontId="48" fillId="20" borderId="44" xfId="0" applyFont="1" applyFill="1" applyBorder="1" applyAlignment="1">
      <alignment horizontal="center"/>
    </xf>
    <xf numFmtId="0" fontId="2" fillId="20" borderId="11" xfId="1" applyFill="1" applyBorder="1" applyAlignment="1">
      <alignment horizontal="center"/>
    </xf>
    <xf numFmtId="0" fontId="46" fillId="21" borderId="28" xfId="0" applyFont="1" applyFill="1" applyBorder="1" applyAlignment="1">
      <alignment horizontal="center" wrapText="1"/>
    </xf>
    <xf numFmtId="0" fontId="35" fillId="21" borderId="28" xfId="0" applyFont="1" applyFill="1" applyBorder="1" applyAlignment="1">
      <alignment horizontal="center"/>
    </xf>
    <xf numFmtId="0" fontId="35" fillId="21" borderId="44" xfId="0" applyFont="1" applyFill="1" applyBorder="1" applyAlignment="1">
      <alignment horizontal="center"/>
    </xf>
    <xf numFmtId="0" fontId="35" fillId="21" borderId="11" xfId="0" applyFont="1" applyFill="1" applyBorder="1" applyAlignment="1">
      <alignment horizontal="center"/>
    </xf>
    <xf numFmtId="0" fontId="35" fillId="18" borderId="45" xfId="0" applyFont="1" applyFill="1" applyBorder="1" applyAlignment="1">
      <alignment horizontal="center"/>
    </xf>
    <xf numFmtId="0" fontId="2" fillId="18" borderId="45" xfId="1" applyFill="1" applyBorder="1" applyAlignment="1">
      <alignment horizontal="center"/>
    </xf>
    <xf numFmtId="0" fontId="2" fillId="18" borderId="11" xfId="1" applyFill="1" applyBorder="1" applyAlignment="1">
      <alignment horizontal="center"/>
    </xf>
    <xf numFmtId="0" fontId="46" fillId="22" borderId="28" xfId="0" applyFont="1" applyFill="1" applyBorder="1" applyAlignment="1">
      <alignment horizontal="center" wrapText="1"/>
    </xf>
    <xf numFmtId="0" fontId="35" fillId="22" borderId="28" xfId="0" applyFont="1" applyFill="1" applyBorder="1" applyAlignment="1">
      <alignment horizontal="center"/>
    </xf>
    <xf numFmtId="0" fontId="35" fillId="22" borderId="44" xfId="0" applyFont="1" applyFill="1" applyBorder="1" applyAlignment="1">
      <alignment horizontal="center"/>
    </xf>
    <xf numFmtId="0" fontId="35" fillId="22" borderId="11" xfId="0" applyFont="1" applyFill="1" applyBorder="1" applyAlignment="1">
      <alignment horizontal="center"/>
    </xf>
    <xf numFmtId="0" fontId="1" fillId="19" borderId="0" xfId="0" applyFont="1" applyFill="1" applyAlignment="1">
      <alignment vertical="center"/>
    </xf>
    <xf numFmtId="14" fontId="8" fillId="0" borderId="3" xfId="0" applyNumberFormat="1" applyFont="1" applyBorder="1" applyAlignment="1" applyProtection="1">
      <alignment horizontal="center" vertical="center"/>
      <protection locked="0"/>
    </xf>
    <xf numFmtId="0" fontId="2" fillId="0" borderId="3" xfId="1" applyFill="1" applyBorder="1" applyAlignment="1">
      <alignment horizontal="center" vertical="center" wrapText="1"/>
    </xf>
    <xf numFmtId="14" fontId="0" fillId="5" borderId="7" xfId="0" applyNumberFormat="1" applyFill="1" applyBorder="1" applyAlignment="1" applyProtection="1">
      <alignment horizontal="center" vertical="center"/>
      <protection locked="0"/>
    </xf>
    <xf numFmtId="14" fontId="0" fillId="5" borderId="5" xfId="0" applyNumberForma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21" xfId="0" applyFont="1" applyFill="1" applyBorder="1" applyAlignment="1">
      <alignment horizontal="center" vertical="center"/>
    </xf>
    <xf numFmtId="0" fontId="0" fillId="5" borderId="7" xfId="0" applyFill="1" applyBorder="1" applyAlignment="1" applyProtection="1">
      <alignment horizontal="left" vertical="center"/>
      <protection locked="0"/>
    </xf>
    <xf numFmtId="0" fontId="0" fillId="5" borderId="29" xfId="0" applyFill="1" applyBorder="1" applyAlignment="1" applyProtection="1">
      <alignment horizontal="left" vertical="center"/>
      <protection locked="0"/>
    </xf>
    <xf numFmtId="0" fontId="0" fillId="5" borderId="5" xfId="0" applyFill="1" applyBorder="1" applyAlignment="1" applyProtection="1">
      <alignment horizontal="left" vertical="center"/>
      <protection locked="0"/>
    </xf>
    <xf numFmtId="0" fontId="7" fillId="4" borderId="1" xfId="0" applyFont="1" applyFill="1" applyBorder="1" applyAlignment="1">
      <alignment horizontal="left" vertical="center"/>
    </xf>
    <xf numFmtId="0" fontId="7" fillId="4" borderId="21" xfId="0" applyFont="1" applyFill="1" applyBorder="1" applyAlignment="1">
      <alignment horizontal="left" vertical="center"/>
    </xf>
    <xf numFmtId="0" fontId="6" fillId="3" borderId="40" xfId="0" applyFont="1" applyFill="1" applyBorder="1" applyAlignment="1" applyProtection="1">
      <alignment horizontal="left" vertical="center"/>
      <protection locked="0"/>
    </xf>
    <xf numFmtId="0" fontId="6" fillId="3" borderId="21" xfId="0" applyFont="1" applyFill="1" applyBorder="1" applyAlignment="1" applyProtection="1">
      <alignment horizontal="left" vertical="center"/>
      <protection locked="0"/>
    </xf>
    <xf numFmtId="0" fontId="0" fillId="0" borderId="33" xfId="0" quotePrefix="1" applyBorder="1" applyAlignment="1">
      <alignment horizontal="center" vertical="top"/>
    </xf>
    <xf numFmtId="0" fontId="0" fillId="0" borderId="0" xfId="0" quotePrefix="1" applyAlignment="1">
      <alignment horizontal="center" vertical="top"/>
    </xf>
    <xf numFmtId="0" fontId="0" fillId="0" borderId="34" xfId="0" quotePrefix="1" applyBorder="1" applyAlignment="1">
      <alignment horizontal="center" vertical="top"/>
    </xf>
    <xf numFmtId="0" fontId="6" fillId="3" borderId="47"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21"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21" xfId="0" applyFont="1" applyBorder="1" applyAlignment="1">
      <alignment horizontal="center" vertical="center"/>
    </xf>
  </cellXfs>
  <cellStyles count="4">
    <cellStyle name="Hyperlink" xfId="1" builtinId="8"/>
    <cellStyle name="Hyperlink 2" xfId="3" xr:uid="{00000000-0005-0000-0000-000001000000}"/>
    <cellStyle name="Normal" xfId="0" builtinId="0"/>
    <cellStyle name="Normal 2" xfId="2" xr:uid="{00000000-0005-0000-0000-000003000000}"/>
  </cellStyles>
  <dxfs count="225">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b/>
        <i val="0"/>
      </font>
      <fill>
        <patternFill>
          <bgColor theme="8" tint="0.59996337778862885"/>
        </patternFill>
      </fill>
      <border>
        <left style="thin">
          <color rgb="FF0033CC"/>
        </left>
        <right style="thin">
          <color rgb="FF0033CC"/>
        </right>
        <top style="thin">
          <color rgb="FF0033CC"/>
        </top>
        <bottom style="thin">
          <color rgb="FF0033CC"/>
        </bottom>
      </border>
    </dxf>
    <dxf>
      <fill>
        <gradientFill degree="90">
          <stop position="0">
            <color theme="0"/>
          </stop>
          <stop position="1">
            <color rgb="FFFF0000"/>
          </stop>
        </gradientFill>
      </fill>
    </dxf>
    <dxf>
      <font>
        <color theme="0"/>
      </font>
    </dxf>
    <dxf>
      <font>
        <color rgb="FF002060"/>
      </font>
      <fill>
        <patternFill>
          <bgColor rgb="FF002060"/>
        </patternFill>
      </fill>
      <border>
        <left style="thin">
          <color rgb="FFFFFF00"/>
        </left>
        <right style="thin">
          <color rgb="FFFFFF00"/>
        </right>
        <top style="thin">
          <color rgb="FFFFFF00"/>
        </top>
        <bottom style="thin">
          <color rgb="FFFFFF00"/>
        </bottom>
        <vertical/>
        <horizontal/>
      </border>
    </dxf>
    <dxf>
      <font>
        <color rgb="FFFF0000"/>
      </font>
      <fill>
        <patternFill>
          <bgColor rgb="FFFF0000"/>
        </patternFill>
      </fill>
      <border>
        <left style="thin">
          <color rgb="FFFFFF00"/>
        </left>
        <right style="thin">
          <color rgb="FFFFFF00"/>
        </right>
        <top style="thin">
          <color rgb="FFFFFF00"/>
        </top>
        <bottom style="thin">
          <color rgb="FFFFFF00"/>
        </bottom>
      </border>
    </dxf>
    <dxf>
      <fill>
        <patternFill>
          <bgColor theme="9" tint="0.59999389629810485"/>
        </patternFill>
      </fill>
      <alignment horizontal="general"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0" formatCode="General"/>
      <fill>
        <patternFill patternType="solid">
          <fgColor indexed="64"/>
          <bgColor theme="9" tint="0.5999938962981048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bgColor theme="9" tint="0.59999389629810485"/>
        </patternFill>
      </fill>
      <alignment horizontal="center"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0" formatCode="General"/>
      <fill>
        <patternFill>
          <bgColor theme="9" tint="0.59999389629810485"/>
        </patternFill>
      </fill>
      <alignment horizontal="center"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164" formatCode="0\ &quot;Days&quot;"/>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bottom/>
        <vertical/>
        <horizontal/>
      </border>
      <protection locked="1" hidden="0"/>
    </dxf>
    <dxf>
      <numFmt numFmtId="19" formatCode="m/d/yyyy"/>
      <fill>
        <patternFill>
          <bgColor theme="9" tint="0.59999389629810485"/>
        </patternFill>
      </fill>
      <alignment horizontal="center" vertical="top" textRotation="0" indent="0" justifyLastLine="0" shrinkToFit="0" readingOrder="0"/>
      <border diagonalUp="0" diagonalDown="0" outline="0">
        <left style="thin">
          <color auto="1"/>
        </left>
        <right style="thin">
          <color auto="1"/>
        </right>
        <top style="thin">
          <color auto="1"/>
        </top>
        <bottom style="thin">
          <color auto="1"/>
        </bottom>
      </border>
      <protection locked="0" hidden="0"/>
    </dxf>
    <dxf>
      <numFmt numFmtId="19" formatCode="m/d/yyyy"/>
      <fill>
        <patternFill>
          <bgColor theme="9" tint="0.59999389629810485"/>
        </patternFill>
      </fill>
      <alignment horizontal="center" vertical="top" textRotation="0" indent="0" justifyLastLine="0" shrinkToFit="0" readingOrder="0"/>
      <border diagonalUp="0" diagonalDown="0" outline="0">
        <left style="thin">
          <color indexed="64"/>
        </left>
        <right style="thin">
          <color auto="1"/>
        </right>
        <top style="thin">
          <color auto="1"/>
        </top>
        <bottom style="thin">
          <color auto="1"/>
        </bottom>
      </border>
      <protection locked="0" hidden="0"/>
    </dxf>
    <dxf>
      <fill>
        <patternFill>
          <bgColor theme="9" tint="0.59999389629810485"/>
        </patternFill>
      </fill>
      <alignment horizontal="left" vertical="top" textRotation="0" wrapText="1" indent="0" justifyLastLine="0" shrinkToFit="0" readingOrder="0"/>
      <border diagonalUp="0" diagonalDown="0" outline="0">
        <left style="thin">
          <color auto="1"/>
        </left>
        <right style="thin">
          <color indexed="64"/>
        </right>
        <top style="thin">
          <color auto="1"/>
        </top>
        <bottom style="thin">
          <color auto="1"/>
        </bottom>
      </border>
      <protection locked="0" hidden="0"/>
    </dxf>
    <dxf>
      <font>
        <b val="0"/>
        <i val="0"/>
        <strike val="0"/>
        <condense val="0"/>
        <extend val="0"/>
        <outline val="0"/>
        <shadow val="0"/>
        <u val="none"/>
        <vertAlign val="baseline"/>
        <sz val="11"/>
        <color rgb="FF000000"/>
        <name val="Calibri"/>
        <scheme val="minor"/>
      </font>
      <fill>
        <patternFill>
          <bgColor theme="9" tint="0.59999389629810485"/>
        </patternFill>
      </fill>
      <alignment horizontal="center" vertical="top" textRotation="0" wrapText="1" indent="0" justifyLastLine="0" shrinkToFit="0" readingOrder="0"/>
      <border diagonalUp="0" diagonalDown="0" outline="0">
        <left style="thin">
          <color indexed="64"/>
        </left>
        <right style="thin">
          <color auto="1"/>
        </right>
        <top style="thin">
          <color auto="1"/>
        </top>
        <bottom style="thin">
          <color auto="1"/>
        </bottom>
      </border>
      <protection locked="0" hidden="0"/>
    </dxf>
    <dxf>
      <font>
        <b val="0"/>
        <i val="0"/>
        <strike val="0"/>
        <condense val="0"/>
        <extend val="0"/>
        <outline val="0"/>
        <shadow val="0"/>
        <u val="none"/>
        <vertAlign val="baseline"/>
        <sz val="11"/>
        <color rgb="FF000000"/>
        <name val="Calibri"/>
        <scheme val="minor"/>
      </font>
      <fill>
        <patternFill>
          <bgColor theme="9" tint="0.59999389629810485"/>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ill>
        <patternFill>
          <bgColor theme="9" tint="0.59999389629810485"/>
        </patternFill>
      </fill>
      <alignment horizontal="general" vertical="top" textRotation="0" indent="0" justifyLastLine="0" shrinkToFit="0" readingOrder="0"/>
      <protection locked="1" hidden="0"/>
    </dxf>
    <dxf>
      <font>
        <b/>
        <i val="0"/>
        <strike val="0"/>
        <condense val="0"/>
        <extend val="0"/>
        <outline val="0"/>
        <shadow val="0"/>
        <u val="none"/>
        <vertAlign val="baseline"/>
        <sz val="11"/>
        <color rgb="FF363636"/>
        <name val="Calibri"/>
        <scheme val="minor"/>
      </font>
      <fill>
        <patternFill patternType="solid">
          <fgColor rgb="FF000000"/>
          <bgColor rgb="FFFFC000"/>
        </patternFill>
      </fill>
      <alignment horizontal="general" vertical="bottom" textRotation="0" wrapText="1" indent="0" justifyLastLine="0" shrinkToFit="0" readingOrder="0"/>
      <protection locked="1" hidden="0"/>
    </dxf>
    <dxf>
      <font>
        <b/>
        <i val="0"/>
      </font>
      <fill>
        <patternFill>
          <bgColor theme="8" tint="0.59996337778862885"/>
        </patternFill>
      </fill>
      <border>
        <left style="thin">
          <color rgb="FF0033CC"/>
        </left>
        <right style="thin">
          <color rgb="FF0033CC"/>
        </right>
        <top style="thin">
          <color rgb="FF0033CC"/>
        </top>
        <bottom style="thin">
          <color rgb="FF0033CC"/>
        </bottom>
      </border>
    </dxf>
    <dxf>
      <fill>
        <gradientFill degree="90">
          <stop position="0">
            <color theme="0"/>
          </stop>
          <stop position="1">
            <color rgb="FFFF0000"/>
          </stop>
        </gradient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font>
      <fill>
        <patternFill>
          <bgColor theme="2" tint="-0.499984740745262"/>
        </patternFill>
      </fill>
    </dxf>
    <dxf>
      <font>
        <strike val="0"/>
        <outline val="0"/>
        <shadow val="0"/>
        <u val="none"/>
        <vertAlign val="baseline"/>
        <sz val="11"/>
        <color auto="1"/>
        <name val="Calibri"/>
        <scheme val="minor"/>
      </font>
      <alignment horizontal="general" vertical="center" textRotation="0" indent="0" justifyLastLine="0" shrinkToFit="0" readingOrder="0"/>
      <protection locked="0" hidden="0"/>
    </dxf>
    <dxf>
      <font>
        <strike val="0"/>
        <outline val="0"/>
        <shadow val="0"/>
        <u val="none"/>
        <vertAlign val="baseline"/>
        <sz val="11"/>
        <color auto="1"/>
        <name val="Calibri"/>
        <scheme val="minor"/>
      </font>
      <alignment horizontal="center" vertical="center" textRotation="0" indent="0" justifyLastLine="0" shrinkToFit="0" readingOrder="0"/>
      <border outline="0">
        <right style="thin">
          <color indexed="64"/>
        </right>
      </border>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Calibri"/>
        <scheme val="minor"/>
      </font>
      <alignment horizontal="center" vertical="center" textRotation="0" indent="0" justifyLastLine="0" shrinkToFit="0" readingOrder="0"/>
      <protection locked="0" hidden="0"/>
    </dxf>
    <dxf>
      <font>
        <strike val="0"/>
        <outline val="0"/>
        <shadow val="0"/>
        <u val="none"/>
        <vertAlign val="baseline"/>
        <sz val="11"/>
        <color auto="1"/>
        <name val="Calibri"/>
        <scheme val="minor"/>
      </font>
      <alignment horizontal="general" vertical="center" textRotation="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font>
        <b val="0"/>
        <i val="0"/>
        <strike val="0"/>
        <condense val="0"/>
        <extend val="0"/>
        <outline val="0"/>
        <shadow val="0"/>
        <u val="none"/>
        <vertAlign val="baseline"/>
        <sz val="11"/>
        <color theme="1"/>
        <name val="Calibri"/>
        <scheme val="minor"/>
      </font>
      <alignment vertical="center" textRotation="0" indent="0" justifyLastLine="0" shrinkToFit="0" readingOrder="0"/>
      <protection locked="1" hidden="0"/>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ill>
        <gradientFill degree="90">
          <stop position="0">
            <color theme="0"/>
          </stop>
          <stop position="1">
            <color rgb="FF00B050"/>
          </stop>
        </gradientFill>
      </fill>
      <border>
        <left style="thin">
          <color theme="9" tint="-0.24994659260841701"/>
        </left>
        <right style="thin">
          <color theme="9" tint="-0.24994659260841701"/>
        </right>
        <top style="thin">
          <color theme="9" tint="-0.24994659260841701"/>
        </top>
        <bottom style="thin">
          <color theme="9" tint="-0.24994659260841701"/>
        </bottom>
      </border>
    </dxf>
    <dxf>
      <fill>
        <gradientFill degree="90">
          <stop position="0">
            <color theme="0"/>
          </stop>
          <stop position="1">
            <color rgb="FFFFC000"/>
          </stop>
        </gradientFill>
      </fill>
    </dxf>
    <dxf>
      <fill>
        <gradientFill degree="90">
          <stop position="0">
            <color theme="0"/>
          </stop>
          <stop position="1">
            <color rgb="FFFF0000"/>
          </stop>
        </gradientFill>
      </fill>
    </dxf>
    <dxf>
      <font>
        <strike/>
      </font>
      <fill>
        <patternFill>
          <bgColor theme="2" tint="-0.499984740745262"/>
        </patternFill>
      </fill>
    </dxf>
    <dxf>
      <font>
        <color theme="0"/>
      </font>
      <fill>
        <patternFill>
          <bgColor rgb="FF00B050"/>
        </patternFill>
      </fill>
    </dxf>
    <dxf>
      <font>
        <color theme="0"/>
      </font>
      <fill>
        <patternFill>
          <bgColor rgb="FFFF2F2F"/>
        </patternFill>
      </fill>
    </dxf>
    <dxf>
      <font>
        <b/>
        <i val="0"/>
        <color rgb="FFFF0000"/>
      </font>
    </dxf>
    <dxf>
      <fill>
        <patternFill patternType="solid">
          <fgColor indexed="64"/>
          <bgColor theme="9" tint="0.59999389629810485"/>
        </patternFill>
      </fill>
      <alignment horizontal="general"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ill>
        <patternFill patternType="solid">
          <fgColor indexed="64"/>
          <bgColor theme="9" tint="0.59999389629810485"/>
        </patternFill>
      </fill>
      <alignment horizontal="general"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alignment horizontal="general"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bottom style="medium">
          <color indexed="64"/>
        </bottom>
      </border>
    </dxf>
    <dxf>
      <border outline="0">
        <top style="medium">
          <color indexed="64"/>
        </top>
        <bottom style="thin">
          <color indexed="64"/>
        </bottom>
      </border>
    </dxf>
    <dxf>
      <alignment horizontal="general" vertical="center" textRotation="0" indent="0" justifyLastLine="0" shrinkToFit="0" readingOrder="0"/>
      <protection locked="1" hidden="0"/>
    </dxf>
    <dxf>
      <font>
        <strike val="0"/>
        <outline val="0"/>
        <shadow val="0"/>
        <vertAlign val="baseline"/>
        <sz val="11"/>
        <color auto="1"/>
        <name val="Calibri"/>
        <scheme val="minor"/>
      </font>
      <alignment horizontal="general" vertical="center" textRotation="0" indent="0" justifyLastLine="0" shrinkToFit="0" readingOrder="0"/>
      <protection locked="1" hidden="0"/>
    </dxf>
    <dxf>
      <font>
        <b/>
        <i val="0"/>
        <color rgb="FFFF0000"/>
      </font>
    </dxf>
    <dxf>
      <font>
        <strike/>
      </font>
      <fill>
        <patternFill>
          <bgColor theme="2" tint="-0.499984740745262"/>
        </patternFill>
      </fill>
    </dxf>
  </dxfs>
  <tableStyles count="0" defaultTableStyle="TableStyleMedium2" defaultPivotStyle="PivotStyleLight16"/>
  <colors>
    <mruColors>
      <color rgb="FF0000FF"/>
      <color rgb="FFFF2F2F"/>
      <color rgb="FFFF4F4F"/>
      <color rgb="FF6E747A"/>
      <color rgb="FFFFFFCC"/>
      <color rgb="FFEEC57A"/>
      <color rgb="FFF8E7C8"/>
      <color rgb="FFF5DEB5"/>
      <color rgb="FFEFCB89"/>
      <color rgb="FFD6BC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Scroll" dx="16" horiz="1" max="2197" min="6" page="10" val="1832"/>
</file>

<file path=xl/ctrlProps/ctrlProp9.xml><?xml version="1.0" encoding="utf-8"?>
<formControlPr xmlns="http://schemas.microsoft.com/office/spreadsheetml/2009/9/main" objectType="Drop" dropStyle="combo" dx="16" fmlaRange="Years" sel="6" val="0"/>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123825</xdr:colOff>
          <xdr:row>0</xdr:row>
          <xdr:rowOff>104775</xdr:rowOff>
        </xdr:from>
        <xdr:to>
          <xdr:col>11</xdr:col>
          <xdr:colOff>342900</xdr:colOff>
          <xdr:row>0</xdr:row>
          <xdr:rowOff>533400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Toggle Not Required Visiblity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0</xdr:row>
          <xdr:rowOff>66675</xdr:rowOff>
        </xdr:from>
        <xdr:to>
          <xdr:col>9</xdr:col>
          <xdr:colOff>419100</xdr:colOff>
          <xdr:row>1</xdr:row>
          <xdr:rowOff>123825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Toggle Not Required Visiblity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333375</xdr:colOff>
          <xdr:row>0</xdr:row>
          <xdr:rowOff>66675</xdr:rowOff>
        </xdr:from>
        <xdr:to>
          <xdr:col>6</xdr:col>
          <xdr:colOff>1419225</xdr:colOff>
          <xdr:row>1</xdr:row>
          <xdr:rowOff>104775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Toggle Not Required Visiblity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114300</xdr:rowOff>
        </xdr:from>
        <xdr:to>
          <xdr:col>8</xdr:col>
          <xdr:colOff>295275</xdr:colOff>
          <xdr:row>1</xdr:row>
          <xdr:rowOff>190500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Insert Table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0</xdr:row>
          <xdr:rowOff>114300</xdr:rowOff>
        </xdr:from>
        <xdr:to>
          <xdr:col>9</xdr:col>
          <xdr:colOff>1371600</xdr:colOff>
          <xdr:row>1</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Delete Table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1609725</xdr:colOff>
          <xdr:row>0</xdr:row>
          <xdr:rowOff>114300</xdr:rowOff>
        </xdr:from>
        <xdr:to>
          <xdr:col>9</xdr:col>
          <xdr:colOff>3076575</xdr:colOff>
          <xdr:row>1</xdr:row>
          <xdr:rowOff>190500</xdr:rowOff>
        </xdr:to>
        <xdr:sp macro="" textlink="">
          <xdr:nvSpPr>
            <xdr:cNvPr id="3086" name="cmdFilesWAS"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WAS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3305175</xdr:colOff>
          <xdr:row>0</xdr:row>
          <xdr:rowOff>114300</xdr:rowOff>
        </xdr:from>
        <xdr:to>
          <xdr:col>9</xdr:col>
          <xdr:colOff>4772025</xdr:colOff>
          <xdr:row>1</xdr:row>
          <xdr:rowOff>190500</xdr:rowOff>
        </xdr:to>
        <xdr:sp macro="" textlink="">
          <xdr:nvSpPr>
            <xdr:cNvPr id="3087" name="cmdFilesJHA"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JHA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152400</xdr:colOff>
          <xdr:row>0</xdr:row>
          <xdr:rowOff>142875</xdr:rowOff>
        </xdr:from>
        <xdr:to>
          <xdr:col>2</xdr:col>
          <xdr:colOff>1704975</xdr:colOff>
          <xdr:row>1</xdr:row>
          <xdr:rowOff>180975</xdr:rowOff>
        </xdr:to>
        <xdr:sp macro="" textlink="">
          <xdr:nvSpPr>
            <xdr:cNvPr id="7176" name="scrDateMove"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152400</xdr:colOff>
      <xdr:row>2</xdr:row>
      <xdr:rowOff>114300</xdr:rowOff>
    </xdr:from>
    <xdr:to>
      <xdr:col>2</xdr:col>
      <xdr:colOff>1714500</xdr:colOff>
      <xdr:row>4</xdr:row>
      <xdr:rowOff>50800</xdr:rowOff>
    </xdr:to>
    <xdr:sp macro="" textlink="">
      <xdr:nvSpPr>
        <xdr:cNvPr id="7179" name="SpinButton1" hidden="1">
          <a:extLst>
            <a:ext uri="{63B3BB69-23CF-44E3-9099-C40C66FF867C}">
              <a14:compatExt xmlns:a14="http://schemas.microsoft.com/office/drawing/2010/main"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2</xdr:col>
          <xdr:colOff>2162175</xdr:colOff>
          <xdr:row>0</xdr:row>
          <xdr:rowOff>152400</xdr:rowOff>
        </xdr:from>
        <xdr:to>
          <xdr:col>2</xdr:col>
          <xdr:colOff>2705100</xdr:colOff>
          <xdr:row>1</xdr:row>
          <xdr:rowOff>180975</xdr:rowOff>
        </xdr:to>
        <xdr:sp macro="" textlink="">
          <xdr:nvSpPr>
            <xdr:cNvPr id="7180" name="cmbYear"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2162175</xdr:colOff>
          <xdr:row>3</xdr:row>
          <xdr:rowOff>9525</xdr:rowOff>
        </xdr:from>
        <xdr:to>
          <xdr:col>2</xdr:col>
          <xdr:colOff>3162300</xdr:colOff>
          <xdr:row>4</xdr:row>
          <xdr:rowOff>28575</xdr:rowOff>
        </xdr:to>
        <xdr:sp macro="" textlink="">
          <xdr:nvSpPr>
            <xdr:cNvPr id="7182" name="chkCompactView" hidden="1">
              <a:extLst>
                <a:ext uri="{63B3BB69-23CF-44E3-9099-C40C66FF867C}">
                  <a14:compatExt spid="_x0000_s7182"/>
                </a:ext>
                <a:ext uri="{FF2B5EF4-FFF2-40B4-BE49-F238E27FC236}">
                  <a16:creationId xmlns:a16="http://schemas.microsoft.com/office/drawing/2014/main" id="{00000000-0008-0000-0600-00000E1C0000}"/>
                </a:ext>
              </a:extLst>
            </xdr:cNvPr>
            <xdr:cNvSpPr/>
          </xdr:nvSpPr>
          <xdr:spPr bwMode="auto">
            <a:xfrm>
              <a:off x="0" y="0"/>
              <a:ext cx="0" cy="0"/>
            </a:xfrm>
            <a:prstGeom prst="rect">
              <a:avLst/>
            </a:prstGeom>
            <a:noFill/>
            <a:ln w="9525">
              <a:solidFill>
                <a:srgbClr val="808080" mc:Ignorable="a14" a14:legacySpreadsheetColorIndex="23"/>
              </a:solidFill>
              <a:miter lim="800000"/>
              <a:headEnd/>
              <a:tailEnd/>
            </a:ln>
            <a:extLst>
              <a:ext uri="{909E8E84-426E-40DD-AFC4-6F175D3DCCD1}">
                <a14:hiddenFill>
                  <a:solidFill>
                    <a:srgbClr val="FFFFFF"/>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Compact View</a:t>
              </a:r>
            </a:p>
          </xdr:txBody>
        </xdr:sp>
        <xdr:clientData/>
      </xdr:twoCellAnchor>
    </mc:Choice>
    <mc:Fallback/>
  </mc:AlternateContent>
  <xdr:twoCellAnchor editAs="absolute">
    <xdr:from>
      <xdr:col>2</xdr:col>
      <xdr:colOff>76200</xdr:colOff>
      <xdr:row>2</xdr:row>
      <xdr:rowOff>57150</xdr:rowOff>
    </xdr:from>
    <xdr:to>
      <xdr:col>2</xdr:col>
      <xdr:colOff>857250</xdr:colOff>
      <xdr:row>4</xdr:row>
      <xdr:rowOff>25400</xdr:rowOff>
    </xdr:to>
    <xdr:pic>
      <xdr:nvPicPr>
        <xdr:cNvPr id="2" name="SpinButton1">
          <a:extLst>
            <a:ext uri="{FF2B5EF4-FFF2-40B4-BE49-F238E27FC236}">
              <a16:creationId xmlns:a16="http://schemas.microsoft.com/office/drawing/2014/main" id="{00000000-0008-0000-06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425450"/>
          <a:ext cx="781050" cy="3365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142875</xdr:colOff>
          <xdr:row>0</xdr:row>
          <xdr:rowOff>123825</xdr:rowOff>
        </xdr:from>
        <xdr:to>
          <xdr:col>10</xdr:col>
          <xdr:colOff>200025</xdr:colOff>
          <xdr:row>1</xdr:row>
          <xdr:rowOff>180975</xdr:rowOff>
        </xdr:to>
        <xdr:sp macro="" textlink="">
          <xdr:nvSpPr>
            <xdr:cNvPr id="21529" name="Butto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Toggle Not Required Visiblity</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RequiredPTO" displayName="tblRequiredPTO" ref="B18:D56" totalsRowShown="0" headerRowDxfId="222" dataDxfId="221" headerRowBorderDxfId="219" tableBorderDxfId="220">
  <tableColumns count="3">
    <tableColumn id="1" xr3:uid="{00000000-0010-0000-0000-000001000000}" name="Trade" dataDxfId="218"/>
    <tableColumn id="2" xr3:uid="{00000000-0010-0000-0000-000002000000}" name="Required" dataDxfId="217"/>
    <tableColumn id="3" xr3:uid="{00000000-0010-0000-0000-000003000000}" name="SOW" dataDxfId="21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blTradeProspects" displayName="tblTradeProspects" ref="A24:L252" totalsRowShown="0" headerRowDxfId="72" dataDxfId="71">
  <tableColumns count="12">
    <tableColumn id="14" xr3:uid="{38F7C180-636C-4678-82EE-71DEDDD9218E}" name="Required" dataDxfId="70"/>
    <tableColumn id="2" xr3:uid="{00000000-0010-0000-0100-000002000000}" name="SOW" dataDxfId="69"/>
    <tableColumn id="3" xr3:uid="{00000000-0010-0000-0100-000003000000}" name="_Status" dataDxfId="68"/>
    <tableColumn id="4" xr3:uid="{00000000-0010-0000-0100-000004000000}" name="Project TO's" dataDxfId="67"/>
    <tableColumn id="5" xr3:uid="{00000000-0010-0000-0100-000005000000}" name="Name" dataDxfId="66">
      <calculatedColumnFormula>E$3&amp; " Row "&amp;ROW()</calculatedColumnFormula>
    </tableColumn>
    <tableColumn id="13" xr3:uid="{00000000-0010-0000-0100-00000D000000}" name="BA#" dataDxfId="65"/>
    <tableColumn id="6" xr3:uid="{00000000-0010-0000-0100-000006000000}" name="Cell #" dataDxfId="64">
      <calculatedColumnFormula>G$3&amp; " Row "&amp;ROW()</calculatedColumnFormula>
    </tableColumn>
    <tableColumn id="7" xr3:uid="{00000000-0010-0000-0100-000007000000}" name="Personal Email " dataDxfId="63">
      <calculatedColumnFormula>H$3&amp; " Row "&amp;ROW()</calculatedColumnFormula>
    </tableColumn>
    <tableColumn id="8" xr3:uid="{00000000-0010-0000-0100-000008000000}" name="Column1" dataDxfId="62"/>
    <tableColumn id="9" xr3:uid="{00000000-0010-0000-0100-000009000000}" name="DC-50 Exp Date" dataDxfId="61">
      <calculatedColumnFormula>J$3&amp; " Row "&amp;ROW()</calculatedColumnFormula>
    </tableColumn>
    <tableColumn id="10" xr3:uid="{00000000-0010-0000-0100-00000A000000}" name="Pioneer?" dataDxfId="60">
      <calculatedColumnFormula>K$3&amp; " Row "&amp;ROW()</calculatedColumnFormula>
    </tableColumn>
    <tableColumn id="11" xr3:uid="{00000000-0010-0000-0100-00000B000000}" name="Comments" dataDxfId="59">
      <calculatedColumnFormula>L$3&amp; " Row "&amp;ROW()</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ProjectSchedule" displayName="tblProjectSchedule" ref="A3:J131" totalsRowShown="0" headerRowDxfId="19" dataDxfId="18">
  <autoFilter ref="A3:J131" xr:uid="{00000000-0009-0000-0100-000005000000}"/>
  <tableColumns count="10">
    <tableColumn id="1" xr3:uid="{00000000-0010-0000-0200-000001000000}" name="Task #" dataDxfId="17"/>
    <tableColumn id="2" xr3:uid="{00000000-0010-0000-0200-000002000000}" name="Assigned to:" dataDxfId="16"/>
    <tableColumn id="4" xr3:uid="{00000000-0010-0000-0200-000004000000}" name="Task Name" dataDxfId="15"/>
    <tableColumn id="6" xr3:uid="{00000000-0010-0000-0200-000006000000}" name="Start" dataDxfId="14"/>
    <tableColumn id="7" xr3:uid="{00000000-0010-0000-0200-000007000000}" name="Finish" dataDxfId="13"/>
    <tableColumn id="5" xr3:uid="{00000000-0010-0000-0200-000005000000}" name="Duration" dataDxfId="12">
      <calculatedColumnFormula>IF(COUNT(tblProjectSchedule[[#This Row],[Start]:[Finish]])=2,NETWORKDAYS.INTL(tblProjectSchedule[[#This Row],[Start]],tblProjectSchedule[[#This Row],[Finish]],2),"")</calculatedColumnFormula>
    </tableColumn>
    <tableColumn id="8" xr3:uid="{00000000-0010-0000-0200-000008000000}" name="Skilled" dataDxfId="11"/>
    <tableColumn id="9" xr3:uid="{00000000-0010-0000-0200-000009000000}" name="Helpers" dataDxfId="10"/>
    <tableColumn id="3" xr3:uid="{00000000-0010-0000-0200-000003000000}" name="JHA" dataDxfId="9"/>
    <tableColumn id="10" xr3:uid="{00000000-0010-0000-0200-00000A000000}" name="Comments (If Needed)" dataDxfId="8"/>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hyperlink" Target="mailto:soursd1@jwpub.org" TargetMode="External"/><Relationship Id="rId13" Type="http://schemas.openxmlformats.org/officeDocument/2006/relationships/comments" Target="../comments3.xml"/><Relationship Id="rId3" Type="http://schemas.openxmlformats.org/officeDocument/2006/relationships/hyperlink" Target="mailto:csorge@jw.org" TargetMode="External"/><Relationship Id="rId7" Type="http://schemas.openxmlformats.org/officeDocument/2006/relationships/hyperlink" Target="mailto:debbie.sours@gmail.com" TargetMode="External"/><Relationship Id="rId12" Type="http://schemas.openxmlformats.org/officeDocument/2006/relationships/ctrlProp" Target="../ctrlProps/ctrlProp3.xml"/><Relationship Id="rId2" Type="http://schemas.openxmlformats.org/officeDocument/2006/relationships/hyperlink" Target="mailto:sandrosorge@jwpub.org" TargetMode="External"/><Relationship Id="rId1" Type="http://schemas.openxmlformats.org/officeDocument/2006/relationships/printerSettings" Target="../printerSettings/printerSettings3.bin"/><Relationship Id="rId6" Type="http://schemas.openxmlformats.org/officeDocument/2006/relationships/hyperlink" Target="mailto:dsours1@jwpub.org" TargetMode="External"/><Relationship Id="rId11" Type="http://schemas.openxmlformats.org/officeDocument/2006/relationships/vmlDrawing" Target="../drawings/vmlDrawing3.vml"/><Relationship Id="rId5" Type="http://schemas.openxmlformats.org/officeDocument/2006/relationships/hyperlink" Target="mailto:dathansours@gmail.com" TargetMode="External"/><Relationship Id="rId10" Type="http://schemas.openxmlformats.org/officeDocument/2006/relationships/drawing" Target="../drawings/drawing3.xml"/><Relationship Id="rId4" Type="http://schemas.openxmlformats.org/officeDocument/2006/relationships/hyperlink" Target="mailto:csorge@jwpub.org"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mailto:jgianotto9@jwpub.org" TargetMode="External"/><Relationship Id="rId2" Type="http://schemas.openxmlformats.org/officeDocument/2006/relationships/hyperlink" Target="mailto:timothympierzynski@jwpub.org" TargetMode="External"/><Relationship Id="rId1" Type="http://schemas.openxmlformats.org/officeDocument/2006/relationships/hyperlink" Target="mailto:johnbrewer4@jwpub.org" TargetMode="Externa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A4"/>
  <sheetViews>
    <sheetView workbookViewId="0">
      <selection activeCell="A4" sqref="A4"/>
    </sheetView>
  </sheetViews>
  <sheetFormatPr defaultColWidth="8.85546875" defaultRowHeight="15"/>
  <cols>
    <col min="1" max="1" width="155.42578125" customWidth="1"/>
  </cols>
  <sheetData>
    <row r="1" spans="1:1" ht="34.5" thickBot="1">
      <c r="A1" s="287" t="s">
        <v>0</v>
      </c>
    </row>
    <row r="2" spans="1:1" ht="15.75" thickBot="1">
      <c r="A2" s="288"/>
    </row>
    <row r="3" spans="1:1">
      <c r="A3" t="s">
        <v>1</v>
      </c>
    </row>
    <row r="4" spans="1:1" ht="30">
      <c r="A4" s="289" t="s">
        <v>2</v>
      </c>
    </row>
  </sheetData>
  <sheetProtection algorithmName="SHA-512" hashValue="bTO0PPDMaGDg7fWbefgM7WlMULvGPgxRtHelgZ3VansOfbZQDl6t+AILJC3nrxYh3ynolFEXT9cxsM8PiKk6Nw==" saltValue="N/1eXdnFvcw9NKY/HijnN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L56"/>
  <sheetViews>
    <sheetView zoomScale="90" zoomScaleNormal="90" workbookViewId="0">
      <selection activeCell="H15" sqref="H15"/>
    </sheetView>
  </sheetViews>
  <sheetFormatPr defaultColWidth="9.140625" defaultRowHeight="15"/>
  <cols>
    <col min="1" max="1" width="9.140625" style="50"/>
    <col min="2" max="2" width="34.85546875" style="50" customWidth="1"/>
    <col min="3" max="16384" width="9.140625" style="50"/>
  </cols>
  <sheetData>
    <row r="1" spans="2:12" ht="46.5">
      <c r="B1" s="247" t="s">
        <v>3</v>
      </c>
      <c r="C1" s="248"/>
      <c r="D1" s="248"/>
      <c r="E1" s="248"/>
      <c r="F1" s="248"/>
      <c r="G1" s="248"/>
      <c r="H1" s="249"/>
      <c r="I1" s="589"/>
      <c r="J1" s="590"/>
      <c r="K1" s="590"/>
      <c r="L1" s="591"/>
    </row>
    <row r="2" spans="2:12" ht="26.25">
      <c r="B2" s="51" t="str">
        <f>"PT# "&amp;C6&amp;" "&amp;C8&amp;" "&amp;C7&amp;" "&amp;C10</f>
        <v xml:space="preserve">PT#    </v>
      </c>
      <c r="C2" s="52"/>
      <c r="D2" s="52"/>
      <c r="E2" s="52"/>
      <c r="F2" s="52"/>
      <c r="G2" s="52"/>
      <c r="H2" s="52"/>
      <c r="I2" s="447"/>
      <c r="J2" s="447"/>
      <c r="K2" s="447"/>
      <c r="L2" s="448"/>
    </row>
    <row r="3" spans="2:12">
      <c r="B3" s="53"/>
      <c r="C3" s="54"/>
      <c r="D3" s="54"/>
      <c r="E3" s="54"/>
      <c r="F3" s="54"/>
      <c r="G3" s="54"/>
      <c r="H3" s="54"/>
      <c r="I3" s="54"/>
      <c r="J3" s="54"/>
      <c r="K3" s="54"/>
      <c r="L3" s="55"/>
    </row>
    <row r="5" spans="2:12">
      <c r="B5" s="47" t="s">
        <v>4</v>
      </c>
    </row>
    <row r="6" spans="2:12" ht="14.45" customHeight="1">
      <c r="B6" s="56" t="s">
        <v>5</v>
      </c>
      <c r="C6" s="592"/>
      <c r="D6" s="593"/>
      <c r="E6" s="594"/>
    </row>
    <row r="7" spans="2:12" ht="14.45" customHeight="1">
      <c r="B7" s="56" t="s">
        <v>6</v>
      </c>
      <c r="C7" s="592"/>
      <c r="D7" s="593"/>
      <c r="E7" s="594"/>
    </row>
    <row r="8" spans="2:12" ht="14.45" customHeight="1">
      <c r="B8" s="56" t="s">
        <v>7</v>
      </c>
      <c r="C8" s="592"/>
      <c r="D8" s="593"/>
      <c r="E8" s="594"/>
    </row>
    <row r="9" spans="2:12" ht="14.45" customHeight="1">
      <c r="B9" s="56" t="s">
        <v>8</v>
      </c>
      <c r="C9" s="592"/>
      <c r="D9" s="593"/>
      <c r="E9" s="594"/>
    </row>
    <row r="10" spans="2:12" ht="14.45" customHeight="1">
      <c r="B10" s="56" t="s">
        <v>9</v>
      </c>
      <c r="C10" s="592"/>
      <c r="D10" s="593"/>
      <c r="E10" s="594"/>
    </row>
    <row r="13" spans="2:12">
      <c r="B13" s="46" t="s">
        <v>10</v>
      </c>
    </row>
    <row r="14" spans="2:12" ht="14.45" customHeight="1">
      <c r="B14" s="50" t="s">
        <v>11</v>
      </c>
      <c r="C14" s="587"/>
      <c r="D14" s="588"/>
    </row>
    <row r="15" spans="2:12" ht="14.45" customHeight="1">
      <c r="B15" s="50" t="s">
        <v>12</v>
      </c>
      <c r="C15" s="587"/>
      <c r="D15" s="588"/>
    </row>
    <row r="17" spans="2:4">
      <c r="B17" s="47" t="s">
        <v>13</v>
      </c>
    </row>
    <row r="18" spans="2:4">
      <c r="B18" s="57" t="s">
        <v>14</v>
      </c>
      <c r="C18" s="58" t="s">
        <v>15</v>
      </c>
      <c r="D18" s="58" t="s">
        <v>16</v>
      </c>
    </row>
    <row r="19" spans="2:4" hidden="1">
      <c r="B19" s="59" t="s">
        <v>17</v>
      </c>
      <c r="C19" s="60" t="s">
        <v>18</v>
      </c>
      <c r="D19" s="60" t="s">
        <v>19</v>
      </c>
    </row>
    <row r="20" spans="2:4">
      <c r="B20" s="61" t="s">
        <v>20</v>
      </c>
      <c r="C20" s="62"/>
      <c r="D20" s="62"/>
    </row>
    <row r="21" spans="2:4">
      <c r="B21" s="61" t="s">
        <v>21</v>
      </c>
      <c r="C21" s="62"/>
      <c r="D21" s="62"/>
    </row>
    <row r="22" spans="2:4">
      <c r="B22" s="61" t="s">
        <v>22</v>
      </c>
      <c r="C22" s="62"/>
      <c r="D22" s="62"/>
    </row>
    <row r="23" spans="2:4">
      <c r="B23" s="61" t="s">
        <v>23</v>
      </c>
      <c r="C23" s="62"/>
      <c r="D23" s="62"/>
    </row>
    <row r="24" spans="2:4">
      <c r="B24" s="63" t="s">
        <v>24</v>
      </c>
      <c r="C24" s="62"/>
      <c r="D24" s="62"/>
    </row>
    <row r="25" spans="2:4">
      <c r="B25" s="63" t="s">
        <v>25</v>
      </c>
      <c r="C25" s="62"/>
      <c r="D25" s="62"/>
    </row>
    <row r="26" spans="2:4">
      <c r="B26" s="61" t="s">
        <v>26</v>
      </c>
      <c r="C26" s="62"/>
      <c r="D26" s="62"/>
    </row>
    <row r="27" spans="2:4">
      <c r="B27" s="61" t="s">
        <v>27</v>
      </c>
      <c r="C27" s="62"/>
      <c r="D27" s="62"/>
    </row>
    <row r="28" spans="2:4">
      <c r="B28" s="61" t="s">
        <v>28</v>
      </c>
      <c r="C28" s="62"/>
      <c r="D28" s="62"/>
    </row>
    <row r="29" spans="2:4">
      <c r="B29" s="61" t="s">
        <v>29</v>
      </c>
      <c r="C29" s="62"/>
      <c r="D29" s="62"/>
    </row>
    <row r="30" spans="2:4">
      <c r="B30" s="63" t="s">
        <v>30</v>
      </c>
      <c r="C30" s="62"/>
      <c r="D30" s="62"/>
    </row>
    <row r="31" spans="2:4" hidden="1">
      <c r="B31" s="63" t="s">
        <v>31</v>
      </c>
      <c r="C31" s="62"/>
      <c r="D31" s="62"/>
    </row>
    <row r="32" spans="2:4" hidden="1">
      <c r="B32" s="63" t="s">
        <v>32</v>
      </c>
      <c r="C32" s="62"/>
      <c r="D32" s="62"/>
    </row>
    <row r="33" spans="2:4">
      <c r="B33" s="63" t="s">
        <v>33</v>
      </c>
      <c r="C33" s="62"/>
      <c r="D33" s="62"/>
    </row>
    <row r="34" spans="2:4">
      <c r="B34" s="63" t="s">
        <v>34</v>
      </c>
      <c r="C34" s="62"/>
      <c r="D34" s="62"/>
    </row>
    <row r="35" spans="2:4">
      <c r="B35" s="63" t="s">
        <v>35</v>
      </c>
      <c r="C35" s="62"/>
      <c r="D35" s="62"/>
    </row>
    <row r="36" spans="2:4">
      <c r="B36" s="63" t="s">
        <v>36</v>
      </c>
      <c r="C36" s="62"/>
      <c r="D36" s="62"/>
    </row>
    <row r="37" spans="2:4" hidden="1">
      <c r="B37" s="63" t="s">
        <v>37</v>
      </c>
      <c r="C37" s="62"/>
      <c r="D37" s="62"/>
    </row>
    <row r="38" spans="2:4">
      <c r="B38" s="63" t="s">
        <v>38</v>
      </c>
      <c r="C38" s="62"/>
      <c r="D38" s="62"/>
    </row>
    <row r="39" spans="2:4">
      <c r="B39" s="63" t="s">
        <v>39</v>
      </c>
      <c r="C39" s="62"/>
      <c r="D39" s="62"/>
    </row>
    <row r="40" spans="2:4" hidden="1">
      <c r="B40" s="63" t="s">
        <v>40</v>
      </c>
      <c r="C40" s="62"/>
      <c r="D40" s="62"/>
    </row>
    <row r="41" spans="2:4">
      <c r="B41" s="63" t="s">
        <v>41</v>
      </c>
      <c r="C41" s="62"/>
      <c r="D41" s="62"/>
    </row>
    <row r="42" spans="2:4">
      <c r="B42" s="63" t="s">
        <v>42</v>
      </c>
      <c r="C42" s="62"/>
      <c r="D42" s="62"/>
    </row>
    <row r="43" spans="2:4">
      <c r="B43" s="63" t="s">
        <v>43</v>
      </c>
      <c r="C43" s="62"/>
      <c r="D43" s="62"/>
    </row>
    <row r="44" spans="2:4" hidden="1">
      <c r="B44" s="63" t="s">
        <v>44</v>
      </c>
      <c r="C44" s="62"/>
      <c r="D44" s="62"/>
    </row>
    <row r="45" spans="2:4" hidden="1">
      <c r="B45" s="63" t="s">
        <v>45</v>
      </c>
      <c r="C45" s="62"/>
      <c r="D45" s="62"/>
    </row>
    <row r="46" spans="2:4" hidden="1">
      <c r="B46" s="63" t="s">
        <v>46</v>
      </c>
      <c r="C46" s="62"/>
      <c r="D46" s="62"/>
    </row>
    <row r="47" spans="2:4">
      <c r="B47" s="63" t="s">
        <v>47</v>
      </c>
      <c r="C47" s="62"/>
      <c r="D47" s="62"/>
    </row>
    <row r="48" spans="2:4">
      <c r="B48" s="63" t="s">
        <v>48</v>
      </c>
      <c r="C48" s="62"/>
      <c r="D48" s="62"/>
    </row>
    <row r="49" spans="2:4" hidden="1">
      <c r="B49" s="64" t="s">
        <v>49</v>
      </c>
      <c r="C49" s="62" t="s">
        <v>18</v>
      </c>
      <c r="D49" s="62"/>
    </row>
    <row r="50" spans="2:4" hidden="1">
      <c r="B50" s="63" t="s">
        <v>50</v>
      </c>
      <c r="C50" s="62" t="s">
        <v>18</v>
      </c>
      <c r="D50" s="62"/>
    </row>
    <row r="51" spans="2:4" hidden="1">
      <c r="B51" s="65" t="s">
        <v>51</v>
      </c>
      <c r="C51" s="62" t="s">
        <v>18</v>
      </c>
      <c r="D51" s="62"/>
    </row>
    <row r="52" spans="2:4" hidden="1">
      <c r="B52" s="65" t="s">
        <v>52</v>
      </c>
      <c r="C52" s="66" t="s">
        <v>18</v>
      </c>
      <c r="D52" s="66"/>
    </row>
    <row r="53" spans="2:4" hidden="1">
      <c r="B53" s="528" t="s">
        <v>53</v>
      </c>
      <c r="C53" s="62" t="s">
        <v>18</v>
      </c>
      <c r="D53" s="62"/>
    </row>
    <row r="54" spans="2:4" hidden="1">
      <c r="B54" s="528" t="s">
        <v>54</v>
      </c>
      <c r="C54" s="62" t="s">
        <v>18</v>
      </c>
      <c r="D54" s="62"/>
    </row>
    <row r="55" spans="2:4" hidden="1">
      <c r="B55" s="528" t="s">
        <v>55</v>
      </c>
      <c r="C55" s="62" t="s">
        <v>18</v>
      </c>
      <c r="D55" s="62"/>
    </row>
    <row r="56" spans="2:4" hidden="1">
      <c r="B56" s="529" t="s">
        <v>56</v>
      </c>
      <c r="C56" s="66" t="s">
        <v>18</v>
      </c>
      <c r="D56" s="66"/>
    </row>
  </sheetData>
  <sheetProtection algorithmName="SHA-512" hashValue="GjUmOojnWZ2bXKTZ2kjULMPGLAd0LNTTcN0EQcEGwaArbVajjn+GsjzG6AhN3zanGgZMtBkZ8ANDB8sbdYDUtA==" saltValue="A3STSVhWjadmdPoPC8qESw==" spinCount="100000" sheet="1" objects="1" scenarios="1"/>
  <mergeCells count="8">
    <mergeCell ref="C14:D14"/>
    <mergeCell ref="C15:D15"/>
    <mergeCell ref="I1:L1"/>
    <mergeCell ref="C6:E6"/>
    <mergeCell ref="C7:E7"/>
    <mergeCell ref="C8:E8"/>
    <mergeCell ref="C9:E9"/>
    <mergeCell ref="C10:E10"/>
  </mergeCells>
  <conditionalFormatting sqref="B19:D56">
    <cfRule type="expression" dxfId="224" priority="2">
      <formula>$C19="NO"</formula>
    </cfRule>
  </conditionalFormatting>
  <conditionalFormatting sqref="D19:D56">
    <cfRule type="cellIs" dxfId="223" priority="1" operator="equal">
      <formula>"HARD"</formula>
    </cfRule>
  </conditionalFormatting>
  <dataValidations count="2">
    <dataValidation type="list" allowBlank="1" showInputMessage="1" showErrorMessage="1" sqref="D19:D56" xr:uid="{00000000-0002-0000-0100-000000000000}">
      <formula1>"EASY, AVG, HARD"</formula1>
    </dataValidation>
    <dataValidation type="list" allowBlank="1" showInputMessage="1" showErrorMessage="1" sqref="C19:C56" xr:uid="{00000000-0002-0000-0100-000001000000}">
      <formula1>"YES, NO"</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Toggle_Hiding_Not_Required">
                <anchor moveWithCells="1" sizeWithCells="1">
                  <from>
                    <xdr:col>8</xdr:col>
                    <xdr:colOff>123825</xdr:colOff>
                    <xdr:row>0</xdr:row>
                    <xdr:rowOff>104775</xdr:rowOff>
                  </from>
                  <to>
                    <xdr:col>11</xdr:col>
                    <xdr:colOff>342900</xdr:colOff>
                    <xdr:row>0</xdr:row>
                    <xdr:rowOff>533400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L253"/>
  <sheetViews>
    <sheetView tabSelected="1" zoomScaleNormal="100" workbookViewId="0">
      <pane ySplit="3" topLeftCell="B61" activePane="bottomLeft" state="frozen"/>
      <selection pane="bottomLeft" activeCell="C93" sqref="C93"/>
      <selection activeCell="B1" sqref="B1"/>
    </sheetView>
  </sheetViews>
  <sheetFormatPr defaultColWidth="9.140625" defaultRowHeight="15"/>
  <cols>
    <col min="1" max="1" width="9.140625" style="49" hidden="1" customWidth="1"/>
    <col min="2" max="2" width="12.5703125" style="48" customWidth="1"/>
    <col min="3" max="3" width="18.28515625" style="48" customWidth="1"/>
    <col min="4" max="4" width="40.28515625" style="90" customWidth="1"/>
    <col min="5" max="5" width="22.85546875" style="48" customWidth="1"/>
    <col min="6" max="6" width="13.7109375" style="48" customWidth="1"/>
    <col min="7" max="7" width="17.7109375" style="48" customWidth="1"/>
    <col min="8" max="9" width="32.7109375" style="48" customWidth="1"/>
    <col min="10" max="10" width="12.42578125" style="48" customWidth="1"/>
    <col min="11" max="11" width="11" style="48" customWidth="1"/>
    <col min="12" max="12" width="112.85546875" style="49" customWidth="1"/>
    <col min="13" max="16384" width="9.140625" style="49"/>
  </cols>
  <sheetData>
    <row r="1" spans="1:12" ht="30" customHeight="1" thickBot="1">
      <c r="A1" s="449"/>
      <c r="B1" s="450"/>
      <c r="C1" s="245" t="s">
        <v>57</v>
      </c>
      <c r="D1" s="245"/>
      <c r="E1" s="245"/>
      <c r="F1" s="245"/>
      <c r="G1" s="267"/>
      <c r="H1" s="250"/>
      <c r="I1" s="251"/>
      <c r="J1" s="251"/>
      <c r="K1" s="111"/>
      <c r="L1" s="252"/>
    </row>
    <row r="2" spans="1:12" ht="21.75" customHeight="1" thickBot="1">
      <c r="A2" s="451"/>
      <c r="B2" s="446"/>
      <c r="C2" s="207" t="str">
        <f>'01 Project Details'!B2</f>
        <v xml:space="preserve">PT#    </v>
      </c>
      <c r="D2" s="207"/>
      <c r="E2" s="207"/>
      <c r="F2" s="207"/>
      <c r="G2" s="268"/>
      <c r="H2" s="271"/>
      <c r="I2" s="243"/>
      <c r="J2" s="243"/>
      <c r="K2" s="242"/>
      <c r="L2" s="244"/>
    </row>
    <row r="3" spans="1:12" ht="30" customHeight="1" thickBot="1">
      <c r="A3" s="67"/>
      <c r="B3" s="68" t="s">
        <v>16</v>
      </c>
      <c r="C3" s="69" t="s">
        <v>58</v>
      </c>
      <c r="D3" s="70" t="s">
        <v>59</v>
      </c>
      <c r="E3" s="71" t="s">
        <v>60</v>
      </c>
      <c r="F3" s="29" t="s">
        <v>61</v>
      </c>
      <c r="G3" s="29" t="s">
        <v>62</v>
      </c>
      <c r="H3" s="29" t="s">
        <v>63</v>
      </c>
      <c r="I3" s="29" t="s">
        <v>64</v>
      </c>
      <c r="J3" s="29" t="s">
        <v>65</v>
      </c>
      <c r="K3" s="29" t="s">
        <v>66</v>
      </c>
      <c r="L3" s="72" t="s">
        <v>67</v>
      </c>
    </row>
    <row r="4" spans="1:12" ht="15" customHeight="1" thickBot="1">
      <c r="A4" s="452"/>
      <c r="B4" s="453"/>
      <c r="C4" s="73"/>
      <c r="D4" s="452"/>
      <c r="E4" s="453"/>
      <c r="F4" s="50"/>
      <c r="G4" s="73"/>
      <c r="H4" s="73"/>
      <c r="I4" s="73"/>
      <c r="J4" s="73"/>
      <c r="K4" s="50"/>
      <c r="L4" s="50"/>
    </row>
    <row r="5" spans="1:12" ht="15.75" thickBot="1">
      <c r="A5" s="452"/>
      <c r="B5" s="453"/>
      <c r="C5" s="73"/>
      <c r="D5" s="46" t="s">
        <v>68</v>
      </c>
      <c r="E5" s="74"/>
      <c r="F5" s="74"/>
      <c r="G5" s="74"/>
      <c r="H5" s="74"/>
      <c r="I5" s="74"/>
      <c r="J5" s="74"/>
      <c r="K5" s="74"/>
      <c r="L5" s="75"/>
    </row>
    <row r="6" spans="1:12" ht="16.5" customHeight="1" thickBot="1">
      <c r="A6" s="452"/>
      <c r="B6" s="453"/>
      <c r="C6" s="452"/>
      <c r="D6" s="452"/>
      <c r="E6" s="452"/>
      <c r="F6" s="452"/>
      <c r="G6" s="73"/>
      <c r="H6" s="453"/>
      <c r="I6" s="453"/>
      <c r="J6" s="453"/>
      <c r="K6" s="452"/>
      <c r="L6" s="452"/>
    </row>
    <row r="7" spans="1:12" ht="16.5" customHeight="1" thickBot="1">
      <c r="A7" s="452"/>
      <c r="B7" s="453"/>
      <c r="C7" s="452"/>
      <c r="D7" s="157" t="s">
        <v>69</v>
      </c>
      <c r="E7" s="452"/>
      <c r="F7" s="452"/>
      <c r="G7" s="73"/>
      <c r="H7" s="453"/>
      <c r="I7" s="453"/>
      <c r="J7" s="453"/>
      <c r="K7" s="452"/>
      <c r="L7" s="452"/>
    </row>
    <row r="8" spans="1:12" ht="15" customHeight="1">
      <c r="A8" s="50"/>
      <c r="B8" s="73"/>
      <c r="C8" s="454"/>
      <c r="D8" s="156" t="s">
        <v>69</v>
      </c>
      <c r="E8" s="77"/>
      <c r="F8" s="216"/>
      <c r="G8" s="219"/>
      <c r="H8" s="81"/>
      <c r="I8" s="81"/>
      <c r="J8" s="209"/>
      <c r="K8" s="78"/>
      <c r="L8" s="80"/>
    </row>
    <row r="9" spans="1:12" ht="15" customHeight="1">
      <c r="A9" s="50"/>
      <c r="B9" s="73"/>
      <c r="C9" s="454"/>
      <c r="D9" s="76" t="s">
        <v>69</v>
      </c>
      <c r="E9" s="77"/>
      <c r="F9" s="455"/>
      <c r="G9" s="219"/>
      <c r="H9" s="81"/>
      <c r="I9" s="290"/>
      <c r="J9" s="456"/>
      <c r="K9" s="78"/>
      <c r="L9" s="80"/>
    </row>
    <row r="10" spans="1:12" ht="15" customHeight="1">
      <c r="A10" s="50"/>
      <c r="B10" s="73"/>
      <c r="C10" s="454"/>
      <c r="D10" s="76" t="s">
        <v>69</v>
      </c>
      <c r="E10" s="77"/>
      <c r="F10" s="216"/>
      <c r="G10" s="219"/>
      <c r="H10" s="79"/>
      <c r="I10" s="79"/>
      <c r="J10" s="209"/>
      <c r="K10" s="78"/>
      <c r="L10" s="80"/>
    </row>
    <row r="11" spans="1:12" ht="15" customHeight="1">
      <c r="A11" s="50"/>
      <c r="B11" s="73"/>
      <c r="C11" s="454"/>
      <c r="D11" s="76" t="s">
        <v>69</v>
      </c>
      <c r="E11" s="77"/>
      <c r="F11" s="216"/>
      <c r="G11" s="219"/>
      <c r="H11" s="79"/>
      <c r="I11" s="79"/>
      <c r="J11" s="209"/>
      <c r="K11" s="78"/>
      <c r="L11" s="80"/>
    </row>
    <row r="12" spans="1:12" ht="15" customHeight="1">
      <c r="A12" s="50"/>
      <c r="B12" s="73"/>
      <c r="C12" s="454"/>
      <c r="D12" s="76" t="s">
        <v>69</v>
      </c>
      <c r="E12" s="77"/>
      <c r="F12" s="216"/>
      <c r="G12" s="219"/>
      <c r="H12" s="79"/>
      <c r="I12" s="79"/>
      <c r="J12" s="209"/>
      <c r="K12" s="78"/>
      <c r="L12" s="80"/>
    </row>
    <row r="13" spans="1:12" ht="15" customHeight="1">
      <c r="A13" s="50"/>
      <c r="B13" s="73"/>
      <c r="C13" s="454"/>
      <c r="D13" s="76" t="s">
        <v>69</v>
      </c>
      <c r="E13" s="77"/>
      <c r="F13" s="216"/>
      <c r="G13" s="219"/>
      <c r="H13" s="79"/>
      <c r="I13" s="79"/>
      <c r="J13" s="209"/>
      <c r="K13" s="78"/>
      <c r="L13" s="80"/>
    </row>
    <row r="14" spans="1:12" ht="16.5" customHeight="1" thickBot="1">
      <c r="A14" s="452"/>
      <c r="B14" s="453"/>
      <c r="C14" s="452"/>
      <c r="D14" s="452"/>
      <c r="E14" s="452"/>
      <c r="F14" s="452"/>
      <c r="G14" s="73"/>
      <c r="H14" s="453"/>
      <c r="I14" s="453"/>
      <c r="J14" s="453"/>
      <c r="K14" s="452"/>
      <c r="L14" s="452"/>
    </row>
    <row r="15" spans="1:12" ht="16.5" customHeight="1" thickBot="1">
      <c r="A15" s="452"/>
      <c r="B15" s="453"/>
      <c r="C15" s="452"/>
      <c r="D15" s="108" t="s">
        <v>70</v>
      </c>
      <c r="E15" s="452"/>
      <c r="F15" s="452"/>
      <c r="G15" s="73"/>
      <c r="H15" s="453"/>
      <c r="I15" s="453"/>
      <c r="J15" s="453"/>
      <c r="K15" s="452"/>
      <c r="L15" s="452"/>
    </row>
    <row r="16" spans="1:12" ht="15" customHeight="1">
      <c r="A16" s="50"/>
      <c r="B16" s="73"/>
      <c r="C16" s="454"/>
      <c r="D16" s="156" t="s">
        <v>70</v>
      </c>
      <c r="E16" s="349"/>
      <c r="F16" s="218"/>
      <c r="G16" s="351"/>
      <c r="H16" s="348"/>
      <c r="I16" s="291"/>
      <c r="J16" s="354"/>
      <c r="K16" s="192" t="s">
        <v>71</v>
      </c>
      <c r="L16" s="266"/>
    </row>
    <row r="17" spans="1:12" ht="15" customHeight="1">
      <c r="A17" s="50"/>
      <c r="B17" s="73"/>
      <c r="C17" s="454"/>
      <c r="D17" s="76" t="s">
        <v>70</v>
      </c>
      <c r="E17" s="77"/>
      <c r="F17" s="216"/>
      <c r="G17" s="219"/>
      <c r="H17" s="79"/>
      <c r="I17" s="79"/>
      <c r="J17" s="209"/>
      <c r="K17" s="78"/>
      <c r="L17" s="80"/>
    </row>
    <row r="18" spans="1:12" ht="15" customHeight="1">
      <c r="A18" s="50"/>
      <c r="B18" s="73"/>
      <c r="C18" s="454"/>
      <c r="D18" s="76" t="s">
        <v>70</v>
      </c>
      <c r="E18" s="349"/>
      <c r="F18" s="350"/>
      <c r="G18" s="351"/>
      <c r="H18" s="352"/>
      <c r="I18" s="353"/>
      <c r="J18" s="354"/>
      <c r="K18" s="78"/>
      <c r="L18" s="80"/>
    </row>
    <row r="19" spans="1:12" ht="15" customHeight="1">
      <c r="A19" s="50"/>
      <c r="B19" s="73"/>
      <c r="C19" s="454"/>
      <c r="D19" s="76" t="s">
        <v>70</v>
      </c>
      <c r="E19" s="349"/>
      <c r="F19" s="350"/>
      <c r="G19" s="351"/>
      <c r="H19" s="352"/>
      <c r="I19" s="353"/>
      <c r="J19" s="354"/>
      <c r="K19" s="78"/>
      <c r="L19" s="80"/>
    </row>
    <row r="20" spans="1:12" ht="15" customHeight="1">
      <c r="A20" s="50"/>
      <c r="B20" s="73"/>
      <c r="C20" s="454"/>
      <c r="D20" s="76" t="s">
        <v>70</v>
      </c>
      <c r="E20" s="77"/>
      <c r="F20" s="216"/>
      <c r="G20" s="219"/>
      <c r="H20" s="79"/>
      <c r="I20" s="79"/>
      <c r="J20" s="209"/>
      <c r="K20" s="78"/>
      <c r="L20" s="80"/>
    </row>
    <row r="21" spans="1:12" ht="15" customHeight="1">
      <c r="A21" s="50"/>
      <c r="B21" s="73"/>
      <c r="C21" s="454"/>
      <c r="D21" s="76" t="s">
        <v>70</v>
      </c>
      <c r="E21" s="77"/>
      <c r="F21" s="216"/>
      <c r="G21" s="219"/>
      <c r="H21" s="79"/>
      <c r="I21" s="79"/>
      <c r="J21" s="209"/>
      <c r="K21" s="78"/>
      <c r="L21" s="80"/>
    </row>
    <row r="22" spans="1:12" ht="15" customHeight="1">
      <c r="A22" s="452"/>
      <c r="B22" s="453"/>
      <c r="C22" s="453"/>
      <c r="D22" s="452"/>
      <c r="E22" s="453"/>
      <c r="F22" s="453"/>
      <c r="G22" s="453"/>
      <c r="H22" s="453"/>
      <c r="I22" s="453"/>
      <c r="J22" s="453"/>
      <c r="K22" s="453"/>
      <c r="L22" s="452"/>
    </row>
    <row r="23" spans="1:12" ht="16.5" customHeight="1" thickBot="1">
      <c r="A23" s="452"/>
      <c r="B23" s="453"/>
      <c r="C23" s="452"/>
      <c r="D23" s="452"/>
      <c r="E23" s="452"/>
      <c r="F23" s="452"/>
      <c r="G23" s="73"/>
      <c r="H23" s="453"/>
      <c r="I23" s="453"/>
      <c r="J23" s="453"/>
      <c r="K23" s="452"/>
      <c r="L23" s="452"/>
    </row>
    <row r="24" spans="1:12" ht="15.75" thickBot="1">
      <c r="A24" s="547" t="s">
        <v>15</v>
      </c>
      <c r="B24" s="83" t="s">
        <v>16</v>
      </c>
      <c r="C24" s="84" t="s">
        <v>72</v>
      </c>
      <c r="D24" s="85" t="s">
        <v>73</v>
      </c>
      <c r="E24" s="86" t="s">
        <v>60</v>
      </c>
      <c r="F24" s="86" t="s">
        <v>61</v>
      </c>
      <c r="G24" s="87" t="s">
        <v>62</v>
      </c>
      <c r="H24" s="87" t="s">
        <v>63</v>
      </c>
      <c r="I24" s="87" t="s">
        <v>74</v>
      </c>
      <c r="J24" s="87" t="s">
        <v>65</v>
      </c>
      <c r="K24" s="86" t="s">
        <v>66</v>
      </c>
      <c r="L24" s="86" t="s">
        <v>67</v>
      </c>
    </row>
    <row r="25" spans="1:12" ht="15.75" thickBot="1">
      <c r="A25" s="50"/>
      <c r="B25" s="73"/>
      <c r="C25" s="73"/>
      <c r="D25" s="88"/>
      <c r="E25" s="89"/>
      <c r="F25" s="89"/>
      <c r="G25" s="89"/>
      <c r="H25" s="89"/>
      <c r="I25" s="89"/>
      <c r="J25" s="89"/>
      <c r="K25" s="89"/>
      <c r="L25" s="90"/>
    </row>
    <row r="26" spans="1:12" ht="15.75" hidden="1" thickBot="1">
      <c r="A26" s="543" t="str">
        <f>A27</f>
        <v>NO</v>
      </c>
      <c r="B26" s="96" t="str">
        <f>VLOOKUP(tblTradeProspects[[#This Row],[Project TO''s]],tblRequiredPTO[],3,0)</f>
        <v>AVG</v>
      </c>
      <c r="C26" s="155"/>
      <c r="D26" s="91" t="str">
        <f>D27</f>
        <v>Asphalt</v>
      </c>
      <c r="E26" s="152"/>
      <c r="F26" s="153"/>
      <c r="G26" s="153"/>
      <c r="H26" s="153"/>
      <c r="I26" s="153"/>
      <c r="J26" s="153"/>
      <c r="K26" s="153"/>
      <c r="L26" s="154"/>
    </row>
    <row r="27" spans="1:12" ht="15.75" hidden="1" thickBot="1">
      <c r="A27" s="544" t="str">
        <f>'01 Project Details'!C19</f>
        <v>NO</v>
      </c>
      <c r="B27" s="453"/>
      <c r="C27" s="454"/>
      <c r="D27" s="93" t="str">
        <f>'01 Project Details'!B19</f>
        <v>Asphalt</v>
      </c>
      <c r="E27" s="94"/>
      <c r="F27" s="217"/>
      <c r="G27" s="221"/>
      <c r="H27" s="81"/>
      <c r="I27" s="81"/>
      <c r="J27" s="209"/>
      <c r="K27" s="94"/>
      <c r="L27" s="95"/>
    </row>
    <row r="28" spans="1:12" hidden="1">
      <c r="A28" s="452" t="str">
        <f>A27</f>
        <v>NO</v>
      </c>
      <c r="B28" s="453"/>
      <c r="C28" s="454"/>
      <c r="D28" s="93" t="str">
        <f>D27</f>
        <v>Asphalt</v>
      </c>
      <c r="E28" s="94"/>
      <c r="F28" s="217"/>
      <c r="G28" s="221"/>
      <c r="H28" s="81"/>
      <c r="I28" s="81"/>
      <c r="J28" s="209"/>
      <c r="K28" s="94"/>
      <c r="L28" s="95"/>
    </row>
    <row r="29" spans="1:12" hidden="1">
      <c r="A29" s="452" t="str">
        <f>A27</f>
        <v>NO</v>
      </c>
      <c r="B29" s="453"/>
      <c r="C29" s="454" t="s">
        <v>71</v>
      </c>
      <c r="D29" s="93" t="str">
        <f>D27</f>
        <v>Asphalt</v>
      </c>
      <c r="E29" s="94"/>
      <c r="F29" s="217"/>
      <c r="G29" s="221"/>
      <c r="H29" s="78"/>
      <c r="I29" s="78"/>
      <c r="J29" s="209"/>
      <c r="K29" s="94"/>
      <c r="L29" s="95"/>
    </row>
    <row r="30" spans="1:12" hidden="1">
      <c r="A30" s="452" t="str">
        <f>A27</f>
        <v>NO</v>
      </c>
      <c r="B30" s="453"/>
      <c r="C30" s="454" t="s">
        <v>71</v>
      </c>
      <c r="D30" s="93" t="str">
        <f>D27</f>
        <v>Asphalt</v>
      </c>
      <c r="E30" s="94"/>
      <c r="F30" s="217"/>
      <c r="G30" s="221"/>
      <c r="H30" s="79"/>
      <c r="I30" s="79"/>
      <c r="J30" s="209"/>
      <c r="K30" s="94"/>
      <c r="L30" s="95"/>
    </row>
    <row r="31" spans="1:12" ht="15.75" hidden="1" thickBot="1">
      <c r="A31" s="50"/>
      <c r="B31" s="73"/>
      <c r="C31" s="73"/>
      <c r="D31" s="88"/>
      <c r="E31" s="89"/>
      <c r="F31" s="89"/>
      <c r="G31" s="89"/>
      <c r="H31" s="89"/>
      <c r="I31" s="89"/>
      <c r="J31" s="89"/>
      <c r="K31" s="89"/>
      <c r="L31" s="90"/>
    </row>
    <row r="32" spans="1:12" ht="15.75" thickBot="1">
      <c r="A32" s="50">
        <f>A33</f>
        <v>0</v>
      </c>
      <c r="B32" s="96">
        <f>VLOOKUP(tblTradeProspects[[#This Row],[Project TO''s]],tblRequiredPTO[],3,0)</f>
        <v>0</v>
      </c>
      <c r="C32" s="73"/>
      <c r="D32" s="97" t="str">
        <f>D33</f>
        <v xml:space="preserve">A/V </v>
      </c>
      <c r="E32" s="89"/>
      <c r="F32" s="89"/>
      <c r="G32" s="89"/>
      <c r="H32" s="89"/>
      <c r="I32" s="89"/>
      <c r="J32" s="89"/>
      <c r="K32" s="89"/>
      <c r="L32" s="90"/>
    </row>
    <row r="33" spans="1:12">
      <c r="A33" s="545">
        <f>'01 Project Details'!C20</f>
        <v>0</v>
      </c>
      <c r="B33" s="453"/>
      <c r="C33" s="454" t="s">
        <v>75</v>
      </c>
      <c r="D33" s="76" t="str">
        <f>'01 Project Details'!B20</f>
        <v xml:space="preserve">A/V </v>
      </c>
      <c r="E33" s="380"/>
      <c r="F33" s="457"/>
      <c r="G33" s="404"/>
      <c r="H33" s="444"/>
      <c r="I33" s="445"/>
      <c r="J33" s="355"/>
      <c r="K33" s="458"/>
      <c r="L33" s="459"/>
    </row>
    <row r="34" spans="1:12">
      <c r="A34" s="546">
        <f>A33</f>
        <v>0</v>
      </c>
      <c r="B34" s="453"/>
      <c r="C34" s="454"/>
      <c r="D34" s="76" t="str">
        <f>D33</f>
        <v xml:space="preserve">A/V </v>
      </c>
      <c r="E34" s="460"/>
      <c r="F34" s="369"/>
      <c r="G34" s="370"/>
      <c r="H34" s="199"/>
      <c r="I34" s="81"/>
      <c r="J34" s="209"/>
      <c r="K34" s="94"/>
      <c r="L34" s="357"/>
    </row>
    <row r="35" spans="1:12">
      <c r="A35" s="546">
        <f>A33</f>
        <v>0</v>
      </c>
      <c r="B35" s="453"/>
      <c r="C35" s="454"/>
      <c r="D35" s="76" t="str">
        <f>D33</f>
        <v xml:space="preserve">A/V </v>
      </c>
      <c r="E35" s="460"/>
      <c r="F35" s="419"/>
      <c r="G35" s="461"/>
      <c r="H35" s="405"/>
      <c r="I35" s="292"/>
      <c r="J35" s="269"/>
      <c r="K35" s="94"/>
      <c r="L35" s="360"/>
    </row>
    <row r="36" spans="1:12">
      <c r="A36" s="546">
        <f>A33</f>
        <v>0</v>
      </c>
      <c r="B36" s="453"/>
      <c r="C36" s="99"/>
      <c r="D36" s="76" t="str">
        <f>D33</f>
        <v xml:space="preserve">A/V </v>
      </c>
      <c r="E36" s="368"/>
      <c r="F36" s="371"/>
      <c r="G36" s="362"/>
      <c r="H36" s="372"/>
      <c r="I36" s="78"/>
      <c r="J36" s="209"/>
      <c r="K36" s="94"/>
      <c r="L36" s="95"/>
    </row>
    <row r="37" spans="1:12" ht="15.75" thickBot="1">
      <c r="A37" s="50"/>
      <c r="B37" s="73"/>
      <c r="C37" s="73"/>
      <c r="D37" s="88"/>
      <c r="E37" s="373"/>
      <c r="F37" s="373"/>
      <c r="G37" s="373"/>
      <c r="H37" s="373"/>
      <c r="I37" s="89"/>
      <c r="J37" s="89"/>
      <c r="K37" s="89"/>
      <c r="L37" s="90"/>
    </row>
    <row r="38" spans="1:12" ht="15.75" thickBot="1">
      <c r="A38" s="50">
        <f>A39</f>
        <v>0</v>
      </c>
      <c r="B38" s="96">
        <f>VLOOKUP(tblTradeProspects[[#This Row],[Project TO''s]],tblRequiredPTO[],3,0)</f>
        <v>0</v>
      </c>
      <c r="C38" s="73"/>
      <c r="D38" s="97" t="str">
        <f>D39</f>
        <v>Caseworks </v>
      </c>
      <c r="E38" s="373"/>
      <c r="F38" s="373"/>
      <c r="G38" s="373"/>
      <c r="H38" s="373"/>
      <c r="I38" s="89"/>
      <c r="J38" s="89"/>
      <c r="K38" s="89"/>
      <c r="L38" s="90"/>
    </row>
    <row r="39" spans="1:12" ht="15" customHeight="1" thickBot="1">
      <c r="A39" s="544">
        <f>'01 Project Details'!C21</f>
        <v>0</v>
      </c>
      <c r="B39" s="453"/>
      <c r="C39" s="454" t="s">
        <v>75</v>
      </c>
      <c r="D39" s="438" t="str">
        <f>'01 Project Details'!B21</f>
        <v>Caseworks </v>
      </c>
      <c r="E39" s="462"/>
      <c r="F39" s="412"/>
      <c r="G39" s="404"/>
      <c r="H39" s="418"/>
      <c r="I39" s="81"/>
      <c r="J39" s="211"/>
      <c r="K39" s="458"/>
      <c r="L39" s="459"/>
    </row>
    <row r="40" spans="1:12" ht="15" customHeight="1">
      <c r="A40" s="452">
        <f>A39</f>
        <v>0</v>
      </c>
      <c r="B40" s="453"/>
      <c r="C40" s="454"/>
      <c r="D40" s="93" t="str">
        <f>D39</f>
        <v>Caseworks </v>
      </c>
      <c r="E40" s="463"/>
      <c r="F40" s="412"/>
      <c r="G40" s="404"/>
      <c r="H40" s="420"/>
      <c r="I40" s="81"/>
      <c r="J40" s="211"/>
      <c r="K40" s="458"/>
      <c r="L40" s="459"/>
    </row>
    <row r="41" spans="1:12" ht="15" customHeight="1">
      <c r="A41" s="452">
        <f>A39</f>
        <v>0</v>
      </c>
      <c r="B41" s="453"/>
      <c r="C41" s="454"/>
      <c r="D41" s="93" t="str">
        <f>D39</f>
        <v>Caseworks </v>
      </c>
      <c r="E41" s="469"/>
      <c r="F41" s="419"/>
      <c r="G41" s="421"/>
      <c r="H41" s="422"/>
      <c r="I41" s="292"/>
      <c r="J41" s="269"/>
      <c r="K41" s="78"/>
      <c r="L41" s="95"/>
    </row>
    <row r="42" spans="1:12" ht="15" customHeight="1">
      <c r="A42" s="452">
        <f>A39</f>
        <v>0</v>
      </c>
      <c r="B42" s="453"/>
      <c r="C42" s="454"/>
      <c r="D42" s="93" t="str">
        <f>D39</f>
        <v>Caseworks </v>
      </c>
      <c r="E42" s="374"/>
      <c r="F42" s="369"/>
      <c r="G42" s="370"/>
      <c r="H42" s="199"/>
      <c r="I42" s="78"/>
      <c r="J42" s="209"/>
      <c r="K42" s="94"/>
      <c r="L42" s="95"/>
    </row>
    <row r="43" spans="1:12" ht="15.75" thickBot="1">
      <c r="A43" s="50"/>
      <c r="B43" s="73"/>
      <c r="C43" s="73"/>
      <c r="D43" s="88"/>
      <c r="E43" s="373"/>
      <c r="F43" s="373"/>
      <c r="G43" s="373"/>
      <c r="H43" s="373"/>
      <c r="I43" s="89"/>
      <c r="J43" s="89"/>
      <c r="K43" s="89"/>
      <c r="L43" s="90"/>
    </row>
    <row r="44" spans="1:12" ht="15.75" thickBot="1">
      <c r="A44" s="50">
        <f>A45</f>
        <v>0</v>
      </c>
      <c r="B44" s="96">
        <f>VLOOKUP(tblTradeProspects[[#This Row],[Project TO''s]],tblRequiredPTO[],3,0)</f>
        <v>0</v>
      </c>
      <c r="C44" s="73"/>
      <c r="D44" s="97" t="str">
        <f>D45</f>
        <v>Carpentry - Rough Framing </v>
      </c>
      <c r="E44" s="373"/>
      <c r="F44" s="373"/>
      <c r="G44" s="373"/>
      <c r="H44" s="373"/>
      <c r="I44" s="89"/>
      <c r="J44" s="89"/>
      <c r="K44" s="89"/>
      <c r="L44" s="90"/>
    </row>
    <row r="45" spans="1:12" ht="15" customHeight="1" thickBot="1">
      <c r="A45" s="545">
        <f>'01 Project Details'!C22</f>
        <v>0</v>
      </c>
      <c r="B45" s="453"/>
      <c r="C45" s="99" t="s">
        <v>75</v>
      </c>
      <c r="D45" s="76" t="str">
        <f>'01 Project Details'!B22</f>
        <v>Carpentry - Rough Framing </v>
      </c>
      <c r="E45" s="464"/>
      <c r="F45" s="412"/>
      <c r="G45" s="465"/>
      <c r="H45" s="405"/>
      <c r="I45" s="81"/>
      <c r="J45" s="211"/>
      <c r="K45" s="458"/>
      <c r="L45" s="459"/>
    </row>
    <row r="46" spans="1:12" ht="15" customHeight="1">
      <c r="A46" s="546">
        <f>A45</f>
        <v>0</v>
      </c>
      <c r="B46" s="453"/>
      <c r="C46" s="454"/>
      <c r="D46" s="76" t="str">
        <f>D45</f>
        <v>Carpentry - Rough Framing </v>
      </c>
      <c r="E46" s="466"/>
      <c r="F46" s="467"/>
      <c r="G46" s="468"/>
      <c r="H46" s="405"/>
      <c r="I46" s="81"/>
      <c r="J46" s="212"/>
      <c r="K46" s="78"/>
      <c r="L46" s="80"/>
    </row>
    <row r="47" spans="1:12" ht="15" customHeight="1">
      <c r="A47" s="546">
        <f>A45</f>
        <v>0</v>
      </c>
      <c r="B47" s="453"/>
      <c r="C47" s="454"/>
      <c r="D47" s="76" t="str">
        <f>D45</f>
        <v>Carpentry - Rough Framing </v>
      </c>
      <c r="E47" s="474"/>
      <c r="F47" s="407"/>
      <c r="G47" s="403"/>
      <c r="H47" s="411"/>
      <c r="I47" s="81"/>
      <c r="J47" s="209"/>
      <c r="K47" s="78"/>
      <c r="L47" s="80"/>
    </row>
    <row r="48" spans="1:12" ht="15" customHeight="1">
      <c r="A48" s="546">
        <f>A45</f>
        <v>0</v>
      </c>
      <c r="B48" s="453"/>
      <c r="C48" s="454"/>
      <c r="D48" s="76" t="str">
        <f>D45</f>
        <v>Carpentry - Rough Framing </v>
      </c>
      <c r="E48" s="363"/>
      <c r="F48" s="378"/>
      <c r="G48" s="379"/>
      <c r="H48" s="380"/>
      <c r="I48" s="356"/>
      <c r="J48" s="270"/>
      <c r="K48" s="78"/>
      <c r="L48" s="80"/>
    </row>
    <row r="49" spans="1:12" ht="15.75" thickBot="1">
      <c r="A49" s="50"/>
      <c r="B49" s="73"/>
      <c r="C49" s="73"/>
      <c r="D49" s="88"/>
      <c r="E49" s="373"/>
      <c r="F49" s="373"/>
      <c r="G49" s="373"/>
      <c r="H49" s="373"/>
      <c r="I49" s="89"/>
      <c r="J49" s="89"/>
      <c r="K49" s="89"/>
      <c r="L49" s="90"/>
    </row>
    <row r="50" spans="1:12" ht="15.75" thickBot="1">
      <c r="A50" s="50">
        <f>A51</f>
        <v>0</v>
      </c>
      <c r="B50" s="96">
        <f>VLOOKUP(tblTradeProspects[[#This Row],[Project TO''s]],tblRequiredPTO[],3,0)</f>
        <v>0</v>
      </c>
      <c r="C50" s="73"/>
      <c r="D50" s="97" t="str">
        <f>D51</f>
        <v>Ceilings - ACT  </v>
      </c>
      <c r="E50" s="373"/>
      <c r="F50" s="373"/>
      <c r="G50" s="373"/>
      <c r="H50" s="373"/>
      <c r="I50" s="89"/>
      <c r="J50" s="89"/>
      <c r="K50" s="89"/>
      <c r="L50" s="90"/>
    </row>
    <row r="51" spans="1:12" ht="15" customHeight="1" thickBot="1">
      <c r="A51" s="544">
        <f>'01 Project Details'!C23</f>
        <v>0</v>
      </c>
      <c r="B51" s="453"/>
      <c r="C51" s="454"/>
      <c r="D51" s="76" t="str">
        <f>'01 Project Details'!B23</f>
        <v>Ceilings - ACT  </v>
      </c>
      <c r="E51" s="469"/>
      <c r="F51" s="470"/>
      <c r="G51" s="404"/>
      <c r="H51" s="405"/>
      <c r="I51" s="81"/>
      <c r="J51" s="272"/>
      <c r="K51" s="82"/>
      <c r="L51" s="459"/>
    </row>
    <row r="52" spans="1:12" ht="15" customHeight="1">
      <c r="A52" s="452">
        <f>A51</f>
        <v>0</v>
      </c>
      <c r="B52" s="453"/>
      <c r="C52" s="454" t="s">
        <v>75</v>
      </c>
      <c r="D52" s="93" t="str">
        <f>D51</f>
        <v>Ceilings - ACT  </v>
      </c>
      <c r="E52" s="476"/>
      <c r="F52" s="471"/>
      <c r="G52" s="472"/>
      <c r="H52" s="406"/>
      <c r="I52" s="473"/>
      <c r="J52" s="211"/>
      <c r="K52" s="82"/>
      <c r="L52" s="31"/>
    </row>
    <row r="53" spans="1:12" ht="15" customHeight="1">
      <c r="A53" s="452">
        <f>A51</f>
        <v>0</v>
      </c>
      <c r="B53" s="453"/>
      <c r="C53" s="454"/>
      <c r="D53" s="93" t="str">
        <f>D51</f>
        <v>Ceilings - ACT  </v>
      </c>
      <c r="E53" s="474"/>
      <c r="F53" s="407"/>
      <c r="G53" s="475"/>
      <c r="H53" s="406"/>
      <c r="I53" s="78"/>
      <c r="J53" s="212"/>
      <c r="K53" s="78"/>
      <c r="L53" s="80"/>
    </row>
    <row r="54" spans="1:12" ht="15" customHeight="1">
      <c r="A54" s="452">
        <f>A51</f>
        <v>0</v>
      </c>
      <c r="B54" s="453"/>
      <c r="C54" s="454"/>
      <c r="D54" s="93" t="str">
        <f>D51</f>
        <v>Ceilings - ACT  </v>
      </c>
      <c r="E54" s="363"/>
      <c r="F54" s="364"/>
      <c r="G54" s="379"/>
      <c r="H54" s="380"/>
      <c r="I54" s="78"/>
      <c r="J54" s="212"/>
      <c r="K54" s="78"/>
      <c r="L54" s="80"/>
    </row>
    <row r="55" spans="1:12" ht="15.75" thickBot="1">
      <c r="A55" s="50"/>
      <c r="B55" s="73"/>
      <c r="C55" s="73"/>
      <c r="D55" s="88"/>
      <c r="E55" s="373"/>
      <c r="F55" s="373"/>
      <c r="G55" s="373"/>
      <c r="H55" s="373"/>
      <c r="I55" s="89"/>
      <c r="J55" s="89"/>
      <c r="K55" s="89"/>
      <c r="L55" s="90"/>
    </row>
    <row r="56" spans="1:12" ht="15.75" thickBot="1">
      <c r="A56" s="50">
        <f>A57</f>
        <v>0</v>
      </c>
      <c r="B56" s="96">
        <f>VLOOKUP(tblTradeProspects[[#This Row],[Project TO''s]],tblRequiredPTO[],3,0)</f>
        <v>0</v>
      </c>
      <c r="C56" s="73"/>
      <c r="D56" s="97" t="str">
        <f>D57</f>
        <v>Concrete </v>
      </c>
      <c r="E56" s="373"/>
      <c r="F56" s="373"/>
      <c r="G56" s="373"/>
      <c r="H56" s="373"/>
      <c r="I56" s="89"/>
      <c r="J56" s="89"/>
      <c r="K56" s="89"/>
      <c r="L56" s="90"/>
    </row>
    <row r="57" spans="1:12" ht="15" customHeight="1" thickBot="1">
      <c r="A57" s="545">
        <f>'01 Project Details'!C24</f>
        <v>0</v>
      </c>
      <c r="B57" s="453"/>
      <c r="C57" s="454" t="s">
        <v>75</v>
      </c>
      <c r="D57" s="76" t="str">
        <f>'01 Project Details'!B24</f>
        <v>Concrete </v>
      </c>
      <c r="E57" s="469"/>
      <c r="F57" s="412"/>
      <c r="G57" s="404"/>
      <c r="H57" s="410"/>
      <c r="I57" s="100"/>
      <c r="J57" s="213"/>
      <c r="K57" s="82"/>
      <c r="L57" s="459"/>
    </row>
    <row r="58" spans="1:12" ht="15" customHeight="1">
      <c r="A58" s="546">
        <f>A57</f>
        <v>0</v>
      </c>
      <c r="B58" s="453"/>
      <c r="C58" s="99"/>
      <c r="D58" s="76" t="str">
        <f>D57</f>
        <v>Concrete </v>
      </c>
      <c r="E58" s="476"/>
      <c r="F58" s="407"/>
      <c r="G58" s="403"/>
      <c r="H58" s="406"/>
      <c r="I58" s="82"/>
      <c r="J58" s="358"/>
      <c r="K58" s="82"/>
      <c r="L58" s="31"/>
    </row>
    <row r="59" spans="1:12" ht="15" customHeight="1">
      <c r="A59" s="546">
        <f>A57</f>
        <v>0</v>
      </c>
      <c r="B59" s="453"/>
      <c r="C59" s="454"/>
      <c r="D59" s="76" t="str">
        <f>D57</f>
        <v>Concrete </v>
      </c>
      <c r="E59" s="477"/>
      <c r="F59" s="471"/>
      <c r="G59" s="403"/>
      <c r="H59" s="406"/>
      <c r="I59" s="101"/>
      <c r="J59" s="212"/>
      <c r="K59" s="78"/>
      <c r="L59" s="80"/>
    </row>
    <row r="60" spans="1:12" ht="15" customHeight="1">
      <c r="A60" s="546">
        <f>A57</f>
        <v>0</v>
      </c>
      <c r="B60" s="453"/>
      <c r="C60" s="454"/>
      <c r="D60" s="76" t="str">
        <f>D57</f>
        <v>Concrete </v>
      </c>
      <c r="E60" s="151"/>
      <c r="F60" s="382"/>
      <c r="G60" s="383"/>
      <c r="H60" s="199"/>
      <c r="I60" s="81"/>
      <c r="J60" s="210"/>
      <c r="K60" s="82"/>
      <c r="L60" s="31"/>
    </row>
    <row r="61" spans="1:12" ht="15.75" thickBot="1">
      <c r="A61" s="50"/>
      <c r="B61" s="73"/>
      <c r="C61" s="73"/>
      <c r="D61" s="88"/>
      <c r="E61" s="373"/>
      <c r="F61" s="373"/>
      <c r="G61" s="373"/>
      <c r="H61" s="373"/>
      <c r="I61" s="89"/>
      <c r="J61" s="89"/>
      <c r="K61" s="89"/>
      <c r="L61" s="90"/>
    </row>
    <row r="62" spans="1:12" ht="15.75" thickBot="1">
      <c r="A62" s="50">
        <f>A63</f>
        <v>0</v>
      </c>
      <c r="B62" s="96">
        <f>VLOOKUP(tblTradeProspects[[#This Row],[Project TO''s]],tblRequiredPTO[],3,0)</f>
        <v>0</v>
      </c>
      <c r="C62" s="73"/>
      <c r="D62" s="97" t="str">
        <f>D63</f>
        <v>Demolition</v>
      </c>
      <c r="E62" s="373"/>
      <c r="F62" s="373"/>
      <c r="G62" s="373"/>
      <c r="H62" s="373"/>
      <c r="I62" s="89"/>
      <c r="J62" s="89"/>
      <c r="K62" s="89"/>
      <c r="L62" s="90"/>
    </row>
    <row r="63" spans="1:12" ht="15" customHeight="1" thickBot="1">
      <c r="A63" s="544">
        <f>'01 Project Details'!C25</f>
        <v>0</v>
      </c>
      <c r="B63" s="453"/>
      <c r="C63" s="454" t="s">
        <v>75</v>
      </c>
      <c r="D63" s="76" t="str">
        <f>'01 Project Details'!B25</f>
        <v>Demolition</v>
      </c>
      <c r="E63" s="476"/>
      <c r="F63" s="478"/>
      <c r="G63" s="404"/>
      <c r="H63" s="405"/>
      <c r="I63" s="81"/>
      <c r="J63" s="213"/>
      <c r="K63" s="82"/>
      <c r="L63" s="459"/>
    </row>
    <row r="64" spans="1:12" ht="15" customHeight="1">
      <c r="A64" s="452">
        <f>A63</f>
        <v>0</v>
      </c>
      <c r="B64" s="453"/>
      <c r="C64" s="454"/>
      <c r="D64" s="76" t="str">
        <f>D63</f>
        <v>Demolition</v>
      </c>
      <c r="E64" s="476"/>
      <c r="F64" s="407"/>
      <c r="G64" s="403"/>
      <c r="H64" s="411"/>
      <c r="I64" s="102"/>
      <c r="J64" s="214"/>
      <c r="K64" s="101"/>
      <c r="L64" s="194"/>
    </row>
    <row r="65" spans="1:12" ht="15" customHeight="1">
      <c r="A65" s="452">
        <f>A63</f>
        <v>0</v>
      </c>
      <c r="B65" s="453"/>
      <c r="C65" s="454"/>
      <c r="D65" s="76" t="str">
        <f>D63</f>
        <v>Demolition</v>
      </c>
      <c r="E65" s="476"/>
      <c r="F65" s="407"/>
      <c r="G65" s="415"/>
      <c r="H65" s="411"/>
      <c r="I65" s="81"/>
      <c r="J65" s="272"/>
      <c r="K65" s="82"/>
      <c r="L65" s="31"/>
    </row>
    <row r="66" spans="1:12" s="425" customFormat="1" ht="15" customHeight="1">
      <c r="A66" s="425">
        <f>A63</f>
        <v>0</v>
      </c>
      <c r="B66" s="426"/>
      <c r="C66" s="427"/>
      <c r="D66" s="428" t="str">
        <f>D63</f>
        <v>Demolition</v>
      </c>
      <c r="E66" s="476"/>
      <c r="F66" s="479"/>
      <c r="G66" s="480"/>
      <c r="H66" s="481"/>
      <c r="I66" s="429"/>
      <c r="J66" s="430"/>
      <c r="K66" s="431"/>
      <c r="L66" s="432"/>
    </row>
    <row r="67" spans="1:12" ht="15.75" thickBot="1">
      <c r="A67" s="50"/>
      <c r="B67" s="73"/>
      <c r="C67" s="73"/>
      <c r="D67" s="88"/>
      <c r="E67" s="373"/>
      <c r="F67" s="373"/>
      <c r="G67" s="373"/>
      <c r="H67" s="373"/>
      <c r="I67" s="89"/>
      <c r="J67" s="89"/>
      <c r="K67" s="89"/>
      <c r="L67" s="90"/>
    </row>
    <row r="68" spans="1:12" ht="15.75" thickBot="1">
      <c r="A68" s="50">
        <f>A69</f>
        <v>0</v>
      </c>
      <c r="B68" s="96">
        <f>VLOOKUP(tblTradeProspects[[#This Row],[Project TO''s]],tblRequiredPTO[],3,0)</f>
        <v>0</v>
      </c>
      <c r="C68" s="73"/>
      <c r="D68" s="97" t="str">
        <f>D69</f>
        <v>Doors and Windows</v>
      </c>
      <c r="E68" s="373"/>
      <c r="F68" s="373"/>
      <c r="G68" s="373"/>
      <c r="H68" s="373"/>
      <c r="I68" s="89"/>
      <c r="J68" s="89"/>
      <c r="K68" s="89"/>
      <c r="L68" s="90"/>
    </row>
    <row r="69" spans="1:12">
      <c r="A69" s="545">
        <f>'01 Project Details'!C26</f>
        <v>0</v>
      </c>
      <c r="B69" s="453"/>
      <c r="C69" s="454" t="s">
        <v>75</v>
      </c>
      <c r="D69" s="76" t="str">
        <f>'01 Project Details'!B26</f>
        <v>Doors and Windows</v>
      </c>
      <c r="E69" s="469"/>
      <c r="F69" s="409"/>
      <c r="G69" s="465"/>
      <c r="H69" s="410"/>
      <c r="I69" s="100"/>
      <c r="J69" s="215"/>
      <c r="K69" s="78"/>
      <c r="L69" s="31"/>
    </row>
    <row r="70" spans="1:12">
      <c r="A70" s="546">
        <f>A69</f>
        <v>0</v>
      </c>
      <c r="B70" s="453"/>
      <c r="C70" s="454"/>
      <c r="D70" s="76" t="str">
        <f>D69</f>
        <v>Doors and Windows</v>
      </c>
      <c r="E70" s="469"/>
      <c r="F70" s="407"/>
      <c r="G70" s="465"/>
      <c r="H70" s="410"/>
      <c r="I70" s="81"/>
      <c r="J70" s="211"/>
      <c r="K70" s="78"/>
      <c r="L70" s="80"/>
    </row>
    <row r="71" spans="1:12">
      <c r="A71" s="546">
        <f>A69</f>
        <v>0</v>
      </c>
      <c r="B71" s="453"/>
      <c r="C71" s="454"/>
      <c r="D71" s="76" t="str">
        <f>D69</f>
        <v>Doors and Windows</v>
      </c>
      <c r="E71" s="482"/>
      <c r="F71" s="407"/>
      <c r="G71" s="403"/>
      <c r="H71" s="411"/>
      <c r="I71" s="81"/>
      <c r="J71" s="209"/>
      <c r="K71" s="78"/>
      <c r="L71" s="80"/>
    </row>
    <row r="72" spans="1:12">
      <c r="A72" s="546">
        <f>A69</f>
        <v>0</v>
      </c>
      <c r="B72" s="453"/>
      <c r="C72" s="454"/>
      <c r="D72" s="76" t="str">
        <f>D69</f>
        <v>Doors and Windows</v>
      </c>
      <c r="E72" s="439"/>
      <c r="F72" s="440"/>
      <c r="G72" s="441"/>
      <c r="H72" s="483"/>
      <c r="I72" s="81"/>
      <c r="J72" s="213"/>
      <c r="K72" s="82"/>
      <c r="L72" s="80"/>
    </row>
    <row r="73" spans="1:12" ht="15.75" thickBot="1">
      <c r="A73" s="50"/>
      <c r="B73" s="73"/>
      <c r="C73" s="73"/>
      <c r="D73" s="88"/>
      <c r="E73" s="373"/>
      <c r="F73" s="373"/>
      <c r="G73" s="385"/>
      <c r="H73" s="373"/>
      <c r="I73" s="89"/>
      <c r="J73" s="89"/>
      <c r="K73" s="89"/>
      <c r="L73" s="90"/>
    </row>
    <row r="74" spans="1:12" ht="15.75" thickBot="1">
      <c r="A74" s="50">
        <f>A75</f>
        <v>0</v>
      </c>
      <c r="B74" s="96">
        <f>VLOOKUP(tblTradeProspects[[#This Row],[Project TO''s]],tblRequiredPTO[],3,0)</f>
        <v>0</v>
      </c>
      <c r="C74" s="73"/>
      <c r="D74" s="97" t="str">
        <f>D75</f>
        <v>Drywall - Hanging</v>
      </c>
      <c r="E74" s="373"/>
      <c r="F74" s="373"/>
      <c r="G74" s="373"/>
      <c r="H74" s="373"/>
      <c r="I74" s="89"/>
      <c r="J74" s="89"/>
      <c r="K74" s="89"/>
      <c r="L74" s="90"/>
    </row>
    <row r="75" spans="1:12">
      <c r="A75" s="544">
        <f>'01 Project Details'!C27</f>
        <v>0</v>
      </c>
      <c r="B75" s="453"/>
      <c r="C75" s="454" t="s">
        <v>75</v>
      </c>
      <c r="D75" s="76" t="str">
        <f>'01 Project Details'!B27</f>
        <v>Drywall - Hanging</v>
      </c>
      <c r="E75" s="469"/>
      <c r="F75" s="412"/>
      <c r="G75" s="404"/>
      <c r="H75" s="484"/>
      <c r="I75" s="81"/>
      <c r="J75" s="211"/>
      <c r="K75" s="82"/>
      <c r="L75" s="31"/>
    </row>
    <row r="76" spans="1:12">
      <c r="A76" s="452">
        <f>A75</f>
        <v>0</v>
      </c>
      <c r="B76" s="453"/>
      <c r="C76" s="454"/>
      <c r="D76" s="76" t="str">
        <f>D75</f>
        <v>Drywall - Hanging</v>
      </c>
      <c r="E76" s="527"/>
      <c r="F76" s="471"/>
      <c r="G76" s="472"/>
      <c r="H76" s="485"/>
      <c r="I76" s="81"/>
      <c r="J76" s="211"/>
      <c r="K76" s="458"/>
      <c r="L76" s="80"/>
    </row>
    <row r="77" spans="1:12">
      <c r="A77" s="452">
        <f>A75</f>
        <v>0</v>
      </c>
      <c r="B77" s="453"/>
      <c r="C77" s="454"/>
      <c r="D77" s="76" t="str">
        <f>D75</f>
        <v>Drywall - Hanging</v>
      </c>
      <c r="E77" s="482"/>
      <c r="F77" s="407"/>
      <c r="G77" s="403"/>
      <c r="H77" s="485"/>
      <c r="I77" s="79"/>
      <c r="J77" s="215"/>
      <c r="K77" s="78"/>
      <c r="L77" s="80"/>
    </row>
    <row r="78" spans="1:12">
      <c r="A78" s="452">
        <f>A75</f>
        <v>0</v>
      </c>
      <c r="B78" s="453"/>
      <c r="C78" s="99"/>
      <c r="D78" s="76" t="str">
        <f>D75</f>
        <v>Drywall - Hanging</v>
      </c>
      <c r="E78" s="363"/>
      <c r="F78" s="364"/>
      <c r="G78" s="379"/>
      <c r="H78" s="483"/>
      <c r="I78" s="81"/>
      <c r="J78" s="212"/>
      <c r="K78" s="78"/>
      <c r="L78" s="80"/>
    </row>
    <row r="79" spans="1:12" ht="15.75" thickBot="1">
      <c r="A79" s="50"/>
      <c r="B79" s="73"/>
      <c r="C79" s="73"/>
      <c r="D79" s="88"/>
      <c r="E79" s="373"/>
      <c r="F79" s="373"/>
      <c r="G79" s="373"/>
      <c r="H79" s="373"/>
      <c r="I79" s="89"/>
      <c r="J79" s="89"/>
      <c r="K79" s="89"/>
      <c r="L79" s="90"/>
    </row>
    <row r="80" spans="1:12" ht="15.75" thickBot="1">
      <c r="A80" s="50">
        <f>A81</f>
        <v>0</v>
      </c>
      <c r="B80" s="96">
        <f>VLOOKUP(tblTradeProspects[[#This Row],[Project TO''s]],tblRequiredPTO[],3,0)</f>
        <v>0</v>
      </c>
      <c r="C80" s="73"/>
      <c r="D80" s="97" t="str">
        <f>D81</f>
        <v>Drywall - Finish/Texture</v>
      </c>
      <c r="E80" s="373"/>
      <c r="F80" s="373"/>
      <c r="G80" s="373"/>
      <c r="H80" s="373"/>
      <c r="I80" s="89"/>
      <c r="J80" s="89"/>
      <c r="K80" s="89"/>
      <c r="L80" s="90"/>
    </row>
    <row r="81" spans="1:12">
      <c r="A81" s="545">
        <f>'01 Project Details'!C28</f>
        <v>0</v>
      </c>
      <c r="B81" s="453"/>
      <c r="C81" s="454" t="s">
        <v>75</v>
      </c>
      <c r="D81" s="76" t="str">
        <f>'01 Project Details'!B28</f>
        <v>Drywall - Finish/Texture</v>
      </c>
      <c r="E81" s="474"/>
      <c r="F81" s="412"/>
      <c r="G81" s="403"/>
      <c r="H81" s="411"/>
      <c r="I81" s="81"/>
      <c r="J81" s="215"/>
      <c r="K81" s="78"/>
      <c r="L81" s="80"/>
    </row>
    <row r="82" spans="1:12">
      <c r="A82" s="546">
        <f>A81</f>
        <v>0</v>
      </c>
      <c r="B82" s="453"/>
      <c r="C82" s="454" t="s">
        <v>71</v>
      </c>
      <c r="D82" s="76" t="str">
        <f>D81</f>
        <v>Drywall - Finish/Texture</v>
      </c>
      <c r="E82" s="474"/>
      <c r="F82" s="407"/>
      <c r="G82" s="403"/>
      <c r="H82" s="411"/>
      <c r="I82" s="81"/>
      <c r="J82" s="215"/>
      <c r="K82" s="78"/>
      <c r="L82" s="80"/>
    </row>
    <row r="83" spans="1:12">
      <c r="A83" s="546">
        <f>A81</f>
        <v>0</v>
      </c>
      <c r="B83" s="453"/>
      <c r="C83" s="454"/>
      <c r="D83" s="76" t="str">
        <f>D81</f>
        <v>Drywall - Finish/Texture</v>
      </c>
      <c r="E83" s="474"/>
      <c r="F83" s="78"/>
      <c r="G83" s="403"/>
      <c r="H83" s="406"/>
      <c r="I83" s="78"/>
      <c r="J83" s="215"/>
      <c r="K83" s="78"/>
      <c r="L83" s="80"/>
    </row>
    <row r="84" spans="1:12">
      <c r="A84" s="546">
        <f>A81</f>
        <v>0</v>
      </c>
      <c r="B84" s="453"/>
      <c r="C84" s="454"/>
      <c r="D84" s="76" t="str">
        <f>D81</f>
        <v>Drywall - Finish/Texture</v>
      </c>
      <c r="E84" s="469"/>
      <c r="F84" s="412"/>
      <c r="G84" s="404"/>
      <c r="H84" s="484"/>
      <c r="I84" s="81"/>
      <c r="J84" s="211"/>
      <c r="K84" s="82"/>
      <c r="L84" s="31"/>
    </row>
    <row r="85" spans="1:12" ht="15.75" thickBot="1">
      <c r="A85" s="50"/>
      <c r="B85" s="73"/>
      <c r="C85" s="73"/>
      <c r="D85" s="88"/>
      <c r="E85" s="373"/>
      <c r="F85" s="373"/>
      <c r="G85" s="373"/>
      <c r="H85" s="373"/>
      <c r="I85" s="89"/>
      <c r="J85" s="89"/>
      <c r="K85" s="89"/>
      <c r="L85" s="90"/>
    </row>
    <row r="86" spans="1:12" ht="15.75" thickBot="1">
      <c r="A86" s="50">
        <f>A87</f>
        <v>0</v>
      </c>
      <c r="B86" s="96">
        <f>VLOOKUP(tblTradeProspects[[#This Row],[Project TO''s]],tblRequiredPTO[],3,0)</f>
        <v>0</v>
      </c>
      <c r="C86" s="73"/>
      <c r="D86" s="97" t="str">
        <f>D87</f>
        <v>EFIS / Stucco</v>
      </c>
      <c r="E86" s="373"/>
      <c r="F86" s="373"/>
      <c r="G86" s="373"/>
      <c r="H86" s="373"/>
      <c r="I86" s="89"/>
      <c r="J86" s="89"/>
      <c r="K86" s="89"/>
      <c r="L86" s="90"/>
    </row>
    <row r="87" spans="1:12">
      <c r="A87" s="544">
        <f>'01 Project Details'!C29</f>
        <v>0</v>
      </c>
      <c r="B87" s="453"/>
      <c r="C87" s="454" t="s">
        <v>75</v>
      </c>
      <c r="D87" s="76" t="str">
        <f>'01 Project Details'!B29</f>
        <v>EFIS / Stucco</v>
      </c>
      <c r="E87" s="363"/>
      <c r="F87" s="364"/>
      <c r="G87" s="379"/>
      <c r="H87" s="380"/>
      <c r="I87" s="78"/>
      <c r="J87" s="215"/>
      <c r="K87" s="78"/>
      <c r="L87" s="80"/>
    </row>
    <row r="88" spans="1:12">
      <c r="A88" s="452">
        <f>A87</f>
        <v>0</v>
      </c>
      <c r="B88" s="453"/>
      <c r="C88" s="454" t="s">
        <v>71</v>
      </c>
      <c r="D88" s="93" t="str">
        <f>D87</f>
        <v>EFIS / Stucco</v>
      </c>
      <c r="E88" s="363"/>
      <c r="F88" s="364"/>
      <c r="G88" s="379"/>
      <c r="H88" s="380"/>
      <c r="I88" s="78"/>
      <c r="J88" s="215"/>
      <c r="K88" s="78"/>
      <c r="L88" s="80"/>
    </row>
    <row r="89" spans="1:12">
      <c r="A89" s="452">
        <f>A87</f>
        <v>0</v>
      </c>
      <c r="B89" s="453"/>
      <c r="C89" s="454" t="s">
        <v>71</v>
      </c>
      <c r="D89" s="93" t="str">
        <f>D87</f>
        <v>EFIS / Stucco</v>
      </c>
      <c r="E89" s="363"/>
      <c r="F89" s="364"/>
      <c r="G89" s="379"/>
      <c r="H89" s="380"/>
      <c r="I89" s="78"/>
      <c r="J89" s="215"/>
      <c r="K89" s="78"/>
      <c r="L89" s="80"/>
    </row>
    <row r="90" spans="1:12">
      <c r="A90" s="452">
        <f>A87</f>
        <v>0</v>
      </c>
      <c r="B90" s="453"/>
      <c r="C90" s="454" t="s">
        <v>71</v>
      </c>
      <c r="D90" s="93" t="str">
        <f>D87</f>
        <v>EFIS / Stucco</v>
      </c>
      <c r="E90" s="363"/>
      <c r="F90" s="364"/>
      <c r="G90" s="379"/>
      <c r="H90" s="384"/>
      <c r="I90" s="79"/>
      <c r="J90" s="215"/>
      <c r="K90" s="78"/>
      <c r="L90" s="80"/>
    </row>
    <row r="91" spans="1:12" ht="15.75" thickBot="1">
      <c r="A91" s="50"/>
      <c r="B91" s="73"/>
      <c r="C91" s="73"/>
      <c r="D91" s="88"/>
      <c r="E91" s="373"/>
      <c r="F91" s="373"/>
      <c r="G91" s="373"/>
      <c r="H91" s="373"/>
      <c r="I91" s="89"/>
      <c r="J91" s="89"/>
      <c r="K91" s="89"/>
      <c r="L91" s="90"/>
    </row>
    <row r="92" spans="1:12" ht="15.75" thickBot="1">
      <c r="A92" s="50">
        <f>A93</f>
        <v>0</v>
      </c>
      <c r="B92" s="96">
        <f>VLOOKUP(tblTradeProspects[[#This Row],[Project TO''s]],tblRequiredPTO[],3,0)</f>
        <v>0</v>
      </c>
      <c r="C92" s="73"/>
      <c r="D92" s="97" t="str">
        <f>D93</f>
        <v>Electrical</v>
      </c>
      <c r="E92" s="373"/>
      <c r="F92" s="373"/>
      <c r="G92" s="373"/>
      <c r="H92" s="373"/>
      <c r="I92" s="89"/>
      <c r="J92" s="408"/>
      <c r="K92" s="89"/>
      <c r="L92" s="90"/>
    </row>
    <row r="93" spans="1:12">
      <c r="A93" s="545">
        <f>'01 Project Details'!C30</f>
        <v>0</v>
      </c>
      <c r="B93" s="453"/>
      <c r="C93" s="454" t="s">
        <v>75</v>
      </c>
      <c r="D93" s="76" t="str">
        <f>'01 Project Details'!B30</f>
        <v>Electrical</v>
      </c>
      <c r="E93" s="363"/>
      <c r="F93" s="375"/>
      <c r="G93" s="468"/>
      <c r="H93" s="405"/>
      <c r="I93" s="81"/>
      <c r="J93" s="215"/>
      <c r="K93" s="78"/>
      <c r="L93" s="459"/>
    </row>
    <row r="94" spans="1:12">
      <c r="A94" s="546">
        <f>A93</f>
        <v>0</v>
      </c>
      <c r="B94" s="453"/>
      <c r="C94" s="454" t="s">
        <v>76</v>
      </c>
      <c r="D94" s="76" t="str">
        <f>D93</f>
        <v>Electrical</v>
      </c>
      <c r="E94" s="474"/>
      <c r="F94" s="486"/>
      <c r="G94" s="475"/>
      <c r="H94" s="411"/>
      <c r="I94" s="81"/>
      <c r="J94" s="215"/>
      <c r="K94" s="78"/>
      <c r="L94" s="80"/>
    </row>
    <row r="95" spans="1:12">
      <c r="A95" s="546">
        <f>A93</f>
        <v>0</v>
      </c>
      <c r="B95" s="453"/>
      <c r="C95" s="454" t="s">
        <v>75</v>
      </c>
      <c r="D95" s="76" t="str">
        <f>D93</f>
        <v>Electrical</v>
      </c>
      <c r="E95" s="482"/>
      <c r="F95" s="412"/>
      <c r="G95" s="404"/>
      <c r="H95" s="405"/>
      <c r="I95" s="81"/>
      <c r="J95" s="215"/>
      <c r="K95" s="78"/>
      <c r="L95" s="80"/>
    </row>
    <row r="96" spans="1:12">
      <c r="A96" s="546">
        <f>A93</f>
        <v>0</v>
      </c>
      <c r="B96" s="453"/>
      <c r="C96" s="454" t="s">
        <v>71</v>
      </c>
      <c r="D96" s="76" t="str">
        <f>D93</f>
        <v>Electrical</v>
      </c>
      <c r="E96" s="365"/>
      <c r="F96" s="375"/>
      <c r="G96" s="381"/>
      <c r="H96" s="386"/>
      <c r="I96" s="78"/>
      <c r="J96" s="215"/>
      <c r="K96" s="78"/>
      <c r="L96" s="80"/>
    </row>
    <row r="97" spans="1:12" ht="15.75" thickBot="1">
      <c r="A97" s="50"/>
      <c r="B97" s="73"/>
      <c r="C97" s="73"/>
      <c r="D97" s="88"/>
      <c r="E97" s="373"/>
      <c r="F97" s="373"/>
      <c r="G97" s="373"/>
      <c r="H97" s="373"/>
      <c r="I97" s="89"/>
      <c r="J97" s="89"/>
      <c r="K97" s="89"/>
      <c r="L97" s="90"/>
    </row>
    <row r="98" spans="1:12" ht="15.75" hidden="1" thickBot="1">
      <c r="A98" s="50">
        <f>A99</f>
        <v>0</v>
      </c>
      <c r="B98" s="96">
        <f>VLOOKUP(tblTradeProspects[[#This Row],[Project TO''s]],tblRequiredPTO[],3,0)</f>
        <v>0</v>
      </c>
      <c r="C98" s="73"/>
      <c r="D98" s="97" t="str">
        <f>D99</f>
        <v>Fencing</v>
      </c>
      <c r="E98" s="373"/>
      <c r="F98" s="373"/>
      <c r="G98" s="373"/>
      <c r="H98" s="373"/>
      <c r="I98" s="89"/>
      <c r="J98" s="89"/>
      <c r="K98" s="89"/>
      <c r="L98" s="90"/>
    </row>
    <row r="99" spans="1:12" ht="15.75" hidden="1" thickBot="1">
      <c r="A99" s="544">
        <f>'01 Project Details'!C31</f>
        <v>0</v>
      </c>
      <c r="B99" s="453"/>
      <c r="C99" s="454"/>
      <c r="D99" s="76" t="str">
        <f>'01 Project Details'!B31</f>
        <v>Fencing</v>
      </c>
      <c r="E99" s="151"/>
      <c r="F99" s="387"/>
      <c r="G99" s="383"/>
      <c r="H99" s="199"/>
      <c r="I99" s="81"/>
      <c r="J99" s="272"/>
      <c r="K99" s="78"/>
      <c r="L99" s="80"/>
    </row>
    <row r="100" spans="1:12" hidden="1">
      <c r="A100" s="452">
        <f>A99</f>
        <v>0</v>
      </c>
      <c r="B100" s="453"/>
      <c r="C100" s="454"/>
      <c r="D100" s="76" t="str">
        <f>D99</f>
        <v>Fencing</v>
      </c>
      <c r="E100" s="363"/>
      <c r="F100" s="364"/>
      <c r="G100" s="379"/>
      <c r="H100" s="380"/>
      <c r="I100" s="78"/>
      <c r="J100" s="215"/>
      <c r="K100" s="78"/>
      <c r="L100" s="80"/>
    </row>
    <row r="101" spans="1:12" hidden="1">
      <c r="A101" s="452">
        <f>A99</f>
        <v>0</v>
      </c>
      <c r="B101" s="453"/>
      <c r="C101" s="454" t="s">
        <v>71</v>
      </c>
      <c r="D101" s="93" t="str">
        <f>D99</f>
        <v>Fencing</v>
      </c>
      <c r="E101" s="363"/>
      <c r="F101" s="364"/>
      <c r="G101" s="379"/>
      <c r="H101" s="380"/>
      <c r="I101" s="78"/>
      <c r="J101" s="215"/>
      <c r="K101" s="78"/>
      <c r="L101" s="80"/>
    </row>
    <row r="102" spans="1:12" hidden="1">
      <c r="A102" s="452">
        <f>A99</f>
        <v>0</v>
      </c>
      <c r="B102" s="453"/>
      <c r="C102" s="454" t="s">
        <v>71</v>
      </c>
      <c r="D102" s="93" t="str">
        <f>D99</f>
        <v>Fencing</v>
      </c>
      <c r="E102" s="363"/>
      <c r="F102" s="364"/>
      <c r="G102" s="379"/>
      <c r="H102" s="380"/>
      <c r="I102" s="78"/>
      <c r="J102" s="215"/>
      <c r="K102" s="78"/>
      <c r="L102" s="80"/>
    </row>
    <row r="103" spans="1:12" ht="15.75" hidden="1" thickBot="1">
      <c r="A103" s="50"/>
      <c r="B103" s="73"/>
      <c r="C103" s="73"/>
      <c r="D103" s="88"/>
      <c r="E103" s="373"/>
      <c r="F103" s="373"/>
      <c r="G103" s="373"/>
      <c r="H103" s="373"/>
      <c r="I103" s="89"/>
      <c r="J103" s="89"/>
      <c r="K103" s="89"/>
      <c r="L103" s="90"/>
    </row>
    <row r="104" spans="1:12" ht="15.75" hidden="1" thickBot="1">
      <c r="A104" s="50">
        <f>A105</f>
        <v>0</v>
      </c>
      <c r="B104" s="96">
        <f>VLOOKUP(tblTradeProspects[[#This Row],[Project TO''s]],tblRequiredPTO[],3,0)</f>
        <v>0</v>
      </c>
      <c r="C104" s="73"/>
      <c r="D104" s="97" t="str">
        <f>D105</f>
        <v>Fire Alarm</v>
      </c>
      <c r="E104" s="373"/>
      <c r="F104" s="373"/>
      <c r="G104" s="373"/>
      <c r="H104" s="373"/>
      <c r="I104" s="89"/>
      <c r="J104" s="89"/>
      <c r="K104" s="89"/>
      <c r="L104" s="90"/>
    </row>
    <row r="105" spans="1:12" ht="15.75" hidden="1" thickBot="1">
      <c r="A105" s="545">
        <f>'01 Project Details'!C32</f>
        <v>0</v>
      </c>
      <c r="B105" s="453"/>
      <c r="C105" s="454"/>
      <c r="D105" s="76" t="str">
        <f>'01 Project Details'!B32</f>
        <v>Fire Alarm</v>
      </c>
      <c r="E105" s="363"/>
      <c r="F105" s="364"/>
      <c r="G105" s="379"/>
      <c r="H105" s="380"/>
      <c r="I105" s="78"/>
      <c r="J105" s="215"/>
      <c r="K105" s="78"/>
      <c r="L105" s="80"/>
    </row>
    <row r="106" spans="1:12" hidden="1">
      <c r="A106" s="546">
        <f>A105</f>
        <v>0</v>
      </c>
      <c r="B106" s="453"/>
      <c r="C106" s="454" t="s">
        <v>71</v>
      </c>
      <c r="D106" s="76" t="str">
        <f>D105</f>
        <v>Fire Alarm</v>
      </c>
      <c r="E106" s="363"/>
      <c r="F106" s="364"/>
      <c r="G106" s="379"/>
      <c r="H106" s="380"/>
      <c r="I106" s="78"/>
      <c r="J106" s="215"/>
      <c r="K106" s="78"/>
      <c r="L106" s="80"/>
    </row>
    <row r="107" spans="1:12" hidden="1">
      <c r="A107" s="546">
        <f>A105</f>
        <v>0</v>
      </c>
      <c r="B107" s="453"/>
      <c r="C107" s="454" t="s">
        <v>71</v>
      </c>
      <c r="D107" s="76" t="str">
        <f>D105</f>
        <v>Fire Alarm</v>
      </c>
      <c r="E107" s="363"/>
      <c r="F107" s="364"/>
      <c r="G107" s="379"/>
      <c r="H107" s="380"/>
      <c r="I107" s="78"/>
      <c r="J107" s="215"/>
      <c r="K107" s="78"/>
      <c r="L107" s="80"/>
    </row>
    <row r="108" spans="1:12" hidden="1">
      <c r="A108" s="546">
        <f>A105</f>
        <v>0</v>
      </c>
      <c r="B108" s="453"/>
      <c r="C108" s="454" t="s">
        <v>71</v>
      </c>
      <c r="D108" s="76" t="str">
        <f>D105</f>
        <v>Fire Alarm</v>
      </c>
      <c r="E108" s="363"/>
      <c r="F108" s="364"/>
      <c r="G108" s="379"/>
      <c r="H108" s="380"/>
      <c r="I108" s="78"/>
      <c r="J108" s="215"/>
      <c r="K108" s="78"/>
      <c r="L108" s="80"/>
    </row>
    <row r="109" spans="1:12" ht="15.75" hidden="1" thickBot="1">
      <c r="A109" s="50"/>
      <c r="B109" s="73"/>
      <c r="C109" s="73"/>
      <c r="D109" s="88"/>
      <c r="E109" s="373"/>
      <c r="F109" s="373"/>
      <c r="G109" s="373"/>
      <c r="H109" s="373"/>
      <c r="I109" s="89"/>
      <c r="J109" s="89"/>
      <c r="K109" s="89"/>
      <c r="L109" s="90"/>
    </row>
    <row r="110" spans="1:12" ht="15.75" thickBot="1">
      <c r="A110" s="50">
        <f>A111</f>
        <v>0</v>
      </c>
      <c r="B110" s="96">
        <f>VLOOKUP(tblTradeProspects[[#This Row],[Project TO''s]],tblRequiredPTO[],3,0)</f>
        <v>0</v>
      </c>
      <c r="C110" s="73"/>
      <c r="D110" s="97" t="str">
        <f>D111</f>
        <v xml:space="preserve">Flooring - Carpet </v>
      </c>
      <c r="E110" s="373"/>
      <c r="F110" s="373"/>
      <c r="G110" s="373"/>
      <c r="H110" s="373"/>
      <c r="I110" s="89"/>
      <c r="J110" s="89"/>
      <c r="K110" s="89"/>
      <c r="L110" s="90"/>
    </row>
    <row r="111" spans="1:12">
      <c r="A111" s="544">
        <f>'01 Project Details'!C33</f>
        <v>0</v>
      </c>
      <c r="B111" s="453"/>
      <c r="C111" s="454" t="s">
        <v>75</v>
      </c>
      <c r="D111" s="76" t="str">
        <f>'01 Project Details'!B33</f>
        <v xml:space="preserve">Flooring - Carpet </v>
      </c>
      <c r="E111" s="523"/>
      <c r="F111" s="412"/>
      <c r="G111" s="404"/>
      <c r="H111" s="405"/>
      <c r="I111" s="81"/>
      <c r="J111" s="215"/>
      <c r="K111" s="78"/>
      <c r="L111" s="80"/>
    </row>
    <row r="112" spans="1:12">
      <c r="A112" s="452">
        <f>A111</f>
        <v>0</v>
      </c>
      <c r="B112" s="453"/>
      <c r="C112" s="454"/>
      <c r="D112" s="76" t="str">
        <f>D111</f>
        <v xml:space="preserve">Flooring - Carpet </v>
      </c>
      <c r="E112" s="474"/>
      <c r="F112" s="486"/>
      <c r="G112" s="475"/>
      <c r="H112" s="485"/>
      <c r="I112" s="81"/>
      <c r="J112" s="215"/>
      <c r="K112" s="78"/>
      <c r="L112" s="80"/>
    </row>
    <row r="113" spans="1:12">
      <c r="A113" s="452">
        <f>A111</f>
        <v>0</v>
      </c>
      <c r="B113" s="453"/>
      <c r="C113" s="454" t="s">
        <v>71</v>
      </c>
      <c r="D113" s="76" t="str">
        <f>D111</f>
        <v xml:space="preserve">Flooring - Carpet </v>
      </c>
      <c r="E113" s="523"/>
      <c r="F113" s="366"/>
      <c r="G113" s="367"/>
      <c r="H113" s="377"/>
      <c r="I113" s="81"/>
      <c r="J113" s="215"/>
      <c r="K113" s="78"/>
      <c r="L113" s="80"/>
    </row>
    <row r="114" spans="1:12">
      <c r="A114" s="452">
        <f>A111</f>
        <v>0</v>
      </c>
      <c r="B114" s="453"/>
      <c r="C114" s="454"/>
      <c r="D114" s="76" t="str">
        <f>D111</f>
        <v xml:space="preserve">Flooring - Carpet </v>
      </c>
      <c r="E114" s="363"/>
      <c r="F114" s="388"/>
      <c r="G114" s="379"/>
      <c r="H114" s="380"/>
      <c r="I114" s="293"/>
      <c r="J114" s="270"/>
      <c r="K114" s="78"/>
      <c r="L114" s="80"/>
    </row>
    <row r="115" spans="1:12" ht="15.75" thickBot="1">
      <c r="A115" s="50"/>
      <c r="B115" s="73"/>
      <c r="C115" s="73"/>
      <c r="D115" s="88"/>
      <c r="E115" s="373"/>
      <c r="F115" s="373"/>
      <c r="G115" s="373"/>
      <c r="H115" s="373"/>
      <c r="I115" s="89"/>
      <c r="J115" s="89"/>
      <c r="K115" s="89"/>
      <c r="L115" s="90"/>
    </row>
    <row r="116" spans="1:12" ht="15.75" thickBot="1">
      <c r="A116" s="50">
        <f>A117</f>
        <v>0</v>
      </c>
      <c r="B116" s="96">
        <f>VLOOKUP(tblTradeProspects[[#This Row],[Project TO''s]],tblRequiredPTO[],3,0)</f>
        <v>0</v>
      </c>
      <c r="C116" s="73"/>
      <c r="D116" s="97" t="str">
        <f>D117</f>
        <v>Flooring - Tile</v>
      </c>
      <c r="E116" s="373"/>
      <c r="F116" s="373"/>
      <c r="G116" s="373"/>
      <c r="H116" s="373"/>
      <c r="I116" s="89"/>
      <c r="J116" s="89"/>
      <c r="K116" s="89"/>
      <c r="L116" s="90"/>
    </row>
    <row r="117" spans="1:12">
      <c r="A117" s="545">
        <f>'01 Project Details'!C34</f>
        <v>0</v>
      </c>
      <c r="B117" s="453"/>
      <c r="C117" s="454" t="s">
        <v>75</v>
      </c>
      <c r="D117" s="76" t="str">
        <f>'01 Project Details'!B34</f>
        <v>Flooring - Tile</v>
      </c>
      <c r="E117" s="487"/>
      <c r="F117" s="412"/>
      <c r="G117" s="404"/>
      <c r="H117" s="405"/>
      <c r="I117" s="81"/>
      <c r="J117" s="211"/>
      <c r="K117" s="193"/>
      <c r="L117" s="80"/>
    </row>
    <row r="118" spans="1:12">
      <c r="A118" s="546">
        <f>A117</f>
        <v>0</v>
      </c>
      <c r="B118" s="453"/>
      <c r="C118" s="454"/>
      <c r="D118" s="76" t="str">
        <f>D117</f>
        <v>Flooring - Tile</v>
      </c>
      <c r="E118" s="476"/>
      <c r="F118" s="414"/>
      <c r="G118" s="415"/>
      <c r="H118" s="411"/>
      <c r="I118" s="292"/>
      <c r="J118" s="269"/>
      <c r="K118" s="78"/>
      <c r="L118" s="31"/>
    </row>
    <row r="119" spans="1:12">
      <c r="A119" s="546">
        <f>A117</f>
        <v>0</v>
      </c>
      <c r="B119" s="453"/>
      <c r="C119" s="454"/>
      <c r="D119" s="76" t="str">
        <f>D117</f>
        <v>Flooring - Tile</v>
      </c>
      <c r="E119" s="476"/>
      <c r="F119" s="478"/>
      <c r="G119" s="472"/>
      <c r="H119" s="406"/>
      <c r="I119" s="473"/>
      <c r="J119" s="358"/>
      <c r="K119" s="82"/>
      <c r="L119" s="31"/>
    </row>
    <row r="120" spans="1:12">
      <c r="A120" s="546">
        <f>A117</f>
        <v>0</v>
      </c>
      <c r="B120" s="453"/>
      <c r="C120" s="454"/>
      <c r="D120" s="76" t="str">
        <f>D117</f>
        <v>Flooring - Tile</v>
      </c>
      <c r="E120" s="363"/>
      <c r="F120" s="364"/>
      <c r="G120" s="379"/>
      <c r="H120" s="380"/>
      <c r="I120" s="78"/>
      <c r="J120" s="212"/>
      <c r="K120" s="78"/>
      <c r="L120" s="80"/>
    </row>
    <row r="121" spans="1:12" ht="15.75" thickBot="1">
      <c r="A121" s="50"/>
      <c r="B121" s="73"/>
      <c r="C121" s="73"/>
      <c r="D121" s="88"/>
      <c r="E121" s="373"/>
      <c r="F121" s="373"/>
      <c r="G121" s="373"/>
      <c r="H121" s="373"/>
      <c r="I121" s="89"/>
      <c r="J121" s="89"/>
      <c r="K121" s="89"/>
      <c r="L121" s="90"/>
    </row>
    <row r="122" spans="1:12" ht="15.75" thickBot="1">
      <c r="A122" s="50">
        <f>A123</f>
        <v>0</v>
      </c>
      <c r="B122" s="96">
        <f>VLOOKUP(tblTradeProspects[[#This Row],[Project TO''s]],tblRequiredPTO[],3,0)</f>
        <v>0</v>
      </c>
      <c r="C122" s="73"/>
      <c r="D122" s="97" t="str">
        <f>D123</f>
        <v>Gutters &amp; Downspouts</v>
      </c>
      <c r="E122" s="373"/>
      <c r="F122" s="373"/>
      <c r="G122" s="373"/>
      <c r="H122" s="373"/>
      <c r="I122" s="89"/>
      <c r="J122" s="89"/>
      <c r="K122" s="89"/>
      <c r="L122" s="90"/>
    </row>
    <row r="123" spans="1:12">
      <c r="A123" s="544">
        <f>'01 Project Details'!C35</f>
        <v>0</v>
      </c>
      <c r="B123" s="453"/>
      <c r="C123" s="99" t="s">
        <v>75</v>
      </c>
      <c r="D123" s="76" t="str">
        <f>'01 Project Details'!B35</f>
        <v>Gutters &amp; Downspouts</v>
      </c>
      <c r="E123" s="389"/>
      <c r="F123" s="390"/>
      <c r="G123" s="391"/>
      <c r="H123" s="392"/>
      <c r="I123" s="291"/>
      <c r="J123" s="212"/>
      <c r="K123" s="78"/>
      <c r="L123" s="80"/>
    </row>
    <row r="124" spans="1:12">
      <c r="A124" s="452">
        <f>A123</f>
        <v>0</v>
      </c>
      <c r="B124" s="453"/>
      <c r="C124" s="454"/>
      <c r="D124" s="76" t="str">
        <f>D123</f>
        <v>Gutters &amp; Downspouts</v>
      </c>
      <c r="E124" s="363"/>
      <c r="F124" s="364"/>
      <c r="G124" s="379"/>
      <c r="H124" s="199"/>
      <c r="I124" s="81"/>
      <c r="J124" s="212"/>
      <c r="K124" s="78"/>
      <c r="L124" s="80"/>
    </row>
    <row r="125" spans="1:12">
      <c r="A125" s="452">
        <f>A123</f>
        <v>0</v>
      </c>
      <c r="B125" s="453"/>
      <c r="C125" s="454"/>
      <c r="D125" s="76" t="str">
        <f>D123</f>
        <v>Gutters &amp; Downspouts</v>
      </c>
      <c r="E125" s="363"/>
      <c r="F125" s="393"/>
      <c r="G125" s="379"/>
      <c r="H125" s="380"/>
      <c r="I125" s="294"/>
      <c r="J125" s="269"/>
      <c r="K125" s="78"/>
      <c r="L125" s="80"/>
    </row>
    <row r="126" spans="1:12">
      <c r="A126" s="452">
        <f>A123</f>
        <v>0</v>
      </c>
      <c r="B126" s="453"/>
      <c r="C126" s="454"/>
      <c r="D126" s="76" t="str">
        <f>D123</f>
        <v>Gutters &amp; Downspouts</v>
      </c>
      <c r="E126" s="363"/>
      <c r="F126" s="364"/>
      <c r="G126" s="379"/>
      <c r="H126" s="380"/>
      <c r="I126" s="78"/>
      <c r="J126" s="212"/>
      <c r="K126" s="78"/>
      <c r="L126" s="80"/>
    </row>
    <row r="127" spans="1:12" ht="15.75" thickBot="1">
      <c r="A127" s="50"/>
      <c r="B127" s="73"/>
      <c r="C127" s="73"/>
      <c r="D127" s="88"/>
      <c r="E127" s="373"/>
      <c r="F127" s="373"/>
      <c r="G127" s="373"/>
      <c r="H127" s="373"/>
      <c r="I127" s="89"/>
      <c r="J127" s="89"/>
      <c r="K127" s="89"/>
      <c r="L127" s="90"/>
    </row>
    <row r="128" spans="1:12" ht="15.75" thickBot="1">
      <c r="A128" s="50">
        <f>A129</f>
        <v>0</v>
      </c>
      <c r="B128" s="96">
        <f>VLOOKUP(tblTradeProspects[[#This Row],[Project TO''s]],tblRequiredPTO[],3,0)</f>
        <v>0</v>
      </c>
      <c r="C128" s="73"/>
      <c r="D128" s="97" t="str">
        <f>D129</f>
        <v>HVAC </v>
      </c>
      <c r="E128" s="373"/>
      <c r="F128" s="373"/>
      <c r="G128" s="373"/>
      <c r="H128" s="373"/>
      <c r="I128" s="89"/>
      <c r="J128" s="89"/>
      <c r="K128" s="89"/>
      <c r="L128" s="90"/>
    </row>
    <row r="129" spans="1:12">
      <c r="A129" s="545">
        <f>'01 Project Details'!C36</f>
        <v>0</v>
      </c>
      <c r="B129" s="453"/>
      <c r="C129" s="454"/>
      <c r="D129" s="76" t="str">
        <f>'01 Project Details'!B36</f>
        <v>HVAC </v>
      </c>
      <c r="E129" s="524"/>
      <c r="F129" s="488"/>
      <c r="G129" s="416"/>
      <c r="H129" s="417"/>
      <c r="I129" s="291"/>
      <c r="J129" s="212"/>
      <c r="K129" s="78"/>
      <c r="L129" s="80"/>
    </row>
    <row r="130" spans="1:12">
      <c r="A130" s="546">
        <f>A129</f>
        <v>0</v>
      </c>
      <c r="B130" s="453"/>
      <c r="C130" s="454"/>
      <c r="D130" s="76" t="str">
        <f>D129</f>
        <v>HVAC </v>
      </c>
      <c r="E130" s="525"/>
      <c r="F130" s="486"/>
      <c r="G130" s="403"/>
      <c r="H130" s="411"/>
      <c r="I130" s="81"/>
      <c r="J130" s="212"/>
      <c r="K130" s="78"/>
      <c r="L130" s="80"/>
    </row>
    <row r="131" spans="1:12" s="425" customFormat="1">
      <c r="A131" s="546">
        <f>A129</f>
        <v>0</v>
      </c>
      <c r="B131" s="426"/>
      <c r="C131" s="427"/>
      <c r="D131" s="76" t="str">
        <f>D129</f>
        <v>HVAC </v>
      </c>
      <c r="E131" s="526"/>
      <c r="F131" s="489"/>
      <c r="G131" s="433"/>
      <c r="H131" s="436"/>
      <c r="I131" s="437"/>
      <c r="J131" s="430"/>
      <c r="K131" s="431"/>
      <c r="L131" s="432"/>
    </row>
    <row r="132" spans="1:12">
      <c r="A132" s="546">
        <f>A129</f>
        <v>0</v>
      </c>
      <c r="B132" s="453"/>
      <c r="C132" s="454"/>
      <c r="D132" s="76" t="str">
        <f>D129</f>
        <v>HVAC </v>
      </c>
      <c r="E132" s="363"/>
      <c r="F132" s="364"/>
      <c r="G132" s="379"/>
      <c r="H132" s="380"/>
      <c r="I132" s="78"/>
      <c r="J132" s="212"/>
      <c r="K132" s="78"/>
      <c r="L132" s="80"/>
    </row>
    <row r="133" spans="1:12" ht="15.75" thickBot="1">
      <c r="A133" s="50"/>
      <c r="B133" s="73"/>
      <c r="C133" s="73"/>
      <c r="D133" s="88"/>
      <c r="E133" s="373"/>
      <c r="F133" s="373"/>
      <c r="G133" s="373"/>
      <c r="H133" s="373"/>
      <c r="I133" s="89"/>
      <c r="J133" s="89"/>
      <c r="K133" s="89"/>
      <c r="L133" s="90"/>
    </row>
    <row r="134" spans="1:12" ht="15.75" hidden="1" thickBot="1">
      <c r="A134" s="50">
        <f>A135</f>
        <v>0</v>
      </c>
      <c r="B134" s="96">
        <f>VLOOKUP(tblTradeProspects[[#This Row],[Project TO''s]],tblRequiredPTO[],3,0)</f>
        <v>0</v>
      </c>
      <c r="C134" s="73"/>
      <c r="D134" s="97" t="str">
        <f>D135</f>
        <v>ICF</v>
      </c>
      <c r="E134" s="373"/>
      <c r="F134" s="373"/>
      <c r="G134" s="373"/>
      <c r="H134" s="373"/>
      <c r="I134" s="89"/>
      <c r="J134" s="89"/>
      <c r="K134" s="89"/>
      <c r="L134" s="90"/>
    </row>
    <row r="135" spans="1:12" ht="15.75" hidden="1" thickBot="1">
      <c r="A135" s="544">
        <f>'01 Project Details'!C37</f>
        <v>0</v>
      </c>
      <c r="B135" s="453"/>
      <c r="C135" s="454"/>
      <c r="D135" s="63" t="str">
        <f>'01 Project Details'!B37</f>
        <v>ICF</v>
      </c>
      <c r="E135" s="380"/>
      <c r="F135" s="369"/>
      <c r="G135" s="379"/>
      <c r="H135" s="384"/>
      <c r="I135" s="79"/>
      <c r="J135" s="212"/>
      <c r="K135" s="78"/>
      <c r="L135" s="80"/>
    </row>
    <row r="136" spans="1:12" hidden="1">
      <c r="A136" s="452">
        <f>A135</f>
        <v>0</v>
      </c>
      <c r="B136" s="453"/>
      <c r="C136" s="454"/>
      <c r="D136" s="63" t="str">
        <f>D135</f>
        <v>ICF</v>
      </c>
      <c r="E136" s="380"/>
      <c r="F136" s="369"/>
      <c r="G136" s="379"/>
      <c r="H136" s="384"/>
      <c r="I136" s="79"/>
      <c r="J136" s="212"/>
      <c r="K136" s="78"/>
      <c r="L136" s="80"/>
    </row>
    <row r="137" spans="1:12" hidden="1">
      <c r="A137" s="452">
        <f>A135</f>
        <v>0</v>
      </c>
      <c r="B137" s="453"/>
      <c r="C137" s="454"/>
      <c r="D137" s="76" t="str">
        <f>D135</f>
        <v>ICF</v>
      </c>
      <c r="E137" s="380"/>
      <c r="F137" s="369"/>
      <c r="G137" s="379"/>
      <c r="H137" s="380"/>
      <c r="I137" s="78"/>
      <c r="J137" s="212"/>
      <c r="K137" s="78"/>
      <c r="L137" s="80"/>
    </row>
    <row r="138" spans="1:12" hidden="1">
      <c r="A138" s="452">
        <f>A135</f>
        <v>0</v>
      </c>
      <c r="B138" s="453"/>
      <c r="C138" s="454"/>
      <c r="D138" s="76" t="str">
        <f>D135</f>
        <v>ICF</v>
      </c>
      <c r="E138" s="380"/>
      <c r="F138" s="369"/>
      <c r="G138" s="379"/>
      <c r="H138" s="380"/>
      <c r="I138" s="78"/>
      <c r="J138" s="212"/>
      <c r="K138" s="78"/>
      <c r="L138" s="80"/>
    </row>
    <row r="139" spans="1:12" ht="15.75" hidden="1" thickBot="1">
      <c r="A139" s="50"/>
      <c r="B139" s="73"/>
      <c r="C139" s="73"/>
      <c r="D139" s="88"/>
      <c r="E139" s="373"/>
      <c r="F139" s="373"/>
      <c r="G139" s="373"/>
      <c r="H139" s="373"/>
      <c r="I139" s="89"/>
      <c r="J139" s="89"/>
      <c r="K139" s="89"/>
      <c r="L139" s="90"/>
    </row>
    <row r="140" spans="1:12" ht="15.75" thickBot="1">
      <c r="A140" s="50">
        <f>A141</f>
        <v>0</v>
      </c>
      <c r="B140" s="96">
        <f>VLOOKUP(tblTradeProspects[[#This Row],[Project TO''s]],tblRequiredPTO[],3,0)</f>
        <v>0</v>
      </c>
      <c r="C140" s="73"/>
      <c r="D140" s="97" t="str">
        <f>D141</f>
        <v>Insulation</v>
      </c>
      <c r="E140" s="373"/>
      <c r="F140" s="373"/>
      <c r="G140" s="373"/>
      <c r="H140" s="373"/>
      <c r="I140" s="89"/>
      <c r="J140" s="89"/>
      <c r="K140" s="89"/>
      <c r="L140" s="90"/>
    </row>
    <row r="141" spans="1:12">
      <c r="A141" s="545">
        <f>'01 Project Details'!C38</f>
        <v>0</v>
      </c>
      <c r="B141" s="453"/>
      <c r="C141" s="454" t="s">
        <v>75</v>
      </c>
      <c r="D141" s="63" t="str">
        <f>'01 Project Details'!B38</f>
        <v>Insulation</v>
      </c>
      <c r="E141" s="490"/>
      <c r="F141" s="412"/>
      <c r="G141" s="404"/>
      <c r="H141" s="418"/>
      <c r="I141" s="105"/>
      <c r="J141" s="211"/>
      <c r="K141" s="193"/>
      <c r="L141" s="459"/>
    </row>
    <row r="142" spans="1:12">
      <c r="A142" s="546">
        <f>A141</f>
        <v>0</v>
      </c>
      <c r="B142" s="453"/>
      <c r="C142" s="99"/>
      <c r="D142" s="63" t="str">
        <f>D141</f>
        <v>Insulation</v>
      </c>
      <c r="E142" s="487"/>
      <c r="F142" s="407"/>
      <c r="G142" s="403"/>
      <c r="H142" s="411"/>
      <c r="I142" s="79"/>
      <c r="J142" s="212"/>
      <c r="K142" s="78"/>
      <c r="L142" s="107"/>
    </row>
    <row r="143" spans="1:12">
      <c r="A143" s="546">
        <f>A141</f>
        <v>0</v>
      </c>
      <c r="B143" s="453"/>
      <c r="C143" s="454"/>
      <c r="D143" s="76" t="str">
        <f>D141</f>
        <v>Insulation</v>
      </c>
      <c r="E143" s="395"/>
      <c r="F143" s="376"/>
      <c r="G143" s="367"/>
      <c r="H143" s="386"/>
      <c r="I143" s="79"/>
      <c r="J143" s="212"/>
      <c r="K143" s="78"/>
      <c r="L143" s="80"/>
    </row>
    <row r="144" spans="1:12">
      <c r="A144" s="546">
        <f>A141</f>
        <v>0</v>
      </c>
      <c r="B144" s="453"/>
      <c r="C144" s="454"/>
      <c r="D144" s="76" t="str">
        <f>D141</f>
        <v>Insulation</v>
      </c>
      <c r="E144" s="380"/>
      <c r="F144" s="369"/>
      <c r="G144" s="379"/>
      <c r="H144" s="199"/>
      <c r="I144" s="78"/>
      <c r="J144" s="212"/>
      <c r="K144" s="78"/>
      <c r="L144" s="80"/>
    </row>
    <row r="145" spans="1:12" ht="15.75" thickBot="1">
      <c r="A145" s="50"/>
      <c r="B145" s="73"/>
      <c r="C145" s="73"/>
      <c r="D145" s="88"/>
      <c r="E145" s="373"/>
      <c r="F145" s="373"/>
      <c r="G145" s="373"/>
      <c r="H145" s="373"/>
      <c r="I145" s="89"/>
      <c r="J145" s="89"/>
      <c r="K145" s="89"/>
      <c r="L145" s="90"/>
    </row>
    <row r="146" spans="1:12" ht="15.75" thickBot="1">
      <c r="A146" s="50">
        <f>A147</f>
        <v>0</v>
      </c>
      <c r="B146" s="96">
        <f>VLOOKUP(tblTradeProspects[[#This Row],[Project TO''s]],tblRequiredPTO[],3,0)</f>
        <v>0</v>
      </c>
      <c r="C146" s="73"/>
      <c r="D146" s="97" t="str">
        <f>D147</f>
        <v>Landscaping</v>
      </c>
      <c r="E146" s="373"/>
      <c r="F146" s="373"/>
      <c r="G146" s="373"/>
      <c r="H146" s="373"/>
      <c r="I146" s="89"/>
      <c r="J146" s="89"/>
      <c r="K146" s="89"/>
      <c r="L146" s="90"/>
    </row>
    <row r="147" spans="1:12">
      <c r="A147" s="544">
        <f>'01 Project Details'!C39</f>
        <v>0</v>
      </c>
      <c r="B147" s="453"/>
      <c r="C147" s="454" t="s">
        <v>76</v>
      </c>
      <c r="D147" s="63" t="str">
        <f>'01 Project Details'!B39</f>
        <v>Landscaping</v>
      </c>
      <c r="E147" s="469"/>
      <c r="F147" s="412"/>
      <c r="G147" s="404"/>
      <c r="H147" s="418"/>
      <c r="I147" s="82"/>
      <c r="J147" s="358"/>
      <c r="K147" s="82"/>
      <c r="L147" s="459"/>
    </row>
    <row r="148" spans="1:12">
      <c r="A148" s="452">
        <f>A147</f>
        <v>0</v>
      </c>
      <c r="B148" s="453"/>
      <c r="C148" s="99" t="s">
        <v>75</v>
      </c>
      <c r="D148" s="63" t="str">
        <f>D147</f>
        <v>Landscaping</v>
      </c>
      <c r="E148" s="491"/>
      <c r="F148" s="366"/>
      <c r="G148" s="367"/>
      <c r="H148" s="377"/>
      <c r="I148" s="79"/>
      <c r="J148" s="211"/>
      <c r="K148" s="82"/>
      <c r="L148" s="107"/>
    </row>
    <row r="149" spans="1:12">
      <c r="A149" s="452">
        <f>A147</f>
        <v>0</v>
      </c>
      <c r="B149" s="453"/>
      <c r="C149" s="454"/>
      <c r="D149" s="93" t="str">
        <f>D147</f>
        <v>Landscaping</v>
      </c>
      <c r="E149" s="395"/>
      <c r="F149" s="366"/>
      <c r="G149" s="367"/>
      <c r="H149" s="377"/>
      <c r="I149" s="79"/>
      <c r="J149" s="212"/>
      <c r="K149" s="78"/>
      <c r="L149" s="80"/>
    </row>
    <row r="150" spans="1:12">
      <c r="A150" s="452">
        <f>A147</f>
        <v>0</v>
      </c>
      <c r="B150" s="453"/>
      <c r="C150" s="454"/>
      <c r="D150" s="93" t="str">
        <f>D147</f>
        <v>Landscaping</v>
      </c>
      <c r="E150" s="380"/>
      <c r="F150" s="382"/>
      <c r="G150" s="383"/>
      <c r="H150" s="380"/>
      <c r="I150" s="78"/>
      <c r="J150" s="210"/>
      <c r="K150" s="322"/>
      <c r="L150" s="80"/>
    </row>
    <row r="151" spans="1:12" ht="15.75" thickBot="1">
      <c r="A151" s="50"/>
      <c r="B151" s="73"/>
      <c r="C151" s="73"/>
      <c r="D151" s="88"/>
      <c r="E151" s="373"/>
      <c r="F151" s="373"/>
      <c r="G151" s="373"/>
      <c r="H151" s="373"/>
      <c r="I151" s="89"/>
      <c r="J151" s="89"/>
      <c r="K151" s="89"/>
      <c r="L151" s="90"/>
    </row>
    <row r="152" spans="1:12" ht="15.75" hidden="1" thickBot="1">
      <c r="A152" s="50">
        <f>A153</f>
        <v>0</v>
      </c>
      <c r="B152" s="96">
        <f>VLOOKUP(tblTradeProspects[[#This Row],[Project TO''s]],tblRequiredPTO[],3,0)</f>
        <v>0</v>
      </c>
      <c r="C152" s="73"/>
      <c r="D152" s="97" t="str">
        <f>D153</f>
        <v>Masonry</v>
      </c>
      <c r="E152" s="373"/>
      <c r="F152" s="373"/>
      <c r="G152" s="373"/>
      <c r="H152" s="373"/>
      <c r="I152" s="89"/>
      <c r="J152" s="89"/>
      <c r="K152" s="89"/>
      <c r="L152" s="90"/>
    </row>
    <row r="153" spans="1:12" ht="15.75" hidden="1" thickBot="1">
      <c r="A153" s="545">
        <f>'01 Project Details'!C40</f>
        <v>0</v>
      </c>
      <c r="B153" s="453"/>
      <c r="C153" s="454"/>
      <c r="D153" s="63" t="str">
        <f>'01 Project Details'!B40</f>
        <v>Masonry</v>
      </c>
      <c r="E153" s="151"/>
      <c r="F153" s="382"/>
      <c r="G153" s="383"/>
      <c r="H153" s="199"/>
      <c r="I153" s="81"/>
      <c r="J153" s="210"/>
      <c r="K153" s="82"/>
      <c r="L153" s="80"/>
    </row>
    <row r="154" spans="1:12" hidden="1">
      <c r="A154" s="546">
        <f>A153</f>
        <v>0</v>
      </c>
      <c r="B154" s="453"/>
      <c r="C154" s="454"/>
      <c r="D154" s="63" t="str">
        <f>D153</f>
        <v>Masonry</v>
      </c>
      <c r="E154" s="396"/>
      <c r="F154" s="397"/>
      <c r="G154" s="398"/>
      <c r="H154" s="199"/>
      <c r="I154" s="81"/>
      <c r="J154" s="210"/>
      <c r="K154" s="82"/>
      <c r="L154" s="31"/>
    </row>
    <row r="155" spans="1:12" hidden="1">
      <c r="A155" s="546">
        <f>A153</f>
        <v>0</v>
      </c>
      <c r="B155" s="453"/>
      <c r="C155" s="454"/>
      <c r="D155" s="76" t="str">
        <f>D153</f>
        <v>Masonry</v>
      </c>
      <c r="E155" s="380"/>
      <c r="F155" s="393"/>
      <c r="G155" s="379"/>
      <c r="H155" s="380"/>
      <c r="I155" s="294"/>
      <c r="J155" s="269"/>
      <c r="K155" s="78"/>
      <c r="L155" s="80"/>
    </row>
    <row r="156" spans="1:12" hidden="1">
      <c r="A156" s="546">
        <f>A153</f>
        <v>0</v>
      </c>
      <c r="B156" s="453"/>
      <c r="C156" s="454"/>
      <c r="D156" s="76" t="str">
        <f>D153</f>
        <v>Masonry</v>
      </c>
      <c r="E156" s="380"/>
      <c r="F156" s="369"/>
      <c r="G156" s="379"/>
      <c r="H156" s="380"/>
      <c r="I156" s="78"/>
      <c r="J156" s="212"/>
      <c r="K156" s="78"/>
      <c r="L156" s="80"/>
    </row>
    <row r="157" spans="1:12" ht="15.75" hidden="1" thickBot="1">
      <c r="A157" s="50"/>
      <c r="B157" s="73"/>
      <c r="C157" s="73"/>
      <c r="D157" s="88"/>
      <c r="E157" s="373"/>
      <c r="F157" s="373"/>
      <c r="G157" s="373"/>
      <c r="H157" s="373"/>
      <c r="I157" s="89"/>
      <c r="J157" s="89"/>
      <c r="K157" s="89"/>
      <c r="L157" s="90"/>
    </row>
    <row r="158" spans="1:12" ht="15.75" thickBot="1">
      <c r="A158" s="50">
        <f>A159</f>
        <v>0</v>
      </c>
      <c r="B158" s="96">
        <f>VLOOKUP(tblTradeProspects[[#This Row],[Project TO''s]],tblRequiredPTO[],3,0)</f>
        <v>0</v>
      </c>
      <c r="C158" s="73"/>
      <c r="D158" s="97" t="str">
        <f>D159</f>
        <v>Paint </v>
      </c>
      <c r="E158" s="373"/>
      <c r="F158" s="373"/>
      <c r="G158" s="373"/>
      <c r="H158" s="373"/>
      <c r="I158" s="89"/>
      <c r="J158" s="89"/>
      <c r="K158" s="89"/>
      <c r="L158" s="90"/>
    </row>
    <row r="159" spans="1:12">
      <c r="A159" s="544">
        <f>'01 Project Details'!C41</f>
        <v>0</v>
      </c>
      <c r="B159" s="453"/>
      <c r="C159" s="454" t="s">
        <v>75</v>
      </c>
      <c r="D159" s="63" t="str">
        <f>'01 Project Details'!B41</f>
        <v>Paint </v>
      </c>
      <c r="E159" s="469"/>
      <c r="F159" s="413"/>
      <c r="G159" s="404"/>
      <c r="H159" s="410"/>
      <c r="I159" s="100"/>
      <c r="J159" s="272"/>
      <c r="K159" s="82"/>
      <c r="L159" s="80"/>
    </row>
    <row r="160" spans="1:12">
      <c r="A160" s="452">
        <f>A159</f>
        <v>0</v>
      </c>
      <c r="B160" s="453"/>
      <c r="C160" s="454"/>
      <c r="D160" s="63" t="str">
        <f>D159</f>
        <v>Paint </v>
      </c>
      <c r="E160" s="492"/>
      <c r="F160" s="407"/>
      <c r="G160" s="403"/>
      <c r="H160" s="411"/>
      <c r="I160" s="81"/>
      <c r="J160" s="212"/>
      <c r="K160" s="78"/>
      <c r="L160" s="80"/>
    </row>
    <row r="161" spans="1:12">
      <c r="A161" s="452">
        <f>A159</f>
        <v>0</v>
      </c>
      <c r="B161" s="453"/>
      <c r="C161" s="454"/>
      <c r="D161" s="93" t="str">
        <f>D159</f>
        <v>Paint </v>
      </c>
      <c r="E161" s="469"/>
      <c r="F161" s="407"/>
      <c r="G161" s="403"/>
      <c r="H161" s="411"/>
      <c r="I161" s="79"/>
      <c r="J161" s="272"/>
      <c r="K161" s="82"/>
      <c r="L161" s="423"/>
    </row>
    <row r="162" spans="1:12">
      <c r="A162" s="452">
        <f>A159</f>
        <v>0</v>
      </c>
      <c r="B162" s="453"/>
      <c r="C162" s="454"/>
      <c r="D162" s="93" t="str">
        <f>D159</f>
        <v>Paint </v>
      </c>
      <c r="E162" s="395"/>
      <c r="F162" s="376"/>
      <c r="G162" s="367"/>
      <c r="H162" s="386"/>
      <c r="I162" s="79"/>
      <c r="J162" s="212"/>
      <c r="K162" s="78"/>
      <c r="L162" s="80"/>
    </row>
    <row r="163" spans="1:12" ht="15.75" thickBot="1">
      <c r="A163" s="50"/>
      <c r="B163" s="73"/>
      <c r="C163" s="73"/>
      <c r="D163" s="88"/>
      <c r="E163" s="373"/>
      <c r="F163" s="373"/>
      <c r="G163" s="373"/>
      <c r="H163" s="373"/>
      <c r="I163" s="89"/>
      <c r="J163" s="89"/>
      <c r="K163" s="89"/>
      <c r="L163" s="90"/>
    </row>
    <row r="164" spans="1:12" ht="15.75" thickBot="1">
      <c r="A164" s="50">
        <f>A165</f>
        <v>0</v>
      </c>
      <c r="B164" s="96">
        <f>VLOOKUP(tblTradeProspects[[#This Row],[Project TO''s]],tblRequiredPTO[],3,0)</f>
        <v>0</v>
      </c>
      <c r="C164" s="73"/>
      <c r="D164" s="108" t="str">
        <f>D165</f>
        <v>Plumbing</v>
      </c>
      <c r="E164" s="373"/>
      <c r="F164" s="373"/>
      <c r="G164" s="373"/>
      <c r="H164" s="373"/>
      <c r="I164" s="89"/>
      <c r="J164" s="89"/>
      <c r="K164" s="89"/>
      <c r="L164" s="90"/>
    </row>
    <row r="165" spans="1:12">
      <c r="A165" s="545">
        <f>'01 Project Details'!C42</f>
        <v>0</v>
      </c>
      <c r="B165" s="453"/>
      <c r="C165" s="454" t="s">
        <v>75</v>
      </c>
      <c r="D165" s="109" t="str">
        <f>'01 Project Details'!B42</f>
        <v>Plumbing</v>
      </c>
      <c r="E165" s="469"/>
      <c r="F165" s="478"/>
      <c r="G165" s="404"/>
      <c r="H165" s="405"/>
      <c r="I165" s="81"/>
      <c r="J165" s="212"/>
      <c r="K165" s="78"/>
      <c r="L165" s="424"/>
    </row>
    <row r="166" spans="1:12">
      <c r="A166" s="546">
        <f>A165</f>
        <v>0</v>
      </c>
      <c r="B166" s="453"/>
      <c r="C166" s="454"/>
      <c r="D166" s="109" t="str">
        <f>D165</f>
        <v>Plumbing</v>
      </c>
      <c r="E166" s="491"/>
      <c r="F166" s="493"/>
      <c r="G166" s="403"/>
      <c r="H166" s="411"/>
      <c r="I166" s="81"/>
      <c r="J166" s="213"/>
      <c r="K166" s="82"/>
      <c r="L166" s="80"/>
    </row>
    <row r="167" spans="1:12">
      <c r="A167" s="546">
        <f>A165</f>
        <v>0</v>
      </c>
      <c r="B167" s="453"/>
      <c r="C167" s="454"/>
      <c r="D167" s="76" t="str">
        <f>D165</f>
        <v>Plumbing</v>
      </c>
      <c r="E167" s="522"/>
      <c r="F167" s="493"/>
      <c r="G167" s="403"/>
      <c r="H167" s="411"/>
      <c r="I167" s="81"/>
      <c r="J167" s="213"/>
      <c r="K167" s="82"/>
      <c r="L167" s="80"/>
    </row>
    <row r="168" spans="1:12">
      <c r="A168" s="546">
        <f>A165</f>
        <v>0</v>
      </c>
      <c r="B168" s="453"/>
      <c r="C168" s="454"/>
      <c r="D168" s="76" t="str">
        <f>D165</f>
        <v>Plumbing</v>
      </c>
      <c r="E168" s="395"/>
      <c r="F168" s="376"/>
      <c r="G168" s="381"/>
      <c r="H168" s="411"/>
      <c r="I168" s="78"/>
      <c r="J168" s="212"/>
      <c r="K168" s="78"/>
      <c r="L168" s="80"/>
    </row>
    <row r="169" spans="1:12" ht="15.75" thickBot="1">
      <c r="A169" s="50"/>
      <c r="B169" s="73"/>
      <c r="C169" s="73"/>
      <c r="D169" s="88"/>
      <c r="E169" s="373"/>
      <c r="F169" s="373"/>
      <c r="G169" s="373"/>
      <c r="H169" s="373"/>
      <c r="I169" s="89"/>
      <c r="J169" s="89"/>
      <c r="K169" s="89"/>
      <c r="L169" s="90"/>
    </row>
    <row r="170" spans="1:12" ht="15.75" thickBot="1">
      <c r="A170" s="50">
        <f>A171</f>
        <v>0</v>
      </c>
      <c r="B170" s="96">
        <f>VLOOKUP(tblTradeProspects[[#This Row],[Project TO''s]],tblRequiredPTO[],3,0)</f>
        <v>0</v>
      </c>
      <c r="C170" s="73"/>
      <c r="D170" s="321" t="str">
        <f>D171</f>
        <v>Restroom  Partitions &amp; Accessories</v>
      </c>
      <c r="E170" s="373"/>
      <c r="F170" s="373"/>
      <c r="G170" s="373"/>
      <c r="H170" s="373"/>
      <c r="I170" s="89"/>
      <c r="J170" s="89"/>
      <c r="K170" s="89"/>
      <c r="L170" s="90"/>
    </row>
    <row r="171" spans="1:12">
      <c r="A171" s="544">
        <f>'01 Project Details'!C43</f>
        <v>0</v>
      </c>
      <c r="B171" s="453"/>
      <c r="C171" s="454" t="s">
        <v>75</v>
      </c>
      <c r="D171" s="63" t="str">
        <f>'01 Project Details'!B43</f>
        <v>Restroom  Partitions &amp; Accessories</v>
      </c>
      <c r="E171" s="469"/>
      <c r="F171" s="412"/>
      <c r="G171" s="404"/>
      <c r="H171" s="405"/>
      <c r="I171" s="81"/>
      <c r="J171" s="212"/>
      <c r="K171" s="78"/>
      <c r="L171" s="80"/>
    </row>
    <row r="172" spans="1:12" s="425" customFormat="1">
      <c r="A172" s="425">
        <f>A171</f>
        <v>0</v>
      </c>
      <c r="B172" s="426"/>
      <c r="C172" s="427"/>
      <c r="D172" s="63" t="str">
        <f>D171</f>
        <v>Restroom  Partitions &amp; Accessories</v>
      </c>
      <c r="E172" s="491"/>
      <c r="F172" s="407"/>
      <c r="G172" s="433"/>
      <c r="H172" s="434"/>
      <c r="I172" s="435"/>
      <c r="J172" s="430"/>
      <c r="K172" s="431"/>
      <c r="L172" s="432"/>
    </row>
    <row r="173" spans="1:12" s="50" customFormat="1">
      <c r="A173" s="50">
        <f>A171</f>
        <v>0</v>
      </c>
      <c r="B173" s="73"/>
      <c r="C173" s="99"/>
      <c r="D173" s="93" t="str">
        <f>D171</f>
        <v>Restroom  Partitions &amp; Accessories</v>
      </c>
      <c r="E173" s="380"/>
      <c r="F173" s="489"/>
      <c r="G173" s="403"/>
      <c r="H173" s="411"/>
      <c r="I173" s="81"/>
      <c r="J173" s="212"/>
      <c r="K173" s="78"/>
      <c r="L173" s="80"/>
    </row>
    <row r="174" spans="1:12">
      <c r="A174" s="452">
        <f>A171</f>
        <v>0</v>
      </c>
      <c r="B174" s="453"/>
      <c r="C174" s="454"/>
      <c r="D174" s="93" t="str">
        <f>D171</f>
        <v>Restroom  Partitions &amp; Accessories</v>
      </c>
      <c r="E174" s="380"/>
      <c r="F174" s="364"/>
      <c r="G174" s="379"/>
      <c r="H174" s="380"/>
      <c r="I174" s="78"/>
      <c r="J174" s="212"/>
      <c r="K174" s="78"/>
      <c r="L174" s="80"/>
    </row>
    <row r="175" spans="1:12" ht="15.75" thickBot="1">
      <c r="A175" s="50"/>
      <c r="B175" s="73"/>
      <c r="C175" s="73"/>
      <c r="D175" s="88"/>
      <c r="E175" s="373"/>
      <c r="F175" s="373"/>
      <c r="G175" s="373"/>
      <c r="H175" s="373"/>
      <c r="I175" s="89"/>
      <c r="J175" s="89"/>
      <c r="K175" s="89"/>
      <c r="L175" s="90"/>
    </row>
    <row r="176" spans="1:12" ht="15.75" hidden="1" thickBot="1">
      <c r="A176" s="50">
        <f>A177</f>
        <v>0</v>
      </c>
      <c r="B176" s="96">
        <f>VLOOKUP(tblTradeProspects[[#This Row],[Project TO''s]],tblRequiredPTO[],3,0)</f>
        <v>0</v>
      </c>
      <c r="C176" s="73"/>
      <c r="D176" s="97" t="str">
        <f>D177</f>
        <v>Roofing</v>
      </c>
      <c r="E176" s="373"/>
      <c r="F176" s="373"/>
      <c r="G176" s="373"/>
      <c r="H176" s="373"/>
      <c r="I176" s="89"/>
      <c r="J176" s="89"/>
      <c r="K176" s="89"/>
      <c r="L176" s="90"/>
    </row>
    <row r="177" spans="1:12" ht="15.75" hidden="1" thickBot="1">
      <c r="A177" s="545">
        <f>'01 Project Details'!C44</f>
        <v>0</v>
      </c>
      <c r="B177" s="453"/>
      <c r="C177" s="454"/>
      <c r="D177" s="76" t="str">
        <f>'01 Project Details'!B44</f>
        <v>Roofing</v>
      </c>
      <c r="E177" s="363"/>
      <c r="F177" s="364"/>
      <c r="G177" s="379"/>
      <c r="H177" s="384"/>
      <c r="I177" s="79"/>
      <c r="J177" s="212"/>
      <c r="K177" s="78"/>
      <c r="L177" s="80"/>
    </row>
    <row r="178" spans="1:12" hidden="1">
      <c r="A178" s="546">
        <f>A177</f>
        <v>0</v>
      </c>
      <c r="B178" s="453"/>
      <c r="C178" s="454"/>
      <c r="D178" s="76" t="str">
        <f>D177</f>
        <v>Roofing</v>
      </c>
      <c r="E178" s="363"/>
      <c r="F178" s="364"/>
      <c r="G178" s="379"/>
      <c r="H178" s="380"/>
      <c r="I178" s="78"/>
      <c r="J178" s="212"/>
      <c r="K178" s="78"/>
      <c r="L178" s="80"/>
    </row>
    <row r="179" spans="1:12" hidden="1">
      <c r="A179" s="546">
        <f>A177</f>
        <v>0</v>
      </c>
      <c r="B179" s="453"/>
      <c r="C179" s="454"/>
      <c r="D179" s="76" t="str">
        <f>D177</f>
        <v>Roofing</v>
      </c>
      <c r="E179" s="363"/>
      <c r="F179" s="364"/>
      <c r="G179" s="379"/>
      <c r="H179" s="380"/>
      <c r="I179" s="78"/>
      <c r="J179" s="212"/>
      <c r="K179" s="78"/>
      <c r="L179" s="80"/>
    </row>
    <row r="180" spans="1:12" hidden="1">
      <c r="A180" s="546">
        <f>A177</f>
        <v>0</v>
      </c>
      <c r="B180" s="453"/>
      <c r="C180" s="454"/>
      <c r="D180" s="76" t="str">
        <f>D177</f>
        <v>Roofing</v>
      </c>
      <c r="E180" s="363"/>
      <c r="F180" s="364"/>
      <c r="G180" s="379"/>
      <c r="H180" s="380"/>
      <c r="I180" s="78"/>
      <c r="J180" s="212"/>
      <c r="K180" s="78"/>
      <c r="L180" s="80"/>
    </row>
    <row r="181" spans="1:12" ht="15.75" hidden="1" thickBot="1">
      <c r="A181" s="50"/>
      <c r="B181" s="73"/>
      <c r="C181" s="73"/>
      <c r="D181" s="88"/>
      <c r="E181" s="373"/>
      <c r="F181" s="373"/>
      <c r="G181" s="373"/>
      <c r="H181" s="373"/>
      <c r="I181" s="89"/>
      <c r="J181" s="89"/>
      <c r="K181" s="89"/>
      <c r="L181" s="90"/>
    </row>
    <row r="182" spans="1:12" ht="15.75" hidden="1" thickBot="1">
      <c r="A182" s="50">
        <f>A183</f>
        <v>0</v>
      </c>
      <c r="B182" s="96">
        <f>VLOOKUP(tblTradeProspects[[#This Row],[Project TO''s]],tblRequiredPTO[],3,0)</f>
        <v>0</v>
      </c>
      <c r="C182" s="73"/>
      <c r="D182" s="97" t="str">
        <f>D183</f>
        <v>Scaffolding</v>
      </c>
      <c r="E182" s="373"/>
      <c r="F182" s="373"/>
      <c r="G182" s="373"/>
      <c r="H182" s="373"/>
      <c r="I182" s="89"/>
      <c r="J182" s="89"/>
      <c r="K182" s="89"/>
      <c r="L182" s="90"/>
    </row>
    <row r="183" spans="1:12" ht="15.75" hidden="1" thickBot="1">
      <c r="A183" s="544">
        <f>'01 Project Details'!C45</f>
        <v>0</v>
      </c>
      <c r="B183" s="453"/>
      <c r="C183" s="454"/>
      <c r="D183" s="76" t="str">
        <f>'01 Project Details'!B45</f>
        <v>Scaffolding</v>
      </c>
      <c r="E183" s="151"/>
      <c r="F183" s="382"/>
      <c r="G183" s="383"/>
      <c r="H183" s="494"/>
      <c r="I183" s="473"/>
      <c r="J183" s="210"/>
      <c r="K183" s="82"/>
      <c r="L183" s="31"/>
    </row>
    <row r="184" spans="1:12" hidden="1">
      <c r="A184" s="452">
        <f>A183</f>
        <v>0</v>
      </c>
      <c r="B184" s="453"/>
      <c r="C184" s="454"/>
      <c r="D184" s="76" t="str">
        <f>D183</f>
        <v>Scaffolding</v>
      </c>
      <c r="E184" s="363"/>
      <c r="F184" s="364"/>
      <c r="G184" s="379"/>
      <c r="H184" s="380"/>
      <c r="I184" s="78"/>
      <c r="J184" s="212"/>
      <c r="K184" s="78"/>
      <c r="L184" s="80"/>
    </row>
    <row r="185" spans="1:12" hidden="1">
      <c r="A185" s="452">
        <f>A183</f>
        <v>0</v>
      </c>
      <c r="B185" s="453"/>
      <c r="C185" s="454"/>
      <c r="D185" s="93" t="str">
        <f>D183</f>
        <v>Scaffolding</v>
      </c>
      <c r="E185" s="363"/>
      <c r="F185" s="364"/>
      <c r="G185" s="379"/>
      <c r="H185" s="380"/>
      <c r="I185" s="78"/>
      <c r="J185" s="212"/>
      <c r="K185" s="78"/>
      <c r="L185" s="80"/>
    </row>
    <row r="186" spans="1:12" hidden="1">
      <c r="A186" s="452">
        <f>A183</f>
        <v>0</v>
      </c>
      <c r="B186" s="453"/>
      <c r="C186" s="454"/>
      <c r="D186" s="93" t="str">
        <f>D183</f>
        <v>Scaffolding</v>
      </c>
      <c r="E186" s="363"/>
      <c r="F186" s="364"/>
      <c r="G186" s="379"/>
      <c r="H186" s="380"/>
      <c r="I186" s="78"/>
      <c r="J186" s="212"/>
      <c r="K186" s="78"/>
      <c r="L186" s="80"/>
    </row>
    <row r="187" spans="1:12" ht="15.75" hidden="1" thickBot="1">
      <c r="A187" s="50"/>
      <c r="B187" s="73"/>
      <c r="C187" s="73"/>
      <c r="D187" s="88"/>
      <c r="E187" s="373"/>
      <c r="F187" s="373"/>
      <c r="G187" s="373"/>
      <c r="H187" s="373"/>
      <c r="I187" s="89"/>
      <c r="J187" s="89"/>
      <c r="K187" s="89"/>
      <c r="L187" s="90"/>
    </row>
    <row r="188" spans="1:12" ht="15.75" hidden="1" thickBot="1">
      <c r="A188" s="50">
        <f>A189</f>
        <v>0</v>
      </c>
      <c r="B188" s="96">
        <f>VLOOKUP(tblTradeProspects[[#This Row],[Project TO''s]],tblRequiredPTO[],3,0)</f>
        <v>0</v>
      </c>
      <c r="C188" s="73"/>
      <c r="D188" s="97" t="str">
        <f>D189</f>
        <v>Septic Systems</v>
      </c>
      <c r="E188" s="373"/>
      <c r="F188" s="373"/>
      <c r="G188" s="373"/>
      <c r="H188" s="373"/>
      <c r="I188" s="89"/>
      <c r="J188" s="89"/>
      <c r="K188" s="89"/>
      <c r="L188" s="90"/>
    </row>
    <row r="189" spans="1:12" ht="15.75" hidden="1" thickBot="1">
      <c r="A189" s="545">
        <f>'01 Project Details'!C46</f>
        <v>0</v>
      </c>
      <c r="B189" s="453"/>
      <c r="C189" s="454"/>
      <c r="D189" s="76" t="str">
        <f>'01 Project Details'!B46</f>
        <v>Septic Systems</v>
      </c>
      <c r="E189" s="363"/>
      <c r="F189" s="364"/>
      <c r="G189" s="379"/>
      <c r="H189" s="384"/>
      <c r="I189" s="79"/>
      <c r="J189" s="212"/>
      <c r="K189" s="78"/>
      <c r="L189" s="80"/>
    </row>
    <row r="190" spans="1:12" hidden="1">
      <c r="A190" s="546">
        <f>A189</f>
        <v>0</v>
      </c>
      <c r="B190" s="453"/>
      <c r="C190" s="454"/>
      <c r="D190" s="76" t="str">
        <f>D189</f>
        <v>Septic Systems</v>
      </c>
      <c r="E190" s="363"/>
      <c r="F190" s="364"/>
      <c r="G190" s="379"/>
      <c r="H190" s="380"/>
      <c r="I190" s="78"/>
      <c r="J190" s="212"/>
      <c r="K190" s="78"/>
      <c r="L190" s="80"/>
    </row>
    <row r="191" spans="1:12" hidden="1">
      <c r="A191" s="546">
        <f>A189</f>
        <v>0</v>
      </c>
      <c r="B191" s="453"/>
      <c r="C191" s="454"/>
      <c r="D191" s="76" t="str">
        <f>D189</f>
        <v>Septic Systems</v>
      </c>
      <c r="E191" s="363"/>
      <c r="F191" s="364"/>
      <c r="G191" s="379"/>
      <c r="H191" s="380"/>
      <c r="I191" s="78"/>
      <c r="J191" s="212"/>
      <c r="K191" s="78"/>
      <c r="L191" s="80"/>
    </row>
    <row r="192" spans="1:12" hidden="1">
      <c r="A192" s="546">
        <f>A189</f>
        <v>0</v>
      </c>
      <c r="B192" s="453"/>
      <c r="C192" s="454"/>
      <c r="D192" s="76" t="str">
        <f>D189</f>
        <v>Septic Systems</v>
      </c>
      <c r="E192" s="363"/>
      <c r="F192" s="364"/>
      <c r="G192" s="379"/>
      <c r="H192" s="380"/>
      <c r="I192" s="78"/>
      <c r="J192" s="212"/>
      <c r="K192" s="78"/>
      <c r="L192" s="80"/>
    </row>
    <row r="193" spans="1:12" ht="15.75" hidden="1" thickBot="1">
      <c r="A193" s="50"/>
      <c r="B193" s="73"/>
      <c r="C193" s="73"/>
      <c r="D193" s="88"/>
      <c r="E193" s="373"/>
      <c r="F193" s="373"/>
      <c r="G193" s="373"/>
      <c r="H193" s="373"/>
      <c r="I193" s="89"/>
      <c r="J193" s="89"/>
      <c r="K193" s="89"/>
      <c r="L193" s="90"/>
    </row>
    <row r="194" spans="1:12" ht="15.75" thickBot="1">
      <c r="A194" s="50">
        <f>A195</f>
        <v>0</v>
      </c>
      <c r="B194" s="96">
        <f>VLOOKUP(tblTradeProspects[[#This Row],[Project TO''s]],tblRequiredPTO[],3,0)</f>
        <v>0</v>
      </c>
      <c r="C194" s="73"/>
      <c r="D194" s="97" t="str">
        <f>D195</f>
        <v>Siding, Soffits, Fascia</v>
      </c>
      <c r="E194" s="373"/>
      <c r="F194" s="373"/>
      <c r="G194" s="373"/>
      <c r="H194" s="373"/>
      <c r="I194" s="89"/>
      <c r="J194" s="89"/>
      <c r="K194" s="89"/>
      <c r="L194" s="90"/>
    </row>
    <row r="195" spans="1:12">
      <c r="A195" s="544">
        <f>'01 Project Details'!C47</f>
        <v>0</v>
      </c>
      <c r="B195" s="453"/>
      <c r="C195" s="454" t="s">
        <v>75</v>
      </c>
      <c r="D195" s="76" t="str">
        <f>'01 Project Details'!B47</f>
        <v>Siding, Soffits, Fascia</v>
      </c>
      <c r="E195" s="394"/>
      <c r="F195" s="400"/>
      <c r="G195" s="401"/>
      <c r="H195" s="402"/>
      <c r="I195" s="295"/>
      <c r="J195" s="212"/>
      <c r="K195" s="78"/>
      <c r="L195" s="80"/>
    </row>
    <row r="196" spans="1:12">
      <c r="A196" s="452">
        <f>A195</f>
        <v>0</v>
      </c>
      <c r="B196" s="453"/>
      <c r="C196" s="454"/>
      <c r="D196" s="76" t="str">
        <f>D195</f>
        <v>Siding, Soffits, Fascia</v>
      </c>
      <c r="E196" s="523"/>
      <c r="F196" s="376"/>
      <c r="G196" s="381"/>
      <c r="H196" s="399"/>
      <c r="I196" s="78"/>
      <c r="J196" s="212"/>
      <c r="K196" s="78"/>
      <c r="L196" s="80"/>
    </row>
    <row r="197" spans="1:12">
      <c r="A197" s="452">
        <f>A195</f>
        <v>0</v>
      </c>
      <c r="B197" s="453"/>
      <c r="C197" s="454"/>
      <c r="D197" s="93" t="str">
        <f>D195</f>
        <v>Siding, Soffits, Fascia</v>
      </c>
      <c r="E197" s="523"/>
      <c r="F197" s="376"/>
      <c r="G197" s="381"/>
      <c r="H197" s="399"/>
      <c r="I197" s="78"/>
      <c r="J197" s="212"/>
      <c r="K197" s="78"/>
      <c r="L197" s="80"/>
    </row>
    <row r="198" spans="1:12">
      <c r="A198" s="452">
        <f>A195</f>
        <v>0</v>
      </c>
      <c r="B198" s="453"/>
      <c r="C198" s="454"/>
      <c r="D198" s="93" t="str">
        <f>D195</f>
        <v>Siding, Soffits, Fascia</v>
      </c>
      <c r="E198" s="363"/>
      <c r="F198" s="364"/>
      <c r="G198" s="379"/>
      <c r="H198" s="380"/>
      <c r="I198" s="78"/>
      <c r="J198" s="212"/>
      <c r="K198" s="78"/>
      <c r="L198" s="80"/>
    </row>
    <row r="199" spans="1:12" ht="15.75" thickBot="1">
      <c r="A199" s="50"/>
      <c r="B199" s="73"/>
      <c r="C199" s="73"/>
      <c r="D199" s="88"/>
      <c r="E199" s="373"/>
      <c r="F199" s="373"/>
      <c r="G199" s="373"/>
      <c r="H199" s="373"/>
      <c r="I199" s="89"/>
      <c r="J199" s="89"/>
      <c r="K199" s="89"/>
      <c r="L199" s="90"/>
    </row>
    <row r="200" spans="1:12" ht="15.75" thickBot="1">
      <c r="A200" s="50">
        <f>A201</f>
        <v>0</v>
      </c>
      <c r="B200" s="96">
        <f>VLOOKUP(tblTradeProspects[[#This Row],[Project TO''s]],tblRequiredPTO[],3,0)</f>
        <v>0</v>
      </c>
      <c r="C200" s="73"/>
      <c r="D200" s="97" t="str">
        <f>D201</f>
        <v>Siteworks</v>
      </c>
      <c r="E200" s="373"/>
      <c r="F200" s="373"/>
      <c r="G200" s="373"/>
      <c r="H200" s="373"/>
      <c r="I200" s="89"/>
      <c r="J200" s="89"/>
      <c r="K200" s="89"/>
      <c r="L200" s="90"/>
    </row>
    <row r="201" spans="1:12" ht="15.75" thickBot="1">
      <c r="A201" s="545">
        <f>'01 Project Details'!C48</f>
        <v>0</v>
      </c>
      <c r="B201" s="453"/>
      <c r="C201" s="454" t="s">
        <v>75</v>
      </c>
      <c r="D201" s="76" t="str">
        <f>'01 Project Details'!B48</f>
        <v>Siteworks</v>
      </c>
      <c r="E201" s="487"/>
      <c r="F201" s="478"/>
      <c r="G201" s="404"/>
      <c r="H201" s="405"/>
      <c r="I201" s="81"/>
      <c r="J201" s="358"/>
      <c r="K201" s="82"/>
      <c r="L201" s="359"/>
    </row>
    <row r="202" spans="1:12">
      <c r="A202" s="546">
        <f>A201</f>
        <v>0</v>
      </c>
      <c r="B202" s="453"/>
      <c r="C202" s="454"/>
      <c r="D202" s="76" t="str">
        <f>D201</f>
        <v>Siteworks</v>
      </c>
      <c r="E202" s="363"/>
      <c r="F202" s="364"/>
      <c r="G202" s="442"/>
      <c r="H202" s="443"/>
      <c r="I202" s="105"/>
      <c r="J202" s="211"/>
      <c r="K202" s="193"/>
      <c r="L202" s="423"/>
    </row>
    <row r="203" spans="1:12">
      <c r="A203" s="546">
        <f>A201</f>
        <v>0</v>
      </c>
      <c r="B203" s="453"/>
      <c r="C203" s="454"/>
      <c r="D203" s="76" t="str">
        <f>D201</f>
        <v>Siteworks</v>
      </c>
      <c r="E203" s="482"/>
      <c r="F203" s="364"/>
      <c r="G203" s="442"/>
      <c r="H203" s="443"/>
      <c r="I203" s="443"/>
      <c r="J203" s="211"/>
      <c r="K203" s="78"/>
      <c r="L203" s="423"/>
    </row>
    <row r="204" spans="1:12">
      <c r="A204" s="546">
        <f>A201</f>
        <v>0</v>
      </c>
      <c r="B204" s="453"/>
      <c r="C204" s="454"/>
      <c r="D204" s="76" t="str">
        <f>D201</f>
        <v>Siteworks</v>
      </c>
      <c r="E204" s="363"/>
      <c r="F204" s="364"/>
      <c r="G204" s="442"/>
      <c r="H204" s="443"/>
      <c r="I204" s="78"/>
      <c r="J204" s="361"/>
      <c r="K204" s="82"/>
      <c r="L204" s="80"/>
    </row>
    <row r="205" spans="1:12">
      <c r="A205" s="50"/>
      <c r="B205" s="73"/>
      <c r="C205" s="453"/>
      <c r="D205" s="88"/>
      <c r="E205" s="532"/>
      <c r="F205" s="453"/>
      <c r="G205" s="532"/>
      <c r="H205" s="532"/>
      <c r="I205" s="453"/>
      <c r="J205" s="532"/>
      <c r="K205" s="89"/>
      <c r="L205" s="535"/>
    </row>
    <row r="206" spans="1:12" ht="15.75" hidden="1" thickBot="1">
      <c r="A206" s="50" t="str">
        <f>A207</f>
        <v>NO</v>
      </c>
      <c r="B206" s="96">
        <f>VLOOKUP(tblTradeProspects[[#This Row],[Project TO''s]],tblRequiredPTO[],3,0)</f>
        <v>0</v>
      </c>
      <c r="C206" s="530"/>
      <c r="D206" s="97" t="str">
        <f>D207</f>
        <v xml:space="preserve">Tree Removal </v>
      </c>
      <c r="E206" s="373"/>
      <c r="F206" s="373"/>
      <c r="G206" s="532"/>
      <c r="H206" s="532"/>
      <c r="I206" s="89"/>
      <c r="J206" s="532"/>
      <c r="K206" s="89"/>
      <c r="L206" s="90"/>
    </row>
    <row r="207" spans="1:12" ht="15.75" hidden="1" thickBot="1">
      <c r="A207" s="544" t="str">
        <f>'01 Project Details'!C49</f>
        <v>NO</v>
      </c>
      <c r="B207" s="73"/>
      <c r="C207" s="531"/>
      <c r="D207" s="76" t="str">
        <f>'01 Project Details'!B49</f>
        <v xml:space="preserve">Tree Removal </v>
      </c>
      <c r="E207" s="77"/>
      <c r="F207" s="216"/>
      <c r="G207" s="219"/>
      <c r="H207" s="78"/>
      <c r="I207" s="78"/>
      <c r="J207" s="212"/>
      <c r="K207" s="78"/>
      <c r="L207" s="80"/>
    </row>
    <row r="208" spans="1:12" hidden="1">
      <c r="A208" s="452" t="str">
        <f>A207</f>
        <v>NO</v>
      </c>
      <c r="B208" s="73"/>
      <c r="C208" s="531"/>
      <c r="D208" s="76" t="str">
        <f>D207</f>
        <v xml:space="preserve">Tree Removal </v>
      </c>
      <c r="E208" s="77"/>
      <c r="F208" s="216"/>
      <c r="G208" s="219"/>
      <c r="H208" s="78"/>
      <c r="I208" s="78"/>
      <c r="J208" s="212"/>
      <c r="K208" s="78"/>
      <c r="L208" s="80"/>
    </row>
    <row r="209" spans="1:12" hidden="1">
      <c r="A209" s="452" t="str">
        <f>A207</f>
        <v>NO</v>
      </c>
      <c r="B209" s="73"/>
      <c r="C209" s="531"/>
      <c r="D209" s="76" t="str">
        <f>D207</f>
        <v xml:space="preserve">Tree Removal </v>
      </c>
      <c r="E209" s="77"/>
      <c r="F209" s="216"/>
      <c r="G209" s="219"/>
      <c r="H209" s="78"/>
      <c r="I209" s="78"/>
      <c r="J209" s="212"/>
      <c r="K209" s="78"/>
      <c r="L209" s="80"/>
    </row>
    <row r="210" spans="1:12" hidden="1">
      <c r="A210" s="452" t="str">
        <f>A207</f>
        <v>NO</v>
      </c>
      <c r="B210" s="73"/>
      <c r="C210" s="531"/>
      <c r="D210" s="76" t="str">
        <f>D207</f>
        <v xml:space="preserve">Tree Removal </v>
      </c>
      <c r="E210" s="77"/>
      <c r="F210" s="216"/>
      <c r="G210" s="219"/>
      <c r="H210" s="78"/>
      <c r="I210" s="78"/>
      <c r="J210" s="212"/>
      <c r="K210" s="78"/>
      <c r="L210" s="80"/>
    </row>
    <row r="211" spans="1:12" ht="15.75" hidden="1" thickBot="1">
      <c r="A211" s="50"/>
      <c r="B211" s="73"/>
      <c r="C211" s="73"/>
      <c r="D211" s="88"/>
      <c r="E211" s="532"/>
      <c r="F211" s="373"/>
      <c r="G211" s="532"/>
      <c r="H211" s="532"/>
      <c r="I211" s="453"/>
      <c r="J211" s="532"/>
      <c r="K211" s="89"/>
      <c r="L211" s="535"/>
    </row>
    <row r="212" spans="1:12" ht="15.75" hidden="1" thickBot="1">
      <c r="A212" s="50" t="str">
        <f>A213</f>
        <v>NO</v>
      </c>
      <c r="B212" s="96">
        <f>VLOOKUP(tblTradeProspects[[#This Row],[Project TO''s]],tblRequiredPTO[],3,0)</f>
        <v>0</v>
      </c>
      <c r="C212" s="530"/>
      <c r="D212" s="97" t="str">
        <f>D213</f>
        <v xml:space="preserve">Wall Paper Removal </v>
      </c>
      <c r="E212" s="373"/>
      <c r="F212" s="373"/>
      <c r="G212" s="532"/>
      <c r="H212" s="532"/>
      <c r="I212" s="89"/>
      <c r="J212" s="532"/>
      <c r="K212" s="89"/>
      <c r="L212" s="90"/>
    </row>
    <row r="213" spans="1:12" ht="15.75" hidden="1" thickBot="1">
      <c r="A213" s="545" t="str">
        <f>'01 Project Details'!C50</f>
        <v>NO</v>
      </c>
      <c r="B213" s="73"/>
      <c r="C213" s="531"/>
      <c r="D213" s="76" t="str">
        <f>'01 Project Details'!B50</f>
        <v xml:space="preserve">Wall Paper Removal </v>
      </c>
      <c r="E213" s="77"/>
      <c r="F213" s="216"/>
      <c r="G213" s="219"/>
      <c r="H213" s="79"/>
      <c r="I213" s="79"/>
      <c r="J213" s="212"/>
      <c r="K213" s="78"/>
      <c r="L213" s="80"/>
    </row>
    <row r="214" spans="1:12" hidden="1">
      <c r="A214" s="546" t="str">
        <f>A213</f>
        <v>NO</v>
      </c>
      <c r="B214" s="73"/>
      <c r="C214" s="531"/>
      <c r="D214" s="76"/>
      <c r="E214" s="77"/>
      <c r="F214" s="533"/>
      <c r="G214" s="219"/>
      <c r="H214" s="79"/>
      <c r="I214" s="79"/>
      <c r="J214" s="534"/>
      <c r="K214" s="78"/>
      <c r="L214" s="80"/>
    </row>
    <row r="215" spans="1:12" hidden="1">
      <c r="A215" s="546" t="str">
        <f>A213</f>
        <v>NO</v>
      </c>
      <c r="B215" s="73"/>
      <c r="C215" s="531"/>
      <c r="D215" s="76"/>
      <c r="E215" s="77"/>
      <c r="F215" s="216"/>
      <c r="G215" s="219"/>
      <c r="H215" s="78"/>
      <c r="I215" s="78"/>
      <c r="J215" s="212"/>
      <c r="K215" s="78"/>
      <c r="L215" s="80"/>
    </row>
    <row r="216" spans="1:12" hidden="1">
      <c r="A216" s="546" t="str">
        <f>A213</f>
        <v>NO</v>
      </c>
      <c r="B216" s="73"/>
      <c r="C216" s="531"/>
      <c r="D216" s="76"/>
      <c r="E216" s="77"/>
      <c r="F216" s="216"/>
      <c r="G216" s="219"/>
      <c r="H216" s="78"/>
      <c r="I216" s="78"/>
      <c r="J216" s="212"/>
      <c r="K216" s="78"/>
      <c r="L216" s="80"/>
    </row>
    <row r="217" spans="1:12" ht="15.75" hidden="1" thickBot="1">
      <c r="A217" s="50"/>
      <c r="B217" s="73"/>
      <c r="C217" s="73"/>
      <c r="D217" s="88"/>
      <c r="E217" s="532"/>
      <c r="F217" s="373"/>
      <c r="G217" s="532"/>
      <c r="H217" s="532"/>
      <c r="I217" s="453"/>
      <c r="J217" s="532"/>
      <c r="K217" s="89"/>
      <c r="L217" s="535"/>
    </row>
    <row r="218" spans="1:12" ht="15.75" hidden="1" thickBot="1">
      <c r="A218" s="50" t="str">
        <f>A219</f>
        <v>NO</v>
      </c>
      <c r="B218" s="96">
        <f>VLOOKUP(tblTradeProspects[[#This Row],[Project TO''s]],tblRequiredPTO[],3,0)</f>
        <v>0</v>
      </c>
      <c r="C218" s="530"/>
      <c r="D218" s="97" t="str">
        <f>D219</f>
        <v>Welding</v>
      </c>
      <c r="E218" s="373"/>
      <c r="F218" s="373"/>
      <c r="G218" s="532"/>
      <c r="H218" s="532"/>
      <c r="I218" s="89"/>
      <c r="J218" s="532"/>
      <c r="K218" s="89"/>
      <c r="L218" s="90"/>
    </row>
    <row r="219" spans="1:12" ht="15.75" hidden="1" thickBot="1">
      <c r="A219" s="544" t="str">
        <f>'01 Project Details'!C51</f>
        <v>NO</v>
      </c>
      <c r="B219" s="73"/>
      <c r="C219" s="531"/>
      <c r="D219" s="76" t="str">
        <f>'01 Project Details'!B51</f>
        <v>Welding</v>
      </c>
      <c r="E219" s="77"/>
      <c r="F219" s="216"/>
      <c r="G219" s="219"/>
      <c r="H219" s="78"/>
      <c r="I219" s="78"/>
      <c r="J219" s="212"/>
      <c r="K219" s="78"/>
      <c r="L219" s="80"/>
    </row>
    <row r="220" spans="1:12" hidden="1">
      <c r="A220" s="452" t="str">
        <f>A219</f>
        <v>NO</v>
      </c>
      <c r="B220" s="73"/>
      <c r="C220" s="531"/>
      <c r="D220" s="76" t="str">
        <f>D219</f>
        <v>Welding</v>
      </c>
      <c r="E220" s="77"/>
      <c r="F220" s="216"/>
      <c r="G220" s="219"/>
      <c r="H220" s="78"/>
      <c r="I220" s="78"/>
      <c r="J220" s="212"/>
      <c r="K220" s="78"/>
      <c r="L220" s="80"/>
    </row>
    <row r="221" spans="1:12" hidden="1">
      <c r="A221" s="452" t="str">
        <f>A219</f>
        <v>NO</v>
      </c>
      <c r="B221" s="73"/>
      <c r="C221" s="531"/>
      <c r="D221" s="76" t="str">
        <f>D219</f>
        <v>Welding</v>
      </c>
      <c r="E221" s="77"/>
      <c r="F221" s="216"/>
      <c r="G221" s="219"/>
      <c r="H221" s="78"/>
      <c r="I221" s="78"/>
      <c r="J221" s="212"/>
      <c r="K221" s="78"/>
      <c r="L221" s="80"/>
    </row>
    <row r="222" spans="1:12" hidden="1">
      <c r="A222" s="452" t="str">
        <f>A219</f>
        <v>NO</v>
      </c>
      <c r="B222" s="73"/>
      <c r="C222" s="531"/>
      <c r="D222" s="76" t="str">
        <f>D219</f>
        <v>Welding</v>
      </c>
      <c r="E222" s="77"/>
      <c r="F222" s="216"/>
      <c r="G222" s="219"/>
      <c r="H222" s="78"/>
      <c r="I222" s="78"/>
      <c r="J222" s="212"/>
      <c r="K222" s="78"/>
      <c r="L222" s="80"/>
    </row>
    <row r="223" spans="1:12" ht="15.75" hidden="1" thickBot="1">
      <c r="A223" s="50"/>
      <c r="B223" s="73"/>
      <c r="C223" s="73"/>
      <c r="D223" s="88"/>
      <c r="E223" s="532"/>
      <c r="F223" s="373"/>
      <c r="G223" s="532"/>
      <c r="H223" s="532"/>
      <c r="I223" s="453"/>
      <c r="J223" s="532"/>
      <c r="K223" s="89"/>
      <c r="L223" s="535"/>
    </row>
    <row r="224" spans="1:12" ht="15.75" hidden="1" thickBot="1">
      <c r="A224" s="50" t="str">
        <f>A225</f>
        <v>NO</v>
      </c>
      <c r="B224" s="96">
        <f>VLOOKUP(tblTradeProspects[[#This Row],[Project TO''s]],tblRequiredPTO[],3,0)</f>
        <v>0</v>
      </c>
      <c r="C224" s="531"/>
      <c r="D224" s="97" t="str">
        <f>D225</f>
        <v>Additional #1A</v>
      </c>
      <c r="E224" s="373"/>
      <c r="F224" s="373"/>
      <c r="G224" s="373"/>
      <c r="H224" s="532"/>
      <c r="I224" s="89"/>
      <c r="J224" s="532"/>
      <c r="K224" s="89"/>
      <c r="L224" s="90"/>
    </row>
    <row r="225" spans="1:12" ht="15.75" hidden="1" thickBot="1">
      <c r="A225" s="545" t="str">
        <f>'01 Project Details'!C52</f>
        <v>NO</v>
      </c>
      <c r="B225" s="73"/>
      <c r="C225" s="531"/>
      <c r="D225" s="76" t="str">
        <f>'01 Project Details'!B52</f>
        <v>Additional #1A</v>
      </c>
      <c r="E225" s="77"/>
      <c r="F225" s="78"/>
      <c r="G225" s="219"/>
      <c r="H225" s="78"/>
      <c r="I225" s="78"/>
      <c r="J225" s="212"/>
      <c r="K225" s="78"/>
      <c r="L225" s="80"/>
    </row>
    <row r="226" spans="1:12" hidden="1">
      <c r="A226" s="546" t="str">
        <f>A225</f>
        <v>NO</v>
      </c>
      <c r="B226" s="73"/>
      <c r="C226" s="531"/>
      <c r="D226" s="76"/>
      <c r="E226" s="77"/>
      <c r="F226" s="78"/>
      <c r="G226" s="219"/>
      <c r="H226" s="78"/>
      <c r="I226" s="78"/>
      <c r="J226" s="212"/>
      <c r="K226" s="78"/>
      <c r="L226" s="80"/>
    </row>
    <row r="227" spans="1:12" hidden="1">
      <c r="A227" s="546" t="str">
        <f>A225</f>
        <v>NO</v>
      </c>
      <c r="B227" s="73"/>
      <c r="C227" s="531"/>
      <c r="D227" s="76"/>
      <c r="E227" s="77"/>
      <c r="F227" s="78"/>
      <c r="G227" s="219"/>
      <c r="H227" s="78"/>
      <c r="I227" s="78"/>
      <c r="J227" s="212"/>
      <c r="K227" s="78"/>
      <c r="L227" s="80"/>
    </row>
    <row r="228" spans="1:12" hidden="1">
      <c r="A228" s="546" t="str">
        <f>A225</f>
        <v>NO</v>
      </c>
      <c r="B228" s="73"/>
      <c r="C228" s="531"/>
      <c r="D228" s="76"/>
      <c r="E228" s="77"/>
      <c r="F228" s="78"/>
      <c r="G228" s="219"/>
      <c r="H228" s="78"/>
      <c r="I228" s="78"/>
      <c r="J228" s="212"/>
      <c r="K228" s="78"/>
      <c r="L228" s="80"/>
    </row>
    <row r="229" spans="1:12" ht="15.75" hidden="1" thickBot="1">
      <c r="A229" s="50"/>
      <c r="B229" s="73"/>
      <c r="C229" s="73"/>
      <c r="D229" s="88"/>
      <c r="E229" s="532"/>
      <c r="F229" s="373"/>
      <c r="G229" s="532"/>
      <c r="H229" s="532"/>
      <c r="I229" s="453"/>
      <c r="J229" s="532"/>
      <c r="K229" s="89"/>
      <c r="L229" s="535"/>
    </row>
    <row r="230" spans="1:12" ht="15.75" hidden="1" thickBot="1">
      <c r="A230" s="50" t="str">
        <f>A231</f>
        <v>NO</v>
      </c>
      <c r="B230" s="96">
        <f>VLOOKUP(tblTradeProspects[[#This Row],[Project TO''s]],tblRequiredPTO[],3,0)</f>
        <v>0</v>
      </c>
      <c r="C230" s="530"/>
      <c r="D230" s="97" t="str">
        <f>D231</f>
        <v>Additional #2A</v>
      </c>
      <c r="E230" s="373"/>
      <c r="F230" s="373"/>
      <c r="G230" s="532"/>
      <c r="H230" s="532"/>
      <c r="I230" s="89"/>
      <c r="J230" s="532"/>
      <c r="K230" s="89"/>
      <c r="L230" s="90"/>
    </row>
    <row r="231" spans="1:12" ht="15.75" hidden="1" thickBot="1">
      <c r="A231" s="544" t="str">
        <f>'01 Project Details'!C53</f>
        <v>NO</v>
      </c>
      <c r="B231" s="73"/>
      <c r="C231" s="531"/>
      <c r="D231" s="76" t="str">
        <f>'01 Project Details'!B53</f>
        <v>Additional #2A</v>
      </c>
      <c r="E231" s="77"/>
      <c r="F231" s="216"/>
      <c r="G231" s="219"/>
      <c r="H231" s="79"/>
      <c r="I231" s="79"/>
      <c r="J231" s="212"/>
      <c r="K231" s="78"/>
      <c r="L231" s="80"/>
    </row>
    <row r="232" spans="1:12" hidden="1">
      <c r="A232" s="452" t="str">
        <f>A231</f>
        <v>NO</v>
      </c>
      <c r="B232" s="73"/>
      <c r="C232" s="531"/>
      <c r="D232" s="93"/>
      <c r="E232" s="77"/>
      <c r="F232" s="216"/>
      <c r="G232" s="219"/>
      <c r="H232" s="78"/>
      <c r="I232" s="78"/>
      <c r="J232" s="212"/>
      <c r="K232" s="78"/>
      <c r="L232" s="80"/>
    </row>
    <row r="233" spans="1:12" hidden="1">
      <c r="A233" s="452" t="str">
        <f>A231</f>
        <v>NO</v>
      </c>
      <c r="B233" s="73"/>
      <c r="C233" s="531"/>
      <c r="D233" s="93"/>
      <c r="E233" s="77"/>
      <c r="F233" s="216"/>
      <c r="G233" s="219"/>
      <c r="H233" s="78"/>
      <c r="I233" s="78"/>
      <c r="J233" s="212"/>
      <c r="K233" s="78"/>
      <c r="L233" s="80"/>
    </row>
    <row r="234" spans="1:12" hidden="1">
      <c r="A234" s="452" t="str">
        <f>A231</f>
        <v>NO</v>
      </c>
      <c r="B234" s="73"/>
      <c r="C234" s="531"/>
      <c r="D234" s="93"/>
      <c r="E234" s="77"/>
      <c r="F234" s="216"/>
      <c r="G234" s="219"/>
      <c r="H234" s="78"/>
      <c r="I234" s="78"/>
      <c r="J234" s="212"/>
      <c r="K234" s="78"/>
      <c r="L234" s="80"/>
    </row>
    <row r="235" spans="1:12" ht="15.75" hidden="1" thickBot="1">
      <c r="A235" s="50"/>
      <c r="B235" s="73"/>
      <c r="C235" s="73"/>
      <c r="D235" s="88"/>
      <c r="E235" s="532"/>
      <c r="F235" s="373"/>
      <c r="G235" s="532"/>
      <c r="H235" s="532"/>
      <c r="I235" s="453"/>
      <c r="J235" s="532"/>
      <c r="K235" s="89"/>
      <c r="L235" s="535"/>
    </row>
    <row r="236" spans="1:12" ht="15.75" hidden="1" thickBot="1">
      <c r="A236" s="50" t="str">
        <f>A237</f>
        <v>NO</v>
      </c>
      <c r="B236" s="96">
        <f>VLOOKUP(tblTradeProspects[[#This Row],[Project TO''s]],tblRequiredPTO[],3,0)</f>
        <v>0</v>
      </c>
      <c r="C236" s="530"/>
      <c r="D236" s="97" t="str">
        <f>D237</f>
        <v>Additional #3A</v>
      </c>
      <c r="E236" s="373"/>
      <c r="F236" s="373"/>
      <c r="G236" s="532"/>
      <c r="H236" s="532"/>
      <c r="I236" s="89"/>
      <c r="J236" s="532"/>
      <c r="K236" s="89"/>
      <c r="L236" s="90"/>
    </row>
    <row r="237" spans="1:12" ht="15.75" hidden="1" thickBot="1">
      <c r="A237" s="545" t="str">
        <f>'01 Project Details'!C54</f>
        <v>NO</v>
      </c>
      <c r="B237" s="73"/>
      <c r="C237" s="531"/>
      <c r="D237" s="76" t="str">
        <f>'01 Project Details'!B54</f>
        <v>Additional #3A</v>
      </c>
      <c r="E237" s="77"/>
      <c r="F237" s="216"/>
      <c r="G237" s="219"/>
      <c r="H237" s="78"/>
      <c r="I237" s="78"/>
      <c r="J237" s="212"/>
      <c r="K237" s="78"/>
      <c r="L237" s="80"/>
    </row>
    <row r="238" spans="1:12" hidden="1">
      <c r="A238" s="546" t="str">
        <f>A237</f>
        <v>NO</v>
      </c>
      <c r="B238" s="73"/>
      <c r="C238" s="531"/>
      <c r="D238" s="76"/>
      <c r="E238" s="77"/>
      <c r="F238" s="216"/>
      <c r="G238" s="219"/>
      <c r="H238" s="78"/>
      <c r="I238" s="78"/>
      <c r="J238" s="212"/>
      <c r="K238" s="78"/>
      <c r="L238" s="80"/>
    </row>
    <row r="239" spans="1:12" hidden="1">
      <c r="A239" s="546" t="str">
        <f>A237</f>
        <v>NO</v>
      </c>
      <c r="B239" s="73"/>
      <c r="C239" s="531"/>
      <c r="D239" s="76"/>
      <c r="E239" s="77"/>
      <c r="F239" s="216"/>
      <c r="G239" s="219"/>
      <c r="H239" s="78"/>
      <c r="I239" s="78"/>
      <c r="J239" s="212"/>
      <c r="K239" s="78"/>
      <c r="L239" s="80"/>
    </row>
    <row r="240" spans="1:12" hidden="1">
      <c r="A240" s="546" t="str">
        <f>A237</f>
        <v>NO</v>
      </c>
      <c r="B240" s="73"/>
      <c r="C240" s="531"/>
      <c r="D240" s="76"/>
      <c r="E240" s="77"/>
      <c r="F240" s="216"/>
      <c r="G240" s="219"/>
      <c r="H240" s="78"/>
      <c r="I240" s="78"/>
      <c r="J240" s="212"/>
      <c r="K240" s="78"/>
      <c r="L240" s="80"/>
    </row>
    <row r="241" spans="1:12" ht="15.75" hidden="1" thickBot="1">
      <c r="A241" s="50"/>
      <c r="B241" s="73"/>
      <c r="C241" s="73"/>
      <c r="D241" s="88"/>
      <c r="E241" s="532"/>
      <c r="F241" s="373"/>
      <c r="G241" s="532"/>
      <c r="H241" s="532"/>
      <c r="I241" s="453"/>
      <c r="J241" s="532"/>
      <c r="K241" s="89"/>
      <c r="L241" s="535"/>
    </row>
    <row r="242" spans="1:12" ht="15.75" hidden="1" thickBot="1">
      <c r="A242" s="50" t="str">
        <f>A243</f>
        <v>NO</v>
      </c>
      <c r="B242" s="96">
        <f>VLOOKUP(tblTradeProspects[[#This Row],[Project TO''s]],tblRequiredPTO[],3,0)</f>
        <v>0</v>
      </c>
      <c r="C242" s="530"/>
      <c r="D242" s="97" t="str">
        <f>D243</f>
        <v>Additional #4A</v>
      </c>
      <c r="E242" s="373"/>
      <c r="F242" s="373"/>
      <c r="G242" s="532"/>
      <c r="H242" s="532"/>
      <c r="I242" s="89"/>
      <c r="J242" s="532"/>
      <c r="K242" s="89"/>
      <c r="L242" s="90"/>
    </row>
    <row r="243" spans="1:12" ht="15.75" hidden="1" thickBot="1">
      <c r="A243" s="544" t="str">
        <f>'01 Project Details'!C55</f>
        <v>NO</v>
      </c>
      <c r="B243" s="73"/>
      <c r="C243" s="531"/>
      <c r="D243" s="76" t="str">
        <f>'01 Project Details'!B55</f>
        <v>Additional #4A</v>
      </c>
      <c r="E243" s="78"/>
      <c r="F243" s="216"/>
      <c r="G243" s="219"/>
      <c r="H243" s="78"/>
      <c r="I243" s="78"/>
      <c r="J243" s="215"/>
      <c r="K243" s="78"/>
      <c r="L243" s="80"/>
    </row>
    <row r="244" spans="1:12" hidden="1">
      <c r="A244" s="452" t="str">
        <f>A243</f>
        <v>NO</v>
      </c>
      <c r="B244" s="73"/>
      <c r="C244" s="531"/>
      <c r="D244" s="93"/>
      <c r="E244" s="78"/>
      <c r="F244" s="216"/>
      <c r="G244" s="219"/>
      <c r="H244" s="79"/>
      <c r="I244" s="79"/>
      <c r="J244" s="215"/>
      <c r="K244" s="78"/>
      <c r="L244" s="80"/>
    </row>
    <row r="245" spans="1:12" hidden="1">
      <c r="A245" s="452" t="str">
        <f>A243</f>
        <v>NO</v>
      </c>
      <c r="B245" s="73"/>
      <c r="C245" s="531"/>
      <c r="D245" s="93"/>
      <c r="E245" s="78"/>
      <c r="F245" s="216"/>
      <c r="G245" s="219"/>
      <c r="H245" s="78"/>
      <c r="I245" s="78"/>
      <c r="J245" s="215"/>
      <c r="K245" s="78"/>
      <c r="L245" s="80"/>
    </row>
    <row r="246" spans="1:12" hidden="1">
      <c r="A246" s="452" t="str">
        <f>A243</f>
        <v>NO</v>
      </c>
      <c r="B246" s="73"/>
      <c r="C246" s="531"/>
      <c r="D246" s="93"/>
      <c r="E246" s="78"/>
      <c r="F246" s="216"/>
      <c r="G246" s="219"/>
      <c r="H246" s="78"/>
      <c r="I246" s="78"/>
      <c r="J246" s="215"/>
      <c r="K246" s="78"/>
      <c r="L246" s="80"/>
    </row>
    <row r="247" spans="1:12" ht="15.75" hidden="1" thickBot="1">
      <c r="A247" s="50"/>
      <c r="B247" s="73"/>
      <c r="C247" s="73"/>
      <c r="D247" s="88"/>
      <c r="E247" s="532"/>
      <c r="F247" s="373"/>
      <c r="G247" s="532"/>
      <c r="H247" s="532"/>
      <c r="I247" s="453"/>
      <c r="J247" s="532"/>
      <c r="K247" s="89"/>
      <c r="L247" s="535"/>
    </row>
    <row r="248" spans="1:12" ht="15.75" hidden="1" thickBot="1">
      <c r="A248" s="50" t="str">
        <f>A249</f>
        <v>NO</v>
      </c>
      <c r="B248" s="96">
        <f>VLOOKUP(tblTradeProspects[[#This Row],[Project TO''s]],tblRequiredPTO[],3,0)</f>
        <v>0</v>
      </c>
      <c r="C248" s="530"/>
      <c r="D248" s="97" t="str">
        <f>D249</f>
        <v>Additional #5A</v>
      </c>
      <c r="E248" s="373"/>
      <c r="F248" s="373"/>
      <c r="G248" s="532"/>
      <c r="H248" s="532"/>
      <c r="I248" s="89"/>
      <c r="J248" s="532"/>
      <c r="K248" s="89"/>
      <c r="L248" s="90"/>
    </row>
    <row r="249" spans="1:12" ht="15.75" hidden="1" thickBot="1">
      <c r="A249" s="545" t="str">
        <f>'01 Project Details'!C56</f>
        <v>NO</v>
      </c>
      <c r="B249" s="73"/>
      <c r="C249" s="531"/>
      <c r="D249" s="76" t="str">
        <f>'01 Project Details'!B56</f>
        <v>Additional #5A</v>
      </c>
      <c r="E249" s="78"/>
      <c r="F249" s="216"/>
      <c r="G249" s="219"/>
      <c r="H249" s="78"/>
      <c r="I249" s="78"/>
      <c r="J249" s="215"/>
      <c r="K249" s="78"/>
      <c r="L249" s="80"/>
    </row>
    <row r="250" spans="1:12" hidden="1">
      <c r="A250" s="546" t="str">
        <f>A249</f>
        <v>NO</v>
      </c>
      <c r="B250" s="73"/>
      <c r="C250" s="531"/>
      <c r="D250" s="63"/>
      <c r="E250" s="78"/>
      <c r="F250" s="216"/>
      <c r="G250" s="219"/>
      <c r="H250" s="78"/>
      <c r="I250" s="78"/>
      <c r="J250" s="215"/>
      <c r="K250" s="78"/>
      <c r="L250" s="80"/>
    </row>
    <row r="251" spans="1:12" hidden="1">
      <c r="A251" s="546" t="str">
        <f>A249</f>
        <v>NO</v>
      </c>
      <c r="B251" s="73"/>
      <c r="C251" s="531"/>
      <c r="D251" s="76"/>
      <c r="E251" s="78"/>
      <c r="F251" s="216"/>
      <c r="G251" s="219"/>
      <c r="H251" s="78"/>
      <c r="I251" s="78"/>
      <c r="J251" s="215"/>
      <c r="K251" s="78"/>
      <c r="L251" s="80"/>
    </row>
    <row r="252" spans="1:12" hidden="1">
      <c r="A252" s="546" t="str">
        <f>A249</f>
        <v>NO</v>
      </c>
      <c r="B252" s="73"/>
      <c r="C252" s="536"/>
      <c r="D252" s="537"/>
      <c r="E252" s="538"/>
      <c r="F252" s="539"/>
      <c r="G252" s="540"/>
      <c r="H252" s="538"/>
      <c r="I252" s="538"/>
      <c r="J252" s="541"/>
      <c r="K252" s="538"/>
      <c r="L252" s="542"/>
    </row>
    <row r="253" spans="1:12" hidden="1">
      <c r="A253" s="452"/>
      <c r="B253" s="453"/>
      <c r="C253" s="453"/>
      <c r="E253" s="453"/>
      <c r="F253" s="453"/>
      <c r="G253" s="453"/>
      <c r="H253" s="453"/>
      <c r="I253" s="453"/>
      <c r="J253" s="453"/>
      <c r="K253" s="453"/>
      <c r="L253" s="452"/>
    </row>
  </sheetData>
  <sheetProtection algorithmName="SHA-512" hashValue="E4PL3DMYGsspCDXEachnPuqlqt66s0BgJyJ/mooVLusmJnTycT1+bsLSWucjCnMR21r8Q1V6gNMZ2WQXeWrm+w==" saltValue="43nMXMHl62f4rrK7dd3hOA==" spinCount="100000" sheet="1" objects="1" scenarios="1" insertHyperlinks="0"/>
  <conditionalFormatting sqref="B8:B252">
    <cfRule type="cellIs" dxfId="215" priority="198" operator="equal">
      <formula>"HARD"</formula>
    </cfRule>
  </conditionalFormatting>
  <conditionalFormatting sqref="D26:D252">
    <cfRule type="expression" dxfId="214" priority="196">
      <formula>AND($B26&lt;&gt;"",COUNTIF($C27:$C30,"CG APPROVED")=0,$A27="YES")</formula>
    </cfRule>
    <cfRule type="expression" dxfId="213" priority="197">
      <formula>AND($B26&lt;&gt;"",COUNTIF($C27:$C30,"CG APPROVED")&gt;=1,$A27="YES")</formula>
    </cfRule>
  </conditionalFormatting>
  <conditionalFormatting sqref="C6:L15 C17:L32 J69:L69 C93:E93 C112:L116 J111:K111 C130:L140 C129:K129 C154:L158 C159:K159 C165:G165 C171:K171 J165:K165 C36:L38 C33:D35 F33:L35 I39:L42 C76:D76 H76:L76 C141:D141 C153:K153 C208:E209 G208:L209 C42:G42 F41:H41 C16:E16 C69:H69 C94:L94 C117:K117 C201:K201 C111:G111 C166:L170 C39:D41 G40 E40:E41 C160:L164 C202:H204 K203:L203 C118:L128 C70:L75 C43:L68 H141:L141 G93:L93 C210:L210 D205:E205 G205:H205 C211:H211 C217:H217 C223:H223 C229:H229 C235:H235 C241:H241 C247:H247 C172:L200 C206:L207 C212:L216 C218:L222 C230:L234 C236:L240 C242:L246 C248:L252 J204:L205 J211:L211 J217:L217 J223:L223 J229:L229 J235:L235 J241:L241 J247:L247 C224:L228 C96:L110 J95:L95 C95:G95 C142:L152 C77:L80 C84:L92 C83:E83 G83:L83 C82:L82 C81:E81 G81:L81">
    <cfRule type="expression" dxfId="212" priority="199">
      <formula>$A6="NO"</formula>
    </cfRule>
    <cfRule type="expression" dxfId="211" priority="200">
      <formula>$C6="UNAVAILIBLE"</formula>
    </cfRule>
    <cfRule type="expression" dxfId="210" priority="201">
      <formula>$C6="CG Reviewing"</formula>
    </cfRule>
    <cfRule type="expression" dxfId="209" priority="202">
      <formula>OR($C6="CG APPROVED",LEFT($C6,1)="S",LEFT($C6,1)="P")</formula>
    </cfRule>
  </conditionalFormatting>
  <conditionalFormatting sqref="F16 H16:I16 K16:L16">
    <cfRule type="expression" dxfId="208" priority="181">
      <formula>$A16="NO"</formula>
    </cfRule>
    <cfRule type="expression" dxfId="207" priority="182">
      <formula>$C16="UNAVAILIBLE"</formula>
    </cfRule>
    <cfRule type="expression" dxfId="206" priority="183">
      <formula>$C16="CG Reviewing"</formula>
    </cfRule>
    <cfRule type="expression" dxfId="205" priority="184">
      <formula>OR($C16="CG APPROVED",LEFT($C16,1)="S",LEFT($C16,1)="P")</formula>
    </cfRule>
  </conditionalFormatting>
  <conditionalFormatting sqref="I69">
    <cfRule type="expression" dxfId="204" priority="177">
      <formula>$A69="NO"</formula>
    </cfRule>
    <cfRule type="expression" dxfId="203" priority="178">
      <formula>$C69="UNAVAILIBLE"</formula>
    </cfRule>
    <cfRule type="expression" dxfId="202" priority="179">
      <formula>$C69="CG Reviewing"</formula>
    </cfRule>
    <cfRule type="expression" dxfId="201" priority="180">
      <formula>OR($C69="CG APPROVED",LEFT($C69,1)="S",LEFT($C69,1)="P")</formula>
    </cfRule>
  </conditionalFormatting>
  <conditionalFormatting sqref="L111">
    <cfRule type="expression" dxfId="200" priority="165">
      <formula>$A111="NO"</formula>
    </cfRule>
    <cfRule type="expression" dxfId="199" priority="166">
      <formula>$C111="UNAVAILIBLE"</formula>
    </cfRule>
    <cfRule type="expression" dxfId="198" priority="167">
      <formula>$C111="CG Reviewing"</formula>
    </cfRule>
    <cfRule type="expression" dxfId="197" priority="168">
      <formula>OR($C111="CG APPROVED",LEFT($C111,1)="S",LEFT($C111,1)="P")</formula>
    </cfRule>
  </conditionalFormatting>
  <conditionalFormatting sqref="L117">
    <cfRule type="expression" dxfId="196" priority="161">
      <formula>$A117="NO"</formula>
    </cfRule>
    <cfRule type="expression" dxfId="195" priority="162">
      <formula>$C117="UNAVAILIBLE"</formula>
    </cfRule>
    <cfRule type="expression" dxfId="194" priority="163">
      <formula>$C117="CG Reviewing"</formula>
    </cfRule>
    <cfRule type="expression" dxfId="193" priority="164">
      <formula>OR($C117="CG APPROVED",LEFT($C117,1)="S",LEFT($C117,1)="P")</formula>
    </cfRule>
  </conditionalFormatting>
  <conditionalFormatting sqref="H111:I111">
    <cfRule type="expression" dxfId="192" priority="157">
      <formula>$A111="NO"</formula>
    </cfRule>
    <cfRule type="expression" dxfId="191" priority="158">
      <formula>$C111="UNAVAILIBLE"</formula>
    </cfRule>
    <cfRule type="expression" dxfId="190" priority="159">
      <formula>$C111="CG Reviewing"</formula>
    </cfRule>
    <cfRule type="expression" dxfId="189" priority="160">
      <formula>OR($C111="CG APPROVED",LEFT($C111,1)="S",LEFT($C111,1)="P")</formula>
    </cfRule>
  </conditionalFormatting>
  <conditionalFormatting sqref="L129">
    <cfRule type="expression" dxfId="188" priority="153">
      <formula>$A129="NO"</formula>
    </cfRule>
    <cfRule type="expression" dxfId="187" priority="154">
      <formula>$C129="UNAVAILIBLE"</formula>
    </cfRule>
    <cfRule type="expression" dxfId="186" priority="155">
      <formula>$C129="CG Reviewing"</formula>
    </cfRule>
    <cfRule type="expression" dxfId="185" priority="156">
      <formula>OR($C129="CG APPROVED",LEFT($C129,1)="S",LEFT($C129,1)="P")</formula>
    </cfRule>
  </conditionalFormatting>
  <conditionalFormatting sqref="L153">
    <cfRule type="expression" dxfId="184" priority="145">
      <formula>$A153="NO"</formula>
    </cfRule>
    <cfRule type="expression" dxfId="183" priority="146">
      <formula>$C153="UNAVAILIBLE"</formula>
    </cfRule>
    <cfRule type="expression" dxfId="182" priority="147">
      <formula>$C153="CG Reviewing"</formula>
    </cfRule>
    <cfRule type="expression" dxfId="181" priority="148">
      <formula>OR($C153="CG APPROVED",LEFT($C153,1)="S",LEFT($C153,1)="P")</formula>
    </cfRule>
  </conditionalFormatting>
  <conditionalFormatting sqref="L165">
    <cfRule type="expression" dxfId="180" priority="137">
      <formula>$A165="NO"</formula>
    </cfRule>
    <cfRule type="expression" dxfId="179" priority="138">
      <formula>$C165="UNAVAILIBLE"</formula>
    </cfRule>
    <cfRule type="expression" dxfId="178" priority="139">
      <formula>$C165="CG Reviewing"</formula>
    </cfRule>
    <cfRule type="expression" dxfId="177" priority="140">
      <formula>OR($C165="CG APPROVED",LEFT($C165,1)="S",LEFT($C165,1)="P")</formula>
    </cfRule>
  </conditionalFormatting>
  <conditionalFormatting sqref="H165:I165">
    <cfRule type="expression" dxfId="176" priority="129">
      <formula>$A165="NO"</formula>
    </cfRule>
    <cfRule type="expression" dxfId="175" priority="130">
      <formula>$C165="UNAVAILIBLE"</formula>
    </cfRule>
    <cfRule type="expression" dxfId="174" priority="131">
      <formula>$C165="CG Reviewing"</formula>
    </cfRule>
    <cfRule type="expression" dxfId="173" priority="132">
      <formula>OR($C165="CG APPROVED",LEFT($C165,1)="S",LEFT($C165,1)="P")</formula>
    </cfRule>
  </conditionalFormatting>
  <conditionalFormatting sqref="G39">
    <cfRule type="expression" dxfId="172" priority="117">
      <formula>$A39="NO"</formula>
    </cfRule>
    <cfRule type="expression" dxfId="171" priority="118">
      <formula>$C39="UNAVAILIBLE"</formula>
    </cfRule>
    <cfRule type="expression" dxfId="170" priority="119">
      <formula>$C39="CG Reviewing"</formula>
    </cfRule>
    <cfRule type="expression" dxfId="169" priority="120">
      <formula>OR($C39="CG APPROVED",LEFT($C39,1)="S",LEFT($C39,1)="P")</formula>
    </cfRule>
  </conditionalFormatting>
  <conditionalFormatting sqref="E33:E35">
    <cfRule type="expression" dxfId="168" priority="113">
      <formula>$A33="NO"</formula>
    </cfRule>
    <cfRule type="expression" dxfId="167" priority="114">
      <formula>$C33="UNAVAILIBLE"</formula>
    </cfRule>
    <cfRule type="expression" dxfId="166" priority="115">
      <formula>$C33="CG Reviewing"</formula>
    </cfRule>
    <cfRule type="expression" dxfId="165" priority="116">
      <formula>OR($C33="CG APPROVED",LEFT($C33,1)="S",LEFT($C33,1)="P")</formula>
    </cfRule>
  </conditionalFormatting>
  <conditionalFormatting sqref="H39">
    <cfRule type="expression" dxfId="164" priority="105">
      <formula>$A39="NO"</formula>
    </cfRule>
    <cfRule type="expression" dxfId="163" priority="106">
      <formula>$C39="UNAVAILIBLE"</formula>
    </cfRule>
    <cfRule type="expression" dxfId="162" priority="107">
      <formula>$C39="CG Reviewing"</formula>
    </cfRule>
    <cfRule type="expression" dxfId="161" priority="108">
      <formula>OR($C39="CG APPROVED",LEFT($C39,1)="S",LEFT($C39,1)="P")</formula>
    </cfRule>
  </conditionalFormatting>
  <conditionalFormatting sqref="H39:H42">
    <cfRule type="expression" dxfId="160" priority="85">
      <formula>$A39="NO"</formula>
    </cfRule>
    <cfRule type="expression" dxfId="159" priority="86">
      <formula>$C39="UNAVAILIBLE"</formula>
    </cfRule>
    <cfRule type="expression" dxfId="158" priority="87">
      <formula>$C39="CG Reviewing"</formula>
    </cfRule>
    <cfRule type="expression" dxfId="157" priority="88">
      <formula>OR($C39="CG APPROVED",LEFT($C39,1)="S",LEFT($C39,1)="P")</formula>
    </cfRule>
  </conditionalFormatting>
  <conditionalFormatting sqref="F76">
    <cfRule type="expression" dxfId="156" priority="81">
      <formula>$A76="NO"</formula>
    </cfRule>
    <cfRule type="expression" dxfId="155" priority="82">
      <formula>$C76="UNAVAILIBLE"</formula>
    </cfRule>
    <cfRule type="expression" dxfId="154" priority="83">
      <formula>$C76="CG Reviewing"</formula>
    </cfRule>
    <cfRule type="expression" dxfId="153" priority="84">
      <formula>OR($C76="CG APPROVED",LEFT($C76,1)="S",LEFT($C76,1)="P")</formula>
    </cfRule>
  </conditionalFormatting>
  <conditionalFormatting sqref="G76">
    <cfRule type="expression" dxfId="152" priority="77">
      <formula>$A76="NO"</formula>
    </cfRule>
    <cfRule type="expression" dxfId="151" priority="78">
      <formula>$C76="UNAVAILIBLE"</formula>
    </cfRule>
    <cfRule type="expression" dxfId="150" priority="79">
      <formula>$C76="CG Reviewing"</formula>
    </cfRule>
    <cfRule type="expression" dxfId="149" priority="80">
      <formula>OR($C76="CG APPROVED",LEFT($C76,1)="S",LEFT($C76,1)="P")</formula>
    </cfRule>
  </conditionalFormatting>
  <conditionalFormatting sqref="E76">
    <cfRule type="expression" dxfId="148" priority="73">
      <formula>$A76="NO"</formula>
    </cfRule>
    <cfRule type="expression" dxfId="147" priority="74">
      <formula>$C76="UNAVAILIBLE"</formula>
    </cfRule>
    <cfRule type="expression" dxfId="146" priority="75">
      <formula>$C76="CG Reviewing"</formula>
    </cfRule>
    <cfRule type="expression" dxfId="145" priority="76">
      <formula>OR($C76="CG APPROVED",LEFT($C76,1)="S",LEFT($C76,1)="P")</formula>
    </cfRule>
  </conditionalFormatting>
  <conditionalFormatting sqref="F141">
    <cfRule type="expression" dxfId="144" priority="69">
      <formula>$A141="NO"</formula>
    </cfRule>
    <cfRule type="expression" dxfId="143" priority="70">
      <formula>$C141="UNAVAILIBLE"</formula>
    </cfRule>
    <cfRule type="expression" dxfId="142" priority="71">
      <formula>$C141="CG Reviewing"</formula>
    </cfRule>
    <cfRule type="expression" dxfId="141" priority="72">
      <formula>OR($C141="CG APPROVED",LEFT($C141,1)="S",LEFT($C141,1)="P")</formula>
    </cfRule>
  </conditionalFormatting>
  <conditionalFormatting sqref="G141">
    <cfRule type="expression" dxfId="140" priority="65">
      <formula>$A141="NO"</formula>
    </cfRule>
    <cfRule type="expression" dxfId="139" priority="66">
      <formula>$C141="UNAVAILIBLE"</formula>
    </cfRule>
    <cfRule type="expression" dxfId="138" priority="67">
      <formula>$C141="CG Reviewing"</formula>
    </cfRule>
    <cfRule type="expression" dxfId="137" priority="68">
      <formula>OR($C141="CG APPROVED",LEFT($C141,1)="S",LEFT($C141,1)="P")</formula>
    </cfRule>
  </conditionalFormatting>
  <conditionalFormatting sqref="E141">
    <cfRule type="expression" dxfId="136" priority="61">
      <formula>$A141="NO"</formula>
    </cfRule>
    <cfRule type="expression" dxfId="135" priority="62">
      <formula>$C141="UNAVAILIBLE"</formula>
    </cfRule>
    <cfRule type="expression" dxfId="134" priority="63">
      <formula>$C141="CG Reviewing"</formula>
    </cfRule>
    <cfRule type="expression" dxfId="133" priority="64">
      <formula>OR($C141="CG APPROVED",LEFT($C141,1)="S",LEFT($C141,1)="P")</formula>
    </cfRule>
  </conditionalFormatting>
  <conditionalFormatting sqref="I202:K202">
    <cfRule type="expression" dxfId="132" priority="57">
      <formula>$A202="NO"</formula>
    </cfRule>
    <cfRule type="expression" dxfId="131" priority="58">
      <formula>$C202="UNAVAILIBLE"</formula>
    </cfRule>
    <cfRule type="expression" dxfId="130" priority="59">
      <formula>$C202="CG Reviewing"</formula>
    </cfRule>
    <cfRule type="expression" dxfId="129" priority="60">
      <formula>OR($C202="CG APPROVED",LEFT($C202,1)="S",LEFT($C202,1)="P")</formula>
    </cfRule>
  </conditionalFormatting>
  <conditionalFormatting sqref="F209">
    <cfRule type="expression" dxfId="128" priority="207">
      <formula>$A208="NO"</formula>
    </cfRule>
    <cfRule type="expression" dxfId="127" priority="208">
      <formula>$C208="UNAVAILIBLE"</formula>
    </cfRule>
    <cfRule type="expression" dxfId="126" priority="209">
      <formula>$C208="CG Reviewing"</formula>
    </cfRule>
    <cfRule type="expression" dxfId="125" priority="210">
      <formula>OR($C208="CG APPROVED",LEFT($C208,1)="S",LEFT($C208,1)="P")</formula>
    </cfRule>
  </conditionalFormatting>
  <conditionalFormatting sqref="G16">
    <cfRule type="expression" dxfId="124" priority="49">
      <formula>$A16="NO"</formula>
    </cfRule>
    <cfRule type="expression" dxfId="123" priority="50">
      <formula>$C16="UNAVAILIBLE"</formula>
    </cfRule>
    <cfRule type="expression" dxfId="122" priority="51">
      <formula>$C16="CG Reviewing"</formula>
    </cfRule>
    <cfRule type="expression" dxfId="121" priority="52">
      <formula>OR($C16="CG APPROVED",LEFT($C16,1)="S",LEFT($C16,1)="P")</formula>
    </cfRule>
  </conditionalFormatting>
  <conditionalFormatting sqref="J16">
    <cfRule type="expression" dxfId="120" priority="45">
      <formula>$A16="NO"</formula>
    </cfRule>
    <cfRule type="expression" dxfId="119" priority="46">
      <formula>$C16="UNAVAILIBLE"</formula>
    </cfRule>
    <cfRule type="expression" dxfId="118" priority="47">
      <formula>$C16="CG Reviewing"</formula>
    </cfRule>
    <cfRule type="expression" dxfId="117" priority="48">
      <formula>OR($C16="CG APPROVED",LEFT($C16,1)="S",LEFT($C16,1)="P")</formula>
    </cfRule>
  </conditionalFormatting>
  <conditionalFormatting sqref="L202">
    <cfRule type="expression" dxfId="116" priority="33">
      <formula>$A202="NO"</formula>
    </cfRule>
    <cfRule type="expression" dxfId="115" priority="34">
      <formula>$C202="UNAVAILIBLE"</formula>
    </cfRule>
    <cfRule type="expression" dxfId="114" priority="35">
      <formula>$C202="CG Reviewing"</formula>
    </cfRule>
    <cfRule type="expression" dxfId="113" priority="36">
      <formula>OR($C202="CG APPROVED",LEFT($C202,1)="S",LEFT($C202,1)="P")</formula>
    </cfRule>
  </conditionalFormatting>
  <conditionalFormatting sqref="F39:F40">
    <cfRule type="expression" dxfId="112" priority="284">
      <formula>$A40="NO"</formula>
    </cfRule>
    <cfRule type="expression" dxfId="111" priority="285">
      <formula>$C40="UNAVAILIBLE"</formula>
    </cfRule>
    <cfRule type="expression" dxfId="110" priority="286">
      <formula>$C40="CG Reviewing"</formula>
    </cfRule>
    <cfRule type="expression" dxfId="109" priority="287">
      <formula>OR($C40="CG APPROVED",LEFT($C40,1)="S",LEFT($C40,1)="P")</formula>
    </cfRule>
  </conditionalFormatting>
  <conditionalFormatting sqref="J203">
    <cfRule type="expression" dxfId="108" priority="29">
      <formula>$A203="NO"</formula>
    </cfRule>
    <cfRule type="expression" dxfId="107" priority="30">
      <formula>$C203="UNAVAILIBLE"</formula>
    </cfRule>
    <cfRule type="expression" dxfId="106" priority="31">
      <formula>$C203="CG Reviewing"</formula>
    </cfRule>
    <cfRule type="expression" dxfId="105" priority="32">
      <formula>OR($C203="CG APPROVED",LEFT($C203,1)="S",LEFT($C203,1)="P")</formula>
    </cfRule>
  </conditionalFormatting>
  <conditionalFormatting sqref="I203">
    <cfRule type="expression" dxfId="104" priority="25">
      <formula>$A203="NO"</formula>
    </cfRule>
    <cfRule type="expression" dxfId="103" priority="26">
      <formula>$C203="UNAVAILIBLE"</formula>
    </cfRule>
    <cfRule type="expression" dxfId="102" priority="27">
      <formula>$C203="CG Reviewing"</formula>
    </cfRule>
    <cfRule type="expression" dxfId="101" priority="28">
      <formula>OR($C203="CG APPROVED",LEFT($C203,1)="S",LEFT($C203,1)="P")</formula>
    </cfRule>
  </conditionalFormatting>
  <conditionalFormatting sqref="L159">
    <cfRule type="expression" dxfId="100" priority="21">
      <formula>$A159="NO"</formula>
    </cfRule>
    <cfRule type="expression" dxfId="99" priority="22">
      <formula>$C159="UNAVAILIBLE"</formula>
    </cfRule>
    <cfRule type="expression" dxfId="98" priority="23">
      <formula>$C159="CG Reviewing"</formula>
    </cfRule>
    <cfRule type="expression" dxfId="97" priority="24">
      <formula>OR($C159="CG APPROVED",LEFT($C159,1)="S",LEFT($C159,1)="P")</formula>
    </cfRule>
  </conditionalFormatting>
  <conditionalFormatting sqref="L171">
    <cfRule type="expression" dxfId="96" priority="17">
      <formula>$A171="NO"</formula>
    </cfRule>
    <cfRule type="expression" dxfId="95" priority="18">
      <formula>$C171="UNAVAILIBLE"</formula>
    </cfRule>
    <cfRule type="expression" dxfId="94" priority="19">
      <formula>$C171="CG Reviewing"</formula>
    </cfRule>
    <cfRule type="expression" dxfId="93" priority="20">
      <formula>OR($C171="CG APPROVED",LEFT($C171,1)="S",LEFT($C171,1)="P")</formula>
    </cfRule>
  </conditionalFormatting>
  <conditionalFormatting sqref="F208">
    <cfRule type="expression" dxfId="92" priority="13">
      <formula>$A208="NO"</formula>
    </cfRule>
    <cfRule type="expression" dxfId="91" priority="14">
      <formula>$C208="UNAVAILIBLE"</formula>
    </cfRule>
    <cfRule type="expression" dxfId="90" priority="15">
      <formula>$C208="CG Reviewing"</formula>
    </cfRule>
    <cfRule type="expression" dxfId="89" priority="16">
      <formula>OR($C208="CG APPROVED",LEFT($C208,1)="S",LEFT($C208,1)="P")</formula>
    </cfRule>
  </conditionalFormatting>
  <conditionalFormatting sqref="H95:I95">
    <cfRule type="expression" dxfId="88" priority="9">
      <formula>$A95="NO"</formula>
    </cfRule>
    <cfRule type="expression" dxfId="87" priority="10">
      <formula>$C95="UNAVAILIBLE"</formula>
    </cfRule>
    <cfRule type="expression" dxfId="86" priority="11">
      <formula>$C95="CG Reviewing"</formula>
    </cfRule>
    <cfRule type="expression" dxfId="85" priority="12">
      <formula>OR($C95="CG APPROVED",LEFT($C95,1)="S",LEFT($C95,1)="P")</formula>
    </cfRule>
  </conditionalFormatting>
  <conditionalFormatting sqref="F93">
    <cfRule type="expression" dxfId="84" priority="5">
      <formula>$A93="NO"</formula>
    </cfRule>
    <cfRule type="expression" dxfId="83" priority="6">
      <formula>$C93="UNAVAILIBLE"</formula>
    </cfRule>
    <cfRule type="expression" dxfId="82" priority="7">
      <formula>$C93="CG Reviewing"</formula>
    </cfRule>
    <cfRule type="expression" dxfId="81" priority="8">
      <formula>OR($C93="CG APPROVED",LEFT($C93,1)="S",LEFT($C93,1)="P")</formula>
    </cfRule>
  </conditionalFormatting>
  <conditionalFormatting sqref="F81">
    <cfRule type="expression" dxfId="80" priority="1">
      <formula>$A95="NO"</formula>
    </cfRule>
    <cfRule type="expression" dxfId="79" priority="2">
      <formula>$C95="UNAVAILIBLE"</formula>
    </cfRule>
    <cfRule type="expression" dxfId="78" priority="3">
      <formula>$C95="CG Reviewing"</formula>
    </cfRule>
    <cfRule type="expression" dxfId="77" priority="4">
      <formula>OR($C95="CG APPROVED",LEFT($C95,1)="S",LEFT($C95,1)="P")</formula>
    </cfRule>
  </conditionalFormatting>
  <conditionalFormatting sqref="F81">
    <cfRule type="expression" dxfId="76" priority="292">
      <formula>$A83="NO"</formula>
    </cfRule>
    <cfRule type="expression" dxfId="75" priority="293">
      <formula>$C83="UNAVAILIBLE"</formula>
    </cfRule>
    <cfRule type="expression" dxfId="74" priority="294">
      <formula>$C83="CG Reviewing"</formula>
    </cfRule>
    <cfRule type="expression" dxfId="73" priority="295">
      <formula>OR($C83="CG APPROVED",LEFT($C83,1)="S",LEFT($C83,1)="P")</formula>
    </cfRule>
  </conditionalFormatting>
  <dataValidations count="5">
    <dataValidation type="list" allowBlank="1" showInputMessage="1" showErrorMessage="1" sqref="K16:K21 K8:K13 K249:K252 K243:K246 K237:K240 K231:K234 K225:K228 K219:K222 K213:K216 K207:K210 K201:K204 K195:K198 K189:K192 K183:K186 K177:K180 K171:K174 K159:K162 K147:K150 K153:K156 K117:K120 K141:K144 K135:K138 K129:K132 K123:K126 K93:K96 K111:K114 K105:K108 K99:K102 K75:K78 K87:K90 K165:K168 K57:K60 K69:K72 K63:K66 K27:K30 K51:K54 K45:K48 K39:K42 K33:K36 K81:K84" xr:uid="{00000000-0002-0000-0200-000000000000}">
      <formula1>"YES, NO, '"</formula1>
    </dataValidation>
    <dataValidation type="list" allowBlank="1" showInputMessage="1" showErrorMessage="1" sqref="C16:C21" xr:uid="{00000000-0002-0000-0200-000001000000}">
      <formula1>"VSG VETTED,CG REVIEWING,UNAVAILIBLE,PRIMARY SC,SC ASST #1, SC ASST #2"</formula1>
    </dataValidation>
    <dataValidation type="list" allowBlank="1" showInputMessage="1" showErrorMessage="1" sqref="C25:C252" xr:uid="{00000000-0002-0000-0200-000002000000}">
      <formula1>"VSG VETTED,CG REVIEWING,UNAVAILIBLE,CG APPROVED"</formula1>
    </dataValidation>
    <dataValidation type="list" allowBlank="1" showInputMessage="1" showErrorMessage="1" sqref="C8:C13" xr:uid="{00000000-0002-0000-0200-000003000000}">
      <formula1>"VSG VETTED,CG REVIEWING,UNAVAILIBLE,PRIMARY PCC,PCC ASST #1, PCC ASST #2,"</formula1>
    </dataValidation>
    <dataValidation type="custom" allowBlank="1" showInputMessage="1" showErrorMessage="1" sqref="H249:H252 H12:H13 H20:H21 H34 H42 H48 H54 H60 H66 H132 H72 H202 H99:H102 H105:H108 H17 H114 H123:H126 H204 H135:H138 H120 H144 H153:H156 H150 H8:H10 H243:H246 H177:H180 H183:H186 H189:H192 H174 H198 H207:H210 H213:H216 H219:H222 H231:H234 H237:H240 H78 H225 H228:H229" xr:uid="{00000000-0002-0000-0200-000004000000}">
      <formula1>ISNUMBER(MATCH("*@*.?*",H1048343,0))</formula1>
    </dataValidation>
  </dataValidations>
  <pageMargins left="0.7" right="0.7" top="0.75" bottom="0.75" header="0.3" footer="0.3"/>
  <pageSetup scale="37" fitToHeight="0" orientation="landscape" horizontalDpi="1200" verticalDpi="1200" r:id="rId1"/>
  <ignoredErrors>
    <ignoredError sqref="K29:K30 K37:K38 K42:K44 K49:K50" calculatedColumn="1"/>
    <ignoredError sqref="C29:C32 C37:C38 C42:C44 C49:C50 C66:C68 C73:C74 C79:C80 C85:C86 C82 C100:C110 C115:C116 C121:C122 C133:C140 C156:C158 C168:C170 C126:C128 C96:C98 C174:C194 C113 C154 C55:C56 C61:C62 C163:C164 C204 C151:C152 C145:C146 C199:C200 C88:C92 C124" listDataValidation="1"/>
  </ignoredErrors>
  <drawing r:id="rId2"/>
  <legacyDrawing r:id="rId3"/>
  <mc:AlternateContent xmlns:mc="http://schemas.openxmlformats.org/markup-compatibility/2006">
    <mc:Choice Requires="x14">
      <controls>
        <mc:AlternateContent xmlns:mc="http://schemas.openxmlformats.org/markup-compatibility/2006">
          <mc:Choice Requires="x14">
            <control shapeId="2067" r:id="rId4" name="Button 19">
              <controlPr defaultSize="0" print="0" autoFill="0" autoPict="0" macro="[0]!Toggle_Hiding_Not_Required">
                <anchor moveWithCells="1" sizeWithCells="1">
                  <from>
                    <xdr:col>7</xdr:col>
                    <xdr:colOff>419100</xdr:colOff>
                    <xdr:row>0</xdr:row>
                    <xdr:rowOff>66675</xdr:rowOff>
                  </from>
                  <to>
                    <xdr:col>9</xdr:col>
                    <xdr:colOff>419100</xdr:colOff>
                    <xdr:row>1</xdr:row>
                    <xdr:rowOff>123825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11"/>
  <sheetViews>
    <sheetView zoomScale="90" zoomScaleNormal="90" workbookViewId="0">
      <pane ySplit="3" topLeftCell="B49" activePane="bottomLeft" state="frozen"/>
      <selection pane="bottomLeft" activeCell="D80" sqref="D80"/>
    </sheetView>
  </sheetViews>
  <sheetFormatPr defaultColWidth="9.140625" defaultRowHeight="15" outlineLevelRow="1"/>
  <cols>
    <col min="1" max="1" width="7.140625" style="49" hidden="1" customWidth="1"/>
    <col min="2" max="2" width="47" style="90" customWidth="1"/>
    <col min="3" max="3" width="47" style="90" hidden="1" customWidth="1"/>
    <col min="4" max="4" width="26.42578125" style="48" customWidth="1"/>
    <col min="5" max="5" width="13.7109375" style="330" customWidth="1"/>
    <col min="6" max="6" width="16.42578125" style="49" customWidth="1"/>
    <col min="7" max="7" width="31.140625" style="48" customWidth="1"/>
    <col min="8" max="8" width="31.140625" style="49" customWidth="1"/>
    <col min="9" max="9" width="13.7109375" style="342" customWidth="1"/>
    <col min="10" max="11" width="11.42578125" style="48" customWidth="1"/>
    <col min="12" max="12" width="12.28515625" style="48" customWidth="1"/>
    <col min="13" max="18" width="11.42578125" style="48" customWidth="1"/>
    <col min="19" max="16384" width="9.140625" style="49"/>
  </cols>
  <sheetData>
    <row r="1" spans="1:18" ht="30" customHeight="1" thickBot="1">
      <c r="A1" s="452"/>
      <c r="B1" s="262" t="s">
        <v>77</v>
      </c>
      <c r="C1" s="245"/>
      <c r="D1" s="245"/>
      <c r="E1" s="327"/>
      <c r="F1" s="111"/>
      <c r="G1" s="251"/>
      <c r="H1" s="111"/>
      <c r="I1" s="339"/>
      <c r="J1" s="112"/>
      <c r="K1" s="112"/>
      <c r="L1" s="112"/>
      <c r="M1" s="112"/>
      <c r="N1" s="112"/>
      <c r="O1" s="112"/>
      <c r="P1" s="112"/>
      <c r="Q1" s="112"/>
      <c r="R1" s="113"/>
    </row>
    <row r="2" spans="1:18" ht="22.5" customHeight="1" thickBot="1">
      <c r="A2" s="452"/>
      <c r="B2" s="234" t="str">
        <f>'01 Project Details'!B2</f>
        <v xml:space="preserve">PT#    </v>
      </c>
      <c r="C2" s="207"/>
      <c r="D2" s="207"/>
      <c r="E2" s="328"/>
      <c r="F2" s="242"/>
      <c r="G2" s="243"/>
      <c r="H2" s="242"/>
      <c r="I2" s="340"/>
      <c r="J2" s="242"/>
      <c r="K2" s="242"/>
      <c r="L2" s="242"/>
      <c r="M2" s="242"/>
      <c r="N2" s="242"/>
      <c r="O2" s="242"/>
      <c r="P2" s="242"/>
      <c r="Q2" s="242"/>
      <c r="R2" s="244"/>
    </row>
    <row r="3" spans="1:18" ht="30" customHeight="1" thickBot="1">
      <c r="A3" s="114" t="s">
        <v>78</v>
      </c>
      <c r="B3" s="28" t="s">
        <v>59</v>
      </c>
      <c r="C3" s="70"/>
      <c r="D3" s="29" t="s">
        <v>60</v>
      </c>
      <c r="E3" s="329" t="s">
        <v>61</v>
      </c>
      <c r="F3" s="29" t="s">
        <v>62</v>
      </c>
      <c r="G3" s="29" t="s">
        <v>79</v>
      </c>
      <c r="H3" s="29" t="s">
        <v>64</v>
      </c>
      <c r="I3" s="341" t="s">
        <v>80</v>
      </c>
      <c r="J3" s="29" t="s">
        <v>81</v>
      </c>
      <c r="K3" s="29" t="s">
        <v>82</v>
      </c>
      <c r="L3" s="30" t="s">
        <v>83</v>
      </c>
      <c r="M3" s="30" t="s">
        <v>84</v>
      </c>
      <c r="N3" s="303" t="s">
        <v>85</v>
      </c>
      <c r="O3" s="303" t="s">
        <v>85</v>
      </c>
      <c r="P3" s="303" t="s">
        <v>85</v>
      </c>
      <c r="Q3" s="303" t="s">
        <v>85</v>
      </c>
      <c r="R3" s="303" t="s">
        <v>85</v>
      </c>
    </row>
    <row r="4" spans="1:18">
      <c r="A4" s="452"/>
      <c r="B4" s="115" t="s">
        <v>86</v>
      </c>
      <c r="C4" s="548"/>
      <c r="D4" s="452"/>
      <c r="E4" s="495"/>
      <c r="F4" s="452"/>
      <c r="G4" s="453"/>
      <c r="H4" s="452"/>
      <c r="I4" s="496"/>
      <c r="J4" s="452"/>
      <c r="K4" s="452"/>
      <c r="L4" s="452"/>
      <c r="M4" s="452"/>
      <c r="N4" s="452"/>
      <c r="O4" s="452"/>
      <c r="P4" s="452"/>
      <c r="Q4" s="452"/>
      <c r="R4" s="452"/>
    </row>
    <row r="5" spans="1:18" outlineLevel="1">
      <c r="A5" s="304" t="s">
        <v>87</v>
      </c>
      <c r="B5" s="116" t="s">
        <v>88</v>
      </c>
      <c r="C5" s="116"/>
      <c r="D5" s="82" t="s">
        <v>89</v>
      </c>
      <c r="E5" s="98" t="s">
        <v>90</v>
      </c>
      <c r="F5" s="220" t="s">
        <v>91</v>
      </c>
      <c r="G5" s="196" t="s">
        <v>92</v>
      </c>
      <c r="H5" s="81" t="s">
        <v>93</v>
      </c>
      <c r="I5" s="497"/>
      <c r="J5" s="337">
        <v>45382</v>
      </c>
      <c r="K5" s="473" t="s">
        <v>87</v>
      </c>
      <c r="L5" s="473"/>
      <c r="M5" s="473"/>
      <c r="N5" s="473"/>
      <c r="O5" s="473"/>
      <c r="P5" s="473"/>
      <c r="Q5" s="473"/>
      <c r="R5" s="473"/>
    </row>
    <row r="6" spans="1:18" outlineLevel="1">
      <c r="A6" s="498"/>
      <c r="B6" s="116" t="s">
        <v>94</v>
      </c>
      <c r="C6" s="116"/>
      <c r="D6" s="82" t="s">
        <v>95</v>
      </c>
      <c r="E6" s="98" t="s">
        <v>96</v>
      </c>
      <c r="F6" s="499" t="s">
        <v>97</v>
      </c>
      <c r="G6" s="196" t="s">
        <v>98</v>
      </c>
      <c r="H6" s="81" t="s">
        <v>99</v>
      </c>
      <c r="I6" s="497"/>
      <c r="J6" s="337">
        <v>45376</v>
      </c>
      <c r="K6" s="473" t="s">
        <v>87</v>
      </c>
      <c r="L6" s="473"/>
      <c r="M6" s="473"/>
      <c r="N6" s="473"/>
      <c r="O6" s="473"/>
      <c r="P6" s="473"/>
      <c r="Q6" s="473"/>
      <c r="R6" s="473"/>
    </row>
    <row r="7" spans="1:18" outlineLevel="1">
      <c r="A7" s="500" t="s">
        <v>87</v>
      </c>
      <c r="B7" s="63" t="s">
        <v>100</v>
      </c>
      <c r="C7" s="63"/>
      <c r="D7" s="82" t="s">
        <v>101</v>
      </c>
      <c r="E7" s="98"/>
      <c r="F7" s="220"/>
      <c r="G7" s="196"/>
      <c r="H7" s="81"/>
      <c r="I7" s="496"/>
      <c r="J7" s="337">
        <v>45202</v>
      </c>
      <c r="K7" s="473" t="s">
        <v>87</v>
      </c>
      <c r="L7" s="473"/>
      <c r="M7" s="473"/>
      <c r="N7" s="473"/>
      <c r="O7" s="473"/>
      <c r="P7" s="473"/>
      <c r="Q7" s="473"/>
      <c r="R7" s="473"/>
    </row>
    <row r="8" spans="1:18" outlineLevel="1">
      <c r="A8" s="500" t="s">
        <v>87</v>
      </c>
      <c r="B8" s="63" t="s">
        <v>102</v>
      </c>
      <c r="C8" s="63"/>
      <c r="D8" s="82" t="s">
        <v>103</v>
      </c>
      <c r="E8" s="98"/>
      <c r="F8" s="501"/>
      <c r="G8" s="196"/>
      <c r="H8" s="81"/>
      <c r="I8" s="496"/>
      <c r="J8" s="338">
        <v>45162</v>
      </c>
      <c r="K8" s="473" t="s">
        <v>87</v>
      </c>
      <c r="L8" s="473"/>
      <c r="M8" s="473"/>
      <c r="N8" s="473"/>
      <c r="O8" s="473"/>
      <c r="P8" s="473"/>
      <c r="Q8" s="473"/>
      <c r="R8" s="473"/>
    </row>
    <row r="9" spans="1:18" outlineLevel="1">
      <c r="A9" s="118" t="s">
        <v>87</v>
      </c>
      <c r="B9" s="63" t="s">
        <v>104</v>
      </c>
      <c r="C9" s="63"/>
      <c r="D9" s="82"/>
      <c r="E9" s="98"/>
      <c r="F9" s="501"/>
      <c r="G9" s="196"/>
      <c r="H9" s="81"/>
      <c r="I9" s="496"/>
      <c r="J9" s="117"/>
      <c r="K9" s="119"/>
      <c r="L9" s="119"/>
      <c r="M9" s="119"/>
      <c r="N9" s="119"/>
      <c r="O9" s="119"/>
      <c r="P9" s="119"/>
      <c r="Q9" s="119"/>
      <c r="R9" s="119"/>
    </row>
    <row r="10" spans="1:18" outlineLevel="1">
      <c r="A10" s="500"/>
      <c r="B10" s="63" t="s">
        <v>105</v>
      </c>
      <c r="C10" s="63"/>
      <c r="D10" s="82"/>
      <c r="E10" s="98"/>
      <c r="F10" s="501"/>
      <c r="G10" s="196"/>
      <c r="H10" s="81"/>
      <c r="I10" s="496"/>
      <c r="J10" s="117"/>
      <c r="K10" s="119"/>
      <c r="L10" s="119"/>
      <c r="M10" s="119"/>
      <c r="N10" s="119"/>
      <c r="O10" s="119"/>
      <c r="P10" s="119"/>
      <c r="Q10" s="119"/>
      <c r="R10" s="119"/>
    </row>
    <row r="11" spans="1:18" outlineLevel="1">
      <c r="A11" s="500" t="s">
        <v>87</v>
      </c>
      <c r="B11" s="63" t="s">
        <v>106</v>
      </c>
      <c r="C11" s="63"/>
      <c r="D11" s="82"/>
      <c r="E11" s="98"/>
      <c r="F11" s="220"/>
      <c r="G11" s="196"/>
      <c r="H11" s="81"/>
      <c r="I11" s="502"/>
      <c r="J11" s="453"/>
      <c r="K11" s="473"/>
      <c r="L11" s="473"/>
      <c r="M11" s="473"/>
      <c r="N11" s="473"/>
      <c r="O11" s="473"/>
      <c r="P11" s="473"/>
      <c r="Q11" s="473"/>
      <c r="R11" s="473"/>
    </row>
    <row r="12" spans="1:18" outlineLevel="1">
      <c r="A12" s="500" t="s">
        <v>87</v>
      </c>
      <c r="B12" s="63" t="s">
        <v>107</v>
      </c>
      <c r="C12" s="63"/>
      <c r="D12" s="82"/>
      <c r="E12" s="98"/>
      <c r="F12" s="220"/>
      <c r="G12" s="196"/>
      <c r="H12" s="81"/>
      <c r="I12" s="502"/>
      <c r="J12" s="453"/>
      <c r="K12" s="473"/>
      <c r="L12" s="473"/>
      <c r="M12" s="473"/>
      <c r="N12" s="473"/>
      <c r="O12" s="473"/>
      <c r="P12" s="473"/>
      <c r="Q12" s="473"/>
      <c r="R12" s="473"/>
    </row>
    <row r="13" spans="1:18" outlineLevel="1">
      <c r="A13" s="118" t="s">
        <v>87</v>
      </c>
      <c r="B13" s="63" t="s">
        <v>108</v>
      </c>
      <c r="C13" s="63"/>
      <c r="D13" s="82"/>
      <c r="E13" s="98"/>
      <c r="F13" s="220"/>
      <c r="G13" s="196"/>
      <c r="H13" s="81"/>
      <c r="I13" s="502"/>
      <c r="J13" s="453"/>
      <c r="K13" s="473"/>
      <c r="L13" s="473"/>
      <c r="M13" s="473"/>
      <c r="N13" s="473"/>
      <c r="O13" s="473"/>
      <c r="P13" s="473"/>
      <c r="Q13" s="473"/>
      <c r="R13" s="473"/>
    </row>
    <row r="14" spans="1:18" outlineLevel="1">
      <c r="A14" s="500"/>
      <c r="B14" s="63" t="s">
        <v>109</v>
      </c>
      <c r="C14" s="63"/>
      <c r="D14" s="82"/>
      <c r="E14" s="98"/>
      <c r="F14" s="220"/>
      <c r="G14" s="196"/>
      <c r="H14" s="81"/>
      <c r="I14" s="502"/>
      <c r="J14" s="453"/>
      <c r="K14" s="473"/>
      <c r="L14" s="473"/>
      <c r="M14" s="473"/>
      <c r="N14" s="473"/>
      <c r="O14" s="473"/>
      <c r="P14" s="473"/>
      <c r="Q14" s="473"/>
      <c r="R14" s="473"/>
    </row>
    <row r="15" spans="1:18" outlineLevel="1">
      <c r="A15" s="118" t="s">
        <v>87</v>
      </c>
      <c r="B15" s="63" t="s">
        <v>110</v>
      </c>
      <c r="C15" s="63"/>
      <c r="D15" s="82"/>
      <c r="E15" s="98"/>
      <c r="F15" s="220"/>
      <c r="G15" s="196"/>
      <c r="H15" s="81"/>
      <c r="I15" s="338"/>
      <c r="J15" s="453"/>
      <c r="K15" s="473"/>
      <c r="L15" s="473"/>
      <c r="M15" s="473"/>
      <c r="N15" s="473"/>
      <c r="O15" s="473"/>
      <c r="P15" s="473"/>
      <c r="Q15" s="473"/>
      <c r="R15" s="473"/>
    </row>
    <row r="16" spans="1:18" outlineLevel="1">
      <c r="A16" s="500"/>
      <c r="B16" s="63" t="s">
        <v>111</v>
      </c>
      <c r="C16" s="63"/>
      <c r="D16" s="82"/>
      <c r="E16" s="98"/>
      <c r="F16" s="220"/>
      <c r="G16" s="196"/>
      <c r="H16" s="81"/>
      <c r="I16" s="502"/>
      <c r="J16" s="453"/>
      <c r="K16" s="473"/>
      <c r="L16" s="473"/>
      <c r="M16" s="473"/>
      <c r="N16" s="473"/>
      <c r="O16" s="473"/>
      <c r="P16" s="473"/>
      <c r="Q16" s="473"/>
      <c r="R16" s="473"/>
    </row>
    <row r="17" spans="1:18" outlineLevel="1">
      <c r="A17" s="500"/>
      <c r="B17" s="63" t="s">
        <v>112</v>
      </c>
      <c r="C17" s="63"/>
      <c r="D17" s="82"/>
      <c r="E17" s="98"/>
      <c r="F17" s="220"/>
      <c r="G17" s="196"/>
      <c r="H17" s="81"/>
      <c r="I17" s="502"/>
      <c r="J17" s="453"/>
      <c r="K17" s="473"/>
      <c r="L17" s="473"/>
      <c r="M17" s="473"/>
      <c r="N17" s="473"/>
      <c r="O17" s="473"/>
      <c r="P17" s="473"/>
      <c r="Q17" s="473"/>
      <c r="R17" s="473"/>
    </row>
    <row r="18" spans="1:18" outlineLevel="1">
      <c r="A18" s="500"/>
      <c r="B18" s="63" t="s">
        <v>113</v>
      </c>
      <c r="C18" s="63"/>
      <c r="D18" s="82"/>
      <c r="E18" s="98"/>
      <c r="F18" s="220"/>
      <c r="G18" s="196"/>
      <c r="H18" s="81"/>
      <c r="I18" s="502"/>
      <c r="J18" s="453"/>
      <c r="K18" s="473"/>
      <c r="L18" s="473"/>
      <c r="M18" s="473"/>
      <c r="N18" s="473"/>
      <c r="O18" s="473"/>
      <c r="P18" s="473"/>
      <c r="Q18" s="473"/>
      <c r="R18" s="473"/>
    </row>
    <row r="19" spans="1:18" outlineLevel="1">
      <c r="A19" s="500" t="s">
        <v>87</v>
      </c>
      <c r="B19" s="63" t="s">
        <v>114</v>
      </c>
      <c r="C19" s="63"/>
      <c r="D19" s="82"/>
      <c r="E19" s="98"/>
      <c r="F19" s="220"/>
      <c r="G19" s="196"/>
      <c r="H19" s="81"/>
      <c r="I19" s="502"/>
      <c r="J19" s="347"/>
      <c r="K19" s="473"/>
      <c r="L19" s="473"/>
      <c r="M19" s="473"/>
      <c r="N19" s="473"/>
      <c r="O19" s="473"/>
      <c r="P19" s="473"/>
      <c r="Q19" s="473"/>
      <c r="R19" s="473"/>
    </row>
    <row r="20" spans="1:18" outlineLevel="1">
      <c r="A20" s="500" t="s">
        <v>87</v>
      </c>
      <c r="B20" s="63" t="s">
        <v>115</v>
      </c>
      <c r="C20" s="63"/>
      <c r="D20" s="120"/>
      <c r="E20" s="332"/>
      <c r="F20" s="229"/>
      <c r="G20" s="324"/>
      <c r="H20" s="81"/>
      <c r="I20" s="503"/>
      <c r="J20" s="504"/>
      <c r="K20" s="473"/>
      <c r="L20" s="473"/>
      <c r="M20" s="473"/>
      <c r="N20" s="473"/>
      <c r="O20" s="473"/>
      <c r="P20" s="473"/>
      <c r="Q20" s="473"/>
      <c r="R20" s="473"/>
    </row>
    <row r="21" spans="1:18" outlineLevel="1">
      <c r="A21" s="500" t="s">
        <v>87</v>
      </c>
      <c r="B21" s="63" t="s">
        <v>116</v>
      </c>
      <c r="C21" s="63"/>
      <c r="D21" s="82"/>
      <c r="E21" s="98"/>
      <c r="F21" s="220"/>
      <c r="G21" s="196"/>
      <c r="H21" s="81"/>
      <c r="I21" s="502"/>
      <c r="J21" s="497"/>
      <c r="K21" s="473"/>
      <c r="L21" s="473"/>
      <c r="M21" s="473"/>
      <c r="N21" s="473"/>
      <c r="O21" s="473"/>
      <c r="P21" s="473"/>
      <c r="Q21" s="473"/>
      <c r="R21" s="473"/>
    </row>
    <row r="22" spans="1:18" outlineLevel="1">
      <c r="A22" s="500" t="s">
        <v>87</v>
      </c>
      <c r="B22" s="63" t="s">
        <v>117</v>
      </c>
      <c r="C22" s="63"/>
      <c r="D22" s="82"/>
      <c r="E22" s="98"/>
      <c r="F22" s="220"/>
      <c r="G22" s="196"/>
      <c r="H22" s="81"/>
      <c r="I22" s="502"/>
      <c r="J22" s="497"/>
      <c r="K22" s="473"/>
      <c r="L22" s="473"/>
      <c r="M22" s="473"/>
      <c r="N22" s="473"/>
      <c r="O22" s="473"/>
      <c r="P22" s="473"/>
      <c r="Q22" s="473"/>
      <c r="R22" s="473"/>
    </row>
    <row r="23" spans="1:18" outlineLevel="1">
      <c r="A23" s="500" t="s">
        <v>87</v>
      </c>
      <c r="B23" s="63" t="s">
        <v>118</v>
      </c>
      <c r="C23" s="63"/>
      <c r="D23" s="120"/>
      <c r="E23" s="332"/>
      <c r="F23" s="229"/>
      <c r="G23" s="324"/>
      <c r="H23" s="81"/>
      <c r="I23" s="503"/>
      <c r="J23" s="504"/>
      <c r="K23" s="473"/>
      <c r="L23" s="473"/>
      <c r="M23" s="473"/>
      <c r="N23" s="473"/>
      <c r="O23" s="473"/>
      <c r="P23" s="473"/>
      <c r="Q23" s="473"/>
      <c r="R23" s="473"/>
    </row>
    <row r="24" spans="1:18" outlineLevel="1">
      <c r="A24" s="500" t="s">
        <v>87</v>
      </c>
      <c r="B24" s="63" t="s">
        <v>119</v>
      </c>
      <c r="C24" s="63"/>
      <c r="D24" s="193"/>
      <c r="E24" s="326"/>
      <c r="F24" s="220"/>
      <c r="G24" s="196"/>
      <c r="H24" s="81"/>
      <c r="I24" s="502"/>
      <c r="J24" s="453"/>
      <c r="K24" s="473"/>
      <c r="L24" s="473"/>
      <c r="M24" s="473"/>
      <c r="N24" s="473"/>
      <c r="O24" s="473"/>
      <c r="P24" s="473"/>
      <c r="Q24" s="473"/>
      <c r="R24" s="473"/>
    </row>
    <row r="25" spans="1:18" outlineLevel="1">
      <c r="A25" s="500" t="s">
        <v>87</v>
      </c>
      <c r="B25" s="63" t="s">
        <v>120</v>
      </c>
      <c r="C25" s="63"/>
      <c r="D25" s="193"/>
      <c r="E25" s="326"/>
      <c r="F25" s="220"/>
      <c r="G25" s="142"/>
      <c r="H25" s="81"/>
      <c r="I25" s="502"/>
      <c r="J25" s="497"/>
      <c r="K25" s="82"/>
      <c r="L25" s="82"/>
      <c r="M25" s="82"/>
      <c r="N25" s="82"/>
      <c r="O25" s="82"/>
      <c r="P25" s="82"/>
      <c r="Q25" s="82"/>
      <c r="R25" s="473"/>
    </row>
    <row r="26" spans="1:18" outlineLevel="1">
      <c r="A26" s="500" t="s">
        <v>87</v>
      </c>
      <c r="B26" s="63" t="s">
        <v>121</v>
      </c>
      <c r="C26" s="63"/>
      <c r="D26" s="193"/>
      <c r="E26" s="326"/>
      <c r="F26" s="220"/>
      <c r="G26" s="142"/>
      <c r="H26" s="81"/>
      <c r="I26" s="502"/>
      <c r="J26" s="497"/>
      <c r="K26" s="82"/>
      <c r="L26" s="82"/>
      <c r="M26" s="82"/>
      <c r="N26" s="82"/>
      <c r="O26" s="82"/>
      <c r="P26" s="82"/>
      <c r="Q26" s="82"/>
      <c r="R26" s="473"/>
    </row>
    <row r="27" spans="1:18" outlineLevel="1">
      <c r="A27" s="500" t="s">
        <v>87</v>
      </c>
      <c r="B27" s="63" t="s">
        <v>122</v>
      </c>
      <c r="C27" s="63"/>
      <c r="D27" s="193"/>
      <c r="E27" s="326"/>
      <c r="F27" s="220"/>
      <c r="G27" s="196"/>
      <c r="H27" s="81"/>
      <c r="I27" s="502"/>
      <c r="J27" s="497"/>
      <c r="K27" s="82"/>
      <c r="L27" s="82"/>
      <c r="M27" s="82"/>
      <c r="N27" s="82"/>
      <c r="O27" s="82"/>
      <c r="P27" s="82"/>
      <c r="Q27" s="82"/>
      <c r="R27" s="473"/>
    </row>
    <row r="28" spans="1:18" outlineLevel="1">
      <c r="A28" s="500" t="s">
        <v>87</v>
      </c>
      <c r="B28" s="109" t="s">
        <v>123</v>
      </c>
      <c r="C28" s="109"/>
      <c r="D28" s="82"/>
      <c r="E28" s="98"/>
      <c r="F28" s="220"/>
      <c r="G28" s="196"/>
      <c r="H28" s="81"/>
      <c r="I28" s="502"/>
      <c r="J28" s="497"/>
      <c r="K28" s="82"/>
      <c r="L28" s="82"/>
      <c r="M28" s="82"/>
      <c r="N28" s="82"/>
      <c r="O28" s="82"/>
      <c r="P28" s="82"/>
      <c r="Q28" s="82"/>
      <c r="R28" s="473"/>
    </row>
    <row r="29" spans="1:18" ht="15" customHeight="1" outlineLevel="1">
      <c r="A29" s="500" t="s">
        <v>87</v>
      </c>
      <c r="B29" s="63" t="s">
        <v>124</v>
      </c>
      <c r="C29" s="63"/>
      <c r="D29" s="82" t="s">
        <v>125</v>
      </c>
      <c r="E29" s="98" t="s">
        <v>126</v>
      </c>
      <c r="F29" s="220" t="s">
        <v>127</v>
      </c>
      <c r="G29" s="196" t="s">
        <v>128</v>
      </c>
      <c r="H29" s="81" t="s">
        <v>129</v>
      </c>
      <c r="I29" s="338"/>
      <c r="J29" s="497"/>
      <c r="K29" s="82"/>
      <c r="L29" s="82"/>
      <c r="M29" s="82"/>
      <c r="N29" s="82"/>
      <c r="O29" s="82"/>
      <c r="P29" s="82"/>
      <c r="Q29" s="82"/>
      <c r="R29" s="473"/>
    </row>
    <row r="30" spans="1:18" ht="15" customHeight="1" outlineLevel="1">
      <c r="A30" s="500" t="s">
        <v>87</v>
      </c>
      <c r="B30" s="56" t="s">
        <v>130</v>
      </c>
      <c r="C30" s="56"/>
      <c r="D30" s="82" t="s">
        <v>131</v>
      </c>
      <c r="E30" s="98" t="s">
        <v>132</v>
      </c>
      <c r="F30" s="220" t="s">
        <v>133</v>
      </c>
      <c r="G30" s="196" t="s">
        <v>134</v>
      </c>
      <c r="H30" s="81" t="s">
        <v>135</v>
      </c>
      <c r="I30" s="338"/>
      <c r="J30" s="497"/>
      <c r="K30" s="82"/>
      <c r="L30" s="82"/>
      <c r="M30" s="82"/>
      <c r="N30" s="82"/>
      <c r="O30" s="82"/>
      <c r="P30" s="82"/>
      <c r="Q30" s="82"/>
      <c r="R30" s="473"/>
    </row>
    <row r="31" spans="1:18" ht="15" customHeight="1" outlineLevel="1">
      <c r="A31" s="500" t="s">
        <v>87</v>
      </c>
      <c r="B31" s="505" t="s">
        <v>136</v>
      </c>
      <c r="C31" s="505"/>
      <c r="D31" s="82"/>
      <c r="E31" s="98"/>
      <c r="F31" s="220"/>
      <c r="G31" s="196"/>
      <c r="H31" s="81"/>
      <c r="I31" s="497"/>
      <c r="J31" s="497"/>
      <c r="K31" s="82"/>
      <c r="L31" s="82"/>
      <c r="M31" s="82"/>
      <c r="N31" s="82"/>
      <c r="O31" s="82"/>
      <c r="P31" s="82"/>
      <c r="Q31" s="82"/>
      <c r="R31" s="473"/>
    </row>
    <row r="32" spans="1:18" ht="15.75" customHeight="1" outlineLevel="1">
      <c r="A32" s="500" t="s">
        <v>87</v>
      </c>
      <c r="B32" s="505" t="s">
        <v>136</v>
      </c>
      <c r="C32" s="505"/>
      <c r="D32" s="82"/>
      <c r="E32" s="98"/>
      <c r="F32" s="220"/>
      <c r="G32" s="196"/>
      <c r="H32" s="81"/>
      <c r="I32" s="338"/>
      <c r="J32" s="497"/>
      <c r="K32" s="82"/>
      <c r="L32" s="82"/>
      <c r="M32" s="82"/>
      <c r="N32" s="82"/>
      <c r="O32" s="82"/>
      <c r="P32" s="82"/>
      <c r="Q32" s="82"/>
      <c r="R32" s="473"/>
    </row>
    <row r="33" spans="1:18" ht="15.75" hidden="1" customHeight="1" outlineLevel="1">
      <c r="A33" s="500" t="s">
        <v>18</v>
      </c>
      <c r="B33" s="505" t="s">
        <v>137</v>
      </c>
      <c r="C33" s="505"/>
      <c r="D33" s="82"/>
      <c r="E33" s="98"/>
      <c r="F33" s="228"/>
      <c r="G33" s="196"/>
      <c r="H33" s="81"/>
      <c r="I33" s="338"/>
      <c r="J33" s="73"/>
      <c r="K33" s="82"/>
      <c r="L33" s="82"/>
      <c r="M33" s="82"/>
      <c r="N33" s="82"/>
      <c r="O33" s="82"/>
      <c r="P33" s="82"/>
      <c r="Q33" s="82"/>
      <c r="R33" s="82"/>
    </row>
    <row r="34" spans="1:18" ht="15.75" hidden="1" customHeight="1" outlineLevel="1">
      <c r="A34" s="500" t="s">
        <v>18</v>
      </c>
      <c r="B34" s="505" t="s">
        <v>138</v>
      </c>
      <c r="C34" s="505"/>
      <c r="D34" s="82"/>
      <c r="E34" s="98"/>
      <c r="F34" s="228"/>
      <c r="G34" s="196"/>
      <c r="H34" s="81"/>
      <c r="I34" s="338"/>
      <c r="J34" s="73"/>
      <c r="K34" s="82"/>
      <c r="L34" s="82"/>
      <c r="M34" s="82"/>
      <c r="N34" s="82"/>
      <c r="O34" s="82"/>
      <c r="P34" s="82"/>
      <c r="Q34" s="82"/>
      <c r="R34" s="82"/>
    </row>
    <row r="35" spans="1:18" ht="15.75" customHeight="1" outlineLevel="1">
      <c r="A35" s="500" t="s">
        <v>87</v>
      </c>
      <c r="B35" s="505" t="s">
        <v>139</v>
      </c>
      <c r="C35" s="505"/>
      <c r="D35" s="82"/>
      <c r="E35" s="98"/>
      <c r="F35" s="228"/>
      <c r="G35" s="235"/>
      <c r="H35" s="100"/>
      <c r="I35" s="338"/>
      <c r="J35" s="337"/>
      <c r="K35" s="82"/>
      <c r="L35" s="82"/>
      <c r="M35" s="82"/>
      <c r="N35" s="82"/>
      <c r="O35" s="82"/>
      <c r="P35" s="82"/>
      <c r="Q35" s="82"/>
      <c r="R35" s="82"/>
    </row>
    <row r="36" spans="1:18" ht="15.75" customHeight="1" outlineLevel="1">
      <c r="A36" s="118" t="s">
        <v>87</v>
      </c>
      <c r="B36" s="505" t="s">
        <v>139</v>
      </c>
      <c r="C36" s="505"/>
      <c r="D36" s="82"/>
      <c r="E36" s="98"/>
      <c r="F36" s="228"/>
      <c r="G36" s="235"/>
      <c r="H36" s="100"/>
      <c r="I36" s="338"/>
      <c r="J36" s="337"/>
      <c r="K36" s="82"/>
      <c r="L36" s="82"/>
      <c r="M36" s="82"/>
      <c r="N36" s="82"/>
      <c r="O36" s="82"/>
      <c r="P36" s="82"/>
      <c r="Q36" s="82"/>
      <c r="R36" s="82"/>
    </row>
    <row r="37" spans="1:18" ht="15.75" customHeight="1" outlineLevel="1">
      <c r="A37" s="118" t="s">
        <v>87</v>
      </c>
      <c r="B37" s="505" t="s">
        <v>139</v>
      </c>
      <c r="C37" s="505"/>
      <c r="D37" s="82"/>
      <c r="E37" s="98"/>
      <c r="F37" s="228"/>
      <c r="G37" s="235"/>
      <c r="H37" s="119"/>
      <c r="I37" s="338"/>
      <c r="J37" s="73"/>
      <c r="K37" s="286"/>
      <c r="L37" s="286"/>
      <c r="M37" s="286"/>
      <c r="N37" s="286"/>
      <c r="O37" s="286"/>
      <c r="P37" s="286"/>
      <c r="Q37" s="286"/>
      <c r="R37" s="286"/>
    </row>
    <row r="38" spans="1:18" outlineLevel="1">
      <c r="A38" s="500" t="s">
        <v>87</v>
      </c>
      <c r="B38" s="505" t="s">
        <v>139</v>
      </c>
      <c r="C38" s="505"/>
      <c r="D38" s="82"/>
      <c r="E38" s="98"/>
      <c r="F38" s="506"/>
      <c r="G38" s="233"/>
      <c r="H38" s="458"/>
      <c r="I38" s="497"/>
      <c r="J38" s="73"/>
      <c r="K38" s="286"/>
      <c r="L38" s="286"/>
      <c r="M38" s="286"/>
      <c r="N38" s="286"/>
      <c r="O38" s="286"/>
      <c r="P38" s="286"/>
      <c r="Q38" s="286"/>
      <c r="R38" s="286"/>
    </row>
    <row r="39" spans="1:18" ht="15" customHeight="1" thickBot="1">
      <c r="A39" s="452"/>
      <c r="B39" s="452"/>
      <c r="C39" s="452"/>
      <c r="D39" s="453"/>
      <c r="E39" s="507"/>
      <c r="F39" s="452"/>
      <c r="G39" s="453"/>
      <c r="H39" s="452"/>
      <c r="I39" s="496"/>
      <c r="J39" s="452"/>
      <c r="K39" s="452"/>
      <c r="L39" s="452"/>
      <c r="M39" s="452"/>
      <c r="N39" s="452"/>
      <c r="O39" s="452"/>
      <c r="P39" s="452"/>
      <c r="Q39" s="452"/>
      <c r="R39" s="452"/>
    </row>
    <row r="40" spans="1:18">
      <c r="A40" s="452"/>
      <c r="B40" s="46" t="s">
        <v>68</v>
      </c>
      <c r="C40" s="548"/>
      <c r="D40" s="74"/>
      <c r="E40" s="331"/>
      <c r="F40" s="74"/>
      <c r="G40" s="74"/>
      <c r="H40" s="74"/>
      <c r="I40" s="343"/>
      <c r="J40" s="74"/>
      <c r="K40" s="74"/>
      <c r="L40" s="74"/>
      <c r="M40" s="74"/>
      <c r="N40" s="74"/>
      <c r="O40" s="74"/>
      <c r="P40" s="74"/>
      <c r="Q40" s="74"/>
      <c r="R40" s="74"/>
    </row>
    <row r="41" spans="1:18" ht="15" customHeight="1" outlineLevel="1">
      <c r="A41" s="500" t="s">
        <v>87</v>
      </c>
      <c r="B41" s="61" t="s">
        <v>140</v>
      </c>
      <c r="C41" s="61"/>
      <c r="D41" s="82"/>
      <c r="E41" s="98"/>
      <c r="F41" s="228"/>
      <c r="G41" s="325"/>
      <c r="H41" s="81"/>
      <c r="I41" s="503"/>
      <c r="J41" s="504"/>
      <c r="K41" s="82"/>
      <c r="L41" s="82"/>
      <c r="M41" s="82"/>
      <c r="N41" s="82"/>
      <c r="O41" s="82"/>
      <c r="P41" s="82"/>
      <c r="Q41" s="82"/>
      <c r="R41" s="473"/>
    </row>
    <row r="42" spans="1:18" ht="15" customHeight="1" outlineLevel="1">
      <c r="A42" s="500" t="s">
        <v>87</v>
      </c>
      <c r="B42" s="61" t="s">
        <v>141</v>
      </c>
      <c r="C42" s="61"/>
      <c r="D42" s="82"/>
      <c r="E42" s="98"/>
      <c r="F42" s="228"/>
      <c r="G42" s="100"/>
      <c r="H42" s="100"/>
      <c r="I42" s="503"/>
      <c r="J42" s="504"/>
      <c r="K42" s="82"/>
      <c r="L42" s="82"/>
      <c r="M42" s="82"/>
      <c r="N42" s="82"/>
      <c r="O42" s="82"/>
      <c r="P42" s="82"/>
      <c r="Q42" s="82"/>
      <c r="R42" s="473"/>
    </row>
    <row r="43" spans="1:18" ht="15" customHeight="1" outlineLevel="1">
      <c r="A43" s="500" t="s">
        <v>87</v>
      </c>
      <c r="B43" s="61" t="s">
        <v>142</v>
      </c>
      <c r="C43" s="61"/>
      <c r="D43" s="82"/>
      <c r="E43" s="98"/>
      <c r="F43" s="228"/>
      <c r="G43" s="100"/>
      <c r="H43" s="81"/>
      <c r="I43" s="503"/>
      <c r="J43" s="335"/>
      <c r="K43" s="82"/>
      <c r="L43" s="82"/>
      <c r="M43" s="82"/>
      <c r="N43" s="82"/>
      <c r="O43" s="82"/>
      <c r="P43" s="82"/>
      <c r="Q43" s="82"/>
      <c r="R43" s="473"/>
    </row>
    <row r="44" spans="1:18" ht="15" customHeight="1" outlineLevel="1">
      <c r="A44" s="500" t="s">
        <v>87</v>
      </c>
      <c r="B44" s="61" t="s">
        <v>69</v>
      </c>
      <c r="C44" s="61"/>
      <c r="D44" s="82" t="s">
        <v>143</v>
      </c>
      <c r="E44" s="98"/>
      <c r="F44" s="228"/>
      <c r="G44" s="235"/>
      <c r="H44" s="100"/>
      <c r="I44" s="338"/>
      <c r="J44" s="337"/>
      <c r="K44" s="82"/>
      <c r="L44" s="82"/>
      <c r="M44" s="82"/>
      <c r="N44" s="82"/>
      <c r="O44" s="82"/>
      <c r="P44" s="82"/>
      <c r="Q44" s="82"/>
      <c r="R44" s="473"/>
    </row>
    <row r="45" spans="1:18" ht="15" customHeight="1" outlineLevel="1">
      <c r="A45" s="500" t="s">
        <v>87</v>
      </c>
      <c r="B45" s="61" t="s">
        <v>144</v>
      </c>
      <c r="C45" s="61"/>
      <c r="D45" s="120"/>
      <c r="E45" s="332"/>
      <c r="F45" s="229"/>
      <c r="G45" s="324"/>
      <c r="H45" s="81"/>
      <c r="I45" s="503"/>
      <c r="J45" s="504"/>
      <c r="K45" s="473"/>
      <c r="L45" s="473"/>
      <c r="M45" s="473"/>
      <c r="N45" s="473"/>
      <c r="O45" s="473"/>
      <c r="P45" s="473"/>
      <c r="Q45" s="473"/>
      <c r="R45" s="473"/>
    </row>
    <row r="46" spans="1:18" ht="15" customHeight="1" outlineLevel="1">
      <c r="A46" s="500"/>
      <c r="B46" s="61" t="s">
        <v>145</v>
      </c>
      <c r="C46" s="61"/>
      <c r="D46" s="120" t="str">
        <f>IFERROR(VLOOKUP("PCC ASST #2",'02 VSG Recommendations'!$C$8:$L$21,COLUMN(),0),"")</f>
        <v/>
      </c>
      <c r="E46" s="332"/>
      <c r="F46" s="229" t="str">
        <f>IFERROR(VLOOKUP("PCC ASST #2",'02 VSG Recommendations'!$C$8:$L$21,COLUMN(),0),"")</f>
        <v/>
      </c>
      <c r="G46" s="92" t="str">
        <f>IFERROR(VLOOKUP("PCC ASST #2",'02 VSG Recommendations'!$C$8:$L$21,COLUMN(),0),"")</f>
        <v/>
      </c>
      <c r="H46" s="78"/>
      <c r="I46" s="503" t="str">
        <f>IFERROR(VLOOKUP("PCC ASST #2",'02 VSG Recommendations'!$C$8:$L$21,COLUMN(),0),"")</f>
        <v/>
      </c>
      <c r="J46" s="473"/>
      <c r="K46" s="473"/>
      <c r="L46" s="473"/>
      <c r="M46" s="473"/>
      <c r="N46" s="473"/>
      <c r="O46" s="473"/>
      <c r="P46" s="473"/>
      <c r="Q46" s="473"/>
      <c r="R46" s="473"/>
    </row>
    <row r="47" spans="1:18" ht="15" customHeight="1" outlineLevel="1">
      <c r="A47" s="500" t="s">
        <v>87</v>
      </c>
      <c r="B47" s="61" t="s">
        <v>70</v>
      </c>
      <c r="C47" s="61"/>
      <c r="D47" s="120" t="s">
        <v>146</v>
      </c>
      <c r="E47" s="132"/>
      <c r="F47" s="224"/>
      <c r="G47" s="323"/>
      <c r="H47" s="336"/>
      <c r="I47" s="508"/>
      <c r="J47" s="504"/>
      <c r="K47" s="473"/>
      <c r="L47" s="473"/>
      <c r="M47" s="473"/>
      <c r="N47" s="473"/>
      <c r="O47" s="473"/>
      <c r="P47" s="473"/>
      <c r="Q47" s="473"/>
      <c r="R47" s="473"/>
    </row>
    <row r="48" spans="1:18" ht="15" customHeight="1" outlineLevel="1">
      <c r="A48" s="500" t="s">
        <v>87</v>
      </c>
      <c r="B48" s="61" t="s">
        <v>147</v>
      </c>
      <c r="C48" s="61"/>
      <c r="D48" s="120"/>
      <c r="E48" s="332"/>
      <c r="F48" s="230"/>
      <c r="G48" s="121"/>
      <c r="H48" s="236"/>
      <c r="I48" s="508"/>
      <c r="J48" s="473"/>
      <c r="K48" s="473"/>
      <c r="L48" s="473"/>
      <c r="M48" s="473"/>
      <c r="N48" s="473"/>
      <c r="O48" s="473"/>
      <c r="P48" s="473"/>
      <c r="Q48" s="473"/>
      <c r="R48" s="473"/>
    </row>
    <row r="49" spans="1:19" ht="15" customHeight="1" outlineLevel="1">
      <c r="A49" s="500" t="s">
        <v>87</v>
      </c>
      <c r="B49" s="61" t="s">
        <v>148</v>
      </c>
      <c r="C49" s="61"/>
      <c r="D49" s="120" t="str">
        <f>IFERROR(VLOOKUP("SC ASST #2",'02 VSG Recommendations'!$C$8:$L$21,COLUMN(),0),"")</f>
        <v/>
      </c>
      <c r="E49" s="332"/>
      <c r="F49" s="509" t="str">
        <f>IFERROR(VLOOKUP("SC ASST #2",'02 VSG Recommendations'!$C$8:$L$21,COLUMN(),0),"")</f>
        <v/>
      </c>
      <c r="G49" s="121" t="str">
        <f>IFERROR(VLOOKUP("SC ASST #2",'02 VSG Recommendations'!$C$8:$L$21,COLUMN(),0),"")</f>
        <v/>
      </c>
      <c r="H49" s="236"/>
      <c r="I49" s="508"/>
      <c r="J49" s="473"/>
      <c r="K49" s="473"/>
      <c r="L49" s="473"/>
      <c r="M49" s="473"/>
      <c r="N49" s="473"/>
      <c r="O49" s="473"/>
      <c r="P49" s="473"/>
      <c r="Q49" s="473"/>
      <c r="R49" s="473"/>
      <c r="S49" s="452"/>
    </row>
    <row r="50" spans="1:19" ht="15" customHeight="1" outlineLevel="1">
      <c r="A50" s="118" t="s">
        <v>87</v>
      </c>
      <c r="B50" s="122" t="s">
        <v>149</v>
      </c>
      <c r="C50" s="122"/>
      <c r="D50" s="104"/>
      <c r="E50" s="333"/>
      <c r="F50" s="231"/>
      <c r="G50" s="103"/>
      <c r="H50" s="81"/>
      <c r="I50" s="344"/>
      <c r="J50" s="504"/>
      <c r="K50" s="82"/>
      <c r="L50" s="82"/>
      <c r="M50" s="82"/>
      <c r="N50" s="82"/>
      <c r="O50" s="82"/>
      <c r="P50" s="82"/>
      <c r="Q50" s="82"/>
      <c r="R50" s="473"/>
      <c r="S50" s="452"/>
    </row>
    <row r="51" spans="1:19" ht="15" customHeight="1" outlineLevel="1">
      <c r="A51" s="118" t="s">
        <v>87</v>
      </c>
      <c r="B51" s="122" t="s">
        <v>150</v>
      </c>
      <c r="C51" s="549"/>
      <c r="D51" s="123"/>
      <c r="E51" s="279"/>
      <c r="F51" s="231"/>
      <c r="G51" s="103"/>
      <c r="H51" s="81"/>
      <c r="I51" s="344"/>
      <c r="J51" s="504"/>
      <c r="K51" s="510"/>
      <c r="L51" s="510"/>
      <c r="M51" s="510"/>
      <c r="N51" s="510"/>
      <c r="O51" s="510"/>
      <c r="P51" s="510"/>
      <c r="Q51" s="510"/>
      <c r="R51" s="473"/>
      <c r="S51" s="452"/>
    </row>
    <row r="52" spans="1:19" ht="15" customHeight="1" outlineLevel="1">
      <c r="A52" s="118" t="s">
        <v>87</v>
      </c>
      <c r="B52" s="124" t="s">
        <v>151</v>
      </c>
      <c r="C52" s="550"/>
      <c r="D52" s="123"/>
      <c r="E52" s="279"/>
      <c r="F52" s="232"/>
      <c r="G52" s="125"/>
      <c r="H52" s="125"/>
      <c r="I52" s="345"/>
      <c r="J52" s="82"/>
      <c r="K52" s="473"/>
      <c r="L52" s="473"/>
      <c r="M52" s="473"/>
      <c r="N52" s="473"/>
      <c r="O52" s="473"/>
      <c r="P52" s="473"/>
      <c r="Q52" s="473"/>
      <c r="R52" s="473"/>
      <c r="S52" s="452"/>
    </row>
    <row r="53" spans="1:19" ht="15" customHeight="1" outlineLevel="1">
      <c r="A53" s="118" t="s">
        <v>87</v>
      </c>
      <c r="B53" s="124" t="s">
        <v>152</v>
      </c>
      <c r="C53" s="550"/>
      <c r="D53" s="123"/>
      <c r="E53" s="279"/>
      <c r="F53" s="232"/>
      <c r="G53" s="125"/>
      <c r="H53" s="125"/>
      <c r="I53" s="345"/>
      <c r="J53" s="82"/>
      <c r="K53" s="473"/>
      <c r="L53" s="473"/>
      <c r="M53" s="473"/>
      <c r="N53" s="473"/>
      <c r="O53" s="473"/>
      <c r="P53" s="473"/>
      <c r="Q53" s="473"/>
      <c r="R53" s="473"/>
      <c r="S53" s="452"/>
    </row>
    <row r="54" spans="1:19" ht="15" customHeight="1" outlineLevel="1">
      <c r="A54" s="118" t="s">
        <v>87</v>
      </c>
      <c r="B54" s="126" t="s">
        <v>153</v>
      </c>
      <c r="C54" s="118"/>
      <c r="D54" s="511"/>
      <c r="E54" s="512"/>
      <c r="F54" s="499"/>
      <c r="G54" s="473"/>
      <c r="H54" s="473"/>
      <c r="I54" s="504"/>
      <c r="J54" s="473"/>
      <c r="K54" s="473"/>
      <c r="L54" s="473"/>
      <c r="M54" s="473"/>
      <c r="N54" s="473"/>
      <c r="O54" s="473"/>
      <c r="P54" s="473"/>
      <c r="Q54" s="473"/>
      <c r="R54" s="473"/>
      <c r="S54" s="452"/>
    </row>
    <row r="55" spans="1:19" ht="15" customHeight="1" thickBot="1">
      <c r="A55" s="452"/>
      <c r="B55" s="452"/>
      <c r="C55" s="452"/>
      <c r="D55" s="453"/>
      <c r="E55" s="507"/>
      <c r="F55" s="453"/>
      <c r="G55" s="453"/>
      <c r="H55" s="453"/>
      <c r="I55" s="497"/>
      <c r="J55" s="453"/>
      <c r="K55" s="453"/>
      <c r="L55" s="453"/>
      <c r="M55" s="453"/>
      <c r="N55" s="453"/>
      <c r="O55" s="453"/>
      <c r="P55" s="453"/>
      <c r="Q55" s="453"/>
      <c r="R55" s="453"/>
      <c r="S55" s="452"/>
    </row>
    <row r="56" spans="1:19">
      <c r="A56" s="452"/>
      <c r="B56" s="85" t="s">
        <v>73</v>
      </c>
      <c r="C56" s="551"/>
      <c r="D56" s="453"/>
      <c r="E56" s="507"/>
      <c r="F56" s="453"/>
      <c r="G56" s="453"/>
      <c r="H56" s="453"/>
      <c r="I56" s="497"/>
      <c r="J56" s="453"/>
      <c r="K56" s="453"/>
      <c r="L56" s="453"/>
      <c r="M56" s="453"/>
      <c r="N56" s="453"/>
      <c r="O56" s="453"/>
      <c r="P56" s="453"/>
      <c r="Q56" s="453"/>
      <c r="R56" s="453"/>
      <c r="S56" s="452"/>
    </row>
    <row r="57" spans="1:19" hidden="1" outlineLevel="1">
      <c r="A57" s="452" t="str">
        <f>'01 Project Details'!C19</f>
        <v>NO</v>
      </c>
      <c r="B57" s="59" t="str">
        <f>'01 Project Details'!B19</f>
        <v>Asphalt</v>
      </c>
      <c r="C57" s="59"/>
      <c r="D57" s="92"/>
      <c r="E57" s="132"/>
      <c r="F57" s="223"/>
      <c r="G57" s="127"/>
      <c r="H57" s="127"/>
      <c r="I57" s="200"/>
      <c r="J57" s="78"/>
      <c r="K57" s="78"/>
      <c r="L57" s="78"/>
      <c r="M57" s="78"/>
      <c r="N57" s="78"/>
      <c r="O57" s="78"/>
      <c r="P57" s="78"/>
      <c r="Q57" s="78"/>
      <c r="R57" s="78"/>
      <c r="S57" s="452"/>
    </row>
    <row r="58" spans="1:19" ht="15" customHeight="1" outlineLevel="1">
      <c r="A58" s="452">
        <f>'01 Project Details'!C20</f>
        <v>0</v>
      </c>
      <c r="B58" s="93" t="s">
        <v>154</v>
      </c>
      <c r="C58" s="93"/>
      <c r="D58" s="92" t="s">
        <v>155</v>
      </c>
      <c r="E58" s="92"/>
      <c r="F58" s="223"/>
      <c r="G58" s="92"/>
      <c r="H58" s="92"/>
      <c r="I58" s="133"/>
      <c r="J58" s="110"/>
      <c r="K58" s="78"/>
      <c r="L58" s="78"/>
      <c r="M58" s="78"/>
      <c r="N58" s="78"/>
      <c r="O58" s="78"/>
      <c r="P58" s="78"/>
      <c r="Q58" s="78"/>
      <c r="R58" s="79"/>
      <c r="S58" s="452"/>
    </row>
    <row r="59" spans="1:19" ht="15" customHeight="1" outlineLevel="1">
      <c r="A59" s="452">
        <f>'01 Project Details'!C21</f>
        <v>0</v>
      </c>
      <c r="B59" s="93" t="str">
        <f>'01 Project Details'!B21</f>
        <v>Caseworks </v>
      </c>
      <c r="C59" s="93"/>
      <c r="D59" s="92" t="s">
        <v>156</v>
      </c>
      <c r="E59" s="92"/>
      <c r="F59" s="223"/>
      <c r="G59" s="92"/>
      <c r="H59" s="92"/>
      <c r="I59" s="133"/>
      <c r="J59" s="110"/>
      <c r="K59" s="78"/>
      <c r="L59" s="78"/>
      <c r="M59" s="78"/>
      <c r="N59" s="78"/>
      <c r="O59" s="78"/>
      <c r="P59" s="78"/>
      <c r="Q59" s="78"/>
      <c r="R59" s="131"/>
      <c r="S59" s="50"/>
    </row>
    <row r="60" spans="1:19" outlineLevel="1">
      <c r="A60" s="452">
        <f>'01 Project Details'!C22</f>
        <v>0</v>
      </c>
      <c r="B60" s="93" t="str">
        <f>'01 Project Details'!B22</f>
        <v>Carpentry - Rough Framing </v>
      </c>
      <c r="C60" s="93"/>
      <c r="D60" s="92" t="s">
        <v>157</v>
      </c>
      <c r="E60" s="92"/>
      <c r="F60" s="223"/>
      <c r="G60" s="92"/>
      <c r="H60" s="92"/>
      <c r="I60" s="133"/>
      <c r="J60" s="110"/>
      <c r="K60" s="78"/>
      <c r="L60" s="78"/>
      <c r="M60" s="78"/>
      <c r="N60" s="78"/>
      <c r="O60" s="78"/>
      <c r="P60" s="78"/>
      <c r="Q60" s="78"/>
      <c r="R60" s="79"/>
      <c r="S60" s="452"/>
    </row>
    <row r="61" spans="1:19" ht="15.75" customHeight="1" outlineLevel="1">
      <c r="A61" s="452">
        <f>'01 Project Details'!C23</f>
        <v>0</v>
      </c>
      <c r="B61" s="93" t="str">
        <f>'01 Project Details'!B23</f>
        <v>Ceilings - ACT  </v>
      </c>
      <c r="C61" s="93"/>
      <c r="D61" s="92" t="s">
        <v>158</v>
      </c>
      <c r="E61" s="92"/>
      <c r="F61" s="223"/>
      <c r="G61" s="92"/>
      <c r="H61" s="92"/>
      <c r="I61" s="133"/>
      <c r="J61" s="110"/>
      <c r="K61" s="78"/>
      <c r="L61" s="78"/>
      <c r="M61" s="78"/>
      <c r="N61" s="78"/>
      <c r="O61" s="78"/>
      <c r="P61" s="78"/>
      <c r="Q61" s="78"/>
      <c r="R61" s="79"/>
      <c r="S61" s="452"/>
    </row>
    <row r="62" spans="1:19" outlineLevel="1">
      <c r="A62" s="452">
        <f>'01 Project Details'!C24</f>
        <v>0</v>
      </c>
      <c r="B62" s="93" t="str">
        <f>'01 Project Details'!B24</f>
        <v>Concrete </v>
      </c>
      <c r="C62" s="93"/>
      <c r="D62" s="92" t="s">
        <v>159</v>
      </c>
      <c r="E62" s="92"/>
      <c r="F62" s="223"/>
      <c r="G62" s="92"/>
      <c r="H62" s="92"/>
      <c r="I62" s="133"/>
      <c r="J62" s="110"/>
      <c r="K62" s="78"/>
      <c r="L62" s="78"/>
      <c r="M62" s="78"/>
      <c r="N62" s="78"/>
      <c r="O62" s="78"/>
      <c r="P62" s="78"/>
      <c r="Q62" s="78"/>
      <c r="R62" s="79"/>
      <c r="S62" s="452"/>
    </row>
    <row r="63" spans="1:19" outlineLevel="1">
      <c r="A63" s="452"/>
      <c r="B63" s="93" t="s">
        <v>160</v>
      </c>
      <c r="C63" s="93"/>
      <c r="D63" s="92" t="s">
        <v>161</v>
      </c>
      <c r="E63" s="92"/>
      <c r="F63" s="223"/>
      <c r="G63" s="92"/>
      <c r="H63" s="92"/>
      <c r="I63" s="133"/>
      <c r="J63" s="110"/>
      <c r="K63" s="78"/>
      <c r="L63" s="78"/>
      <c r="M63" s="78"/>
      <c r="N63" s="78"/>
      <c r="O63" s="78"/>
      <c r="P63" s="78"/>
      <c r="Q63" s="78"/>
      <c r="R63" s="79"/>
      <c r="S63" s="452"/>
    </row>
    <row r="64" spans="1:19" ht="15" customHeight="1" outlineLevel="1">
      <c r="A64" s="452">
        <f>'01 Project Details'!C25</f>
        <v>0</v>
      </c>
      <c r="B64" s="93" t="str">
        <f>'01 Project Details'!B25</f>
        <v>Demolition</v>
      </c>
      <c r="C64" s="93"/>
      <c r="D64" s="92" t="s">
        <v>162</v>
      </c>
      <c r="E64" s="92"/>
      <c r="F64" s="223"/>
      <c r="G64" s="92"/>
      <c r="H64" s="92"/>
      <c r="I64" s="133"/>
      <c r="J64" s="110"/>
      <c r="K64" s="78"/>
      <c r="L64" s="78"/>
      <c r="M64" s="78"/>
      <c r="N64" s="78"/>
      <c r="O64" s="78"/>
      <c r="P64" s="78"/>
      <c r="Q64" s="78"/>
      <c r="R64" s="79"/>
      <c r="S64" s="452"/>
    </row>
    <row r="65" spans="1:19" ht="15" customHeight="1" outlineLevel="1">
      <c r="A65" s="452">
        <f>'01 Project Details'!C26</f>
        <v>0</v>
      </c>
      <c r="B65" s="93" t="str">
        <f>'01 Project Details'!B26</f>
        <v>Doors and Windows</v>
      </c>
      <c r="C65" s="93"/>
      <c r="D65" s="92" t="s">
        <v>163</v>
      </c>
      <c r="E65" s="92"/>
      <c r="F65" s="223"/>
      <c r="G65" s="92"/>
      <c r="H65" s="92"/>
      <c r="I65" s="133"/>
      <c r="J65" s="110"/>
      <c r="K65" s="78"/>
      <c r="L65" s="78"/>
      <c r="M65" s="78"/>
      <c r="N65" s="78"/>
      <c r="O65" s="78"/>
      <c r="P65" s="78"/>
      <c r="Q65" s="78"/>
      <c r="R65" s="79"/>
      <c r="S65" s="452"/>
    </row>
    <row r="66" spans="1:19" outlineLevel="1">
      <c r="A66" s="452">
        <f>'01 Project Details'!C27</f>
        <v>0</v>
      </c>
      <c r="B66" s="93" t="str">
        <f>'01 Project Details'!B27</f>
        <v>Drywall - Hanging</v>
      </c>
      <c r="C66" s="93"/>
      <c r="D66" s="92" t="s">
        <v>164</v>
      </c>
      <c r="E66" s="92"/>
      <c r="F66" s="223"/>
      <c r="G66" s="92"/>
      <c r="H66" s="92"/>
      <c r="I66" s="133"/>
      <c r="J66" s="110"/>
      <c r="K66" s="78"/>
      <c r="L66" s="78"/>
      <c r="M66" s="78"/>
      <c r="N66" s="78"/>
      <c r="O66" s="78"/>
      <c r="P66" s="78"/>
      <c r="Q66" s="78"/>
      <c r="R66" s="79"/>
      <c r="S66" s="452"/>
    </row>
    <row r="67" spans="1:19" ht="15" customHeight="1" outlineLevel="1">
      <c r="A67" s="452">
        <f>'01 Project Details'!C28</f>
        <v>0</v>
      </c>
      <c r="B67" s="93" t="str">
        <f>'01 Project Details'!B28</f>
        <v>Drywall - Finish/Texture</v>
      </c>
      <c r="C67" s="93"/>
      <c r="D67" s="92" t="s">
        <v>165</v>
      </c>
      <c r="E67" s="92"/>
      <c r="F67" s="223"/>
      <c r="G67" s="92"/>
      <c r="H67" s="92"/>
      <c r="I67" s="133"/>
      <c r="J67" s="110"/>
      <c r="K67" s="78"/>
      <c r="L67" s="78"/>
      <c r="M67" s="78"/>
      <c r="N67" s="78"/>
      <c r="O67" s="78"/>
      <c r="P67" s="78"/>
      <c r="Q67" s="78"/>
      <c r="R67" s="78"/>
      <c r="S67" s="452"/>
    </row>
    <row r="68" spans="1:19" outlineLevel="1">
      <c r="A68" s="452">
        <f>'01 Project Details'!C29</f>
        <v>0</v>
      </c>
      <c r="B68" s="93" t="str">
        <f>'01 Project Details'!B29</f>
        <v>EFIS / Stucco</v>
      </c>
      <c r="C68" s="93"/>
      <c r="D68" s="92" t="s">
        <v>166</v>
      </c>
      <c r="E68" s="92"/>
      <c r="F68" s="223"/>
      <c r="G68" s="92"/>
      <c r="H68" s="92"/>
      <c r="I68" s="133"/>
      <c r="J68" s="78"/>
      <c r="K68" s="78"/>
      <c r="L68" s="78"/>
      <c r="M68" s="78"/>
      <c r="N68" s="78"/>
      <c r="O68" s="78"/>
      <c r="P68" s="78"/>
      <c r="Q68" s="78"/>
      <c r="R68" s="79"/>
      <c r="S68" s="452"/>
    </row>
    <row r="69" spans="1:19" ht="15" customHeight="1" outlineLevel="1">
      <c r="A69" s="452">
        <f>'01 Project Details'!C30</f>
        <v>0</v>
      </c>
      <c r="B69" s="93" t="str">
        <f>'01 Project Details'!B30</f>
        <v>Electrical</v>
      </c>
      <c r="C69" s="93"/>
      <c r="D69" s="92" t="s">
        <v>167</v>
      </c>
      <c r="E69" s="92"/>
      <c r="F69" s="223"/>
      <c r="G69" s="92"/>
      <c r="H69" s="92"/>
      <c r="I69" s="133"/>
      <c r="J69" s="110"/>
      <c r="K69" s="78"/>
      <c r="L69" s="78"/>
      <c r="M69" s="78"/>
      <c r="N69" s="78"/>
      <c r="O69" s="78"/>
      <c r="P69" s="78"/>
      <c r="Q69" s="78"/>
      <c r="R69" s="79"/>
      <c r="S69" s="452"/>
    </row>
    <row r="70" spans="1:19" hidden="1" outlineLevel="1">
      <c r="A70" s="452">
        <f>'01 Project Details'!C31</f>
        <v>0</v>
      </c>
      <c r="B70" s="93" t="str">
        <f>'01 Project Details'!B31</f>
        <v>Fencing</v>
      </c>
      <c r="C70" s="93"/>
      <c r="D70" s="92"/>
      <c r="E70" s="92"/>
      <c r="F70" s="223"/>
      <c r="G70" s="92"/>
      <c r="H70" s="92"/>
      <c r="I70" s="133"/>
      <c r="J70" s="78"/>
      <c r="K70" s="78"/>
      <c r="L70" s="78"/>
      <c r="M70" s="78"/>
      <c r="N70" s="78"/>
      <c r="O70" s="78"/>
      <c r="P70" s="78"/>
      <c r="Q70" s="78"/>
      <c r="R70" s="78"/>
      <c r="S70" s="452"/>
    </row>
    <row r="71" spans="1:19" hidden="1" outlineLevel="1">
      <c r="A71" s="452">
        <f>'01 Project Details'!C32</f>
        <v>0</v>
      </c>
      <c r="B71" s="93" t="str">
        <f>'01 Project Details'!B32</f>
        <v>Fire Alarm</v>
      </c>
      <c r="C71" s="93"/>
      <c r="D71" s="92"/>
      <c r="E71" s="92"/>
      <c r="F71" s="223"/>
      <c r="G71" s="92"/>
      <c r="H71" s="92"/>
      <c r="I71" s="133"/>
      <c r="J71" s="78"/>
      <c r="K71" s="78"/>
      <c r="L71" s="78"/>
      <c r="M71" s="78"/>
      <c r="N71" s="78"/>
      <c r="O71" s="78"/>
      <c r="P71" s="78"/>
      <c r="Q71" s="78"/>
      <c r="R71" s="79"/>
      <c r="S71" s="452"/>
    </row>
    <row r="72" spans="1:19" outlineLevel="1">
      <c r="A72" s="452">
        <f>'01 Project Details'!C33</f>
        <v>0</v>
      </c>
      <c r="B72" s="76" t="str">
        <f>'01 Project Details'!B33</f>
        <v xml:space="preserve">Flooring - Carpet </v>
      </c>
      <c r="C72" s="76"/>
      <c r="D72" s="585" t="s">
        <v>168</v>
      </c>
      <c r="E72" s="92"/>
      <c r="F72" s="223"/>
      <c r="G72" s="586"/>
      <c r="H72" s="92"/>
      <c r="I72" s="133"/>
      <c r="J72" s="110"/>
      <c r="K72" s="78"/>
      <c r="L72" s="78"/>
      <c r="M72" s="78"/>
      <c r="N72" s="78"/>
      <c r="O72" s="78"/>
      <c r="P72" s="78"/>
      <c r="Q72" s="78"/>
      <c r="R72" s="79"/>
      <c r="S72" s="452"/>
    </row>
    <row r="73" spans="1:19" outlineLevel="1">
      <c r="A73" s="452">
        <f>'01 Project Details'!C34</f>
        <v>0</v>
      </c>
      <c r="B73" s="93" t="str">
        <f>'01 Project Details'!B34</f>
        <v>Flooring - Tile</v>
      </c>
      <c r="C73" s="93"/>
      <c r="D73" s="92" t="s">
        <v>169</v>
      </c>
      <c r="E73" s="92"/>
      <c r="F73" s="223"/>
      <c r="G73" s="92"/>
      <c r="H73" s="92"/>
      <c r="I73" s="133"/>
      <c r="J73" s="110"/>
      <c r="K73" s="78"/>
      <c r="L73" s="78"/>
      <c r="M73" s="78"/>
      <c r="N73" s="78"/>
      <c r="O73" s="78"/>
      <c r="P73" s="78"/>
      <c r="Q73" s="78"/>
      <c r="R73" s="137"/>
      <c r="S73" s="452"/>
    </row>
    <row r="74" spans="1:19" outlineLevel="1">
      <c r="A74" s="452">
        <f>'01 Project Details'!C35</f>
        <v>0</v>
      </c>
      <c r="B74" s="93" t="str">
        <f>'01 Project Details'!B35</f>
        <v>Gutters &amp; Downspouts</v>
      </c>
      <c r="C74" s="93"/>
      <c r="D74" s="92" t="s">
        <v>170</v>
      </c>
      <c r="E74" s="92"/>
      <c r="F74" s="223"/>
      <c r="G74" s="92"/>
      <c r="H74" s="92"/>
      <c r="I74" s="133"/>
      <c r="J74" s="110"/>
      <c r="K74" s="78"/>
      <c r="L74" s="78"/>
      <c r="M74" s="78"/>
      <c r="N74" s="78"/>
      <c r="O74" s="78"/>
      <c r="P74" s="78"/>
      <c r="Q74" s="78"/>
      <c r="R74" s="137"/>
      <c r="S74" s="452"/>
    </row>
    <row r="75" spans="1:19" outlineLevel="1">
      <c r="A75" s="452">
        <f>'01 Project Details'!C36</f>
        <v>0</v>
      </c>
      <c r="B75" s="93" t="str">
        <f>'01 Project Details'!B36</f>
        <v>HVAC </v>
      </c>
      <c r="C75" s="93"/>
      <c r="D75" s="92" t="s">
        <v>171</v>
      </c>
      <c r="E75" s="92"/>
      <c r="F75" s="223"/>
      <c r="G75" s="92"/>
      <c r="H75" s="324"/>
      <c r="I75" s="133"/>
      <c r="J75" s="110"/>
      <c r="K75" s="78"/>
      <c r="L75" s="78"/>
      <c r="M75" s="78"/>
      <c r="N75" s="78"/>
      <c r="O75" s="78"/>
      <c r="P75" s="78"/>
      <c r="Q75" s="78"/>
      <c r="R75" s="79"/>
      <c r="S75" s="452"/>
    </row>
    <row r="76" spans="1:19" ht="15" hidden="1" customHeight="1" outlineLevel="1">
      <c r="A76" s="452">
        <f>'01 Project Details'!C37</f>
        <v>0</v>
      </c>
      <c r="B76" s="93" t="str">
        <f>'01 Project Details'!B37</f>
        <v>ICF</v>
      </c>
      <c r="C76" s="93"/>
      <c r="D76" s="92"/>
      <c r="E76" s="92"/>
      <c r="F76" s="223"/>
      <c r="G76" s="92"/>
      <c r="H76" s="92"/>
      <c r="I76" s="133"/>
      <c r="J76" s="78"/>
      <c r="K76" s="78"/>
      <c r="L76" s="78"/>
      <c r="M76" s="78"/>
      <c r="N76" s="78"/>
      <c r="O76" s="78"/>
      <c r="P76" s="78"/>
      <c r="Q76" s="78"/>
      <c r="R76" s="78"/>
      <c r="S76" s="452"/>
    </row>
    <row r="77" spans="1:19" outlineLevel="1">
      <c r="A77" s="452">
        <f>'01 Project Details'!C38</f>
        <v>0</v>
      </c>
      <c r="B77" s="93" t="str">
        <f>'01 Project Details'!B38</f>
        <v>Insulation</v>
      </c>
      <c r="C77" s="93"/>
      <c r="D77" s="92" t="s">
        <v>172</v>
      </c>
      <c r="E77" s="92"/>
      <c r="F77" s="223"/>
      <c r="G77" s="92"/>
      <c r="H77" s="92"/>
      <c r="I77" s="133"/>
      <c r="J77" s="78"/>
      <c r="K77" s="78"/>
      <c r="L77" s="78"/>
      <c r="M77" s="78"/>
      <c r="N77" s="78"/>
      <c r="O77" s="78"/>
      <c r="P77" s="78"/>
      <c r="Q77" s="78"/>
      <c r="R77" s="79"/>
      <c r="S77" s="452"/>
    </row>
    <row r="78" spans="1:19" outlineLevel="1">
      <c r="A78" s="452">
        <f>'01 Project Details'!C39</f>
        <v>0</v>
      </c>
      <c r="B78" s="93" t="str">
        <f>'01 Project Details'!B39</f>
        <v>Landscaping</v>
      </c>
      <c r="C78" s="93"/>
      <c r="D78" s="92" t="s">
        <v>173</v>
      </c>
      <c r="E78" s="92"/>
      <c r="F78" s="223"/>
      <c r="G78" s="92"/>
      <c r="H78" s="92"/>
      <c r="I78" s="133"/>
      <c r="J78" s="110"/>
      <c r="K78" s="78"/>
      <c r="L78" s="78"/>
      <c r="M78" s="78"/>
      <c r="N78" s="78"/>
      <c r="O78" s="78"/>
      <c r="P78" s="78"/>
      <c r="Q78" s="78"/>
      <c r="R78" s="79"/>
      <c r="S78" s="452"/>
    </row>
    <row r="79" spans="1:19" ht="15" hidden="1" customHeight="1" outlineLevel="1">
      <c r="A79" s="452">
        <f>'01 Project Details'!C40</f>
        <v>0</v>
      </c>
      <c r="B79" s="93" t="str">
        <f>'01 Project Details'!B40</f>
        <v>Masonry</v>
      </c>
      <c r="C79" s="93"/>
      <c r="D79" s="92"/>
      <c r="E79" s="92"/>
      <c r="F79" s="223"/>
      <c r="G79" s="92"/>
      <c r="H79" s="92"/>
      <c r="I79" s="133"/>
      <c r="J79" s="110"/>
      <c r="K79" s="78"/>
      <c r="L79" s="78"/>
      <c r="M79" s="78"/>
      <c r="N79" s="78"/>
      <c r="O79" s="78"/>
      <c r="P79" s="78"/>
      <c r="Q79" s="78"/>
      <c r="R79" s="78"/>
      <c r="S79" s="452"/>
    </row>
    <row r="80" spans="1:19" ht="15" customHeight="1" outlineLevel="1">
      <c r="A80" s="452"/>
      <c r="B80" s="93" t="s">
        <v>40</v>
      </c>
      <c r="C80" s="93"/>
      <c r="D80" s="92" t="s">
        <v>174</v>
      </c>
      <c r="E80" s="92"/>
      <c r="F80" s="223"/>
      <c r="G80" s="92"/>
      <c r="H80" s="92"/>
      <c r="I80" s="133"/>
      <c r="J80" s="110"/>
      <c r="K80" s="78"/>
      <c r="L80" s="78"/>
      <c r="M80" s="78"/>
      <c r="N80" s="78"/>
      <c r="O80" s="78"/>
      <c r="P80" s="78"/>
      <c r="Q80" s="78"/>
      <c r="R80" s="78"/>
      <c r="S80" s="452"/>
    </row>
    <row r="81" spans="1:19" ht="15" customHeight="1" outlineLevel="1">
      <c r="A81" s="452"/>
      <c r="B81" s="93" t="s">
        <v>175</v>
      </c>
      <c r="C81" s="93"/>
      <c r="D81" s="92" t="s">
        <v>176</v>
      </c>
      <c r="E81" s="92"/>
      <c r="F81" s="223"/>
      <c r="G81" s="92"/>
      <c r="H81" s="92"/>
      <c r="I81" s="133"/>
      <c r="J81" s="110"/>
      <c r="K81" s="78"/>
      <c r="L81" s="78"/>
      <c r="M81" s="78"/>
      <c r="N81" s="78"/>
      <c r="O81" s="78"/>
      <c r="P81" s="78"/>
      <c r="Q81" s="78"/>
      <c r="R81" s="78"/>
      <c r="S81" s="452"/>
    </row>
    <row r="82" spans="1:19" outlineLevel="1">
      <c r="A82" s="452">
        <f>'01 Project Details'!C41</f>
        <v>0</v>
      </c>
      <c r="B82" s="93" t="str">
        <f>'01 Project Details'!B41</f>
        <v>Paint </v>
      </c>
      <c r="C82" s="93"/>
      <c r="D82" s="92" t="s">
        <v>177</v>
      </c>
      <c r="E82" s="92"/>
      <c r="F82" s="223"/>
      <c r="G82" s="92"/>
      <c r="H82" s="92"/>
      <c r="I82" s="133"/>
      <c r="J82" s="110"/>
      <c r="K82" s="78"/>
      <c r="L82" s="78"/>
      <c r="M82" s="78"/>
      <c r="N82" s="78"/>
      <c r="O82" s="78"/>
      <c r="P82" s="78"/>
      <c r="Q82" s="78"/>
      <c r="R82" s="79"/>
      <c r="S82" s="452"/>
    </row>
    <row r="83" spans="1:19" outlineLevel="1">
      <c r="A83" s="452"/>
      <c r="B83" s="93" t="s">
        <v>178</v>
      </c>
      <c r="C83" s="93"/>
      <c r="D83" s="92" t="s">
        <v>179</v>
      </c>
      <c r="E83" s="92"/>
      <c r="F83" s="223"/>
      <c r="G83" s="92"/>
      <c r="H83" s="92"/>
      <c r="I83" s="133"/>
      <c r="J83" s="110"/>
      <c r="K83" s="78"/>
      <c r="L83" s="78"/>
      <c r="M83" s="78"/>
      <c r="N83" s="78"/>
      <c r="O83" s="78"/>
      <c r="P83" s="78"/>
      <c r="Q83" s="78"/>
      <c r="R83" s="79"/>
      <c r="S83" s="452"/>
    </row>
    <row r="84" spans="1:19" ht="17.25" customHeight="1" outlineLevel="1">
      <c r="A84" s="452">
        <f>'01 Project Details'!C42</f>
        <v>0</v>
      </c>
      <c r="B84" s="93" t="str">
        <f>'01 Project Details'!B42</f>
        <v>Plumbing</v>
      </c>
      <c r="C84" s="93"/>
      <c r="D84" s="92" t="s">
        <v>180</v>
      </c>
      <c r="E84" s="92"/>
      <c r="F84" s="223"/>
      <c r="G84" s="92"/>
      <c r="H84" s="92"/>
      <c r="I84" s="133"/>
      <c r="J84" s="110"/>
      <c r="K84" s="78"/>
      <c r="L84" s="78"/>
      <c r="M84" s="78"/>
      <c r="N84" s="78"/>
      <c r="O84" s="78"/>
      <c r="P84" s="78"/>
      <c r="Q84" s="78"/>
      <c r="R84" s="137"/>
      <c r="S84" s="452"/>
    </row>
    <row r="85" spans="1:19" outlineLevel="1">
      <c r="A85" s="452">
        <f>'01 Project Details'!C43</f>
        <v>0</v>
      </c>
      <c r="B85" s="93" t="str">
        <f>'01 Project Details'!B43</f>
        <v>Restroom  Partitions &amp; Accessories</v>
      </c>
      <c r="C85" s="93"/>
      <c r="D85" s="92" t="s">
        <v>181</v>
      </c>
      <c r="E85" s="92"/>
      <c r="F85" s="223"/>
      <c r="G85" s="92"/>
      <c r="H85" s="92"/>
      <c r="I85" s="133"/>
      <c r="J85" s="110"/>
      <c r="K85" s="78"/>
      <c r="L85" s="78"/>
      <c r="M85" s="78"/>
      <c r="N85" s="78"/>
      <c r="O85" s="78"/>
      <c r="P85" s="78"/>
      <c r="Q85" s="78"/>
      <c r="R85" s="79"/>
      <c r="S85" s="452"/>
    </row>
    <row r="86" spans="1:19" hidden="1" outlineLevel="1">
      <c r="A86" s="452">
        <f>'01 Project Details'!C44</f>
        <v>0</v>
      </c>
      <c r="B86" s="93" t="str">
        <f>'01 Project Details'!B44</f>
        <v>Roofing</v>
      </c>
      <c r="C86" s="93"/>
      <c r="D86" s="92"/>
      <c r="E86" s="92"/>
      <c r="F86" s="223"/>
      <c r="G86" s="92"/>
      <c r="H86" s="92"/>
      <c r="I86" s="133"/>
      <c r="J86" s="78"/>
      <c r="K86" s="78"/>
      <c r="L86" s="78"/>
      <c r="M86" s="78"/>
      <c r="N86" s="78"/>
      <c r="O86" s="78"/>
      <c r="P86" s="78"/>
      <c r="Q86" s="78"/>
      <c r="R86" s="79"/>
      <c r="S86" s="452"/>
    </row>
    <row r="87" spans="1:19" hidden="1" outlineLevel="1">
      <c r="A87" s="452">
        <f>'01 Project Details'!C45</f>
        <v>0</v>
      </c>
      <c r="B87" s="93" t="str">
        <f>'01 Project Details'!B45</f>
        <v>Scaffolding</v>
      </c>
      <c r="C87" s="93"/>
      <c r="D87" s="92"/>
      <c r="E87" s="92"/>
      <c r="F87" s="223"/>
      <c r="G87" s="92"/>
      <c r="H87" s="92"/>
      <c r="I87" s="133"/>
      <c r="J87" s="78"/>
      <c r="K87" s="78"/>
      <c r="L87" s="78"/>
      <c r="M87" s="78"/>
      <c r="N87" s="78"/>
      <c r="O87" s="78"/>
      <c r="P87" s="78"/>
      <c r="Q87" s="78"/>
      <c r="R87" s="78"/>
      <c r="S87" s="452"/>
    </row>
    <row r="88" spans="1:19" ht="15" hidden="1" customHeight="1" outlineLevel="1">
      <c r="A88" s="452">
        <f>'01 Project Details'!C46</f>
        <v>0</v>
      </c>
      <c r="B88" s="93" t="str">
        <f>'01 Project Details'!B46</f>
        <v>Septic Systems</v>
      </c>
      <c r="C88" s="93"/>
      <c r="D88" s="92"/>
      <c r="E88" s="92"/>
      <c r="F88" s="223"/>
      <c r="G88" s="92"/>
      <c r="H88" s="92"/>
      <c r="I88" s="133"/>
      <c r="J88" s="78"/>
      <c r="K88" s="78"/>
      <c r="L88" s="78"/>
      <c r="M88" s="78"/>
      <c r="N88" s="78"/>
      <c r="O88" s="78"/>
      <c r="P88" s="78"/>
      <c r="Q88" s="78"/>
      <c r="R88" s="79"/>
      <c r="S88" s="452"/>
    </row>
    <row r="89" spans="1:19" outlineLevel="1">
      <c r="A89" s="452">
        <f>'01 Project Details'!C47</f>
        <v>0</v>
      </c>
      <c r="B89" s="93" t="str">
        <f>'01 Project Details'!B47</f>
        <v>Siding, Soffits, Fascia</v>
      </c>
      <c r="C89" s="93"/>
      <c r="D89" s="92" t="s">
        <v>182</v>
      </c>
      <c r="E89" s="92"/>
      <c r="F89" s="223"/>
      <c r="G89" s="92"/>
      <c r="H89" s="92"/>
      <c r="I89" s="133"/>
      <c r="J89" s="78"/>
      <c r="K89" s="78"/>
      <c r="L89" s="78"/>
      <c r="M89" s="78"/>
      <c r="N89" s="78"/>
      <c r="O89" s="78"/>
      <c r="P89" s="78"/>
      <c r="Q89" s="78"/>
      <c r="R89" s="79"/>
      <c r="S89" s="452"/>
    </row>
    <row r="90" spans="1:19" outlineLevel="1">
      <c r="A90" s="452">
        <f>'01 Project Details'!C48</f>
        <v>0</v>
      </c>
      <c r="B90" s="93" t="str">
        <f>'01 Project Details'!B48</f>
        <v>Siteworks</v>
      </c>
      <c r="C90" s="93"/>
      <c r="D90" s="92" t="s">
        <v>183</v>
      </c>
      <c r="E90" s="92"/>
      <c r="F90" s="223"/>
      <c r="G90" s="92"/>
      <c r="H90" s="92"/>
      <c r="I90" s="133"/>
      <c r="J90" s="110"/>
      <c r="K90" s="78"/>
      <c r="L90" s="78"/>
      <c r="M90" s="78"/>
      <c r="N90" s="78"/>
      <c r="O90" s="78"/>
      <c r="P90" s="78"/>
      <c r="Q90" s="78"/>
      <c r="R90" s="79"/>
      <c r="S90" s="452"/>
    </row>
    <row r="91" spans="1:19" outlineLevel="1">
      <c r="A91" s="452"/>
      <c r="B91" s="93" t="s">
        <v>184</v>
      </c>
      <c r="C91" s="93"/>
      <c r="D91" s="92" t="s">
        <v>185</v>
      </c>
      <c r="E91" s="92"/>
      <c r="F91" s="223"/>
      <c r="G91" s="92"/>
      <c r="H91" s="92"/>
      <c r="I91" s="133"/>
      <c r="J91" s="110"/>
      <c r="K91" s="78"/>
      <c r="L91" s="78"/>
      <c r="M91" s="78"/>
      <c r="N91" s="78"/>
      <c r="O91" s="78"/>
      <c r="P91" s="78"/>
      <c r="Q91" s="78"/>
      <c r="R91" s="79"/>
      <c r="S91" s="452"/>
    </row>
    <row r="92" spans="1:19" hidden="1" outlineLevel="1">
      <c r="A92" s="452" t="str">
        <f>'01 Project Details'!C49</f>
        <v>NO</v>
      </c>
      <c r="B92" s="93" t="str">
        <f>'01 Project Details'!B49</f>
        <v xml:space="preserve">Tree Removal </v>
      </c>
      <c r="C92" s="93"/>
      <c r="D92" s="92"/>
      <c r="E92" s="92"/>
      <c r="F92" s="223"/>
      <c r="G92" s="133"/>
      <c r="H92" s="110"/>
      <c r="I92" s="133"/>
      <c r="J92" s="78"/>
      <c r="K92" s="78"/>
      <c r="L92" s="78"/>
      <c r="M92" s="78"/>
      <c r="N92" s="78"/>
      <c r="O92" s="78"/>
      <c r="P92" s="78"/>
      <c r="Q92" s="78"/>
      <c r="R92" s="79"/>
      <c r="S92" s="452"/>
    </row>
    <row r="93" spans="1:19" hidden="1" outlineLevel="1">
      <c r="A93" s="452" t="str">
        <f>'01 Project Details'!C50</f>
        <v>NO</v>
      </c>
      <c r="B93" s="93" t="str">
        <f>'01 Project Details'!B50</f>
        <v xml:space="preserve">Wall Paper Removal </v>
      </c>
      <c r="C93" s="93"/>
      <c r="D93" s="92"/>
      <c r="E93" s="92"/>
      <c r="F93" s="223"/>
      <c r="G93" s="133"/>
      <c r="H93" s="110"/>
      <c r="I93" s="133"/>
      <c r="J93" s="110"/>
      <c r="K93" s="78"/>
      <c r="L93" s="78"/>
      <c r="M93" s="78"/>
      <c r="N93" s="78"/>
      <c r="O93" s="78"/>
      <c r="P93" s="78"/>
      <c r="Q93" s="78"/>
      <c r="R93" s="78"/>
      <c r="S93" s="452"/>
    </row>
    <row r="94" spans="1:19" hidden="1" outlineLevel="1">
      <c r="A94" s="452" t="str">
        <f>'01 Project Details'!C51</f>
        <v>NO</v>
      </c>
      <c r="B94" s="93" t="str">
        <f>'01 Project Details'!B51</f>
        <v>Welding</v>
      </c>
      <c r="C94" s="93"/>
      <c r="D94" s="92"/>
      <c r="E94" s="92"/>
      <c r="F94" s="223"/>
      <c r="G94" s="134"/>
      <c r="H94" s="134"/>
      <c r="I94" s="133"/>
      <c r="J94" s="78"/>
      <c r="K94" s="78"/>
      <c r="L94" s="78"/>
      <c r="M94" s="78"/>
      <c r="N94" s="78"/>
      <c r="O94" s="78"/>
      <c r="P94" s="78"/>
      <c r="Q94" s="78"/>
      <c r="R94" s="79"/>
      <c r="S94" s="452"/>
    </row>
    <row r="95" spans="1:19" hidden="1" outlineLevel="1">
      <c r="A95" s="452" t="str">
        <f>'01 Project Details'!C52</f>
        <v>NO</v>
      </c>
      <c r="B95" s="93" t="str">
        <f>'01 Project Details'!B52</f>
        <v>Additional #1A</v>
      </c>
      <c r="C95" s="93"/>
      <c r="D95" s="92"/>
      <c r="E95" s="132"/>
      <c r="F95" s="223"/>
      <c r="G95" s="133"/>
      <c r="H95" s="133"/>
      <c r="I95" s="133"/>
      <c r="J95" s="78"/>
      <c r="K95" s="78"/>
      <c r="L95" s="78"/>
      <c r="M95" s="78"/>
      <c r="N95" s="78"/>
      <c r="O95" s="78"/>
      <c r="P95" s="78"/>
      <c r="Q95" s="78"/>
      <c r="R95" s="79"/>
      <c r="S95" s="452"/>
    </row>
    <row r="96" spans="1:19" hidden="1" outlineLevel="1">
      <c r="A96" s="452" t="str">
        <f>'01 Project Details'!C53</f>
        <v>NO</v>
      </c>
      <c r="B96" s="93" t="str">
        <f>'01 Project Details'!B53</f>
        <v>Additional #2A</v>
      </c>
      <c r="C96" s="93"/>
      <c r="D96" s="92"/>
      <c r="E96" s="132"/>
      <c r="F96" s="223"/>
      <c r="G96" s="133"/>
      <c r="H96" s="133"/>
      <c r="I96" s="133"/>
      <c r="J96" s="78"/>
      <c r="K96" s="78"/>
      <c r="L96" s="78"/>
      <c r="M96" s="78"/>
      <c r="N96" s="78"/>
      <c r="O96" s="78"/>
      <c r="P96" s="78"/>
      <c r="Q96" s="78"/>
      <c r="R96" s="79"/>
      <c r="S96" s="452"/>
    </row>
    <row r="97" spans="1:19" hidden="1" outlineLevel="1">
      <c r="A97" s="452" t="str">
        <f>'01 Project Details'!C54</f>
        <v>NO</v>
      </c>
      <c r="B97" s="93" t="str">
        <f>'01 Project Details'!B54</f>
        <v>Additional #3A</v>
      </c>
      <c r="C97" s="93"/>
      <c r="D97" s="92"/>
      <c r="E97" s="132"/>
      <c r="F97" s="223"/>
      <c r="G97" s="133"/>
      <c r="H97" s="133"/>
      <c r="I97" s="133"/>
      <c r="J97" s="78"/>
      <c r="K97" s="78"/>
      <c r="L97" s="78"/>
      <c r="M97" s="78"/>
      <c r="N97" s="78"/>
      <c r="O97" s="78"/>
      <c r="P97" s="78"/>
      <c r="Q97" s="78"/>
      <c r="R97" s="78"/>
      <c r="S97" s="452"/>
    </row>
    <row r="98" spans="1:19" hidden="1" outlineLevel="1">
      <c r="A98" s="452" t="str">
        <f>'01 Project Details'!C55</f>
        <v>NO</v>
      </c>
      <c r="B98" s="93" t="str">
        <f>'01 Project Details'!B55</f>
        <v>Additional #4A</v>
      </c>
      <c r="C98" s="93"/>
      <c r="D98" s="92"/>
      <c r="E98" s="132"/>
      <c r="F98" s="223"/>
      <c r="G98" s="133"/>
      <c r="H98" s="133"/>
      <c r="I98" s="133"/>
      <c r="J98" s="78"/>
      <c r="K98" s="78"/>
      <c r="L98" s="78"/>
      <c r="M98" s="78"/>
      <c r="N98" s="78"/>
      <c r="O98" s="78"/>
      <c r="P98" s="78"/>
      <c r="Q98" s="78"/>
      <c r="R98" s="106"/>
      <c r="S98" s="452"/>
    </row>
    <row r="99" spans="1:19" hidden="1" outlineLevel="1">
      <c r="A99" s="452" t="str">
        <f>'01 Project Details'!C56</f>
        <v>NO</v>
      </c>
      <c r="B99" s="93" t="str">
        <f>'01 Project Details'!B56</f>
        <v>Additional #5A</v>
      </c>
      <c r="C99" s="93"/>
      <c r="D99" s="92"/>
      <c r="E99" s="132"/>
      <c r="F99" s="223"/>
      <c r="G99" s="92"/>
      <c r="H99" s="92"/>
      <c r="I99" s="133"/>
      <c r="J99" s="78"/>
      <c r="K99" s="78"/>
      <c r="L99" s="78"/>
      <c r="M99" s="78"/>
      <c r="N99" s="78"/>
      <c r="O99" s="78"/>
      <c r="P99" s="78"/>
      <c r="Q99" s="78"/>
      <c r="R99" s="78"/>
      <c r="S99" s="452"/>
    </row>
    <row r="100" spans="1:19">
      <c r="A100" s="452"/>
      <c r="D100" s="453"/>
      <c r="E100" s="507"/>
      <c r="F100" s="452"/>
      <c r="G100" s="453"/>
      <c r="H100" s="452"/>
      <c r="I100" s="496"/>
      <c r="J100" s="453"/>
      <c r="K100" s="453"/>
      <c r="L100" s="453"/>
      <c r="M100" s="453"/>
      <c r="N100" s="453"/>
      <c r="O100" s="453"/>
      <c r="P100" s="453"/>
      <c r="Q100" s="453"/>
      <c r="R100" s="453"/>
      <c r="S100" s="452"/>
    </row>
    <row r="101" spans="1:19">
      <c r="A101" s="452"/>
      <c r="B101" s="46" t="s">
        <v>186</v>
      </c>
      <c r="C101" s="548"/>
      <c r="D101" s="296"/>
      <c r="E101" s="334"/>
      <c r="F101" s="298"/>
      <c r="G101" s="296"/>
      <c r="H101" s="297"/>
      <c r="I101" s="346"/>
      <c r="J101" s="299"/>
      <c r="K101" s="300"/>
      <c r="L101" s="301"/>
      <c r="M101" s="299"/>
      <c r="N101" s="299"/>
      <c r="O101" s="299"/>
      <c r="P101" s="299"/>
      <c r="Q101" s="299"/>
      <c r="R101" s="302"/>
      <c r="S101" s="452"/>
    </row>
    <row r="102" spans="1:19" outlineLevel="1">
      <c r="A102" s="452" t="s">
        <v>87</v>
      </c>
      <c r="B102" s="141" t="s">
        <v>187</v>
      </c>
      <c r="C102" s="141"/>
      <c r="D102" s="92"/>
      <c r="E102" s="132"/>
      <c r="F102" s="223"/>
      <c r="G102" s="92"/>
      <c r="H102" s="92"/>
      <c r="I102" s="504"/>
      <c r="J102" s="510"/>
      <c r="K102" s="510"/>
      <c r="L102" s="510"/>
      <c r="M102" s="513"/>
      <c r="N102" s="513"/>
      <c r="O102" s="513"/>
      <c r="P102" s="513"/>
      <c r="Q102" s="513"/>
      <c r="R102" s="513"/>
      <c r="S102" s="452"/>
    </row>
    <row r="103" spans="1:19" ht="15" customHeight="1" outlineLevel="1">
      <c r="A103" s="50" t="s">
        <v>87</v>
      </c>
      <c r="B103" s="63" t="s">
        <v>188</v>
      </c>
      <c r="C103" s="63"/>
      <c r="D103" s="92"/>
      <c r="E103" s="132"/>
      <c r="F103" s="223"/>
      <c r="G103" s="92"/>
      <c r="H103" s="92"/>
      <c r="I103" s="504"/>
      <c r="J103" s="510"/>
      <c r="K103" s="510"/>
      <c r="L103" s="510"/>
      <c r="M103" s="510"/>
      <c r="N103" s="510"/>
      <c r="O103" s="510"/>
      <c r="P103" s="510"/>
      <c r="Q103" s="510"/>
      <c r="R103" s="510"/>
      <c r="S103" s="452"/>
    </row>
    <row r="104" spans="1:19" ht="15" customHeight="1" outlineLevel="1">
      <c r="A104" s="50" t="s">
        <v>87</v>
      </c>
      <c r="B104" s="144" t="s">
        <v>189</v>
      </c>
      <c r="C104" s="144"/>
      <c r="D104" s="92"/>
      <c r="E104" s="132"/>
      <c r="F104" s="223"/>
      <c r="G104" s="92"/>
      <c r="H104" s="92"/>
      <c r="I104" s="514"/>
      <c r="J104" s="510"/>
      <c r="K104" s="510"/>
      <c r="L104" s="510"/>
      <c r="M104" s="510"/>
      <c r="N104" s="510"/>
      <c r="O104" s="510"/>
      <c r="P104" s="510"/>
      <c r="Q104" s="510"/>
      <c r="R104" s="510"/>
      <c r="S104" s="452"/>
    </row>
    <row r="105" spans="1:19" ht="15" customHeight="1" outlineLevel="1">
      <c r="A105" s="50" t="s">
        <v>87</v>
      </c>
      <c r="B105" s="145" t="s">
        <v>190</v>
      </c>
      <c r="C105" s="145"/>
      <c r="D105" s="92"/>
      <c r="E105" s="132"/>
      <c r="F105" s="223"/>
      <c r="G105" s="324"/>
      <c r="H105" s="92"/>
      <c r="I105" s="514"/>
      <c r="J105" s="510"/>
      <c r="K105" s="510"/>
      <c r="L105" s="510"/>
      <c r="M105" s="510"/>
      <c r="N105" s="510"/>
      <c r="O105" s="510"/>
      <c r="P105" s="510"/>
      <c r="Q105" s="510"/>
      <c r="R105" s="510"/>
      <c r="S105" s="452"/>
    </row>
    <row r="106" spans="1:19" ht="15" customHeight="1" outlineLevel="1">
      <c r="A106" s="50" t="s">
        <v>87</v>
      </c>
      <c r="B106" s="144" t="s">
        <v>191</v>
      </c>
      <c r="C106" s="144"/>
      <c r="D106" s="92"/>
      <c r="E106" s="132"/>
      <c r="F106" s="223"/>
      <c r="G106" s="92"/>
      <c r="H106" s="92"/>
      <c r="I106" s="514"/>
      <c r="J106" s="510"/>
      <c r="K106" s="510"/>
      <c r="L106" s="510"/>
      <c r="M106" s="510"/>
      <c r="N106" s="510"/>
      <c r="O106" s="510"/>
      <c r="P106" s="510"/>
      <c r="Q106" s="510"/>
      <c r="R106" s="510"/>
      <c r="S106" s="452"/>
    </row>
    <row r="107" spans="1:19" ht="15" customHeight="1" outlineLevel="1">
      <c r="A107" s="50" t="s">
        <v>87</v>
      </c>
      <c r="B107" s="141" t="s">
        <v>192</v>
      </c>
      <c r="C107" s="141"/>
      <c r="D107" s="92"/>
      <c r="E107" s="132"/>
      <c r="F107" s="223"/>
      <c r="G107" s="92"/>
      <c r="H107" s="92"/>
      <c r="I107" s="514"/>
      <c r="J107" s="510"/>
      <c r="K107" s="510"/>
      <c r="L107" s="510"/>
      <c r="M107" s="510"/>
      <c r="N107" s="510"/>
      <c r="O107" s="510"/>
      <c r="P107" s="510"/>
      <c r="Q107" s="510"/>
      <c r="R107" s="510"/>
      <c r="S107" s="452"/>
    </row>
    <row r="108" spans="1:19" ht="15" customHeight="1" outlineLevel="1">
      <c r="A108" s="50" t="s">
        <v>87</v>
      </c>
      <c r="B108" s="144" t="s">
        <v>193</v>
      </c>
      <c r="C108" s="144"/>
      <c r="D108" s="92"/>
      <c r="E108" s="132"/>
      <c r="F108" s="223"/>
      <c r="G108" s="92"/>
      <c r="H108" s="92"/>
      <c r="I108" s="514"/>
      <c r="J108" s="510"/>
      <c r="K108" s="510"/>
      <c r="L108" s="510"/>
      <c r="M108" s="510"/>
      <c r="N108" s="510"/>
      <c r="O108" s="510"/>
      <c r="P108" s="510"/>
      <c r="Q108" s="510"/>
      <c r="R108" s="510"/>
      <c r="S108" s="452"/>
    </row>
    <row r="109" spans="1:19" outlineLevel="1">
      <c r="A109" s="50" t="s">
        <v>87</v>
      </c>
      <c r="B109" s="146" t="s">
        <v>194</v>
      </c>
      <c r="C109" s="552"/>
      <c r="D109" s="92"/>
      <c r="E109" s="132"/>
      <c r="F109" s="223"/>
      <c r="G109" s="92"/>
      <c r="H109" s="92"/>
      <c r="I109" s="514"/>
      <c r="J109" s="510"/>
      <c r="K109" s="510"/>
      <c r="L109" s="510"/>
      <c r="M109" s="510"/>
      <c r="N109" s="510"/>
      <c r="O109" s="510"/>
      <c r="P109" s="510"/>
      <c r="Q109" s="510"/>
      <c r="R109" s="510"/>
      <c r="S109" s="452"/>
    </row>
    <row r="110" spans="1:19" outlineLevel="1">
      <c r="A110" s="50" t="s">
        <v>87</v>
      </c>
      <c r="B110" s="240" t="s">
        <v>195</v>
      </c>
      <c r="C110" s="240"/>
      <c r="D110" s="92"/>
      <c r="E110" s="132"/>
      <c r="F110" s="223"/>
      <c r="G110" s="92"/>
      <c r="H110" s="92"/>
      <c r="I110" s="504"/>
      <c r="J110" s="473"/>
      <c r="K110" s="473"/>
      <c r="L110" s="511"/>
      <c r="M110" s="473"/>
      <c r="N110" s="473"/>
      <c r="O110" s="473"/>
      <c r="P110" s="473"/>
      <c r="Q110" s="473"/>
      <c r="R110" s="473"/>
      <c r="S110" s="452"/>
    </row>
    <row r="111" spans="1:19">
      <c r="A111" s="452"/>
      <c r="D111" s="453"/>
      <c r="E111" s="507"/>
      <c r="F111" s="452"/>
      <c r="G111" s="453"/>
      <c r="H111" s="452"/>
      <c r="I111" s="496"/>
      <c r="J111" s="453"/>
      <c r="K111" s="453"/>
      <c r="L111" s="453"/>
      <c r="M111" s="453"/>
      <c r="N111" s="453"/>
      <c r="O111" s="453"/>
      <c r="P111" s="453"/>
      <c r="Q111" s="453"/>
      <c r="R111" s="453"/>
      <c r="S111" s="452"/>
    </row>
  </sheetData>
  <sheetProtection insertHyperlinks="0"/>
  <customSheetViews>
    <customSheetView guid="{863CCB4D-AD69-4DA1-B6AD-6625CB13562E}">
      <pane xSplit="3" ySplit="3" topLeftCell="D46" activePane="bottomRight" state="frozen"/>
      <selection pane="bottomRight" activeCell="C54" sqref="C54"/>
      <pageMargins left="0" right="0" top="0" bottom="0" header="0" footer="0"/>
      <pageSetup orientation="portrait" horizontalDpi="1200" verticalDpi="1200" r:id="rId1"/>
    </customSheetView>
  </customSheetViews>
  <conditionalFormatting sqref="A101:E101 G101:R101 J102:R110 A47:D47 G47:R47 I102:I103 E103 I107 A102:C109 I109:I110 E108:I108 E104:I106 A95:E99 A48:R57 H92 A59:C91 A5:R19 A20:C20 K20:R20 A21:R28 A58 A92:D94 E59:E94 G95:R99 G93:H94 J58:R94 C58:E58 A31:R46 A29:D30 I29:R30">
    <cfRule type="expression" dxfId="58" priority="102">
      <formula>$A5="NO"</formula>
    </cfRule>
  </conditionalFormatting>
  <conditionalFormatting sqref="A110:C110 E110:H110">
    <cfRule type="expression" dxfId="57" priority="101">
      <formula>$A110="NO"</formula>
    </cfRule>
  </conditionalFormatting>
  <conditionalFormatting sqref="E47">
    <cfRule type="expression" dxfId="56" priority="62">
      <formula>$A47="NO"</formula>
    </cfRule>
  </conditionalFormatting>
  <conditionalFormatting sqref="F47">
    <cfRule type="expression" dxfId="55" priority="61">
      <formula>$A47="NO"</formula>
    </cfRule>
  </conditionalFormatting>
  <conditionalFormatting sqref="D103">
    <cfRule type="expression" dxfId="54" priority="60">
      <formula>$A103="NO"</formula>
    </cfRule>
  </conditionalFormatting>
  <conditionalFormatting sqref="F103">
    <cfRule type="expression" dxfId="53" priority="59">
      <formula>$A103="NO"</formula>
    </cfRule>
  </conditionalFormatting>
  <conditionalFormatting sqref="G103:H103">
    <cfRule type="expression" dxfId="52" priority="58">
      <formula>$A103="NO"</formula>
    </cfRule>
  </conditionalFormatting>
  <conditionalFormatting sqref="E104:E110">
    <cfRule type="expression" dxfId="51" priority="57">
      <formula>$A104="NO"</formula>
    </cfRule>
  </conditionalFormatting>
  <conditionalFormatting sqref="F104:F110">
    <cfRule type="expression" dxfId="50" priority="55">
      <formula>$A104="NO"</formula>
    </cfRule>
  </conditionalFormatting>
  <conditionalFormatting sqref="G104:H110">
    <cfRule type="expression" dxfId="49" priority="54">
      <formula>$A104="NO"</formula>
    </cfRule>
  </conditionalFormatting>
  <conditionalFormatting sqref="E109">
    <cfRule type="expression" dxfId="48" priority="53">
      <formula>$A109="NO"</formula>
    </cfRule>
  </conditionalFormatting>
  <conditionalFormatting sqref="F109">
    <cfRule type="expression" dxfId="47" priority="51">
      <formula>$A109="NO"</formula>
    </cfRule>
  </conditionalFormatting>
  <conditionalFormatting sqref="G109:H109">
    <cfRule type="expression" dxfId="46" priority="50">
      <formula>$A109="NO"</formula>
    </cfRule>
  </conditionalFormatting>
  <conditionalFormatting sqref="E102">
    <cfRule type="expression" dxfId="45" priority="49">
      <formula>$A102="NO"</formula>
    </cfRule>
  </conditionalFormatting>
  <conditionalFormatting sqref="D102">
    <cfRule type="expression" dxfId="44" priority="48">
      <formula>$A102="NO"</formula>
    </cfRule>
  </conditionalFormatting>
  <conditionalFormatting sqref="F102">
    <cfRule type="expression" dxfId="43" priority="47">
      <formula>$A102="NO"</formula>
    </cfRule>
  </conditionalFormatting>
  <conditionalFormatting sqref="G102:H102">
    <cfRule type="expression" dxfId="42" priority="46">
      <formula>$A102="NO"</formula>
    </cfRule>
  </conditionalFormatting>
  <conditionalFormatting sqref="D104:D110">
    <cfRule type="expression" dxfId="41" priority="45">
      <formula>$A104="NO"</formula>
    </cfRule>
  </conditionalFormatting>
  <conditionalFormatting sqref="D20:J20">
    <cfRule type="expression" dxfId="40" priority="252">
      <formula>$A23="NO"</formula>
    </cfRule>
  </conditionalFormatting>
  <conditionalFormatting sqref="F59:F99 F58:I58 I59:I94 G59:H91">
    <cfRule type="expression" dxfId="39" priority="8">
      <formula>$A58="NO"</formula>
    </cfRule>
  </conditionalFormatting>
  <conditionalFormatting sqref="D59:D71 D73:D91">
    <cfRule type="expression" dxfId="38" priority="7">
      <formula>$A59="NO"</formula>
    </cfRule>
  </conditionalFormatting>
  <conditionalFormatting sqref="G92">
    <cfRule type="expression" dxfId="37" priority="5">
      <formula>$A92="NO"</formula>
    </cfRule>
  </conditionalFormatting>
  <conditionalFormatting sqref="D72">
    <cfRule type="expression" dxfId="36" priority="4">
      <formula>$A72="NO"</formula>
    </cfRule>
  </conditionalFormatting>
  <conditionalFormatting sqref="B58">
    <cfRule type="expression" dxfId="35" priority="3">
      <formula>$A58="NO"</formula>
    </cfRule>
  </conditionalFormatting>
  <conditionalFormatting sqref="E29:H29">
    <cfRule type="expression" dxfId="34" priority="2">
      <formula>$A29="NO"</formula>
    </cfRule>
  </conditionalFormatting>
  <conditionalFormatting sqref="E30:H30">
    <cfRule type="expression" dxfId="33" priority="1">
      <formula>$A30="NO"</formula>
    </cfRule>
  </conditionalFormatting>
  <dataValidations count="3">
    <dataValidation type="list" allowBlank="1" showInputMessage="1" showErrorMessage="1" sqref="A55" xr:uid="{00000000-0002-0000-0300-000000000000}">
      <formula1>", NO, YES,"</formula1>
    </dataValidation>
    <dataValidation type="list" allowBlank="1" showInputMessage="1" showErrorMessage="1" sqref="A5:A38 A41:A54 A102:A110" xr:uid="{00000000-0002-0000-0300-000001000000}">
      <formula1>"YES,NO,'"</formula1>
    </dataValidation>
    <dataValidation type="list" allowBlank="1" showInputMessage="1" showErrorMessage="1" sqref="N94:R99 K41:M54 K57:M99 K5:M38" xr:uid="{00000000-0002-0000-0300-000002000000}">
      <formula1>"NO, YES"</formula1>
    </dataValidation>
  </dataValidations>
  <hyperlinks>
    <hyperlink ref="H5" r:id="rId2" xr:uid="{00000000-0004-0000-0300-000001000000}"/>
    <hyperlink ref="G6" r:id="rId3" xr:uid="{00000000-0004-0000-0300-000002000000}"/>
    <hyperlink ref="H6" r:id="rId4" xr:uid="{00000000-0004-0000-0300-000003000000}"/>
    <hyperlink ref="G29" r:id="rId5" xr:uid="{3DD91895-2051-4E11-911C-CC467853222B}"/>
    <hyperlink ref="H29" r:id="rId6" xr:uid="{410FFC11-E1F7-4DDB-9438-880864844588}"/>
    <hyperlink ref="G30" r:id="rId7" xr:uid="{8039E9E0-04FC-475A-86A7-3371B248B909}"/>
    <hyperlink ref="H30" r:id="rId8" xr:uid="{B42A8AEA-6E82-45FE-9884-2FDF1101B15C}"/>
  </hyperlinks>
  <pageMargins left="0.7" right="0.7" top="0.75" bottom="0.75" header="0.3" footer="0.3"/>
  <pageSetup scale="40" fitToWidth="0" fitToHeight="0" orientation="landscape" horizontalDpi="1200" verticalDpi="1200" r:id="rId9"/>
  <drawing r:id="rId10"/>
  <legacyDrawing r:id="rId11"/>
  <mc:AlternateContent xmlns:mc="http://schemas.openxmlformats.org/markup-compatibility/2006">
    <mc:Choice Requires="x14">
      <controls>
        <mc:AlternateContent xmlns:mc="http://schemas.openxmlformats.org/markup-compatibility/2006">
          <mc:Choice Requires="x14">
            <control shapeId="13314" r:id="rId12" name="Button 2">
              <controlPr defaultSize="0" print="0" autoFill="0" autoPict="0" macro="[0]!Toggle_Hiding_Not_Required">
                <anchor moveWithCells="1" sizeWithCells="1">
                  <from>
                    <xdr:col>5</xdr:col>
                    <xdr:colOff>333375</xdr:colOff>
                    <xdr:row>0</xdr:row>
                    <xdr:rowOff>66675</xdr:rowOff>
                  </from>
                  <to>
                    <xdr:col>6</xdr:col>
                    <xdr:colOff>1419225</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H147"/>
  <sheetViews>
    <sheetView zoomScaleNormal="100" workbookViewId="0">
      <pane ySplit="3" topLeftCell="A28" activePane="bottomLeft" state="frozen"/>
      <selection pane="bottomLeft" activeCell="D34" sqref="D34"/>
    </sheetView>
  </sheetViews>
  <sheetFormatPr defaultColWidth="9.140625" defaultRowHeight="15" outlineLevelRow="1"/>
  <cols>
    <col min="1" max="1" width="47" style="90" customWidth="1"/>
    <col min="2" max="2" width="34.42578125" style="90" customWidth="1"/>
    <col min="3" max="3" width="26.42578125" style="48" customWidth="1"/>
    <col min="4" max="4" width="13.42578125" style="49" customWidth="1"/>
    <col min="5" max="5" width="34.28515625" style="49" customWidth="1"/>
    <col min="6" max="6" width="77.28515625" style="49" customWidth="1"/>
    <col min="7" max="16384" width="9.140625" style="49"/>
  </cols>
  <sheetData>
    <row r="1" spans="1:8" ht="30" customHeight="1">
      <c r="A1" s="253" t="s">
        <v>196</v>
      </c>
      <c r="B1" s="254"/>
      <c r="C1" s="255"/>
      <c r="D1" s="111"/>
      <c r="E1" s="111"/>
      <c r="F1" s="111"/>
      <c r="G1" s="452"/>
      <c r="H1" s="452"/>
    </row>
    <row r="2" spans="1:8" ht="22.5" customHeight="1">
      <c r="A2" s="234" t="str">
        <f>'01 Project Details'!B2</f>
        <v xml:space="preserve">PT#    </v>
      </c>
      <c r="B2" s="207"/>
      <c r="C2" s="208"/>
      <c r="D2" s="242"/>
      <c r="E2" s="242"/>
      <c r="F2" s="242"/>
      <c r="G2" s="452"/>
      <c r="H2" s="452"/>
    </row>
    <row r="3" spans="1:8" ht="30" customHeight="1">
      <c r="A3" s="28" t="s">
        <v>59</v>
      </c>
      <c r="B3" s="70" t="s">
        <v>197</v>
      </c>
      <c r="C3" s="29" t="s">
        <v>60</v>
      </c>
      <c r="D3" s="29" t="s">
        <v>62</v>
      </c>
      <c r="E3" s="29" t="s">
        <v>64</v>
      </c>
      <c r="F3" s="29" t="s">
        <v>198</v>
      </c>
      <c r="G3" s="452"/>
      <c r="H3" s="452"/>
    </row>
    <row r="4" spans="1:8">
      <c r="C4" s="453"/>
      <c r="D4" s="452"/>
      <c r="E4" s="452"/>
      <c r="F4" s="452"/>
      <c r="G4" s="452"/>
      <c r="H4" s="452"/>
    </row>
    <row r="5" spans="1:8">
      <c r="A5" s="46" t="s">
        <v>199</v>
      </c>
      <c r="B5" s="238"/>
      <c r="C5" s="50"/>
      <c r="D5" s="453"/>
      <c r="E5" s="453"/>
      <c r="F5" s="284"/>
      <c r="G5" s="452"/>
      <c r="H5" s="452"/>
    </row>
    <row r="6" spans="1:8" outlineLevel="1">
      <c r="A6" s="239" t="s">
        <v>200</v>
      </c>
      <c r="B6" s="237"/>
      <c r="C6" s="237"/>
      <c r="D6" s="143"/>
      <c r="E6" s="515"/>
      <c r="F6" s="516"/>
      <c r="G6" s="452"/>
      <c r="H6" s="452"/>
    </row>
    <row r="7" spans="1:8" outlineLevel="1">
      <c r="A7" s="239" t="s">
        <v>201</v>
      </c>
      <c r="B7" s="82"/>
      <c r="C7" s="104"/>
      <c r="D7" s="143"/>
      <c r="E7" s="515"/>
      <c r="F7" s="516"/>
      <c r="G7" s="452"/>
      <c r="H7" s="452"/>
    </row>
    <row r="8" spans="1:8" outlineLevel="1">
      <c r="A8" s="239" t="s">
        <v>202</v>
      </c>
      <c r="B8" s="98"/>
      <c r="C8" s="104"/>
      <c r="D8" s="143"/>
      <c r="E8" s="142"/>
      <c r="F8" s="516"/>
      <c r="G8" s="452"/>
      <c r="H8" s="452"/>
    </row>
    <row r="9" spans="1:8" ht="15" customHeight="1" outlineLevel="1">
      <c r="A9" s="141" t="s">
        <v>203</v>
      </c>
      <c r="B9" s="273"/>
      <c r="C9" s="104"/>
      <c r="D9" s="143"/>
      <c r="E9" s="319"/>
      <c r="F9" s="516"/>
      <c r="G9" s="452"/>
      <c r="H9" s="452"/>
    </row>
    <row r="10" spans="1:8" ht="16.5" customHeight="1" outlineLevel="1">
      <c r="A10" s="141" t="s">
        <v>204</v>
      </c>
      <c r="B10" s="142"/>
      <c r="C10" s="82"/>
      <c r="D10" s="142"/>
      <c r="E10" s="319"/>
      <c r="F10" s="82"/>
      <c r="G10" s="452"/>
      <c r="H10" s="452"/>
    </row>
    <row r="11" spans="1:8" ht="16.5" customHeight="1" outlineLevel="1">
      <c r="A11" s="141" t="s">
        <v>205</v>
      </c>
      <c r="B11" s="201"/>
      <c r="C11" s="104"/>
      <c r="D11" s="274"/>
      <c r="E11" s="82"/>
      <c r="F11" s="516"/>
      <c r="G11" s="452"/>
      <c r="H11" s="452"/>
    </row>
    <row r="12" spans="1:8" ht="16.5" customHeight="1" outlineLevel="1">
      <c r="A12" s="141" t="s">
        <v>205</v>
      </c>
      <c r="B12" s="104"/>
      <c r="C12" s="104"/>
      <c r="D12" s="274"/>
      <c r="E12" s="82"/>
      <c r="F12" s="516"/>
      <c r="G12" s="452"/>
      <c r="H12" s="452"/>
    </row>
    <row r="13" spans="1:8" ht="16.5" customHeight="1" outlineLevel="1">
      <c r="A13" s="141" t="s">
        <v>205</v>
      </c>
      <c r="B13" s="275"/>
      <c r="C13" s="275"/>
      <c r="D13" s="276"/>
      <c r="E13" s="82"/>
      <c r="F13" s="516"/>
      <c r="G13" s="452"/>
      <c r="H13" s="452"/>
    </row>
    <row r="14" spans="1:8" ht="16.5" customHeight="1" outlineLevel="1">
      <c r="A14" s="141" t="s">
        <v>205</v>
      </c>
      <c r="B14" s="237"/>
      <c r="C14" s="237"/>
      <c r="D14" s="277"/>
      <c r="E14" s="233"/>
      <c r="F14" s="82"/>
      <c r="G14" s="452"/>
      <c r="H14" s="452"/>
    </row>
    <row r="15" spans="1:8" ht="16.5" customHeight="1" outlineLevel="1">
      <c r="A15" s="141" t="s">
        <v>205</v>
      </c>
      <c r="B15" s="278"/>
      <c r="C15" s="278"/>
      <c r="D15" s="142"/>
      <c r="E15" s="233"/>
      <c r="F15" s="82"/>
      <c r="G15" s="452"/>
      <c r="H15" s="452"/>
    </row>
    <row r="16" spans="1:8" ht="16.5" customHeight="1" outlineLevel="1">
      <c r="A16" s="141" t="s">
        <v>205</v>
      </c>
      <c r="B16" s="279"/>
      <c r="C16" s="279"/>
      <c r="D16" s="277"/>
      <c r="E16" s="233"/>
      <c r="F16" s="82"/>
      <c r="G16" s="452"/>
      <c r="H16" s="452"/>
    </row>
    <row r="17" spans="1:8" outlineLevel="1">
      <c r="A17" s="141" t="s">
        <v>205</v>
      </c>
      <c r="B17" s="280"/>
      <c r="C17" s="280"/>
      <c r="D17" s="281"/>
      <c r="E17" s="276"/>
      <c r="F17" s="62"/>
      <c r="G17" s="452"/>
      <c r="H17" s="452"/>
    </row>
    <row r="18" spans="1:8" outlineLevel="1">
      <c r="A18" s="141" t="s">
        <v>206</v>
      </c>
      <c r="B18" s="142"/>
      <c r="C18" s="282"/>
      <c r="D18" s="283"/>
      <c r="E18" s="276"/>
      <c r="F18" s="62"/>
      <c r="G18" s="452"/>
      <c r="H18" s="452"/>
    </row>
    <row r="19" spans="1:8" outlineLevel="1">
      <c r="A19" s="141" t="s">
        <v>207</v>
      </c>
      <c r="B19" s="142"/>
      <c r="C19" s="282"/>
      <c r="D19" s="283"/>
      <c r="E19" s="276"/>
      <c r="F19" s="516"/>
      <c r="G19" s="452"/>
      <c r="H19" s="452"/>
    </row>
    <row r="20" spans="1:8" outlineLevel="1">
      <c r="A20" s="141" t="s">
        <v>208</v>
      </c>
      <c r="B20" s="142"/>
      <c r="C20" s="282"/>
      <c r="D20" s="283"/>
      <c r="E20" s="276"/>
      <c r="F20" s="516"/>
      <c r="G20" s="452"/>
      <c r="H20" s="452"/>
    </row>
    <row r="21" spans="1:8" outlineLevel="1">
      <c r="A21" s="141" t="s">
        <v>209</v>
      </c>
      <c r="B21" s="142"/>
      <c r="C21" s="282"/>
      <c r="D21" s="283"/>
      <c r="E21" s="276"/>
      <c r="F21" s="516"/>
      <c r="G21" s="452"/>
      <c r="H21" s="452"/>
    </row>
    <row r="22" spans="1:8" outlineLevel="1">
      <c r="A22" s="141" t="s">
        <v>210</v>
      </c>
      <c r="B22" s="142"/>
      <c r="C22" s="282"/>
      <c r="D22" s="283"/>
      <c r="E22" s="276"/>
      <c r="F22" s="516"/>
      <c r="G22" s="452"/>
      <c r="H22" s="452"/>
    </row>
    <row r="23" spans="1:8" outlineLevel="1">
      <c r="A23" s="141" t="s">
        <v>211</v>
      </c>
      <c r="B23" s="142"/>
      <c r="C23" s="282"/>
      <c r="D23" s="283"/>
      <c r="E23" s="276"/>
      <c r="F23" s="62"/>
      <c r="G23" s="452"/>
      <c r="H23" s="452"/>
    </row>
    <row r="24" spans="1:8" outlineLevel="1">
      <c r="A24" s="141" t="s">
        <v>212</v>
      </c>
      <c r="B24" s="142"/>
      <c r="C24" s="282"/>
      <c r="D24" s="283"/>
      <c r="E24" s="276"/>
      <c r="F24" s="62"/>
      <c r="G24" s="452"/>
      <c r="H24" s="452"/>
    </row>
    <row r="25" spans="1:8" outlineLevel="1">
      <c r="A25" s="141" t="s">
        <v>213</v>
      </c>
      <c r="B25" s="142"/>
      <c r="C25" s="282"/>
      <c r="D25" s="283"/>
      <c r="E25" s="276"/>
      <c r="F25" s="516"/>
      <c r="G25" s="452"/>
      <c r="H25" s="452"/>
    </row>
    <row r="26" spans="1:8" outlineLevel="1">
      <c r="A26" s="141" t="s">
        <v>214</v>
      </c>
      <c r="B26" s="142"/>
      <c r="C26" s="282"/>
      <c r="D26" s="283"/>
      <c r="E26" s="276"/>
      <c r="F26" s="516"/>
      <c r="G26" s="452"/>
      <c r="H26" s="452"/>
    </row>
    <row r="27" spans="1:8" outlineLevel="1">
      <c r="A27" s="141" t="s">
        <v>215</v>
      </c>
      <c r="B27" s="142"/>
      <c r="C27" s="282"/>
      <c r="D27" s="283"/>
      <c r="E27" s="276"/>
      <c r="F27" s="516"/>
      <c r="G27" s="452"/>
      <c r="H27" s="452"/>
    </row>
    <row r="28" spans="1:8" outlineLevel="1">
      <c r="A28" s="141" t="s">
        <v>216</v>
      </c>
      <c r="B28" s="142"/>
      <c r="C28" s="282"/>
      <c r="D28" s="283"/>
      <c r="E28" s="276"/>
      <c r="F28" s="516"/>
      <c r="G28" s="452"/>
      <c r="H28" s="452"/>
    </row>
    <row r="29" spans="1:8" outlineLevel="1">
      <c r="A29" s="141" t="s">
        <v>217</v>
      </c>
      <c r="B29" s="142"/>
      <c r="C29" s="282"/>
      <c r="D29" s="283"/>
      <c r="E29" s="276"/>
      <c r="F29" s="62"/>
      <c r="G29" s="452"/>
      <c r="H29" s="452"/>
    </row>
    <row r="30" spans="1:8" outlineLevel="1">
      <c r="A30" s="141" t="s">
        <v>218</v>
      </c>
      <c r="B30" s="142"/>
      <c r="C30" s="282"/>
      <c r="D30" s="283"/>
      <c r="E30" s="276"/>
      <c r="F30" s="516"/>
      <c r="G30" s="452"/>
      <c r="H30" s="452"/>
    </row>
    <row r="31" spans="1:8" outlineLevel="1">
      <c r="A31" s="141" t="s">
        <v>219</v>
      </c>
      <c r="B31" s="142"/>
      <c r="C31" s="282"/>
      <c r="D31" s="283"/>
      <c r="E31" s="276"/>
      <c r="F31" s="516"/>
      <c r="G31" s="452"/>
      <c r="H31" s="452"/>
    </row>
    <row r="32" spans="1:8" outlineLevel="1">
      <c r="A32" s="141" t="s">
        <v>220</v>
      </c>
      <c r="B32" s="142"/>
      <c r="C32" s="282"/>
      <c r="D32" s="283"/>
      <c r="E32" s="276"/>
      <c r="F32" s="516"/>
      <c r="G32" s="452"/>
      <c r="H32" s="452"/>
    </row>
    <row r="33" spans="1:8" outlineLevel="1">
      <c r="A33" s="141" t="s">
        <v>221</v>
      </c>
      <c r="B33" s="142"/>
      <c r="C33" s="282"/>
      <c r="D33" s="283"/>
      <c r="E33" s="276"/>
      <c r="F33" s="516"/>
      <c r="G33" s="452"/>
      <c r="H33" s="452"/>
    </row>
    <row r="34" spans="1:8" outlineLevel="1">
      <c r="A34" s="141" t="s">
        <v>222</v>
      </c>
      <c r="B34" s="142"/>
      <c r="C34" s="282"/>
      <c r="D34" s="283"/>
      <c r="E34" s="233"/>
      <c r="F34" s="62"/>
      <c r="G34" s="452"/>
      <c r="H34" s="452"/>
    </row>
    <row r="35" spans="1:8" outlineLevel="1">
      <c r="A35" s="141" t="s">
        <v>223</v>
      </c>
      <c r="B35" s="142"/>
      <c r="C35" s="98"/>
      <c r="D35" s="276"/>
      <c r="E35" s="233"/>
      <c r="F35" s="516"/>
      <c r="G35" s="452"/>
      <c r="H35" s="452"/>
    </row>
    <row r="36" spans="1:8" outlineLevel="1">
      <c r="A36" s="141" t="s">
        <v>224</v>
      </c>
      <c r="B36" s="142"/>
      <c r="C36" s="98"/>
      <c r="D36" s="276"/>
      <c r="E36" s="233"/>
      <c r="F36" s="516"/>
      <c r="G36" s="452"/>
      <c r="H36" s="452"/>
    </row>
    <row r="37" spans="1:8" ht="15.75" outlineLevel="1">
      <c r="A37" s="141" t="s">
        <v>225</v>
      </c>
      <c r="B37" s="320"/>
      <c r="C37" s="98"/>
      <c r="D37" s="517"/>
      <c r="E37" s="233"/>
      <c r="F37" s="516"/>
      <c r="G37" s="452"/>
      <c r="H37" s="452"/>
    </row>
    <row r="38" spans="1:8" ht="15.75" outlineLevel="1">
      <c r="A38" s="141" t="s">
        <v>226</v>
      </c>
      <c r="B38" s="320"/>
      <c r="C38" s="98"/>
      <c r="D38" s="517"/>
      <c r="E38" s="233"/>
      <c r="F38" s="516"/>
      <c r="G38" s="452"/>
      <c r="H38" s="452"/>
    </row>
    <row r="39" spans="1:8">
      <c r="A39" s="147"/>
      <c r="B39" s="147"/>
      <c r="C39" s="148"/>
      <c r="D39" s="518"/>
      <c r="E39" s="149"/>
      <c r="F39" s="150"/>
      <c r="G39" s="452"/>
      <c r="H39" s="452"/>
    </row>
    <row r="40" spans="1:8">
      <c r="A40" s="595" t="s">
        <v>227</v>
      </c>
      <c r="B40" s="596"/>
      <c r="C40" s="148"/>
      <c r="D40" s="518"/>
      <c r="E40" s="597" t="s">
        <v>228</v>
      </c>
      <c r="F40" s="598"/>
      <c r="G40" s="452"/>
      <c r="H40" s="452"/>
    </row>
    <row r="41" spans="1:8" outlineLevel="1">
      <c r="A41" s="559" t="s">
        <v>229</v>
      </c>
      <c r="B41" s="564"/>
      <c r="C41" s="565"/>
      <c r="D41" s="566"/>
      <c r="E41" s="567"/>
      <c r="F41" s="555"/>
      <c r="G41" s="452"/>
      <c r="H41" s="452"/>
    </row>
    <row r="42" spans="1:8" outlineLevel="1">
      <c r="A42" s="559" t="s">
        <v>230</v>
      </c>
      <c r="B42" s="564"/>
      <c r="C42" s="568"/>
      <c r="D42" s="569"/>
      <c r="E42" s="570"/>
      <c r="F42" s="278"/>
      <c r="G42" s="452"/>
      <c r="H42" s="452"/>
    </row>
    <row r="43" spans="1:8" outlineLevel="1">
      <c r="A43" s="559" t="s">
        <v>231</v>
      </c>
      <c r="B43" s="564"/>
      <c r="C43" s="566"/>
      <c r="D43" s="571"/>
      <c r="E43" s="572"/>
      <c r="F43" s="290"/>
      <c r="G43" s="452"/>
      <c r="H43" s="452"/>
    </row>
    <row r="44" spans="1:8" outlineLevel="1">
      <c r="A44" s="559" t="s">
        <v>232</v>
      </c>
      <c r="B44" s="564"/>
      <c r="C44" s="568"/>
      <c r="D44" s="569"/>
      <c r="E44" s="570"/>
      <c r="F44" s="278"/>
      <c r="G44" s="452"/>
      <c r="H44" s="452"/>
    </row>
    <row r="45" spans="1:8" outlineLevel="1">
      <c r="A45" s="559" t="s">
        <v>233</v>
      </c>
      <c r="B45" s="564"/>
      <c r="C45" s="566"/>
      <c r="D45" s="571"/>
      <c r="E45" s="572"/>
      <c r="F45" s="290"/>
      <c r="G45" s="452"/>
      <c r="H45" s="452"/>
    </row>
    <row r="46" spans="1:8" outlineLevel="1">
      <c r="A46" s="559" t="s">
        <v>234</v>
      </c>
      <c r="B46" s="564"/>
      <c r="C46" s="568"/>
      <c r="D46" s="569"/>
      <c r="E46" s="570"/>
      <c r="F46" s="278"/>
      <c r="G46" s="452"/>
      <c r="H46" s="452"/>
    </row>
    <row r="47" spans="1:8" outlineLevel="1">
      <c r="A47" s="560" t="s">
        <v>235</v>
      </c>
      <c r="B47" s="573"/>
      <c r="C47" s="574"/>
      <c r="D47" s="575"/>
      <c r="E47" s="576"/>
      <c r="F47" s="554"/>
      <c r="G47" s="452"/>
      <c r="H47" s="452"/>
    </row>
    <row r="48" spans="1:8" outlineLevel="1">
      <c r="A48" s="561" t="s">
        <v>236</v>
      </c>
      <c r="B48" s="564"/>
      <c r="C48" s="568"/>
      <c r="D48" s="568"/>
      <c r="E48" s="577"/>
      <c r="F48" s="278"/>
      <c r="G48" s="452"/>
      <c r="H48" s="452"/>
    </row>
    <row r="49" spans="1:8" outlineLevel="1">
      <c r="A49" s="561" t="s">
        <v>237</v>
      </c>
      <c r="B49" s="564"/>
      <c r="C49" s="568"/>
      <c r="D49" s="568"/>
      <c r="E49" s="578"/>
      <c r="F49" s="278"/>
      <c r="G49" s="452"/>
      <c r="H49" s="452"/>
    </row>
    <row r="50" spans="1:8" outlineLevel="1">
      <c r="A50" s="561" t="s">
        <v>238</v>
      </c>
      <c r="B50" s="564"/>
      <c r="C50" s="568"/>
      <c r="D50" s="569"/>
      <c r="E50" s="579"/>
      <c r="F50" s="278"/>
      <c r="G50" s="452"/>
      <c r="H50" s="452"/>
    </row>
    <row r="51" spans="1:8" s="557" customFormat="1" outlineLevel="1">
      <c r="A51" s="560" t="s">
        <v>235</v>
      </c>
      <c r="B51" s="573"/>
      <c r="C51" s="574"/>
      <c r="D51" s="575"/>
      <c r="E51" s="576"/>
      <c r="F51" s="558"/>
      <c r="G51" s="584"/>
      <c r="H51" s="584"/>
    </row>
    <row r="52" spans="1:8" outlineLevel="1">
      <c r="A52" s="561" t="s">
        <v>236</v>
      </c>
      <c r="B52" s="564"/>
      <c r="C52" s="568"/>
      <c r="D52" s="569"/>
      <c r="E52" s="570"/>
      <c r="F52" s="278"/>
      <c r="G52" s="452"/>
      <c r="H52" s="452"/>
    </row>
    <row r="53" spans="1:8" outlineLevel="1">
      <c r="A53" s="561" t="s">
        <v>237</v>
      </c>
      <c r="B53" s="564"/>
      <c r="C53" s="568"/>
      <c r="D53" s="569"/>
      <c r="E53" s="570"/>
      <c r="F53" s="278"/>
      <c r="G53" s="452"/>
      <c r="H53" s="452"/>
    </row>
    <row r="54" spans="1:8" outlineLevel="1">
      <c r="A54" s="561" t="s">
        <v>238</v>
      </c>
      <c r="B54" s="564"/>
      <c r="C54" s="568"/>
      <c r="D54" s="569"/>
      <c r="E54" s="570"/>
      <c r="F54" s="278"/>
      <c r="G54" s="452"/>
      <c r="H54" s="452"/>
    </row>
    <row r="55" spans="1:8" s="557" customFormat="1" outlineLevel="1">
      <c r="A55" s="560" t="s">
        <v>235</v>
      </c>
      <c r="B55" s="573"/>
      <c r="C55" s="574"/>
      <c r="D55" s="575"/>
      <c r="E55" s="576"/>
      <c r="F55" s="558"/>
      <c r="G55" s="584"/>
      <c r="H55" s="584"/>
    </row>
    <row r="56" spans="1:8" outlineLevel="1">
      <c r="A56" s="561" t="s">
        <v>236</v>
      </c>
      <c r="B56" s="564"/>
      <c r="C56" s="568"/>
      <c r="D56" s="569"/>
      <c r="E56" s="570"/>
      <c r="F56" s="278"/>
      <c r="G56" s="452"/>
      <c r="H56" s="452"/>
    </row>
    <row r="57" spans="1:8" outlineLevel="1">
      <c r="A57" s="561" t="s">
        <v>237</v>
      </c>
      <c r="B57" s="564"/>
      <c r="C57" s="568"/>
      <c r="D57" s="569"/>
      <c r="E57" s="570"/>
      <c r="F57" s="278"/>
      <c r="G57" s="452"/>
      <c r="H57" s="452"/>
    </row>
    <row r="58" spans="1:8" outlineLevel="1">
      <c r="A58" s="561" t="s">
        <v>238</v>
      </c>
      <c r="B58" s="564"/>
      <c r="C58" s="568"/>
      <c r="D58" s="569"/>
      <c r="E58" s="570"/>
      <c r="F58" s="278"/>
      <c r="G58" s="452"/>
      <c r="H58" s="452"/>
    </row>
    <row r="59" spans="1:8" s="557" customFormat="1" outlineLevel="1">
      <c r="A59" s="560" t="s">
        <v>235</v>
      </c>
      <c r="B59" s="573"/>
      <c r="C59" s="574"/>
      <c r="D59" s="575"/>
      <c r="E59" s="576"/>
      <c r="F59" s="558"/>
      <c r="G59" s="584"/>
      <c r="H59" s="584"/>
    </row>
    <row r="60" spans="1:8" outlineLevel="1">
      <c r="A60" s="561" t="s">
        <v>236</v>
      </c>
      <c r="B60" s="564"/>
      <c r="C60" s="568"/>
      <c r="D60" s="568"/>
      <c r="E60" s="577"/>
      <c r="F60" s="278"/>
      <c r="G60" s="452"/>
      <c r="H60" s="452"/>
    </row>
    <row r="61" spans="1:8" outlineLevel="1">
      <c r="A61" s="561" t="s">
        <v>237</v>
      </c>
      <c r="B61" s="564"/>
      <c r="C61" s="568"/>
      <c r="D61" s="569"/>
      <c r="E61" s="570"/>
      <c r="F61" s="278"/>
      <c r="G61" s="452"/>
      <c r="H61" s="452"/>
    </row>
    <row r="62" spans="1:8" outlineLevel="1">
      <c r="A62" s="561" t="s">
        <v>238</v>
      </c>
      <c r="B62" s="564"/>
      <c r="C62" s="568"/>
      <c r="D62" s="569"/>
      <c r="E62" s="579"/>
      <c r="F62" s="278"/>
      <c r="G62" s="452"/>
      <c r="H62" s="452"/>
    </row>
    <row r="63" spans="1:8" s="557" customFormat="1" outlineLevel="1">
      <c r="A63" s="560" t="s">
        <v>235</v>
      </c>
      <c r="B63" s="573"/>
      <c r="C63" s="574"/>
      <c r="D63" s="575"/>
      <c r="E63" s="576"/>
      <c r="F63" s="558"/>
      <c r="G63" s="584"/>
      <c r="H63" s="584"/>
    </row>
    <row r="64" spans="1:8" outlineLevel="1">
      <c r="A64" s="561" t="s">
        <v>236</v>
      </c>
      <c r="B64" s="564"/>
      <c r="C64" s="577"/>
      <c r="D64" s="577"/>
      <c r="E64" s="577"/>
      <c r="F64" s="278"/>
      <c r="G64" s="452"/>
      <c r="H64" s="452"/>
    </row>
    <row r="65" spans="1:8" outlineLevel="1">
      <c r="A65" s="561" t="s">
        <v>237</v>
      </c>
      <c r="B65" s="564"/>
      <c r="C65" s="577"/>
      <c r="D65" s="577"/>
      <c r="E65" s="578"/>
      <c r="F65" s="278"/>
      <c r="G65" s="452"/>
      <c r="H65" s="452"/>
    </row>
    <row r="66" spans="1:8" outlineLevel="1">
      <c r="A66" s="561" t="s">
        <v>238</v>
      </c>
      <c r="B66" s="564"/>
      <c r="C66" s="577"/>
      <c r="D66" s="577"/>
      <c r="E66" s="578"/>
      <c r="F66" s="278"/>
      <c r="G66" s="452"/>
      <c r="H66" s="452"/>
    </row>
    <row r="67" spans="1:8" s="557" customFormat="1" outlineLevel="1">
      <c r="A67" s="560" t="s">
        <v>235</v>
      </c>
      <c r="B67" s="573"/>
      <c r="C67" s="574"/>
      <c r="D67" s="575"/>
      <c r="E67" s="576"/>
      <c r="F67" s="558"/>
      <c r="G67" s="584"/>
      <c r="H67" s="584"/>
    </row>
    <row r="68" spans="1:8">
      <c r="A68" s="561" t="s">
        <v>236</v>
      </c>
      <c r="B68" s="564"/>
      <c r="C68" s="568"/>
      <c r="D68" s="569"/>
      <c r="E68" s="570"/>
      <c r="F68" s="278"/>
      <c r="G68" s="452"/>
      <c r="H68" s="452"/>
    </row>
    <row r="69" spans="1:8">
      <c r="A69" s="561" t="s">
        <v>237</v>
      </c>
      <c r="B69" s="564"/>
      <c r="C69" s="568"/>
      <c r="D69" s="569"/>
      <c r="E69" s="570"/>
      <c r="F69" s="278"/>
      <c r="G69" s="452"/>
      <c r="H69" s="452"/>
    </row>
    <row r="70" spans="1:8">
      <c r="A70" s="561" t="s">
        <v>238</v>
      </c>
      <c r="B70" s="564"/>
      <c r="C70" s="568"/>
      <c r="D70" s="569"/>
      <c r="E70" s="570"/>
      <c r="F70" s="278"/>
      <c r="G70" s="452"/>
      <c r="H70" s="452"/>
    </row>
    <row r="71" spans="1:8" s="557" customFormat="1" outlineLevel="1">
      <c r="A71" s="560" t="s">
        <v>235</v>
      </c>
      <c r="B71" s="573"/>
      <c r="C71" s="574"/>
      <c r="D71" s="575"/>
      <c r="E71" s="576"/>
      <c r="F71" s="558"/>
      <c r="G71" s="584"/>
      <c r="H71" s="584"/>
    </row>
    <row r="72" spans="1:8" outlineLevel="1">
      <c r="A72" s="561" t="s">
        <v>236</v>
      </c>
      <c r="B72" s="564"/>
      <c r="C72" s="568"/>
      <c r="D72" s="569"/>
      <c r="E72" s="570"/>
      <c r="F72" s="278"/>
      <c r="G72" s="452"/>
      <c r="H72" s="452"/>
    </row>
    <row r="73" spans="1:8" outlineLevel="1">
      <c r="A73" s="561" t="s">
        <v>237</v>
      </c>
      <c r="B73" s="564"/>
      <c r="C73" s="568"/>
      <c r="D73" s="569"/>
      <c r="E73" s="570"/>
      <c r="F73" s="278"/>
      <c r="G73" s="452"/>
      <c r="H73" s="452"/>
    </row>
    <row r="74" spans="1:8" outlineLevel="1">
      <c r="A74" s="561" t="s">
        <v>238</v>
      </c>
      <c r="B74" s="564"/>
      <c r="C74" s="568"/>
      <c r="D74" s="569"/>
      <c r="E74" s="570"/>
      <c r="F74" s="278"/>
      <c r="G74" s="452"/>
      <c r="H74" s="452"/>
    </row>
    <row r="75" spans="1:8" s="557" customFormat="1" outlineLevel="1">
      <c r="A75" s="560" t="s">
        <v>235</v>
      </c>
      <c r="B75" s="573"/>
      <c r="C75" s="574"/>
      <c r="D75" s="575"/>
      <c r="E75" s="576"/>
      <c r="F75" s="558"/>
      <c r="G75" s="584"/>
      <c r="H75" s="584"/>
    </row>
    <row r="76" spans="1:8">
      <c r="A76" s="561" t="s">
        <v>236</v>
      </c>
      <c r="B76" s="564"/>
      <c r="C76" s="568"/>
      <c r="D76" s="569"/>
      <c r="E76" s="579"/>
      <c r="F76" s="553"/>
      <c r="G76" s="452"/>
      <c r="H76" s="452"/>
    </row>
    <row r="77" spans="1:8">
      <c r="A77" s="561" t="s">
        <v>237</v>
      </c>
      <c r="B77" s="564"/>
      <c r="C77" s="568"/>
      <c r="D77" s="569"/>
      <c r="E77" s="579"/>
      <c r="F77" s="278"/>
      <c r="G77" s="452"/>
      <c r="H77" s="452"/>
    </row>
    <row r="78" spans="1:8">
      <c r="A78" s="561" t="s">
        <v>238</v>
      </c>
      <c r="B78" s="564"/>
      <c r="C78" s="568"/>
      <c r="D78" s="569"/>
      <c r="E78" s="579"/>
      <c r="F78" s="278"/>
      <c r="G78" s="452"/>
      <c r="H78" s="452"/>
    </row>
    <row r="79" spans="1:8" s="557" customFormat="1">
      <c r="A79" s="560" t="s">
        <v>235</v>
      </c>
      <c r="B79" s="573"/>
      <c r="C79" s="574"/>
      <c r="D79" s="575"/>
      <c r="E79" s="576"/>
      <c r="F79" s="558"/>
      <c r="G79" s="584"/>
      <c r="H79" s="584"/>
    </row>
    <row r="80" spans="1:8" outlineLevel="1">
      <c r="A80" s="561" t="s">
        <v>236</v>
      </c>
      <c r="B80" s="564"/>
      <c r="C80" s="568"/>
      <c r="D80" s="568"/>
      <c r="E80" s="577"/>
      <c r="F80" s="278"/>
      <c r="G80" s="452"/>
      <c r="H80" s="452"/>
    </row>
    <row r="81" spans="1:8" outlineLevel="1">
      <c r="A81" s="561" t="s">
        <v>237</v>
      </c>
      <c r="B81" s="564"/>
      <c r="C81" s="568"/>
      <c r="D81" s="569"/>
      <c r="E81" s="570"/>
      <c r="F81" s="278"/>
      <c r="G81" s="452"/>
      <c r="H81" s="452"/>
    </row>
    <row r="82" spans="1:8" outlineLevel="1">
      <c r="A82" s="561" t="s">
        <v>238</v>
      </c>
      <c r="B82" s="564"/>
      <c r="C82" s="568"/>
      <c r="D82" s="569"/>
      <c r="E82" s="570"/>
      <c r="F82" s="278"/>
      <c r="G82" s="452"/>
      <c r="H82" s="452"/>
    </row>
    <row r="83" spans="1:8" s="557" customFormat="1" outlineLevel="1">
      <c r="A83" s="562" t="s">
        <v>235</v>
      </c>
      <c r="B83" s="573"/>
      <c r="C83" s="574"/>
      <c r="D83" s="575"/>
      <c r="E83" s="576"/>
      <c r="F83" s="558"/>
      <c r="G83" s="584"/>
      <c r="H83" s="584"/>
    </row>
    <row r="84" spans="1:8" outlineLevel="1">
      <c r="A84" s="561" t="s">
        <v>236</v>
      </c>
      <c r="B84" s="564"/>
      <c r="C84" s="568"/>
      <c r="D84" s="569"/>
      <c r="E84" s="570"/>
      <c r="F84" s="278"/>
      <c r="G84" s="452"/>
      <c r="H84" s="452"/>
    </row>
    <row r="85" spans="1:8" outlineLevel="1">
      <c r="A85" s="561" t="s">
        <v>237</v>
      </c>
      <c r="B85" s="564"/>
      <c r="C85" s="568"/>
      <c r="D85" s="569"/>
      <c r="E85" s="570"/>
      <c r="F85" s="278"/>
      <c r="G85" s="452"/>
      <c r="H85" s="452"/>
    </row>
    <row r="86" spans="1:8" outlineLevel="1">
      <c r="A86" s="561" t="s">
        <v>238</v>
      </c>
      <c r="B86" s="564"/>
      <c r="C86" s="568"/>
      <c r="D86" s="569"/>
      <c r="E86" s="570"/>
      <c r="F86" s="278"/>
      <c r="G86" s="452"/>
      <c r="H86" s="452"/>
    </row>
    <row r="87" spans="1:8" s="557" customFormat="1" outlineLevel="1">
      <c r="A87" s="563" t="s">
        <v>235</v>
      </c>
      <c r="B87" s="580"/>
      <c r="C87" s="581"/>
      <c r="D87" s="582"/>
      <c r="E87" s="583"/>
      <c r="F87" s="558"/>
      <c r="G87" s="584"/>
      <c r="H87" s="584"/>
    </row>
    <row r="88" spans="1:8">
      <c r="A88" s="561" t="s">
        <v>236</v>
      </c>
      <c r="B88" s="564"/>
      <c r="C88" s="568"/>
      <c r="D88" s="569"/>
      <c r="E88" s="570"/>
      <c r="F88" s="278"/>
      <c r="G88" s="452"/>
      <c r="H88" s="452"/>
    </row>
    <row r="89" spans="1:8">
      <c r="A89" s="561" t="s">
        <v>237</v>
      </c>
      <c r="B89" s="564"/>
      <c r="C89" s="568"/>
      <c r="D89" s="569"/>
      <c r="E89" s="570"/>
      <c r="F89" s="278"/>
      <c r="G89" s="452"/>
      <c r="H89" s="452"/>
    </row>
    <row r="90" spans="1:8">
      <c r="A90" s="561" t="s">
        <v>238</v>
      </c>
      <c r="B90" s="564"/>
      <c r="C90" s="568"/>
      <c r="D90" s="569"/>
      <c r="E90" s="570"/>
      <c r="F90" s="278"/>
      <c r="G90" s="452"/>
      <c r="H90" s="452"/>
    </row>
    <row r="91" spans="1:8" s="557" customFormat="1">
      <c r="A91" s="563" t="s">
        <v>235</v>
      </c>
      <c r="B91" s="580"/>
      <c r="C91" s="581"/>
      <c r="D91" s="582"/>
      <c r="E91" s="583"/>
      <c r="F91" s="556"/>
      <c r="G91" s="584"/>
      <c r="H91" s="584"/>
    </row>
    <row r="92" spans="1:8">
      <c r="A92" s="561" t="s">
        <v>236</v>
      </c>
      <c r="B92" s="564"/>
      <c r="C92" s="568"/>
      <c r="D92" s="569"/>
      <c r="E92" s="570"/>
      <c r="F92" s="553"/>
      <c r="G92" s="452"/>
      <c r="H92" s="452"/>
    </row>
    <row r="93" spans="1:8">
      <c r="A93" s="561" t="s">
        <v>237</v>
      </c>
      <c r="B93" s="564"/>
      <c r="C93" s="568"/>
      <c r="D93" s="569"/>
      <c r="E93" s="579"/>
      <c r="F93" s="278"/>
      <c r="G93" s="452"/>
      <c r="H93" s="452"/>
    </row>
    <row r="94" spans="1:8">
      <c r="A94" s="561" t="s">
        <v>238</v>
      </c>
      <c r="B94" s="564"/>
      <c r="C94" s="568"/>
      <c r="D94" s="569"/>
      <c r="E94" s="579"/>
      <c r="F94" s="278"/>
      <c r="G94" s="452"/>
      <c r="H94" s="452"/>
    </row>
    <row r="95" spans="1:8" s="557" customFormat="1" outlineLevel="1">
      <c r="A95" s="563" t="s">
        <v>235</v>
      </c>
      <c r="B95" s="580"/>
      <c r="C95" s="581"/>
      <c r="D95" s="582"/>
      <c r="E95" s="583"/>
      <c r="F95" s="556"/>
      <c r="G95" s="584"/>
      <c r="H95" s="584"/>
    </row>
    <row r="96" spans="1:8">
      <c r="A96" s="561" t="s">
        <v>236</v>
      </c>
      <c r="B96" s="564"/>
      <c r="C96" s="568"/>
      <c r="D96" s="569"/>
      <c r="E96" s="579"/>
      <c r="F96" s="278"/>
      <c r="G96" s="452"/>
      <c r="H96" s="452"/>
    </row>
    <row r="97" spans="1:8">
      <c r="A97" s="561" t="s">
        <v>237</v>
      </c>
      <c r="B97" s="564"/>
      <c r="C97" s="568"/>
      <c r="D97" s="569"/>
      <c r="E97" s="579"/>
      <c r="F97" s="553"/>
      <c r="G97" s="452"/>
      <c r="H97" s="452"/>
    </row>
    <row r="98" spans="1:8">
      <c r="A98" s="561" t="s">
        <v>238</v>
      </c>
      <c r="B98" s="564"/>
      <c r="C98" s="568"/>
      <c r="D98" s="568"/>
      <c r="E98" s="578"/>
      <c r="F98" s="278"/>
      <c r="G98" s="452"/>
      <c r="H98" s="452"/>
    </row>
    <row r="99" spans="1:8" s="557" customFormat="1">
      <c r="A99" s="563" t="s">
        <v>235</v>
      </c>
      <c r="B99" s="580"/>
      <c r="C99" s="581"/>
      <c r="D99" s="582"/>
      <c r="E99" s="583"/>
      <c r="F99" s="556"/>
      <c r="G99" s="584"/>
      <c r="H99" s="584"/>
    </row>
    <row r="100" spans="1:8">
      <c r="A100" s="561" t="s">
        <v>236</v>
      </c>
      <c r="B100" s="564"/>
      <c r="C100" s="568"/>
      <c r="D100" s="569"/>
      <c r="E100" s="579"/>
      <c r="F100" s="553"/>
      <c r="G100" s="452"/>
      <c r="H100" s="452"/>
    </row>
    <row r="101" spans="1:8">
      <c r="A101" s="561" t="s">
        <v>237</v>
      </c>
      <c r="B101" s="564"/>
      <c r="C101" s="568"/>
      <c r="D101" s="569"/>
      <c r="E101" s="570"/>
      <c r="F101" s="278"/>
      <c r="G101" s="452"/>
      <c r="H101" s="452"/>
    </row>
    <row r="102" spans="1:8">
      <c r="A102" s="561" t="s">
        <v>238</v>
      </c>
      <c r="B102" s="564"/>
      <c r="C102" s="568"/>
      <c r="D102" s="568"/>
      <c r="E102" s="577"/>
      <c r="F102" s="278"/>
      <c r="G102" s="452"/>
      <c r="H102" s="452"/>
    </row>
    <row r="103" spans="1:8" s="557" customFormat="1">
      <c r="A103" s="563" t="s">
        <v>235</v>
      </c>
      <c r="B103" s="580"/>
      <c r="C103" s="581"/>
      <c r="D103" s="582"/>
      <c r="E103" s="583"/>
      <c r="F103" s="558"/>
      <c r="G103" s="584"/>
      <c r="H103" s="584"/>
    </row>
    <row r="104" spans="1:8">
      <c r="A104" s="561" t="s">
        <v>236</v>
      </c>
      <c r="B104" s="564"/>
      <c r="C104" s="568"/>
      <c r="D104" s="569"/>
      <c r="E104" s="570"/>
      <c r="F104" s="278"/>
      <c r="G104" s="452"/>
      <c r="H104" s="452"/>
    </row>
    <row r="105" spans="1:8">
      <c r="A105" s="561" t="s">
        <v>237</v>
      </c>
      <c r="B105" s="564"/>
      <c r="C105" s="568"/>
      <c r="D105" s="569"/>
      <c r="E105" s="570"/>
      <c r="F105" s="278"/>
      <c r="G105" s="452"/>
      <c r="H105" s="452"/>
    </row>
    <row r="106" spans="1:8">
      <c r="A106" s="561" t="s">
        <v>238</v>
      </c>
      <c r="B106" s="564"/>
      <c r="C106" s="568"/>
      <c r="D106" s="569"/>
      <c r="E106" s="570"/>
      <c r="F106" s="553"/>
      <c r="G106" s="452"/>
      <c r="H106" s="452"/>
    </row>
    <row r="107" spans="1:8" s="557" customFormat="1">
      <c r="A107" s="563" t="s">
        <v>235</v>
      </c>
      <c r="B107" s="580"/>
      <c r="C107" s="581"/>
      <c r="D107" s="582"/>
      <c r="E107" s="583"/>
      <c r="F107" s="556"/>
      <c r="G107" s="584"/>
      <c r="H107" s="584"/>
    </row>
    <row r="108" spans="1:8">
      <c r="A108" s="561" t="s">
        <v>236</v>
      </c>
      <c r="B108" s="564"/>
      <c r="C108" s="568"/>
      <c r="D108" s="568"/>
      <c r="E108" s="577"/>
      <c r="F108" s="278"/>
      <c r="G108" s="452"/>
      <c r="H108" s="452"/>
    </row>
    <row r="109" spans="1:8">
      <c r="A109" s="561" t="s">
        <v>237</v>
      </c>
      <c r="B109" s="564"/>
      <c r="C109" s="568"/>
      <c r="D109" s="569"/>
      <c r="E109" s="570"/>
      <c r="F109" s="278"/>
      <c r="G109" s="452"/>
      <c r="H109" s="452"/>
    </row>
    <row r="110" spans="1:8">
      <c r="A110" s="561" t="s">
        <v>238</v>
      </c>
      <c r="B110" s="564"/>
      <c r="C110" s="568"/>
      <c r="D110" s="569"/>
      <c r="E110" s="570"/>
      <c r="F110" s="278"/>
      <c r="G110" s="452"/>
      <c r="H110" s="452"/>
    </row>
    <row r="111" spans="1:8">
      <c r="A111" s="563" t="s">
        <v>235</v>
      </c>
      <c r="B111" s="580"/>
      <c r="C111" s="581"/>
      <c r="D111" s="582"/>
      <c r="E111" s="583"/>
      <c r="F111" s="556"/>
      <c r="G111" s="452"/>
      <c r="H111" s="452"/>
    </row>
    <row r="112" spans="1:8">
      <c r="A112" s="561" t="s">
        <v>236</v>
      </c>
      <c r="B112" s="564"/>
      <c r="C112" s="568"/>
      <c r="D112" s="569"/>
      <c r="E112" s="579"/>
      <c r="F112" s="553"/>
      <c r="G112" s="452"/>
      <c r="H112" s="452"/>
    </row>
    <row r="113" spans="1:8">
      <c r="A113" s="561" t="s">
        <v>237</v>
      </c>
      <c r="B113" s="564"/>
      <c r="C113" s="568"/>
      <c r="D113" s="569"/>
      <c r="E113" s="579"/>
      <c r="F113" s="278"/>
      <c r="G113" s="452"/>
      <c r="H113" s="452"/>
    </row>
    <row r="114" spans="1:8" s="557" customFormat="1">
      <c r="A114" s="561" t="s">
        <v>238</v>
      </c>
      <c r="B114" s="564"/>
      <c r="C114" s="568"/>
      <c r="D114" s="569"/>
      <c r="E114" s="579"/>
      <c r="F114" s="278"/>
      <c r="G114" s="584"/>
      <c r="H114" s="584"/>
    </row>
    <row r="115" spans="1:8">
      <c r="A115" s="563" t="s">
        <v>235</v>
      </c>
      <c r="B115" s="580"/>
      <c r="C115" s="581"/>
      <c r="D115" s="582"/>
      <c r="E115" s="583"/>
      <c r="F115" s="452"/>
      <c r="G115" s="452"/>
      <c r="H115" s="452"/>
    </row>
    <row r="116" spans="1:8">
      <c r="A116" s="561" t="s">
        <v>236</v>
      </c>
      <c r="B116" s="564"/>
      <c r="C116" s="568"/>
      <c r="D116" s="569"/>
      <c r="E116" s="570"/>
      <c r="F116" s="452"/>
      <c r="G116" s="452"/>
      <c r="H116" s="452"/>
    </row>
    <row r="117" spans="1:8">
      <c r="A117" s="561" t="s">
        <v>237</v>
      </c>
      <c r="B117" s="564"/>
      <c r="C117" s="568"/>
      <c r="D117" s="569"/>
      <c r="E117" s="570"/>
      <c r="F117" s="452"/>
      <c r="G117" s="452"/>
      <c r="H117" s="452"/>
    </row>
    <row r="118" spans="1:8">
      <c r="A118" s="561" t="s">
        <v>238</v>
      </c>
      <c r="B118" s="564"/>
      <c r="C118" s="568"/>
      <c r="D118" s="569"/>
      <c r="E118" s="570"/>
      <c r="F118" s="452"/>
      <c r="G118" s="452"/>
      <c r="H118" s="452"/>
    </row>
    <row r="119" spans="1:8">
      <c r="A119" s="563" t="s">
        <v>235</v>
      </c>
      <c r="B119" s="580"/>
      <c r="C119" s="581"/>
      <c r="D119" s="582"/>
      <c r="E119" s="583"/>
      <c r="F119" s="452"/>
      <c r="G119" s="452"/>
      <c r="H119" s="452"/>
    </row>
    <row r="120" spans="1:8">
      <c r="A120" s="561" t="s">
        <v>236</v>
      </c>
      <c r="B120" s="564"/>
      <c r="C120" s="568"/>
      <c r="D120" s="568"/>
      <c r="E120" s="577"/>
      <c r="F120" s="452"/>
      <c r="G120" s="452"/>
      <c r="H120" s="452"/>
    </row>
    <row r="121" spans="1:8">
      <c r="A121" s="561" t="s">
        <v>237</v>
      </c>
      <c r="B121" s="564"/>
      <c r="C121" s="568"/>
      <c r="D121" s="569"/>
      <c r="E121" s="570"/>
      <c r="F121" s="452"/>
      <c r="G121" s="452"/>
      <c r="H121" s="452"/>
    </row>
    <row r="122" spans="1:8">
      <c r="A122" s="561" t="s">
        <v>238</v>
      </c>
      <c r="B122" s="564"/>
      <c r="C122" s="568"/>
      <c r="D122" s="569"/>
      <c r="E122" s="570"/>
      <c r="F122" s="452"/>
      <c r="G122" s="452"/>
      <c r="H122" s="452"/>
    </row>
    <row r="123" spans="1:8">
      <c r="C123" s="453"/>
      <c r="D123" s="452"/>
      <c r="E123" s="452"/>
      <c r="F123" s="452"/>
      <c r="G123" s="452"/>
      <c r="H123" s="452"/>
    </row>
    <row r="124" spans="1:8">
      <c r="C124" s="453"/>
      <c r="D124" s="452"/>
      <c r="E124" s="452"/>
      <c r="F124" s="452"/>
      <c r="G124" s="452"/>
      <c r="H124" s="452"/>
    </row>
    <row r="125" spans="1:8">
      <c r="C125" s="453"/>
      <c r="D125" s="452"/>
      <c r="E125" s="452"/>
      <c r="F125" s="452"/>
      <c r="G125" s="452"/>
      <c r="H125" s="452"/>
    </row>
    <row r="126" spans="1:8">
      <c r="C126" s="453"/>
      <c r="D126" s="452"/>
      <c r="E126" s="452"/>
      <c r="F126" s="452"/>
      <c r="G126" s="452"/>
      <c r="H126" s="452"/>
    </row>
    <row r="127" spans="1:8">
      <c r="C127" s="453"/>
      <c r="D127" s="452"/>
      <c r="E127" s="452"/>
      <c r="F127" s="452"/>
      <c r="G127" s="452"/>
      <c r="H127" s="452"/>
    </row>
    <row r="128" spans="1:8">
      <c r="C128" s="453"/>
      <c r="D128" s="452"/>
      <c r="E128" s="452"/>
      <c r="F128" s="452"/>
      <c r="G128" s="452"/>
      <c r="H128" s="452"/>
    </row>
    <row r="129" spans="3:8">
      <c r="C129" s="453"/>
      <c r="D129" s="452"/>
      <c r="E129" s="452"/>
      <c r="F129" s="452"/>
      <c r="G129" s="452"/>
      <c r="H129" s="452"/>
    </row>
    <row r="130" spans="3:8">
      <c r="C130" s="453"/>
      <c r="D130" s="452"/>
      <c r="E130" s="452"/>
      <c r="F130" s="452"/>
      <c r="G130" s="452"/>
      <c r="H130" s="452"/>
    </row>
    <row r="131" spans="3:8">
      <c r="C131" s="453"/>
      <c r="D131" s="452"/>
      <c r="E131" s="452"/>
      <c r="F131" s="452"/>
      <c r="G131" s="452"/>
      <c r="H131" s="452"/>
    </row>
    <row r="132" spans="3:8">
      <c r="C132" s="453"/>
      <c r="D132" s="452"/>
      <c r="E132" s="452"/>
      <c r="F132" s="452"/>
      <c r="G132" s="452"/>
      <c r="H132" s="452"/>
    </row>
    <row r="133" spans="3:8">
      <c r="C133" s="453"/>
      <c r="D133" s="452"/>
      <c r="E133" s="452"/>
      <c r="F133" s="452"/>
      <c r="G133" s="452"/>
      <c r="H133" s="452"/>
    </row>
    <row r="134" spans="3:8">
      <c r="C134" s="453"/>
      <c r="D134" s="452"/>
      <c r="E134" s="452"/>
      <c r="F134" s="452"/>
      <c r="G134" s="452"/>
      <c r="H134" s="452"/>
    </row>
    <row r="135" spans="3:8">
      <c r="C135" s="453"/>
      <c r="D135" s="452"/>
      <c r="E135" s="452"/>
      <c r="F135" s="452"/>
      <c r="G135" s="452"/>
      <c r="H135" s="452"/>
    </row>
    <row r="136" spans="3:8">
      <c r="C136" s="453"/>
      <c r="D136" s="452"/>
      <c r="E136" s="452"/>
      <c r="F136" s="452"/>
      <c r="G136" s="452"/>
      <c r="H136" s="452"/>
    </row>
    <row r="137" spans="3:8">
      <c r="C137" s="453"/>
      <c r="D137" s="452"/>
      <c r="E137" s="452"/>
      <c r="F137" s="452"/>
      <c r="G137" s="452"/>
      <c r="H137" s="452"/>
    </row>
    <row r="138" spans="3:8">
      <c r="C138" s="453"/>
      <c r="D138" s="452"/>
      <c r="E138" s="452"/>
      <c r="F138" s="452"/>
      <c r="G138" s="452"/>
      <c r="H138" s="452"/>
    </row>
    <row r="139" spans="3:8">
      <c r="C139" s="453"/>
      <c r="D139" s="452"/>
      <c r="E139" s="452"/>
      <c r="F139" s="452"/>
      <c r="G139" s="452"/>
      <c r="H139" s="452"/>
    </row>
    <row r="140" spans="3:8">
      <c r="C140" s="453"/>
      <c r="D140" s="452"/>
      <c r="E140" s="452"/>
      <c r="F140" s="452"/>
      <c r="G140" s="452"/>
      <c r="H140" s="452"/>
    </row>
    <row r="141" spans="3:8">
      <c r="C141" s="453"/>
      <c r="D141" s="452"/>
      <c r="E141" s="452"/>
      <c r="F141" s="452"/>
      <c r="G141" s="452"/>
      <c r="H141" s="452"/>
    </row>
    <row r="142" spans="3:8">
      <c r="C142" s="453"/>
      <c r="D142" s="452"/>
      <c r="E142" s="452"/>
      <c r="F142" s="452"/>
      <c r="G142" s="452"/>
      <c r="H142" s="452"/>
    </row>
    <row r="143" spans="3:8">
      <c r="C143" s="453"/>
      <c r="D143" s="452"/>
      <c r="E143" s="452"/>
      <c r="F143" s="452"/>
      <c r="G143" s="452"/>
      <c r="H143" s="452"/>
    </row>
    <row r="144" spans="3:8">
      <c r="C144" s="453"/>
      <c r="D144" s="452"/>
      <c r="E144" s="452"/>
      <c r="F144" s="452"/>
      <c r="G144" s="452"/>
      <c r="H144" s="452"/>
    </row>
    <row r="145" spans="3:8">
      <c r="C145" s="453"/>
      <c r="D145" s="452"/>
      <c r="E145" s="452"/>
      <c r="F145" s="452"/>
      <c r="G145" s="452"/>
      <c r="H145" s="452"/>
    </row>
    <row r="146" spans="3:8">
      <c r="C146" s="453"/>
      <c r="D146" s="452"/>
      <c r="E146" s="452"/>
      <c r="F146" s="452"/>
      <c r="G146" s="452"/>
      <c r="H146" s="452"/>
    </row>
    <row r="147" spans="3:8">
      <c r="C147" s="453"/>
      <c r="D147" s="452"/>
      <c r="E147" s="452"/>
      <c r="F147" s="452"/>
      <c r="G147" s="452"/>
      <c r="H147" s="452"/>
    </row>
  </sheetData>
  <sheetProtection algorithmName="SHA-512" hashValue="wRQKypbdVnEH6F+2cZXAgRwDicJwd8M+Q9eIiCBRuQFr4/7J50Dop2oK0hJ5Rg1HL0MzKdNE5EklZMuBTTQt+A==" saltValue="58BaRlQkHUsiNN5n6u0TIA==" spinCount="100000" sheet="1" objects="1" scenarios="1"/>
  <mergeCells count="2">
    <mergeCell ref="A40:B40"/>
    <mergeCell ref="E40:F40"/>
  </mergeCells>
  <conditionalFormatting sqref="A12:A16 A6:A9 A10:E11 A5:F5 C12:E16 C7:F9 D6:F6">
    <cfRule type="expression" dxfId="32" priority="42">
      <formula>#REF!="NO"</formula>
    </cfRule>
  </conditionalFormatting>
  <conditionalFormatting sqref="F19:F22 B6:B8 F10 F14:F17 E11:E13">
    <cfRule type="expression" dxfId="31" priority="13">
      <formula>#REF!="NO"</formula>
    </cfRule>
  </conditionalFormatting>
  <conditionalFormatting sqref="F18">
    <cfRule type="expression" dxfId="30" priority="12">
      <formula>#REF!="NO"</formula>
    </cfRule>
  </conditionalFormatting>
  <conditionalFormatting sqref="F35:F38">
    <cfRule type="expression" dxfId="29" priority="11">
      <formula>#REF!="NO"</formula>
    </cfRule>
  </conditionalFormatting>
  <conditionalFormatting sqref="F34">
    <cfRule type="expression" dxfId="28" priority="10">
      <formula>#REF!="NO"</formula>
    </cfRule>
  </conditionalFormatting>
  <conditionalFormatting sqref="F30:F33">
    <cfRule type="expression" dxfId="27" priority="9">
      <formula>#REF!="NO"</formula>
    </cfRule>
  </conditionalFormatting>
  <conditionalFormatting sqref="F29">
    <cfRule type="expression" dxfId="26" priority="8">
      <formula>#REF!="NO"</formula>
    </cfRule>
  </conditionalFormatting>
  <conditionalFormatting sqref="F25:F28 F23">
    <cfRule type="expression" dxfId="25" priority="7">
      <formula>#REF!="NO"</formula>
    </cfRule>
  </conditionalFormatting>
  <conditionalFormatting sqref="F24">
    <cfRule type="expression" dxfId="24" priority="6">
      <formula>#REF!="NO"</formula>
    </cfRule>
  </conditionalFormatting>
  <conditionalFormatting sqref="B12:B16">
    <cfRule type="expression" dxfId="23" priority="5">
      <formula>#REF!="NO"</formula>
    </cfRule>
  </conditionalFormatting>
  <conditionalFormatting sqref="C6">
    <cfRule type="expression" dxfId="22" priority="1">
      <formula>#REF!="NO"</formula>
    </cfRule>
  </conditionalFormatting>
  <hyperlinks>
    <hyperlink ref="E41:F41" r:id="rId1" display="johnbrewer4@jwpub.org" xr:uid="{3A4F10EA-E147-4B98-B646-ED5EB3D0ABCA}"/>
    <hyperlink ref="E45:F45" r:id="rId2" display="timothympierzynski@jwpub.org" xr:uid="{54D717A4-E1F3-4019-9C2D-F5A0B23DE3B6}"/>
    <hyperlink ref="E43:F43" r:id="rId3" display="jgianotto9@jwpub.org" xr:uid="{5E50659C-6306-4744-B2AA-35EF137BF0AA}"/>
  </hyperlinks>
  <pageMargins left="0.7" right="0.7" top="0.75" bottom="0.75" header="0.3" footer="0.3"/>
  <pageSetup scale="45" fitToHeight="0" orientation="landscape" horizontalDpi="1200" verticalDpi="1200"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31"/>
  <sheetViews>
    <sheetView zoomScaleNormal="100" zoomScaleSheetLayoutView="100" workbookViewId="0">
      <pane ySplit="3" topLeftCell="B102" activePane="bottomLeft" state="frozen"/>
      <selection pane="bottomLeft" activeCell="E109" sqref="D109:E126"/>
    </sheetView>
  </sheetViews>
  <sheetFormatPr defaultColWidth="9.140625" defaultRowHeight="15"/>
  <cols>
    <col min="2" max="2" width="17.42578125" style="18" customWidth="1"/>
    <col min="3" max="3" width="34.42578125" style="19" customWidth="1"/>
    <col min="4" max="4" width="15.7109375" customWidth="1"/>
    <col min="5" max="5" width="15.7109375" style="18" customWidth="1"/>
    <col min="6" max="6" width="10.85546875" style="18" customWidth="1"/>
    <col min="7" max="7" width="9.140625" style="18"/>
    <col min="8" max="8" width="10" style="18" customWidth="1"/>
    <col min="9" max="9" width="9.140625" style="18"/>
    <col min="10" max="10" width="73.42578125" customWidth="1"/>
  </cols>
  <sheetData>
    <row r="1" spans="1:10" s="11" customFormat="1" ht="30" customHeight="1" thickBot="1">
      <c r="A1" s="258" t="s">
        <v>239</v>
      </c>
      <c r="B1" s="519"/>
      <c r="C1" s="256"/>
      <c r="D1" s="256"/>
      <c r="E1" s="257"/>
      <c r="F1" s="202"/>
      <c r="G1" s="202"/>
      <c r="H1" s="203"/>
      <c r="I1" s="204"/>
      <c r="J1" s="520"/>
    </row>
    <row r="2" spans="1:10" s="11" customFormat="1" ht="22.5" customHeight="1" thickBot="1">
      <c r="A2" s="259" t="str">
        <f>'01 Project Details'!B2</f>
        <v xml:space="preserve">PT#    </v>
      </c>
      <c r="B2" s="521"/>
      <c r="C2" s="260"/>
      <c r="D2" s="260"/>
      <c r="E2" s="261"/>
      <c r="F2" s="205"/>
      <c r="G2" s="205"/>
      <c r="H2" s="205"/>
      <c r="I2" s="205"/>
      <c r="J2" s="206"/>
    </row>
    <row r="3" spans="1:10" ht="30" customHeight="1">
      <c r="A3" s="12" t="s">
        <v>240</v>
      </c>
      <c r="B3" s="13" t="s">
        <v>241</v>
      </c>
      <c r="C3" s="14" t="s">
        <v>242</v>
      </c>
      <c r="D3" s="16" t="s">
        <v>243</v>
      </c>
      <c r="E3" s="16" t="s">
        <v>244</v>
      </c>
      <c r="F3" s="15" t="s">
        <v>245</v>
      </c>
      <c r="G3" s="15" t="s">
        <v>246</v>
      </c>
      <c r="H3" s="15" t="s">
        <v>247</v>
      </c>
      <c r="I3" s="15" t="s">
        <v>248</v>
      </c>
      <c r="J3" s="17" t="s">
        <v>249</v>
      </c>
    </row>
    <row r="4" spans="1:10" ht="15.75">
      <c r="A4" s="32"/>
      <c r="B4" s="33"/>
      <c r="C4" s="34" t="s">
        <v>250</v>
      </c>
      <c r="D4" s="318"/>
      <c r="E4" s="318"/>
      <c r="F4" s="24" t="str">
        <f>IF(COUNT(tblProjectSchedule[[#This Row],[Start]:[Finish]])=2,NETWORKDAYS.INTL(tblProjectSchedule[[#This Row],[Start]],tblProjectSchedule[[#This Row],[Finish]],2),"")</f>
        <v/>
      </c>
      <c r="G4" s="35"/>
      <c r="H4" s="35"/>
      <c r="I4" s="35"/>
      <c r="J4" s="36"/>
    </row>
    <row r="5" spans="1:10" ht="15.75">
      <c r="A5" s="158" t="s">
        <v>251</v>
      </c>
      <c r="B5" s="159"/>
      <c r="C5" s="160" t="s">
        <v>252</v>
      </c>
      <c r="D5" s="197"/>
      <c r="E5" s="197"/>
      <c r="F5" s="198" t="str">
        <f>IF(COUNT(tblProjectSchedule[[#This Row],[Start]:[Finish]])=2,NETWORKDAYS.INTL(tblProjectSchedule[[#This Row],[Start]],tblProjectSchedule[[#This Row],[Finish]],2),"")</f>
        <v/>
      </c>
      <c r="G5" s="161"/>
      <c r="H5" s="161"/>
      <c r="I5" s="162"/>
      <c r="J5" s="163"/>
    </row>
    <row r="6" spans="1:10" ht="15.75">
      <c r="A6" s="21" t="s">
        <v>253</v>
      </c>
      <c r="B6" s="10"/>
      <c r="C6" s="9"/>
      <c r="D6" s="38"/>
      <c r="E6" s="38"/>
      <c r="F6" s="42" t="str">
        <f>IF(COUNT(tblProjectSchedule[[#This Row],[Start]:[Finish]])=2,NETWORKDAYS.INTL(tblProjectSchedule[[#This Row],[Start]],tblProjectSchedule[[#This Row],[Finish]],2),"")</f>
        <v/>
      </c>
      <c r="G6" s="37"/>
      <c r="H6" s="37"/>
      <c r="I6" s="43"/>
      <c r="J6" s="44"/>
    </row>
    <row r="7" spans="1:10" ht="15.75">
      <c r="A7" s="21" t="s">
        <v>254</v>
      </c>
      <c r="B7" s="10"/>
      <c r="C7" s="9"/>
      <c r="D7" s="38"/>
      <c r="E7" s="38"/>
      <c r="F7" s="42" t="str">
        <f>IF(COUNT(tblProjectSchedule[[#This Row],[Start]:[Finish]])=2,NETWORKDAYS.INTL(tblProjectSchedule[[#This Row],[Start]],tblProjectSchedule[[#This Row],[Finish]],2),"")</f>
        <v/>
      </c>
      <c r="G7" s="37"/>
      <c r="H7" s="37"/>
      <c r="I7" s="43"/>
      <c r="J7" s="44"/>
    </row>
    <row r="8" spans="1:10" ht="15.75">
      <c r="A8" s="21" t="s">
        <v>255</v>
      </c>
      <c r="B8" s="10"/>
      <c r="C8" s="45"/>
      <c r="D8" s="38"/>
      <c r="E8" s="38"/>
      <c r="F8" s="42" t="str">
        <f>IF(COUNT(tblProjectSchedule[[#This Row],[Start]:[Finish]])=2,NETWORKDAYS.INTL(tblProjectSchedule[[#This Row],[Start]],tblProjectSchedule[[#This Row],[Finish]],2),"")</f>
        <v/>
      </c>
      <c r="G8" s="37"/>
      <c r="H8" s="37"/>
      <c r="I8" s="43"/>
      <c r="J8" s="44"/>
    </row>
    <row r="9" spans="1:10" ht="15.75">
      <c r="A9" s="21" t="s">
        <v>256</v>
      </c>
      <c r="B9" s="10"/>
      <c r="C9" s="45"/>
      <c r="D9" s="38"/>
      <c r="E9" s="38"/>
      <c r="F9" s="42" t="str">
        <f>IF(COUNT(tblProjectSchedule[[#This Row],[Start]:[Finish]])=2,NETWORKDAYS.INTL(tblProjectSchedule[[#This Row],[Start]],tblProjectSchedule[[#This Row],[Finish]],2),"")</f>
        <v/>
      </c>
      <c r="G9" s="37"/>
      <c r="H9" s="37"/>
      <c r="I9" s="43"/>
      <c r="J9" s="44"/>
    </row>
    <row r="10" spans="1:10" ht="15.75">
      <c r="A10" s="21" t="s">
        <v>257</v>
      </c>
      <c r="B10" s="10"/>
      <c r="C10" s="45"/>
      <c r="D10" s="38"/>
      <c r="E10" s="38"/>
      <c r="F10" s="42" t="str">
        <f>IF(COUNT(tblProjectSchedule[[#This Row],[Start]:[Finish]])=2,NETWORKDAYS.INTL(tblProjectSchedule[[#This Row],[Start]],tblProjectSchedule[[#This Row],[Finish]],2),"")</f>
        <v/>
      </c>
      <c r="G10" s="37"/>
      <c r="H10" s="37"/>
      <c r="I10" s="43"/>
      <c r="J10" s="44"/>
    </row>
    <row r="11" spans="1:10" ht="15.75">
      <c r="A11" s="21"/>
      <c r="B11" s="10"/>
      <c r="C11" s="45"/>
      <c r="D11" s="38"/>
      <c r="E11" s="38"/>
      <c r="F11" s="42" t="str">
        <f>IF(COUNT(tblProjectSchedule[[#This Row],[Start]:[Finish]])=2,NETWORKDAYS.INTL(tblProjectSchedule[[#This Row],[Start]],tblProjectSchedule[[#This Row],[Finish]],2),"")</f>
        <v/>
      </c>
      <c r="G11" s="37"/>
      <c r="H11" s="37"/>
      <c r="I11" s="43"/>
      <c r="J11" s="44"/>
    </row>
    <row r="12" spans="1:10" ht="15.75">
      <c r="A12" s="21"/>
      <c r="B12" s="10"/>
      <c r="C12" s="45"/>
      <c r="D12" s="38"/>
      <c r="E12" s="38"/>
      <c r="F12" s="42" t="str">
        <f>IF(COUNT(tblProjectSchedule[[#This Row],[Start]:[Finish]])=2,NETWORKDAYS.INTL(tblProjectSchedule[[#This Row],[Start]],tblProjectSchedule[[#This Row],[Finish]],2),"")</f>
        <v/>
      </c>
      <c r="G12" s="37"/>
      <c r="H12" s="37"/>
      <c r="I12" s="43"/>
      <c r="J12" s="44"/>
    </row>
    <row r="13" spans="1:10" ht="30.75">
      <c r="A13" s="21" t="s">
        <v>251</v>
      </c>
      <c r="B13" s="10"/>
      <c r="C13" s="39" t="s">
        <v>258</v>
      </c>
      <c r="D13" s="40"/>
      <c r="E13" s="40"/>
      <c r="F13" s="41" t="str">
        <f>IF(COUNT(tblProjectSchedule[[#This Row],[Start]:[Finish]])=2,NETWORKDAYS.INTL(tblProjectSchedule[[#This Row],[Start]],tblProjectSchedule[[#This Row],[Finish]],2),"")</f>
        <v/>
      </c>
      <c r="G13" s="22"/>
      <c r="H13" s="22"/>
      <c r="I13" s="22"/>
      <c r="J13" s="23"/>
    </row>
    <row r="14" spans="1:10">
      <c r="A14" s="21" t="s">
        <v>259</v>
      </c>
      <c r="B14" s="10"/>
      <c r="C14" s="9"/>
      <c r="D14" s="26"/>
      <c r="E14" s="26"/>
      <c r="F14" s="27" t="str">
        <f>IF(COUNT(tblProjectSchedule[[#This Row],[Start]:[Finish]])=2,NETWORKDAYS.INTL(tblProjectSchedule[[#This Row],[Start]],tblProjectSchedule[[#This Row],[Finish]],2),"")</f>
        <v/>
      </c>
      <c r="G14" s="8"/>
      <c r="H14" s="8"/>
      <c r="I14" s="25"/>
      <c r="J14" s="7"/>
    </row>
    <row r="15" spans="1:10">
      <c r="A15" s="21" t="s">
        <v>260</v>
      </c>
      <c r="B15" s="10"/>
      <c r="C15" s="9" t="s">
        <v>261</v>
      </c>
      <c r="D15" s="26"/>
      <c r="E15" s="26"/>
      <c r="F15" s="27" t="str">
        <f>IF(COUNT(tblProjectSchedule[[#This Row],[Start]:[Finish]])=2,NETWORKDAYS.INTL(tblProjectSchedule[[#This Row],[Start]],tblProjectSchedule[[#This Row],[Finish]],2),"")</f>
        <v/>
      </c>
      <c r="G15" s="8"/>
      <c r="H15" s="8"/>
      <c r="I15" s="8"/>
      <c r="J15" s="7"/>
    </row>
    <row r="16" spans="1:10">
      <c r="A16" s="21" t="s">
        <v>262</v>
      </c>
      <c r="B16" s="10"/>
      <c r="C16" s="9" t="s">
        <v>263</v>
      </c>
      <c r="D16" s="26"/>
      <c r="E16" s="26"/>
      <c r="F16" s="27" t="str">
        <f>IF(COUNT(tblProjectSchedule[[#This Row],[Start]:[Finish]])=2,NETWORKDAYS.INTL(tblProjectSchedule[[#This Row],[Start]],tblProjectSchedule[[#This Row],[Finish]],2),"")</f>
        <v/>
      </c>
      <c r="G16" s="8"/>
      <c r="H16" s="8"/>
      <c r="I16" s="8"/>
      <c r="J16" s="7"/>
    </row>
    <row r="17" spans="1:10">
      <c r="A17" s="21" t="s">
        <v>264</v>
      </c>
      <c r="B17" s="10"/>
      <c r="C17" s="9" t="s">
        <v>265</v>
      </c>
      <c r="D17" s="26"/>
      <c r="E17" s="26"/>
      <c r="F17" s="27" t="str">
        <f>IF(COUNT(tblProjectSchedule[[#This Row],[Start]:[Finish]])=2,NETWORKDAYS.INTL(tblProjectSchedule[[#This Row],[Start]],tblProjectSchedule[[#This Row],[Finish]],2),"")</f>
        <v/>
      </c>
      <c r="G17" s="8"/>
      <c r="H17" s="8"/>
      <c r="I17" s="8"/>
      <c r="J17" s="7"/>
    </row>
    <row r="18" spans="1:10">
      <c r="A18" s="21" t="s">
        <v>266</v>
      </c>
      <c r="B18" s="10"/>
      <c r="C18" s="9" t="s">
        <v>267</v>
      </c>
      <c r="D18" s="26"/>
      <c r="E18" s="26"/>
      <c r="F18" s="27" t="str">
        <f>IF(COUNT(tblProjectSchedule[[#This Row],[Start]:[Finish]])=2,NETWORKDAYS.INTL(tblProjectSchedule[[#This Row],[Start]],tblProjectSchedule[[#This Row],[Finish]],2),"")</f>
        <v/>
      </c>
      <c r="G18" s="8"/>
      <c r="H18" s="8"/>
      <c r="I18" s="8"/>
      <c r="J18" s="7"/>
    </row>
    <row r="19" spans="1:10" ht="45">
      <c r="A19" s="21" t="s">
        <v>268</v>
      </c>
      <c r="B19" s="10"/>
      <c r="C19" s="9" t="s">
        <v>269</v>
      </c>
      <c r="D19" s="26"/>
      <c r="E19" s="26"/>
      <c r="F19" s="27" t="str">
        <f>IF(COUNT(tblProjectSchedule[[#This Row],[Start]:[Finish]])=2,NETWORKDAYS.INTL(tblProjectSchedule[[#This Row],[Start]],tblProjectSchedule[[#This Row],[Finish]],2),"")</f>
        <v/>
      </c>
      <c r="G19" s="8"/>
      <c r="H19" s="8"/>
      <c r="I19" s="8"/>
      <c r="J19" s="7"/>
    </row>
    <row r="20" spans="1:10">
      <c r="A20" s="21" t="s">
        <v>270</v>
      </c>
      <c r="B20" s="10"/>
      <c r="C20" s="9" t="s">
        <v>271</v>
      </c>
      <c r="D20" s="26"/>
      <c r="E20" s="26"/>
      <c r="F20" s="27" t="str">
        <f>IF(COUNT(tblProjectSchedule[[#This Row],[Start]:[Finish]])=2,NETWORKDAYS.INTL(tblProjectSchedule[[#This Row],[Start]],tblProjectSchedule[[#This Row],[Finish]],2),"")</f>
        <v/>
      </c>
      <c r="G20" s="8"/>
      <c r="H20" s="8"/>
      <c r="I20" s="8"/>
      <c r="J20" s="7"/>
    </row>
    <row r="21" spans="1:10">
      <c r="A21" s="21" t="s">
        <v>272</v>
      </c>
      <c r="B21" s="10"/>
      <c r="C21" s="9" t="s">
        <v>273</v>
      </c>
      <c r="D21" s="26"/>
      <c r="E21" s="26"/>
      <c r="F21" s="27" t="str">
        <f>IF(COUNT(tblProjectSchedule[[#This Row],[Start]:[Finish]])=2,NETWORKDAYS.INTL(tblProjectSchedule[[#This Row],[Start]],tblProjectSchedule[[#This Row],[Finish]],2),"")</f>
        <v/>
      </c>
      <c r="G21" s="8"/>
      <c r="H21" s="8"/>
      <c r="I21" s="8"/>
      <c r="J21" s="7"/>
    </row>
    <row r="22" spans="1:10">
      <c r="A22" s="21" t="s">
        <v>274</v>
      </c>
      <c r="B22" s="10"/>
      <c r="C22" s="9" t="s">
        <v>275</v>
      </c>
      <c r="D22" s="26"/>
      <c r="E22" s="26"/>
      <c r="F22" s="27" t="str">
        <f>IF(COUNT(tblProjectSchedule[[#This Row],[Start]:[Finish]])=2,NETWORKDAYS.INTL(tblProjectSchedule[[#This Row],[Start]],tblProjectSchedule[[#This Row],[Finish]],2),"")</f>
        <v/>
      </c>
      <c r="G22" s="8"/>
      <c r="H22" s="8"/>
      <c r="I22" s="8"/>
      <c r="J22" s="7"/>
    </row>
    <row r="23" spans="1:10">
      <c r="A23" s="21" t="s">
        <v>276</v>
      </c>
      <c r="B23" s="10"/>
      <c r="C23" s="9" t="s">
        <v>277</v>
      </c>
      <c r="D23" s="26"/>
      <c r="E23" s="26"/>
      <c r="F23" s="27" t="str">
        <f>IF(COUNT(tblProjectSchedule[[#This Row],[Start]:[Finish]])=2,NETWORKDAYS.INTL(tblProjectSchedule[[#This Row],[Start]],tblProjectSchedule[[#This Row],[Finish]],2),"")</f>
        <v/>
      </c>
      <c r="G23" s="8"/>
      <c r="H23" s="8"/>
      <c r="I23" s="8"/>
      <c r="J23" s="7"/>
    </row>
    <row r="24" spans="1:10">
      <c r="A24" s="21" t="s">
        <v>278</v>
      </c>
      <c r="B24" s="10"/>
      <c r="C24" s="9" t="s">
        <v>279</v>
      </c>
      <c r="D24" s="26"/>
      <c r="E24" s="26"/>
      <c r="F24" s="27" t="str">
        <f>IF(COUNT(tblProjectSchedule[[#This Row],[Start]:[Finish]])=2,NETWORKDAYS.INTL(tblProjectSchedule[[#This Row],[Start]],tblProjectSchedule[[#This Row],[Finish]],2),"")</f>
        <v/>
      </c>
      <c r="G24" s="8"/>
      <c r="H24" s="8"/>
      <c r="I24" s="8"/>
      <c r="J24" s="7"/>
    </row>
    <row r="25" spans="1:10">
      <c r="A25" s="21"/>
      <c r="B25" s="10"/>
      <c r="C25" s="9"/>
      <c r="D25" s="26"/>
      <c r="E25" s="26"/>
      <c r="F25" s="27" t="str">
        <f>IF(COUNT(tblProjectSchedule[[#This Row],[Start]:[Finish]])=2,NETWORKDAYS.INTL(tblProjectSchedule[[#This Row],[Start]],tblProjectSchedule[[#This Row],[Finish]],2),"")</f>
        <v/>
      </c>
      <c r="G25" s="8"/>
      <c r="H25" s="8"/>
      <c r="I25" s="8"/>
      <c r="J25" s="7"/>
    </row>
    <row r="26" spans="1:10">
      <c r="A26" s="9" t="s">
        <v>280</v>
      </c>
      <c r="B26" s="20"/>
      <c r="C26" s="9" t="s">
        <v>281</v>
      </c>
      <c r="D26" s="26"/>
      <c r="E26" s="26"/>
      <c r="F26" s="27" t="str">
        <f>IF(COUNT(tblProjectSchedule[[#This Row],[Start]:[Finish]])=2,NETWORKDAYS.INTL(tblProjectSchedule[[#This Row],[Start]],tblProjectSchedule[[#This Row],[Finish]],2),"")</f>
        <v/>
      </c>
      <c r="G26" s="8"/>
      <c r="H26" s="8"/>
      <c r="I26" s="8"/>
      <c r="J26" s="7"/>
    </row>
    <row r="27" spans="1:10" ht="30">
      <c r="A27" s="21" t="s">
        <v>282</v>
      </c>
      <c r="B27" s="10"/>
      <c r="C27" s="9" t="s">
        <v>283</v>
      </c>
      <c r="D27" s="26"/>
      <c r="E27" s="26"/>
      <c r="F27" s="27" t="str">
        <f>IF(COUNT(tblProjectSchedule[[#This Row],[Start]:[Finish]])=2,NETWORKDAYS.INTL(tblProjectSchedule[[#This Row],[Start]],tblProjectSchedule[[#This Row],[Finish]],2),"")</f>
        <v/>
      </c>
      <c r="G27" s="8"/>
      <c r="H27" s="8"/>
      <c r="I27" s="8"/>
      <c r="J27" s="7"/>
    </row>
    <row r="28" spans="1:10" ht="30">
      <c r="A28" s="21" t="s">
        <v>284</v>
      </c>
      <c r="B28" s="10"/>
      <c r="C28" s="9" t="s">
        <v>285</v>
      </c>
      <c r="D28" s="26"/>
      <c r="E28" s="26"/>
      <c r="F28" s="27" t="str">
        <f>IF(COUNT(tblProjectSchedule[[#This Row],[Start]:[Finish]])=2,NETWORKDAYS.INTL(tblProjectSchedule[[#This Row],[Start]],tblProjectSchedule[[#This Row],[Finish]],2),"")</f>
        <v/>
      </c>
      <c r="G28" s="8"/>
      <c r="H28" s="8"/>
      <c r="I28" s="8"/>
      <c r="J28" s="7"/>
    </row>
    <row r="29" spans="1:10">
      <c r="A29" s="21" t="s">
        <v>286</v>
      </c>
      <c r="B29" s="10"/>
      <c r="C29" s="9" t="s">
        <v>287</v>
      </c>
      <c r="D29" s="26"/>
      <c r="E29" s="26"/>
      <c r="F29" s="27" t="str">
        <f>IF(COUNT(tblProjectSchedule[[#This Row],[Start]:[Finish]])=2,NETWORKDAYS.INTL(tblProjectSchedule[[#This Row],[Start]],tblProjectSchedule[[#This Row],[Finish]],2),"")</f>
        <v/>
      </c>
      <c r="G29" s="8"/>
      <c r="H29" s="8"/>
      <c r="I29" s="8"/>
      <c r="J29" s="7"/>
    </row>
    <row r="30" spans="1:10">
      <c r="A30" s="21" t="s">
        <v>288</v>
      </c>
      <c r="B30" s="10"/>
      <c r="C30" s="9" t="s">
        <v>289</v>
      </c>
      <c r="D30" s="26"/>
      <c r="E30" s="26"/>
      <c r="F30" s="27" t="str">
        <f>IF(COUNT(tblProjectSchedule[[#This Row],[Start]:[Finish]])=2,NETWORKDAYS.INTL(tblProjectSchedule[[#This Row],[Start]],tblProjectSchedule[[#This Row],[Finish]],2),"")</f>
        <v/>
      </c>
      <c r="G30" s="8"/>
      <c r="H30" s="8"/>
      <c r="I30" s="8"/>
      <c r="J30" s="7"/>
    </row>
    <row r="31" spans="1:10">
      <c r="A31" s="21" t="s">
        <v>290</v>
      </c>
      <c r="B31" s="10"/>
      <c r="C31" s="9" t="s">
        <v>291</v>
      </c>
      <c r="D31" s="26"/>
      <c r="E31" s="26"/>
      <c r="F31" s="27" t="str">
        <f>IF(COUNT(tblProjectSchedule[[#This Row],[Start]:[Finish]])=2,NETWORKDAYS.INTL(tblProjectSchedule[[#This Row],[Start]],tblProjectSchedule[[#This Row],[Finish]],2),"")</f>
        <v/>
      </c>
      <c r="G31" s="8"/>
      <c r="H31" s="8"/>
      <c r="I31" s="8"/>
      <c r="J31" s="7"/>
    </row>
    <row r="32" spans="1:10">
      <c r="A32" s="21" t="s">
        <v>292</v>
      </c>
      <c r="B32" s="10"/>
      <c r="C32" s="9" t="s">
        <v>293</v>
      </c>
      <c r="D32" s="26"/>
      <c r="E32" s="26"/>
      <c r="F32" s="27" t="str">
        <f>IF(COUNT(tblProjectSchedule[[#This Row],[Start]:[Finish]])=2,NETWORKDAYS.INTL(tblProjectSchedule[[#This Row],[Start]],tblProjectSchedule[[#This Row],[Finish]],2),"")</f>
        <v/>
      </c>
      <c r="G32" s="8"/>
      <c r="H32" s="8"/>
      <c r="I32" s="8"/>
      <c r="J32" s="7"/>
    </row>
    <row r="33" spans="1:10" ht="45">
      <c r="A33" s="21" t="s">
        <v>294</v>
      </c>
      <c r="B33" s="10"/>
      <c r="C33" s="9" t="s">
        <v>295</v>
      </c>
      <c r="D33" s="26"/>
      <c r="E33" s="26"/>
      <c r="F33" s="27" t="str">
        <f>IF(COUNT(tblProjectSchedule[[#This Row],[Start]:[Finish]])=2,NETWORKDAYS.INTL(tblProjectSchedule[[#This Row],[Start]],tblProjectSchedule[[#This Row],[Finish]],2),"")</f>
        <v/>
      </c>
      <c r="G33" s="8"/>
      <c r="H33" s="8"/>
      <c r="I33" s="8"/>
      <c r="J33" s="7"/>
    </row>
    <row r="34" spans="1:10" ht="30">
      <c r="A34" s="21" t="s">
        <v>296</v>
      </c>
      <c r="B34" s="10"/>
      <c r="C34" s="9" t="s">
        <v>297</v>
      </c>
      <c r="D34" s="26"/>
      <c r="E34" s="26"/>
      <c r="F34" s="27" t="str">
        <f>IF(COUNT(tblProjectSchedule[[#This Row],[Start]:[Finish]])=2,NETWORKDAYS.INTL(tblProjectSchedule[[#This Row],[Start]],tblProjectSchedule[[#This Row],[Finish]],2),"")</f>
        <v/>
      </c>
      <c r="G34" s="8"/>
      <c r="H34" s="8"/>
      <c r="I34" s="8"/>
      <c r="J34" s="7"/>
    </row>
    <row r="35" spans="1:10" ht="30">
      <c r="A35" s="21" t="s">
        <v>298</v>
      </c>
      <c r="B35" s="10"/>
      <c r="C35" s="9" t="s">
        <v>299</v>
      </c>
      <c r="D35" s="26"/>
      <c r="E35" s="26"/>
      <c r="F35" s="27" t="str">
        <f>IF(COUNT(tblProjectSchedule[[#This Row],[Start]:[Finish]])=2,NETWORKDAYS.INTL(tblProjectSchedule[[#This Row],[Start]],tblProjectSchedule[[#This Row],[Finish]],2),"")</f>
        <v/>
      </c>
      <c r="G35" s="8"/>
      <c r="H35" s="8"/>
      <c r="I35" s="8"/>
      <c r="J35" s="7"/>
    </row>
    <row r="36" spans="1:10" ht="30">
      <c r="A36" s="21" t="s">
        <v>300</v>
      </c>
      <c r="B36" s="10"/>
      <c r="C36" s="9" t="s">
        <v>301</v>
      </c>
      <c r="D36" s="26"/>
      <c r="E36" s="26"/>
      <c r="F36" s="27" t="str">
        <f>IF(COUNT(tblProjectSchedule[[#This Row],[Start]:[Finish]])=2,NETWORKDAYS.INTL(tblProjectSchedule[[#This Row],[Start]],tblProjectSchedule[[#This Row],[Finish]],2),"")</f>
        <v/>
      </c>
      <c r="G36" s="8"/>
      <c r="H36" s="8"/>
      <c r="I36" s="8"/>
      <c r="J36" s="7"/>
    </row>
    <row r="37" spans="1:10">
      <c r="A37" s="21" t="s">
        <v>302</v>
      </c>
      <c r="B37" s="10"/>
      <c r="C37" s="9" t="s">
        <v>303</v>
      </c>
      <c r="D37" s="26"/>
      <c r="E37" s="26"/>
      <c r="F37" s="27" t="str">
        <f>IF(COUNT(tblProjectSchedule[[#This Row],[Start]:[Finish]])=2,NETWORKDAYS.INTL(tblProjectSchedule[[#This Row],[Start]],tblProjectSchedule[[#This Row],[Finish]],2),"")</f>
        <v/>
      </c>
      <c r="G37" s="8"/>
      <c r="H37" s="8"/>
      <c r="I37" s="8"/>
      <c r="J37" s="7"/>
    </row>
    <row r="38" spans="1:10">
      <c r="A38" s="21" t="s">
        <v>304</v>
      </c>
      <c r="B38" s="10"/>
      <c r="C38" s="9" t="s">
        <v>305</v>
      </c>
      <c r="D38" s="26"/>
      <c r="E38" s="26"/>
      <c r="F38" s="27" t="str">
        <f>IF(COUNT(tblProjectSchedule[[#This Row],[Start]:[Finish]])=2,NETWORKDAYS.INTL(tblProjectSchedule[[#This Row],[Start]],tblProjectSchedule[[#This Row],[Finish]],2),"")</f>
        <v/>
      </c>
      <c r="G38" s="8"/>
      <c r="H38" s="8"/>
      <c r="I38" s="8"/>
      <c r="J38" s="7"/>
    </row>
    <row r="39" spans="1:10">
      <c r="A39" s="21" t="s">
        <v>306</v>
      </c>
      <c r="B39" s="10"/>
      <c r="C39" s="9" t="s">
        <v>307</v>
      </c>
      <c r="D39" s="26"/>
      <c r="E39" s="26"/>
      <c r="F39" s="27" t="str">
        <f>IF(COUNT(tblProjectSchedule[[#This Row],[Start]:[Finish]])=2,NETWORKDAYS.INTL(tblProjectSchedule[[#This Row],[Start]],tblProjectSchedule[[#This Row],[Finish]],2),"")</f>
        <v/>
      </c>
      <c r="G39" s="8"/>
      <c r="H39" s="8"/>
      <c r="I39" s="8"/>
      <c r="J39" s="7"/>
    </row>
    <row r="40" spans="1:10">
      <c r="A40" s="21" t="s">
        <v>308</v>
      </c>
      <c r="B40" s="10"/>
      <c r="C40" s="9"/>
      <c r="D40" s="26"/>
      <c r="E40" s="26"/>
      <c r="F40" s="27" t="str">
        <f>IF(COUNT(tblProjectSchedule[[#This Row],[Start]:[Finish]])=2,NETWORKDAYS.INTL(tblProjectSchedule[[#This Row],[Start]],tblProjectSchedule[[#This Row],[Finish]],2),"")</f>
        <v/>
      </c>
      <c r="G40" s="8"/>
      <c r="H40" s="8"/>
      <c r="I40" s="8"/>
      <c r="J40" s="7"/>
    </row>
    <row r="41" spans="1:10">
      <c r="A41" s="21" t="s">
        <v>309</v>
      </c>
      <c r="B41" s="10"/>
      <c r="C41" s="9"/>
      <c r="D41" s="26"/>
      <c r="E41" s="26"/>
      <c r="F41" s="27" t="str">
        <f>IF(COUNT(tblProjectSchedule[[#This Row],[Start]:[Finish]])=2,NETWORKDAYS.INTL(tblProjectSchedule[[#This Row],[Start]],tblProjectSchedule[[#This Row],[Finish]],2),"")</f>
        <v/>
      </c>
      <c r="G41" s="8"/>
      <c r="H41" s="8"/>
      <c r="I41" s="8"/>
      <c r="J41" s="7"/>
    </row>
    <row r="42" spans="1:10">
      <c r="A42" s="21" t="s">
        <v>310</v>
      </c>
      <c r="B42" s="10"/>
      <c r="C42" s="9"/>
      <c r="D42" s="26"/>
      <c r="E42" s="26"/>
      <c r="F42" s="27" t="str">
        <f>IF(COUNT(tblProjectSchedule[[#This Row],[Start]:[Finish]])=2,NETWORKDAYS.INTL(tblProjectSchedule[[#This Row],[Start]],tblProjectSchedule[[#This Row],[Finish]],2),"")</f>
        <v/>
      </c>
      <c r="G42" s="8"/>
      <c r="H42" s="8"/>
      <c r="I42" s="8"/>
      <c r="J42" s="7"/>
    </row>
    <row r="43" spans="1:10">
      <c r="A43" s="21" t="s">
        <v>311</v>
      </c>
      <c r="B43" s="10"/>
      <c r="C43" s="9"/>
      <c r="D43" s="26"/>
      <c r="E43" s="26"/>
      <c r="F43" s="27" t="str">
        <f>IF(COUNT(tblProjectSchedule[[#This Row],[Start]:[Finish]])=2,NETWORKDAYS.INTL(tblProjectSchedule[[#This Row],[Start]],tblProjectSchedule[[#This Row],[Finish]],2),"")</f>
        <v/>
      </c>
      <c r="G43" s="8"/>
      <c r="H43" s="8"/>
      <c r="I43" s="8"/>
      <c r="J43" s="7"/>
    </row>
    <row r="44" spans="1:10">
      <c r="A44" s="21" t="s">
        <v>312</v>
      </c>
      <c r="B44" s="10"/>
      <c r="C44" s="9"/>
      <c r="D44" s="26"/>
      <c r="E44" s="26"/>
      <c r="F44" s="27" t="str">
        <f>IF(COUNT(tblProjectSchedule[[#This Row],[Start]:[Finish]])=2,NETWORKDAYS.INTL(tblProjectSchedule[[#This Row],[Start]],tblProjectSchedule[[#This Row],[Finish]],2),"")</f>
        <v/>
      </c>
      <c r="G44" s="8"/>
      <c r="H44" s="8"/>
      <c r="I44" s="8"/>
      <c r="J44" s="7"/>
    </row>
    <row r="45" spans="1:10">
      <c r="A45" s="21" t="s">
        <v>313</v>
      </c>
      <c r="B45" s="10"/>
      <c r="C45" s="9"/>
      <c r="D45" s="26"/>
      <c r="E45" s="26"/>
      <c r="F45" s="27" t="str">
        <f>IF(COUNT(tblProjectSchedule[[#This Row],[Start]:[Finish]])=2,NETWORKDAYS.INTL(tblProjectSchedule[[#This Row],[Start]],tblProjectSchedule[[#This Row],[Finish]],2),"")</f>
        <v/>
      </c>
      <c r="G45" s="8"/>
      <c r="H45" s="8"/>
      <c r="I45" s="8"/>
      <c r="J45" s="7"/>
    </row>
    <row r="46" spans="1:10">
      <c r="A46" s="21" t="s">
        <v>314</v>
      </c>
      <c r="B46" s="10"/>
      <c r="C46" s="9"/>
      <c r="D46" s="26"/>
      <c r="E46" s="26"/>
      <c r="F46" s="27" t="str">
        <f>IF(COUNT(tblProjectSchedule[[#This Row],[Start]:[Finish]])=2,NETWORKDAYS.INTL(tblProjectSchedule[[#This Row],[Start]],tblProjectSchedule[[#This Row],[Finish]],2),"")</f>
        <v/>
      </c>
      <c r="G46" s="8"/>
      <c r="H46" s="8"/>
      <c r="I46" s="8"/>
      <c r="J46" s="7"/>
    </row>
    <row r="47" spans="1:10">
      <c r="A47" s="21"/>
      <c r="B47" s="10"/>
      <c r="C47" s="9"/>
      <c r="D47" s="26"/>
      <c r="E47" s="26"/>
      <c r="F47" s="27" t="str">
        <f>IF(COUNT(tblProjectSchedule[[#This Row],[Start]:[Finish]])=2,NETWORKDAYS.INTL(tblProjectSchedule[[#This Row],[Start]],tblProjectSchedule[[#This Row],[Finish]],2),"")</f>
        <v/>
      </c>
      <c r="G47" s="8"/>
      <c r="H47" s="8"/>
      <c r="I47" s="8"/>
      <c r="J47" s="7"/>
    </row>
    <row r="48" spans="1:10">
      <c r="A48" s="21"/>
      <c r="B48" s="10"/>
      <c r="C48" s="9"/>
      <c r="D48" s="26"/>
      <c r="E48" s="26"/>
      <c r="F48" s="27" t="str">
        <f>IF(COUNT(tblProjectSchedule[[#This Row],[Start]:[Finish]])=2,NETWORKDAYS.INTL(tblProjectSchedule[[#This Row],[Start]],tblProjectSchedule[[#This Row],[Finish]],2),"")</f>
        <v/>
      </c>
      <c r="G48" s="8"/>
      <c r="H48" s="8"/>
      <c r="I48" s="8"/>
      <c r="J48" s="7"/>
    </row>
    <row r="49" spans="1:10" ht="30">
      <c r="A49" s="9" t="s">
        <v>315</v>
      </c>
      <c r="B49" s="20"/>
      <c r="C49" s="9" t="s">
        <v>316</v>
      </c>
      <c r="D49" s="26"/>
      <c r="E49" s="26"/>
      <c r="F49" s="27" t="str">
        <f>IF(COUNT(tblProjectSchedule[[#This Row],[Start]:[Finish]])=2,NETWORKDAYS.INTL(tblProjectSchedule[[#This Row],[Start]],tblProjectSchedule[[#This Row],[Finish]],2),"")</f>
        <v/>
      </c>
      <c r="G49" s="8"/>
      <c r="H49" s="8"/>
      <c r="I49" s="8"/>
      <c r="J49" s="7"/>
    </row>
    <row r="50" spans="1:10">
      <c r="A50" s="21" t="s">
        <v>317</v>
      </c>
      <c r="B50" s="10"/>
      <c r="C50" s="9"/>
      <c r="D50" s="26"/>
      <c r="E50" s="26"/>
      <c r="F50" s="27" t="str">
        <f>IF(COUNT(tblProjectSchedule[[#This Row],[Start]:[Finish]])=2,NETWORKDAYS.INTL(tblProjectSchedule[[#This Row],[Start]],tblProjectSchedule[[#This Row],[Finish]],2),"")</f>
        <v/>
      </c>
      <c r="G50" s="8"/>
      <c r="H50" s="8"/>
      <c r="I50" s="8"/>
      <c r="J50" s="7"/>
    </row>
    <row r="51" spans="1:10">
      <c r="A51" s="21" t="s">
        <v>318</v>
      </c>
      <c r="B51" s="10"/>
      <c r="C51" s="9"/>
      <c r="D51" s="26"/>
      <c r="E51" s="26"/>
      <c r="F51" s="27" t="str">
        <f>IF(COUNT(tblProjectSchedule[[#This Row],[Start]:[Finish]])=2,NETWORKDAYS.INTL(tblProjectSchedule[[#This Row],[Start]],tblProjectSchedule[[#This Row],[Finish]],2),"")</f>
        <v/>
      </c>
      <c r="G51" s="8"/>
      <c r="H51" s="8"/>
      <c r="I51" s="8"/>
      <c r="J51" s="7"/>
    </row>
    <row r="52" spans="1:10">
      <c r="A52" s="21" t="s">
        <v>319</v>
      </c>
      <c r="B52" s="10"/>
      <c r="C52" s="9"/>
      <c r="D52" s="26"/>
      <c r="E52" s="26"/>
      <c r="F52" s="27" t="str">
        <f>IF(COUNT(tblProjectSchedule[[#This Row],[Start]:[Finish]])=2,NETWORKDAYS.INTL(tblProjectSchedule[[#This Row],[Start]],tblProjectSchedule[[#This Row],[Finish]],2),"")</f>
        <v/>
      </c>
      <c r="G52" s="8"/>
      <c r="H52" s="8"/>
      <c r="I52" s="8"/>
      <c r="J52" s="7"/>
    </row>
    <row r="53" spans="1:10">
      <c r="A53" s="21" t="s">
        <v>320</v>
      </c>
      <c r="B53" s="10"/>
      <c r="C53" s="9"/>
      <c r="D53" s="26"/>
      <c r="E53" s="26"/>
      <c r="F53" s="27" t="str">
        <f>IF(COUNT(tblProjectSchedule[[#This Row],[Start]:[Finish]])=2,NETWORKDAYS.INTL(tblProjectSchedule[[#This Row],[Start]],tblProjectSchedule[[#This Row],[Finish]],2),"")</f>
        <v/>
      </c>
      <c r="G53" s="8"/>
      <c r="H53" s="8"/>
      <c r="I53" s="8"/>
      <c r="J53" s="7"/>
    </row>
    <row r="54" spans="1:10">
      <c r="A54" s="21" t="s">
        <v>321</v>
      </c>
      <c r="B54" s="10"/>
      <c r="C54" s="9"/>
      <c r="D54" s="26"/>
      <c r="E54" s="26"/>
      <c r="F54" s="27" t="str">
        <f>IF(COUNT(tblProjectSchedule[[#This Row],[Start]:[Finish]])=2,NETWORKDAYS.INTL(tblProjectSchedule[[#This Row],[Start]],tblProjectSchedule[[#This Row],[Finish]],2),"")</f>
        <v/>
      </c>
      <c r="G54" s="8"/>
      <c r="H54" s="8"/>
      <c r="I54" s="8"/>
      <c r="J54" s="7"/>
    </row>
    <row r="55" spans="1:10">
      <c r="A55" s="21"/>
      <c r="B55" s="10"/>
      <c r="C55" s="9"/>
      <c r="D55" s="26"/>
      <c r="E55" s="26"/>
      <c r="F55" s="27" t="str">
        <f>IF(COUNT(tblProjectSchedule[[#This Row],[Start]:[Finish]])=2,NETWORKDAYS.INTL(tblProjectSchedule[[#This Row],[Start]],tblProjectSchedule[[#This Row],[Finish]],2),"")</f>
        <v/>
      </c>
      <c r="G55" s="8"/>
      <c r="H55" s="8"/>
      <c r="I55" s="8"/>
      <c r="J55" s="7"/>
    </row>
    <row r="56" spans="1:10">
      <c r="A56" s="21"/>
      <c r="B56" s="10"/>
      <c r="C56" s="9"/>
      <c r="D56" s="26"/>
      <c r="E56" s="26"/>
      <c r="F56" s="27" t="str">
        <f>IF(COUNT(tblProjectSchedule[[#This Row],[Start]:[Finish]])=2,NETWORKDAYS.INTL(tblProjectSchedule[[#This Row],[Start]],tblProjectSchedule[[#This Row],[Finish]],2),"")</f>
        <v/>
      </c>
      <c r="G56" s="8"/>
      <c r="H56" s="8"/>
      <c r="I56" s="8"/>
      <c r="J56" s="7"/>
    </row>
    <row r="57" spans="1:10">
      <c r="A57" s="9" t="s">
        <v>322</v>
      </c>
      <c r="B57" s="20"/>
      <c r="C57" s="9" t="s">
        <v>323</v>
      </c>
      <c r="D57" s="26"/>
      <c r="E57" s="26"/>
      <c r="F57" s="27" t="str">
        <f>IF(COUNT(tblProjectSchedule[[#This Row],[Start]:[Finish]])=2,NETWORKDAYS.INTL(tblProjectSchedule[[#This Row],[Start]],tblProjectSchedule[[#This Row],[Finish]],2),"")</f>
        <v/>
      </c>
      <c r="G57" s="8"/>
      <c r="H57" s="8"/>
      <c r="I57" s="8"/>
      <c r="J57" s="7"/>
    </row>
    <row r="58" spans="1:10">
      <c r="A58" s="21" t="s">
        <v>324</v>
      </c>
      <c r="B58" s="10"/>
      <c r="C58" s="9" t="s">
        <v>325</v>
      </c>
      <c r="D58" s="26"/>
      <c r="E58" s="26"/>
      <c r="F58" s="27" t="str">
        <f>IF(COUNT(tblProjectSchedule[[#This Row],[Start]:[Finish]])=2,NETWORKDAYS.INTL(tblProjectSchedule[[#This Row],[Start]],tblProjectSchedule[[#This Row],[Finish]],2),"")</f>
        <v/>
      </c>
      <c r="G58" s="8"/>
      <c r="H58" s="8"/>
      <c r="I58" s="8"/>
      <c r="J58" s="7"/>
    </row>
    <row r="59" spans="1:10">
      <c r="A59" s="21" t="s">
        <v>326</v>
      </c>
      <c r="B59" s="10"/>
      <c r="C59" s="9" t="s">
        <v>327</v>
      </c>
      <c r="D59" s="26"/>
      <c r="E59" s="26"/>
      <c r="F59" s="27" t="str">
        <f>IF(COUNT(tblProjectSchedule[[#This Row],[Start]:[Finish]])=2,NETWORKDAYS.INTL(tblProjectSchedule[[#This Row],[Start]],tblProjectSchedule[[#This Row],[Finish]],2),"")</f>
        <v/>
      </c>
      <c r="G59" s="8"/>
      <c r="H59" s="8"/>
      <c r="I59" s="8"/>
      <c r="J59" s="7"/>
    </row>
    <row r="60" spans="1:10">
      <c r="A60" s="21" t="s">
        <v>328</v>
      </c>
      <c r="B60" s="10"/>
      <c r="C60" s="9" t="s">
        <v>329</v>
      </c>
      <c r="D60" s="26"/>
      <c r="E60" s="26"/>
      <c r="F60" s="27" t="str">
        <f>IF(COUNT(tblProjectSchedule[[#This Row],[Start]:[Finish]])=2,NETWORKDAYS.INTL(tblProjectSchedule[[#This Row],[Start]],tblProjectSchedule[[#This Row],[Finish]],2),"")</f>
        <v/>
      </c>
      <c r="G60" s="8"/>
      <c r="H60" s="8"/>
      <c r="I60" s="8"/>
      <c r="J60" s="7"/>
    </row>
    <row r="61" spans="1:10">
      <c r="A61" s="21" t="s">
        <v>330</v>
      </c>
      <c r="B61" s="10"/>
      <c r="C61" s="9" t="s">
        <v>331</v>
      </c>
      <c r="D61" s="26"/>
      <c r="E61" s="26"/>
      <c r="F61" s="27" t="str">
        <f>IF(COUNT(tblProjectSchedule[[#This Row],[Start]:[Finish]])=2,NETWORKDAYS.INTL(tblProjectSchedule[[#This Row],[Start]],tblProjectSchedule[[#This Row],[Finish]],2),"")</f>
        <v/>
      </c>
      <c r="G61" s="8"/>
      <c r="H61" s="8"/>
      <c r="I61" s="8"/>
      <c r="J61" s="7"/>
    </row>
    <row r="62" spans="1:10">
      <c r="A62" s="21" t="s">
        <v>332</v>
      </c>
      <c r="B62" s="10"/>
      <c r="C62" s="9" t="s">
        <v>333</v>
      </c>
      <c r="D62" s="26"/>
      <c r="E62" s="26"/>
      <c r="F62" s="27" t="str">
        <f>IF(COUNT(tblProjectSchedule[[#This Row],[Start]:[Finish]])=2,NETWORKDAYS.INTL(tblProjectSchedule[[#This Row],[Start]],tblProjectSchedule[[#This Row],[Finish]],2),"")</f>
        <v/>
      </c>
      <c r="G62" s="8"/>
      <c r="H62" s="8"/>
      <c r="I62" s="8"/>
      <c r="J62" s="7"/>
    </row>
    <row r="63" spans="1:10">
      <c r="A63" s="21" t="s">
        <v>334</v>
      </c>
      <c r="B63" s="10"/>
      <c r="C63" s="9" t="s">
        <v>335</v>
      </c>
      <c r="D63" s="26"/>
      <c r="E63" s="26"/>
      <c r="F63" s="27" t="str">
        <f>IF(COUNT(tblProjectSchedule[[#This Row],[Start]:[Finish]])=2,NETWORKDAYS.INTL(tblProjectSchedule[[#This Row],[Start]],tblProjectSchedule[[#This Row],[Finish]],2),"")</f>
        <v/>
      </c>
      <c r="G63" s="8"/>
      <c r="H63" s="8"/>
      <c r="I63" s="8"/>
      <c r="J63" s="7"/>
    </row>
    <row r="64" spans="1:10">
      <c r="A64" s="21" t="s">
        <v>336</v>
      </c>
      <c r="B64" s="10"/>
      <c r="C64" s="9" t="s">
        <v>337</v>
      </c>
      <c r="D64" s="26"/>
      <c r="E64" s="26"/>
      <c r="F64" s="27" t="str">
        <f>IF(COUNT(tblProjectSchedule[[#This Row],[Start]:[Finish]])=2,NETWORKDAYS.INTL(tblProjectSchedule[[#This Row],[Start]],tblProjectSchedule[[#This Row],[Finish]],2),"")</f>
        <v/>
      </c>
      <c r="G64" s="8"/>
      <c r="H64" s="8"/>
      <c r="I64" s="8"/>
      <c r="J64" s="7"/>
    </row>
    <row r="65" spans="1:10">
      <c r="A65" s="21" t="s">
        <v>338</v>
      </c>
      <c r="B65" s="10"/>
      <c r="C65" s="9" t="s">
        <v>339</v>
      </c>
      <c r="D65" s="26"/>
      <c r="E65" s="26"/>
      <c r="F65" s="27" t="str">
        <f>IF(COUNT(tblProjectSchedule[[#This Row],[Start]:[Finish]])=2,NETWORKDAYS.INTL(tblProjectSchedule[[#This Row],[Start]],tblProjectSchedule[[#This Row],[Finish]],2),"")</f>
        <v/>
      </c>
      <c r="G65" s="8"/>
      <c r="H65" s="8"/>
      <c r="I65" s="8"/>
      <c r="J65" s="7"/>
    </row>
    <row r="66" spans="1:10">
      <c r="A66" s="21" t="s">
        <v>340</v>
      </c>
      <c r="B66" s="10"/>
      <c r="C66" s="9"/>
      <c r="D66" s="26"/>
      <c r="E66" s="26"/>
      <c r="F66" s="27" t="str">
        <f>IF(COUNT(tblProjectSchedule[[#This Row],[Start]:[Finish]])=2,NETWORKDAYS.INTL(tblProjectSchedule[[#This Row],[Start]],tblProjectSchedule[[#This Row],[Finish]],2),"")</f>
        <v/>
      </c>
      <c r="G66" s="8"/>
      <c r="H66" s="8"/>
      <c r="I66" s="8"/>
      <c r="J66" s="7"/>
    </row>
    <row r="67" spans="1:10">
      <c r="A67" s="21" t="s">
        <v>341</v>
      </c>
      <c r="B67" s="10"/>
      <c r="C67" s="9"/>
      <c r="D67" s="26"/>
      <c r="E67" s="26"/>
      <c r="F67" s="27" t="str">
        <f>IF(COUNT(tblProjectSchedule[[#This Row],[Start]:[Finish]])=2,NETWORKDAYS.INTL(tblProjectSchedule[[#This Row],[Start]],tblProjectSchedule[[#This Row],[Finish]],2),"")</f>
        <v/>
      </c>
      <c r="G67" s="8"/>
      <c r="H67" s="8"/>
      <c r="I67" s="8"/>
      <c r="J67" s="7"/>
    </row>
    <row r="68" spans="1:10">
      <c r="A68" s="21" t="s">
        <v>342</v>
      </c>
      <c r="B68" s="10"/>
      <c r="C68" s="9"/>
      <c r="D68" s="26"/>
      <c r="E68" s="26"/>
      <c r="F68" s="27" t="str">
        <f>IF(COUNT(tblProjectSchedule[[#This Row],[Start]:[Finish]])=2,NETWORKDAYS.INTL(tblProjectSchedule[[#This Row],[Start]],tblProjectSchedule[[#This Row],[Finish]],2),"")</f>
        <v/>
      </c>
      <c r="G68" s="8"/>
      <c r="H68" s="8"/>
      <c r="I68" s="8"/>
      <c r="J68" s="7"/>
    </row>
    <row r="69" spans="1:10">
      <c r="A69" s="21" t="s">
        <v>343</v>
      </c>
      <c r="B69" s="10"/>
      <c r="C69" s="9"/>
      <c r="D69" s="26"/>
      <c r="E69" s="26"/>
      <c r="F69" s="27" t="str">
        <f>IF(COUNT(tblProjectSchedule[[#This Row],[Start]:[Finish]])=2,NETWORKDAYS.INTL(tblProjectSchedule[[#This Row],[Start]],tblProjectSchedule[[#This Row],[Finish]],2),"")</f>
        <v/>
      </c>
      <c r="G69" s="8"/>
      <c r="H69" s="8"/>
      <c r="I69" s="8"/>
      <c r="J69" s="7"/>
    </row>
    <row r="70" spans="1:10">
      <c r="A70" s="21" t="s">
        <v>344</v>
      </c>
      <c r="B70" s="10"/>
      <c r="C70" s="9"/>
      <c r="D70" s="26"/>
      <c r="E70" s="26"/>
      <c r="F70" s="27" t="str">
        <f>IF(COUNT(tblProjectSchedule[[#This Row],[Start]:[Finish]])=2,NETWORKDAYS.INTL(tblProjectSchedule[[#This Row],[Start]],tblProjectSchedule[[#This Row],[Finish]],2),"")</f>
        <v/>
      </c>
      <c r="G70" s="8"/>
      <c r="H70" s="8"/>
      <c r="I70" s="8"/>
      <c r="J70" s="7"/>
    </row>
    <row r="71" spans="1:10">
      <c r="A71" s="21" t="s">
        <v>345</v>
      </c>
      <c r="B71" s="10"/>
      <c r="C71" s="9"/>
      <c r="D71" s="26"/>
      <c r="E71" s="26"/>
      <c r="F71" s="27" t="str">
        <f>IF(COUNT(tblProjectSchedule[[#This Row],[Start]:[Finish]])=2,NETWORKDAYS.INTL(tblProjectSchedule[[#This Row],[Start]],tblProjectSchedule[[#This Row],[Finish]],2),"")</f>
        <v/>
      </c>
      <c r="G71" s="8"/>
      <c r="H71" s="8"/>
      <c r="I71" s="8"/>
      <c r="J71" s="7"/>
    </row>
    <row r="72" spans="1:10">
      <c r="A72" s="21" t="s">
        <v>346</v>
      </c>
      <c r="B72" s="10"/>
      <c r="C72" s="9"/>
      <c r="D72" s="26"/>
      <c r="E72" s="26"/>
      <c r="F72" s="27" t="str">
        <f>IF(COUNT(tblProjectSchedule[[#This Row],[Start]:[Finish]])=2,NETWORKDAYS.INTL(tblProjectSchedule[[#This Row],[Start]],tblProjectSchedule[[#This Row],[Finish]],2),"")</f>
        <v/>
      </c>
      <c r="G72" s="8"/>
      <c r="H72" s="8"/>
      <c r="I72" s="8"/>
      <c r="J72" s="7"/>
    </row>
    <row r="73" spans="1:10">
      <c r="A73" s="21" t="s">
        <v>347</v>
      </c>
      <c r="B73" s="10"/>
      <c r="C73" s="9"/>
      <c r="D73" s="26"/>
      <c r="E73" s="26"/>
      <c r="F73" s="27" t="str">
        <f>IF(COUNT(tblProjectSchedule[[#This Row],[Start]:[Finish]])=2,NETWORKDAYS.INTL(tblProjectSchedule[[#This Row],[Start]],tblProjectSchedule[[#This Row],[Finish]],2),"")</f>
        <v/>
      </c>
      <c r="G73" s="8"/>
      <c r="H73" s="8"/>
      <c r="I73" s="8"/>
      <c r="J73" s="7"/>
    </row>
    <row r="74" spans="1:10">
      <c r="A74" s="21" t="s">
        <v>348</v>
      </c>
      <c r="B74" s="10"/>
      <c r="C74" s="9"/>
      <c r="D74" s="26"/>
      <c r="E74" s="26"/>
      <c r="F74" s="27" t="str">
        <f>IF(COUNT(tblProjectSchedule[[#This Row],[Start]:[Finish]])=2,NETWORKDAYS.INTL(tblProjectSchedule[[#This Row],[Start]],tblProjectSchedule[[#This Row],[Finish]],2),"")</f>
        <v/>
      </c>
      <c r="G74" s="8"/>
      <c r="H74" s="8"/>
      <c r="I74" s="8"/>
      <c r="J74" s="7"/>
    </row>
    <row r="75" spans="1:10">
      <c r="A75" s="21" t="s">
        <v>349</v>
      </c>
      <c r="B75" s="10"/>
      <c r="C75" s="9"/>
      <c r="D75" s="26"/>
      <c r="E75" s="26"/>
      <c r="F75" s="27" t="str">
        <f>IF(COUNT(tblProjectSchedule[[#This Row],[Start]:[Finish]])=2,NETWORKDAYS.INTL(tblProjectSchedule[[#This Row],[Start]],tblProjectSchedule[[#This Row],[Finish]],2),"")</f>
        <v/>
      </c>
      <c r="G75" s="8"/>
      <c r="H75" s="8"/>
      <c r="I75" s="8"/>
      <c r="J75" s="7"/>
    </row>
    <row r="76" spans="1:10">
      <c r="A76" s="21" t="s">
        <v>350</v>
      </c>
      <c r="B76" s="10"/>
      <c r="C76" s="9"/>
      <c r="D76" s="26"/>
      <c r="E76" s="26"/>
      <c r="F76" s="27" t="str">
        <f>IF(COUNT(tblProjectSchedule[[#This Row],[Start]:[Finish]])=2,NETWORKDAYS.INTL(tblProjectSchedule[[#This Row],[Start]],tblProjectSchedule[[#This Row],[Finish]],2),"")</f>
        <v/>
      </c>
      <c r="G76" s="8"/>
      <c r="H76" s="8"/>
      <c r="I76" s="8"/>
      <c r="J76" s="7"/>
    </row>
    <row r="77" spans="1:10">
      <c r="A77" s="21" t="s">
        <v>351</v>
      </c>
      <c r="B77" s="10"/>
      <c r="C77" s="9"/>
      <c r="D77" s="26"/>
      <c r="E77" s="26"/>
      <c r="F77" s="27" t="str">
        <f>IF(COUNT(tblProjectSchedule[[#This Row],[Start]:[Finish]])=2,NETWORKDAYS.INTL(tblProjectSchedule[[#This Row],[Start]],tblProjectSchedule[[#This Row],[Finish]],2),"")</f>
        <v/>
      </c>
      <c r="G77" s="8"/>
      <c r="H77" s="8"/>
      <c r="I77" s="8"/>
      <c r="J77" s="7"/>
    </row>
    <row r="78" spans="1:10">
      <c r="A78" s="21"/>
      <c r="B78" s="10"/>
      <c r="C78" s="9"/>
      <c r="D78" s="26"/>
      <c r="E78" s="26"/>
      <c r="F78" s="27" t="str">
        <f>IF(COUNT(tblProjectSchedule[[#This Row],[Start]:[Finish]])=2,NETWORKDAYS.INTL(tblProjectSchedule[[#This Row],[Start]],tblProjectSchedule[[#This Row],[Finish]],2),"")</f>
        <v/>
      </c>
      <c r="G78" s="8"/>
      <c r="H78" s="8"/>
      <c r="I78" s="8"/>
      <c r="J78" s="7"/>
    </row>
    <row r="79" spans="1:10">
      <c r="A79" s="21"/>
      <c r="B79" s="10"/>
      <c r="C79" s="9"/>
      <c r="D79" s="26"/>
      <c r="E79" s="26"/>
      <c r="F79" s="27" t="str">
        <f>IF(COUNT(tblProjectSchedule[[#This Row],[Start]:[Finish]])=2,NETWORKDAYS.INTL(tblProjectSchedule[[#This Row],[Start]],tblProjectSchedule[[#This Row],[Finish]],2),"")</f>
        <v/>
      </c>
      <c r="G79" s="8"/>
      <c r="H79" s="8"/>
      <c r="I79" s="8"/>
      <c r="J79" s="7"/>
    </row>
    <row r="80" spans="1:10" ht="30">
      <c r="A80" s="9" t="s">
        <v>352</v>
      </c>
      <c r="B80" s="20"/>
      <c r="C80" s="9" t="s">
        <v>353</v>
      </c>
      <c r="D80" s="26"/>
      <c r="E80" s="26"/>
      <c r="F80" s="27" t="str">
        <f>IF(COUNT(tblProjectSchedule[[#This Row],[Start]:[Finish]])=2,NETWORKDAYS.INTL(tblProjectSchedule[[#This Row],[Start]],tblProjectSchedule[[#This Row],[Finish]],2),"")</f>
        <v/>
      </c>
      <c r="G80" s="8"/>
      <c r="H80" s="8"/>
      <c r="I80" s="8"/>
      <c r="J80" s="7"/>
    </row>
    <row r="81" spans="1:10">
      <c r="A81" s="21" t="s">
        <v>354</v>
      </c>
      <c r="B81" s="10"/>
      <c r="C81" s="9"/>
      <c r="D81" s="26"/>
      <c r="E81" s="26"/>
      <c r="F81" s="27" t="str">
        <f>IF(COUNT(tblProjectSchedule[[#This Row],[Start]:[Finish]])=2,NETWORKDAYS.INTL(tblProjectSchedule[[#This Row],[Start]],tblProjectSchedule[[#This Row],[Finish]],2),"")</f>
        <v/>
      </c>
      <c r="G81" s="8"/>
      <c r="H81" s="8"/>
      <c r="I81" s="8"/>
      <c r="J81" s="7"/>
    </row>
    <row r="82" spans="1:10">
      <c r="A82" s="21" t="s">
        <v>355</v>
      </c>
      <c r="B82" s="10"/>
      <c r="C82" s="9"/>
      <c r="D82" s="26"/>
      <c r="E82" s="26"/>
      <c r="F82" s="27" t="str">
        <f>IF(COUNT(tblProjectSchedule[[#This Row],[Start]:[Finish]])=2,NETWORKDAYS.INTL(tblProjectSchedule[[#This Row],[Start]],tblProjectSchedule[[#This Row],[Finish]],2),"")</f>
        <v/>
      </c>
      <c r="G82" s="8"/>
      <c r="H82" s="8"/>
      <c r="I82" s="8"/>
      <c r="J82" s="7"/>
    </row>
    <row r="83" spans="1:10">
      <c r="A83" s="21" t="s">
        <v>356</v>
      </c>
      <c r="B83" s="10"/>
      <c r="C83" s="9"/>
      <c r="D83" s="26"/>
      <c r="E83" s="26"/>
      <c r="F83" s="27" t="str">
        <f>IF(COUNT(tblProjectSchedule[[#This Row],[Start]:[Finish]])=2,NETWORKDAYS.INTL(tblProjectSchedule[[#This Row],[Start]],tblProjectSchedule[[#This Row],[Finish]],2),"")</f>
        <v/>
      </c>
      <c r="G83" s="8"/>
      <c r="H83" s="8"/>
      <c r="I83" s="8"/>
      <c r="J83" s="7"/>
    </row>
    <row r="84" spans="1:10">
      <c r="A84" s="21" t="s">
        <v>357</v>
      </c>
      <c r="B84" s="10"/>
      <c r="C84" s="9"/>
      <c r="D84" s="26"/>
      <c r="E84" s="26"/>
      <c r="F84" s="27" t="str">
        <f>IF(COUNT(tblProjectSchedule[[#This Row],[Start]:[Finish]])=2,NETWORKDAYS.INTL(tblProjectSchedule[[#This Row],[Start]],tblProjectSchedule[[#This Row],[Finish]],2),"")</f>
        <v/>
      </c>
      <c r="G84" s="8"/>
      <c r="H84" s="8"/>
      <c r="I84" s="8"/>
      <c r="J84" s="7"/>
    </row>
    <row r="85" spans="1:10">
      <c r="A85" s="21" t="s">
        <v>358</v>
      </c>
      <c r="B85" s="10"/>
      <c r="C85" s="9"/>
      <c r="D85" s="26"/>
      <c r="E85" s="26"/>
      <c r="F85" s="27" t="str">
        <f>IF(COUNT(tblProjectSchedule[[#This Row],[Start]:[Finish]])=2,NETWORKDAYS.INTL(tblProjectSchedule[[#This Row],[Start]],tblProjectSchedule[[#This Row],[Finish]],2),"")</f>
        <v/>
      </c>
      <c r="G85" s="8"/>
      <c r="H85" s="8"/>
      <c r="I85" s="8"/>
      <c r="J85" s="7"/>
    </row>
    <row r="86" spans="1:10">
      <c r="A86" s="21"/>
      <c r="B86" s="10"/>
      <c r="C86" s="9"/>
      <c r="D86" s="26"/>
      <c r="E86" s="26"/>
      <c r="F86" s="27" t="str">
        <f>IF(COUNT(tblProjectSchedule[[#This Row],[Start]:[Finish]])=2,NETWORKDAYS.INTL(tblProjectSchedule[[#This Row],[Start]],tblProjectSchedule[[#This Row],[Finish]],2),"")</f>
        <v/>
      </c>
      <c r="G86" s="8"/>
      <c r="H86" s="8"/>
      <c r="I86" s="8"/>
      <c r="J86" s="7"/>
    </row>
    <row r="87" spans="1:10">
      <c r="A87" s="21"/>
      <c r="B87" s="10"/>
      <c r="C87" s="9"/>
      <c r="D87" s="26"/>
      <c r="E87" s="26"/>
      <c r="F87" s="27" t="str">
        <f>IF(COUNT(tblProjectSchedule[[#This Row],[Start]:[Finish]])=2,NETWORKDAYS.INTL(tblProjectSchedule[[#This Row],[Start]],tblProjectSchedule[[#This Row],[Finish]],2),"")</f>
        <v/>
      </c>
      <c r="G87" s="8"/>
      <c r="H87" s="8"/>
      <c r="I87" s="8"/>
      <c r="J87" s="7"/>
    </row>
    <row r="88" spans="1:10">
      <c r="A88" s="9" t="s">
        <v>359</v>
      </c>
      <c r="B88" s="20"/>
      <c r="C88" s="9" t="s">
        <v>360</v>
      </c>
      <c r="D88" s="26"/>
      <c r="E88" s="26"/>
      <c r="F88" s="27" t="str">
        <f>IF(COUNT(tblProjectSchedule[[#This Row],[Start]:[Finish]])=2,NETWORKDAYS.INTL(tblProjectSchedule[[#This Row],[Start]],tblProjectSchedule[[#This Row],[Finish]],2),"")</f>
        <v/>
      </c>
      <c r="G88" s="8"/>
      <c r="H88" s="8"/>
      <c r="I88" s="8"/>
      <c r="J88" s="7"/>
    </row>
    <row r="89" spans="1:10">
      <c r="A89" s="21" t="s">
        <v>361</v>
      </c>
      <c r="B89" s="10"/>
      <c r="C89" s="9" t="s">
        <v>362</v>
      </c>
      <c r="D89" s="26"/>
      <c r="E89" s="26"/>
      <c r="F89" s="27" t="str">
        <f>IF(COUNT(tblProjectSchedule[[#This Row],[Start]:[Finish]])=2,NETWORKDAYS.INTL(tblProjectSchedule[[#This Row],[Start]],tblProjectSchedule[[#This Row],[Finish]],2),"")</f>
        <v/>
      </c>
      <c r="G89" s="8"/>
      <c r="H89" s="8"/>
      <c r="I89" s="8"/>
      <c r="J89" s="7"/>
    </row>
    <row r="90" spans="1:10">
      <c r="A90" s="21" t="s">
        <v>363</v>
      </c>
      <c r="B90" s="10"/>
      <c r="C90" s="9" t="s">
        <v>364</v>
      </c>
      <c r="D90" s="26"/>
      <c r="E90" s="26"/>
      <c r="F90" s="27" t="str">
        <f>IF(COUNT(tblProjectSchedule[[#This Row],[Start]:[Finish]])=2,NETWORKDAYS.INTL(tblProjectSchedule[[#This Row],[Start]],tblProjectSchedule[[#This Row],[Finish]],2),"")</f>
        <v/>
      </c>
      <c r="G90" s="8"/>
      <c r="H90" s="8"/>
      <c r="I90" s="8"/>
      <c r="J90" s="7"/>
    </row>
    <row r="91" spans="1:10">
      <c r="A91" s="21" t="s">
        <v>365</v>
      </c>
      <c r="B91" s="10"/>
      <c r="C91" s="9" t="s">
        <v>366</v>
      </c>
      <c r="D91" s="26"/>
      <c r="E91" s="26"/>
      <c r="F91" s="27" t="str">
        <f>IF(COUNT(tblProjectSchedule[[#This Row],[Start]:[Finish]])=2,NETWORKDAYS.INTL(tblProjectSchedule[[#This Row],[Start]],tblProjectSchedule[[#This Row],[Finish]],2),"")</f>
        <v/>
      </c>
      <c r="G91" s="8"/>
      <c r="H91" s="8"/>
      <c r="I91" s="8"/>
      <c r="J91" s="7"/>
    </row>
    <row r="92" spans="1:10">
      <c r="A92" s="21" t="s">
        <v>367</v>
      </c>
      <c r="B92" s="10"/>
      <c r="C92" s="9" t="s">
        <v>368</v>
      </c>
      <c r="D92" s="26"/>
      <c r="E92" s="26"/>
      <c r="F92" s="27" t="str">
        <f>IF(COUNT(tblProjectSchedule[[#This Row],[Start]:[Finish]])=2,NETWORKDAYS.INTL(tblProjectSchedule[[#This Row],[Start]],tblProjectSchedule[[#This Row],[Finish]],2),"")</f>
        <v/>
      </c>
      <c r="G92" s="8"/>
      <c r="H92" s="8"/>
      <c r="I92" s="8"/>
      <c r="J92" s="7"/>
    </row>
    <row r="93" spans="1:10">
      <c r="A93" s="21" t="s">
        <v>369</v>
      </c>
      <c r="B93" s="10"/>
      <c r="C93" s="9" t="s">
        <v>370</v>
      </c>
      <c r="D93" s="26"/>
      <c r="E93" s="26"/>
      <c r="F93" s="27" t="str">
        <f>IF(COUNT(tblProjectSchedule[[#This Row],[Start]:[Finish]])=2,NETWORKDAYS.INTL(tblProjectSchedule[[#This Row],[Start]],tblProjectSchedule[[#This Row],[Finish]],2),"")</f>
        <v/>
      </c>
      <c r="G93" s="8"/>
      <c r="H93" s="8"/>
      <c r="I93" s="8"/>
      <c r="J93" s="7"/>
    </row>
    <row r="94" spans="1:10">
      <c r="A94" s="21" t="s">
        <v>371</v>
      </c>
      <c r="B94" s="10"/>
      <c r="C94" s="9" t="s">
        <v>372</v>
      </c>
      <c r="D94" s="26"/>
      <c r="E94" s="26"/>
      <c r="F94" s="27" t="str">
        <f>IF(COUNT(tblProjectSchedule[[#This Row],[Start]:[Finish]])=2,NETWORKDAYS.INTL(tblProjectSchedule[[#This Row],[Start]],tblProjectSchedule[[#This Row],[Finish]],2),"")</f>
        <v/>
      </c>
      <c r="G94" s="8"/>
      <c r="H94" s="8"/>
      <c r="I94" s="8"/>
      <c r="J94" s="7"/>
    </row>
    <row r="95" spans="1:10">
      <c r="A95" s="21" t="s">
        <v>373</v>
      </c>
      <c r="B95" s="10"/>
      <c r="C95" s="9" t="s">
        <v>374</v>
      </c>
      <c r="D95" s="26"/>
      <c r="E95" s="26"/>
      <c r="F95" s="27" t="str">
        <f>IF(COUNT(tblProjectSchedule[[#This Row],[Start]:[Finish]])=2,NETWORKDAYS.INTL(tblProjectSchedule[[#This Row],[Start]],tblProjectSchedule[[#This Row],[Finish]],2),"")</f>
        <v/>
      </c>
      <c r="G95" s="8"/>
      <c r="H95" s="8"/>
      <c r="I95" s="8"/>
      <c r="J95" s="7"/>
    </row>
    <row r="96" spans="1:10">
      <c r="A96" s="21" t="s">
        <v>375</v>
      </c>
      <c r="B96" s="10"/>
      <c r="C96" s="9" t="s">
        <v>376</v>
      </c>
      <c r="D96" s="26"/>
      <c r="E96" s="26"/>
      <c r="F96" s="27" t="str">
        <f>IF(COUNT(tblProjectSchedule[[#This Row],[Start]:[Finish]])=2,NETWORKDAYS.INTL(tblProjectSchedule[[#This Row],[Start]],tblProjectSchedule[[#This Row],[Finish]],2),"")</f>
        <v/>
      </c>
      <c r="G96" s="8"/>
      <c r="H96" s="8"/>
      <c r="I96" s="8"/>
      <c r="J96" s="7"/>
    </row>
    <row r="97" spans="1:10" ht="30">
      <c r="A97" s="21" t="s">
        <v>377</v>
      </c>
      <c r="B97" s="10"/>
      <c r="C97" s="9" t="s">
        <v>378</v>
      </c>
      <c r="D97" s="26"/>
      <c r="E97" s="26"/>
      <c r="F97" s="27" t="str">
        <f>IF(COUNT(tblProjectSchedule[[#This Row],[Start]:[Finish]])=2,NETWORKDAYS.INTL(tblProjectSchedule[[#This Row],[Start]],tblProjectSchedule[[#This Row],[Finish]],2),"")</f>
        <v/>
      </c>
      <c r="G97" s="8"/>
      <c r="H97" s="8"/>
      <c r="I97" s="8"/>
      <c r="J97" s="7"/>
    </row>
    <row r="98" spans="1:10">
      <c r="A98" s="21" t="s">
        <v>379</v>
      </c>
      <c r="B98" s="10"/>
      <c r="C98" s="9" t="s">
        <v>380</v>
      </c>
      <c r="D98" s="26"/>
      <c r="E98" s="26"/>
      <c r="F98" s="27" t="str">
        <f>IF(COUNT(tblProjectSchedule[[#This Row],[Start]:[Finish]])=2,NETWORKDAYS.INTL(tblProjectSchedule[[#This Row],[Start]],tblProjectSchedule[[#This Row],[Finish]],2),"")</f>
        <v/>
      </c>
      <c r="G98" s="8"/>
      <c r="H98" s="8"/>
      <c r="I98" s="8"/>
      <c r="J98" s="7"/>
    </row>
    <row r="99" spans="1:10" ht="30">
      <c r="A99" s="21" t="s">
        <v>381</v>
      </c>
      <c r="B99" s="10"/>
      <c r="C99" s="9" t="s">
        <v>382</v>
      </c>
      <c r="D99" s="26"/>
      <c r="E99" s="26"/>
      <c r="F99" s="27" t="str">
        <f>IF(COUNT(tblProjectSchedule[[#This Row],[Start]:[Finish]])=2,NETWORKDAYS.INTL(tblProjectSchedule[[#This Row],[Start]],tblProjectSchedule[[#This Row],[Finish]],2),"")</f>
        <v/>
      </c>
      <c r="G99" s="8"/>
      <c r="H99" s="8"/>
      <c r="I99" s="8"/>
      <c r="J99" s="7"/>
    </row>
    <row r="100" spans="1:10">
      <c r="A100" s="21" t="s">
        <v>383</v>
      </c>
      <c r="B100" s="10"/>
      <c r="C100" s="9" t="s">
        <v>384</v>
      </c>
      <c r="D100" s="26"/>
      <c r="E100" s="26"/>
      <c r="F100" s="27" t="str">
        <f>IF(COUNT(tblProjectSchedule[[#This Row],[Start]:[Finish]])=2,NETWORKDAYS.INTL(tblProjectSchedule[[#This Row],[Start]],tblProjectSchedule[[#This Row],[Finish]],2),"")</f>
        <v/>
      </c>
      <c r="G100" s="8"/>
      <c r="H100" s="8"/>
      <c r="I100" s="8"/>
      <c r="J100" s="7"/>
    </row>
    <row r="101" spans="1:10">
      <c r="A101" s="21" t="s">
        <v>385</v>
      </c>
      <c r="B101" s="10"/>
      <c r="C101" s="9" t="s">
        <v>386</v>
      </c>
      <c r="D101" s="26"/>
      <c r="E101" s="26"/>
      <c r="F101" s="27" t="str">
        <f>IF(COUNT(tblProjectSchedule[[#This Row],[Start]:[Finish]])=2,NETWORKDAYS.INTL(tblProjectSchedule[[#This Row],[Start]],tblProjectSchedule[[#This Row],[Finish]],2),"")</f>
        <v/>
      </c>
      <c r="G101" s="8"/>
      <c r="H101" s="8"/>
      <c r="I101" s="8"/>
      <c r="J101" s="7"/>
    </row>
    <row r="102" spans="1:10">
      <c r="A102" s="21" t="s">
        <v>387</v>
      </c>
      <c r="B102" s="10"/>
      <c r="C102" s="9" t="s">
        <v>388</v>
      </c>
      <c r="D102" s="26"/>
      <c r="E102" s="26"/>
      <c r="F102" s="27" t="str">
        <f>IF(COUNT(tblProjectSchedule[[#This Row],[Start]:[Finish]])=2,NETWORKDAYS.INTL(tblProjectSchedule[[#This Row],[Start]],tblProjectSchedule[[#This Row],[Finish]],2),"")</f>
        <v/>
      </c>
      <c r="G102" s="8"/>
      <c r="H102" s="8"/>
      <c r="I102" s="8"/>
      <c r="J102" s="7"/>
    </row>
    <row r="103" spans="1:10">
      <c r="A103" s="21" t="s">
        <v>389</v>
      </c>
      <c r="B103" s="10"/>
      <c r="C103" s="9" t="s">
        <v>390</v>
      </c>
      <c r="D103" s="26"/>
      <c r="E103" s="26"/>
      <c r="F103" s="27" t="str">
        <f>IF(COUNT(tblProjectSchedule[[#This Row],[Start]:[Finish]])=2,NETWORKDAYS.INTL(tblProjectSchedule[[#This Row],[Start]],tblProjectSchedule[[#This Row],[Finish]],2),"")</f>
        <v/>
      </c>
      <c r="G103" s="8"/>
      <c r="H103" s="8"/>
      <c r="I103" s="8"/>
      <c r="J103" s="7"/>
    </row>
    <row r="104" spans="1:10">
      <c r="A104" s="21" t="s">
        <v>391</v>
      </c>
      <c r="B104" s="10"/>
      <c r="C104" s="9" t="s">
        <v>392</v>
      </c>
      <c r="D104" s="26"/>
      <c r="E104" s="26"/>
      <c r="F104" s="27" t="str">
        <f>IF(COUNT(tblProjectSchedule[[#This Row],[Start]:[Finish]])=2,NETWORKDAYS.INTL(tblProjectSchedule[[#This Row],[Start]],tblProjectSchedule[[#This Row],[Finish]],2),"")</f>
        <v/>
      </c>
      <c r="G104" s="8"/>
      <c r="H104" s="8"/>
      <c r="I104" s="8"/>
      <c r="J104" s="7"/>
    </row>
    <row r="105" spans="1:10">
      <c r="A105" s="21" t="s">
        <v>393</v>
      </c>
      <c r="B105" s="10"/>
      <c r="C105" s="9" t="s">
        <v>394</v>
      </c>
      <c r="D105" s="26"/>
      <c r="E105" s="26"/>
      <c r="F105" s="27" t="str">
        <f>IF(COUNT(tblProjectSchedule[[#This Row],[Start]:[Finish]])=2,NETWORKDAYS.INTL(tblProjectSchedule[[#This Row],[Start]],tblProjectSchedule[[#This Row],[Finish]],2),"")</f>
        <v/>
      </c>
      <c r="G105" s="8"/>
      <c r="H105" s="8"/>
      <c r="I105" s="8"/>
      <c r="J105" s="7"/>
    </row>
    <row r="106" spans="1:10">
      <c r="A106" s="21" t="s">
        <v>395</v>
      </c>
      <c r="B106" s="10"/>
      <c r="C106" s="9" t="s">
        <v>396</v>
      </c>
      <c r="D106" s="26"/>
      <c r="E106" s="26"/>
      <c r="F106" s="27" t="str">
        <f>IF(COUNT(tblProjectSchedule[[#This Row],[Start]:[Finish]])=2,NETWORKDAYS.INTL(tblProjectSchedule[[#This Row],[Start]],tblProjectSchedule[[#This Row],[Finish]],2),"")</f>
        <v/>
      </c>
      <c r="G106" s="8"/>
      <c r="H106" s="8"/>
      <c r="I106" s="8"/>
      <c r="J106" s="7"/>
    </row>
    <row r="107" spans="1:10">
      <c r="A107" s="21" t="s">
        <v>397</v>
      </c>
      <c r="B107" s="10"/>
      <c r="C107" s="9" t="s">
        <v>398</v>
      </c>
      <c r="D107" s="26"/>
      <c r="E107" s="26"/>
      <c r="F107" s="27" t="str">
        <f>IF(COUNT(tblProjectSchedule[[#This Row],[Start]:[Finish]])=2,NETWORKDAYS.INTL(tblProjectSchedule[[#This Row],[Start]],tblProjectSchedule[[#This Row],[Finish]],2),"")</f>
        <v/>
      </c>
      <c r="G107" s="8"/>
      <c r="H107" s="8"/>
      <c r="I107" s="8"/>
      <c r="J107" s="7"/>
    </row>
    <row r="108" spans="1:10" ht="30">
      <c r="A108" s="21" t="s">
        <v>399</v>
      </c>
      <c r="B108" s="10"/>
      <c r="C108" s="9" t="s">
        <v>400</v>
      </c>
      <c r="D108" s="26"/>
      <c r="E108" s="26"/>
      <c r="F108" s="27" t="str">
        <f>IF(COUNT(tblProjectSchedule[[#This Row],[Start]:[Finish]])=2,NETWORKDAYS.INTL(tblProjectSchedule[[#This Row],[Start]],tblProjectSchedule[[#This Row],[Finish]],2),"")</f>
        <v/>
      </c>
      <c r="G108" s="8"/>
      <c r="H108" s="8"/>
      <c r="I108" s="8"/>
      <c r="J108" s="7"/>
    </row>
    <row r="109" spans="1:10">
      <c r="A109" s="21"/>
      <c r="B109" s="10"/>
      <c r="C109" s="9"/>
      <c r="D109" s="26"/>
      <c r="E109" s="26"/>
      <c r="F109" s="27" t="str">
        <f>IF(COUNT(tblProjectSchedule[[#This Row],[Start]:[Finish]])=2,NETWORKDAYS.INTL(tblProjectSchedule[[#This Row],[Start]],tblProjectSchedule[[#This Row],[Finish]],2),"")</f>
        <v/>
      </c>
      <c r="G109" s="8"/>
      <c r="H109" s="8"/>
      <c r="I109" s="8"/>
      <c r="J109" s="7"/>
    </row>
    <row r="110" spans="1:10">
      <c r="A110" s="21"/>
      <c r="B110" s="10"/>
      <c r="C110" s="9"/>
      <c r="D110" s="26"/>
      <c r="E110" s="26"/>
      <c r="F110" s="27" t="str">
        <f>IF(COUNT(tblProjectSchedule[[#This Row],[Start]:[Finish]])=2,NETWORKDAYS.INTL(tblProjectSchedule[[#This Row],[Start]],tblProjectSchedule[[#This Row],[Finish]],2),"")</f>
        <v/>
      </c>
      <c r="G110" s="8"/>
      <c r="H110" s="8"/>
      <c r="I110" s="8"/>
      <c r="J110" s="7"/>
    </row>
    <row r="111" spans="1:10" ht="30">
      <c r="A111" s="9" t="s">
        <v>401</v>
      </c>
      <c r="B111" s="20"/>
      <c r="C111" s="9" t="s">
        <v>402</v>
      </c>
      <c r="D111" s="26"/>
      <c r="E111" s="26"/>
      <c r="F111" s="27" t="str">
        <f>IF(COUNT(tblProjectSchedule[[#This Row],[Start]:[Finish]])=2,NETWORKDAYS.INTL(tblProjectSchedule[[#This Row],[Start]],tblProjectSchedule[[#This Row],[Finish]],2),"")</f>
        <v/>
      </c>
      <c r="G111" s="8"/>
      <c r="H111" s="8"/>
      <c r="I111" s="8"/>
      <c r="J111" s="7"/>
    </row>
    <row r="112" spans="1:10" ht="30">
      <c r="A112" s="21" t="s">
        <v>403</v>
      </c>
      <c r="B112" s="10"/>
      <c r="C112" s="9" t="s">
        <v>404</v>
      </c>
      <c r="D112" s="26"/>
      <c r="E112" s="26"/>
      <c r="F112" s="27" t="str">
        <f>IF(COUNT(tblProjectSchedule[[#This Row],[Start]:[Finish]])=2,NETWORKDAYS.INTL(tblProjectSchedule[[#This Row],[Start]],tblProjectSchedule[[#This Row],[Finish]],2),"")</f>
        <v/>
      </c>
      <c r="G112" s="8"/>
      <c r="H112" s="8"/>
      <c r="I112" s="8"/>
      <c r="J112" s="7"/>
    </row>
    <row r="113" spans="1:10">
      <c r="A113" s="21" t="s">
        <v>405</v>
      </c>
      <c r="B113" s="10"/>
      <c r="C113" s="9" t="s">
        <v>406</v>
      </c>
      <c r="D113" s="26"/>
      <c r="E113" s="26"/>
      <c r="F113" s="27" t="str">
        <f>IF(COUNT(tblProjectSchedule[[#This Row],[Start]:[Finish]])=2,NETWORKDAYS.INTL(tblProjectSchedule[[#This Row],[Start]],tblProjectSchedule[[#This Row],[Finish]],2),"")</f>
        <v/>
      </c>
      <c r="G113" s="8"/>
      <c r="H113" s="8"/>
      <c r="I113" s="8"/>
      <c r="J113" s="7"/>
    </row>
    <row r="114" spans="1:10">
      <c r="A114" s="21" t="s">
        <v>407</v>
      </c>
      <c r="B114" s="10"/>
      <c r="C114" s="9" t="s">
        <v>408</v>
      </c>
      <c r="D114" s="26"/>
      <c r="E114" s="26"/>
      <c r="F114" s="27" t="str">
        <f>IF(COUNT(tblProjectSchedule[[#This Row],[Start]:[Finish]])=2,NETWORKDAYS.INTL(tblProjectSchedule[[#This Row],[Start]],tblProjectSchedule[[#This Row],[Finish]],2),"")</f>
        <v/>
      </c>
      <c r="G114" s="8"/>
      <c r="H114" s="8"/>
      <c r="I114" s="8"/>
      <c r="J114" s="7"/>
    </row>
    <row r="115" spans="1:10">
      <c r="A115" s="21" t="s">
        <v>409</v>
      </c>
      <c r="B115" s="10"/>
      <c r="C115" s="9" t="s">
        <v>410</v>
      </c>
      <c r="D115" s="26"/>
      <c r="E115" s="26"/>
      <c r="F115" s="27" t="str">
        <f>IF(COUNT(tblProjectSchedule[[#This Row],[Start]:[Finish]])=2,NETWORKDAYS.INTL(tblProjectSchedule[[#This Row],[Start]],tblProjectSchedule[[#This Row],[Finish]],2),"")</f>
        <v/>
      </c>
      <c r="G115" s="8"/>
      <c r="H115" s="8"/>
      <c r="I115" s="8"/>
      <c r="J115" s="7"/>
    </row>
    <row r="116" spans="1:10">
      <c r="A116" s="21" t="s">
        <v>411</v>
      </c>
      <c r="B116" s="10"/>
      <c r="C116" s="9"/>
      <c r="D116" s="26"/>
      <c r="E116" s="26"/>
      <c r="F116" s="27" t="str">
        <f>IF(COUNT(tblProjectSchedule[[#This Row],[Start]:[Finish]])=2,NETWORKDAYS.INTL(tblProjectSchedule[[#This Row],[Start]],tblProjectSchedule[[#This Row],[Finish]],2),"")</f>
        <v/>
      </c>
      <c r="G116" s="8"/>
      <c r="H116" s="8"/>
      <c r="I116" s="8"/>
      <c r="J116" s="7"/>
    </row>
    <row r="117" spans="1:10">
      <c r="A117" s="21" t="s">
        <v>412</v>
      </c>
      <c r="B117" s="10"/>
      <c r="C117" s="9"/>
      <c r="D117" s="26"/>
      <c r="E117" s="26"/>
      <c r="F117" s="27" t="str">
        <f>IF(COUNT(tblProjectSchedule[[#This Row],[Start]:[Finish]])=2,NETWORKDAYS.INTL(tblProjectSchedule[[#This Row],[Start]],tblProjectSchedule[[#This Row],[Finish]],2),"")</f>
        <v/>
      </c>
      <c r="G117" s="8"/>
      <c r="H117" s="8"/>
      <c r="I117" s="8"/>
      <c r="J117" s="7"/>
    </row>
    <row r="118" spans="1:10">
      <c r="A118" s="21" t="s">
        <v>413</v>
      </c>
      <c r="B118" s="10"/>
      <c r="C118" s="9"/>
      <c r="D118" s="26"/>
      <c r="E118" s="26"/>
      <c r="F118" s="27" t="str">
        <f>IF(COUNT(tblProjectSchedule[[#This Row],[Start]:[Finish]])=2,NETWORKDAYS.INTL(tblProjectSchedule[[#This Row],[Start]],tblProjectSchedule[[#This Row],[Finish]],2),"")</f>
        <v/>
      </c>
      <c r="G118" s="8"/>
      <c r="H118" s="8"/>
      <c r="I118" s="8"/>
      <c r="J118" s="7"/>
    </row>
    <row r="119" spans="1:10">
      <c r="A119" s="21" t="s">
        <v>414</v>
      </c>
      <c r="B119" s="10"/>
      <c r="C119" s="9"/>
      <c r="D119" s="26"/>
      <c r="E119" s="26"/>
      <c r="F119" s="27" t="str">
        <f>IF(COUNT(tblProjectSchedule[[#This Row],[Start]:[Finish]])=2,NETWORKDAYS.INTL(tblProjectSchedule[[#This Row],[Start]],tblProjectSchedule[[#This Row],[Finish]],2),"")</f>
        <v/>
      </c>
      <c r="G119" s="8"/>
      <c r="H119" s="8"/>
      <c r="I119" s="8"/>
      <c r="J119" s="7"/>
    </row>
    <row r="120" spans="1:10">
      <c r="A120" s="21" t="s">
        <v>415</v>
      </c>
      <c r="B120" s="10"/>
      <c r="C120" s="9"/>
      <c r="D120" s="26"/>
      <c r="E120" s="26"/>
      <c r="F120" s="27" t="str">
        <f>IF(COUNT(tblProjectSchedule[[#This Row],[Start]:[Finish]])=2,NETWORKDAYS.INTL(tblProjectSchedule[[#This Row],[Start]],tblProjectSchedule[[#This Row],[Finish]],2),"")</f>
        <v/>
      </c>
      <c r="G120" s="8"/>
      <c r="H120" s="8"/>
      <c r="I120" s="8"/>
      <c r="J120" s="7"/>
    </row>
    <row r="121" spans="1:10">
      <c r="A121" s="21" t="s">
        <v>416</v>
      </c>
      <c r="B121" s="10"/>
      <c r="C121" s="9"/>
      <c r="D121" s="26"/>
      <c r="E121" s="26"/>
      <c r="F121" s="27" t="str">
        <f>IF(COUNT(tblProjectSchedule[[#This Row],[Start]:[Finish]])=2,NETWORKDAYS.INTL(tblProjectSchedule[[#This Row],[Start]],tblProjectSchedule[[#This Row],[Finish]],2),"")</f>
        <v/>
      </c>
      <c r="G121" s="8"/>
      <c r="H121" s="8"/>
      <c r="I121" s="8"/>
      <c r="J121" s="7"/>
    </row>
    <row r="122" spans="1:10">
      <c r="A122" s="21"/>
      <c r="B122" s="10"/>
      <c r="C122" s="9"/>
      <c r="D122" s="26"/>
      <c r="E122" s="26"/>
      <c r="F122" s="27" t="str">
        <f>IF(COUNT(tblProjectSchedule[[#This Row],[Start]:[Finish]])=2,NETWORKDAYS.INTL(tblProjectSchedule[[#This Row],[Start]],tblProjectSchedule[[#This Row],[Finish]],2),"")</f>
        <v/>
      </c>
      <c r="G122" s="8"/>
      <c r="H122" s="8"/>
      <c r="I122" s="8"/>
      <c r="J122" s="7"/>
    </row>
    <row r="123" spans="1:10">
      <c r="A123" s="21"/>
      <c r="B123" s="10"/>
      <c r="C123" s="9"/>
      <c r="D123" s="26"/>
      <c r="E123" s="26"/>
      <c r="F123" s="27" t="str">
        <f>IF(COUNT(tblProjectSchedule[[#This Row],[Start]:[Finish]])=2,NETWORKDAYS.INTL(tblProjectSchedule[[#This Row],[Start]],tblProjectSchedule[[#This Row],[Finish]],2),"")</f>
        <v/>
      </c>
      <c r="G123" s="8"/>
      <c r="H123" s="8"/>
      <c r="I123" s="8"/>
      <c r="J123" s="7"/>
    </row>
    <row r="124" spans="1:10">
      <c r="A124" s="9" t="s">
        <v>417</v>
      </c>
      <c r="B124" s="20"/>
      <c r="C124" s="9" t="s">
        <v>418</v>
      </c>
      <c r="D124" s="26"/>
      <c r="E124" s="26"/>
      <c r="F124" s="27" t="str">
        <f>IF(COUNT(tblProjectSchedule[[#This Row],[Start]:[Finish]])=2,NETWORKDAYS.INTL(tblProjectSchedule[[#This Row],[Start]],tblProjectSchedule[[#This Row],[Finish]],2),"")</f>
        <v/>
      </c>
      <c r="G124" s="8"/>
      <c r="H124" s="8"/>
      <c r="I124" s="8"/>
      <c r="J124" s="7"/>
    </row>
    <row r="125" spans="1:10">
      <c r="A125" s="21" t="s">
        <v>419</v>
      </c>
      <c r="B125" s="10"/>
      <c r="C125" s="9"/>
      <c r="D125" s="26"/>
      <c r="E125" s="26"/>
      <c r="F125" s="27" t="str">
        <f>IF(COUNT(tblProjectSchedule[[#This Row],[Start]:[Finish]])=2,NETWORKDAYS.INTL(tblProjectSchedule[[#This Row],[Start]],tblProjectSchedule[[#This Row],[Finish]],2),"")</f>
        <v/>
      </c>
      <c r="G125" s="8"/>
      <c r="H125" s="8"/>
      <c r="I125" s="8"/>
      <c r="J125" s="7"/>
    </row>
    <row r="126" spans="1:10">
      <c r="A126" s="21" t="s">
        <v>420</v>
      </c>
      <c r="B126" s="10"/>
      <c r="C126" s="9"/>
      <c r="D126" s="26"/>
      <c r="E126" s="26"/>
      <c r="F126" s="27" t="str">
        <f>IF(COUNT(tblProjectSchedule[[#This Row],[Start]:[Finish]])=2,NETWORKDAYS.INTL(tblProjectSchedule[[#This Row],[Start]],tblProjectSchedule[[#This Row],[Finish]],2),"")</f>
        <v/>
      </c>
      <c r="G126" s="8"/>
      <c r="H126" s="8"/>
      <c r="I126" s="8"/>
      <c r="J126" s="7"/>
    </row>
    <row r="127" spans="1:10">
      <c r="A127" s="21" t="s">
        <v>421</v>
      </c>
      <c r="B127" s="10"/>
      <c r="C127" s="9"/>
      <c r="D127" s="26"/>
      <c r="E127" s="26"/>
      <c r="F127" s="27" t="str">
        <f>IF(COUNT(tblProjectSchedule[[#This Row],[Start]:[Finish]])=2,NETWORKDAYS.INTL(tblProjectSchedule[[#This Row],[Start]],tblProjectSchedule[[#This Row],[Finish]],2),"")</f>
        <v/>
      </c>
      <c r="G127" s="8"/>
      <c r="H127" s="8"/>
      <c r="I127" s="8"/>
      <c r="J127" s="7"/>
    </row>
    <row r="128" spans="1:10">
      <c r="A128" s="21" t="s">
        <v>422</v>
      </c>
      <c r="B128" s="10"/>
      <c r="C128" s="9"/>
      <c r="D128" s="26"/>
      <c r="E128" s="26"/>
      <c r="F128" s="27" t="str">
        <f>IF(COUNT(tblProjectSchedule[[#This Row],[Start]:[Finish]])=2,NETWORKDAYS.INTL(tblProjectSchedule[[#This Row],[Start]],tblProjectSchedule[[#This Row],[Finish]],2),"")</f>
        <v/>
      </c>
      <c r="G128" s="8"/>
      <c r="H128" s="8"/>
      <c r="I128" s="8"/>
      <c r="J128" s="7"/>
    </row>
    <row r="129" spans="1:10">
      <c r="A129" s="21" t="s">
        <v>423</v>
      </c>
      <c r="B129" s="10"/>
      <c r="C129" s="9"/>
      <c r="D129" s="26"/>
      <c r="E129" s="26"/>
      <c r="F129" s="27" t="str">
        <f>IF(COUNT(tblProjectSchedule[[#This Row],[Start]:[Finish]])=2,NETWORKDAYS.INTL(tblProjectSchedule[[#This Row],[Start]],tblProjectSchedule[[#This Row],[Finish]],2),"")</f>
        <v/>
      </c>
      <c r="G129" s="8"/>
      <c r="H129" s="8"/>
      <c r="I129" s="8"/>
      <c r="J129" s="7"/>
    </row>
    <row r="130" spans="1:10">
      <c r="A130" s="21"/>
      <c r="B130" s="10"/>
      <c r="C130" s="9"/>
      <c r="D130" s="26"/>
      <c r="E130" s="26"/>
      <c r="F130" s="27" t="str">
        <f>IF(COUNT(tblProjectSchedule[[#This Row],[Start]:[Finish]])=2,NETWORKDAYS.INTL(tblProjectSchedule[[#This Row],[Start]],tblProjectSchedule[[#This Row],[Finish]],2),"")</f>
        <v/>
      </c>
      <c r="G130" s="8"/>
      <c r="H130" s="8"/>
      <c r="I130" s="8"/>
      <c r="J130" s="7"/>
    </row>
    <row r="131" spans="1:10">
      <c r="A131" s="21"/>
      <c r="B131" s="10"/>
      <c r="C131" s="9"/>
      <c r="D131" s="26"/>
      <c r="E131" s="26"/>
      <c r="F131" s="27" t="str">
        <f>IF(COUNT(tblProjectSchedule[[#This Row],[Start]:[Finish]])=2,NETWORKDAYS.INTL(tblProjectSchedule[[#This Row],[Start]],tblProjectSchedule[[#This Row],[Finish]],2),"")</f>
        <v/>
      </c>
      <c r="G131" s="8"/>
      <c r="H131" s="8"/>
      <c r="I131" s="8"/>
      <c r="J131" s="7"/>
    </row>
  </sheetData>
  <sheetProtection algorithmName="SHA-512" hashValue="HBwDs2xLR9X1Dly+qWeBPBEswX4uIbMuMLwORJkULl2R2WP9qaYGnFuR/AFZM8dJfxs2wFK2CBpkLD6HBJDw3w==" saltValue="s+QRVlHQ71GznNFFIKn7LA==" spinCount="100000" sheet="1" objects="1" scenarios="1" autoFilter="0"/>
  <conditionalFormatting sqref="B4:J131">
    <cfRule type="expression" dxfId="21" priority="77">
      <formula>$B4="INSPECTIONS"</formula>
    </cfRule>
  </conditionalFormatting>
  <conditionalFormatting sqref="A4:J131">
    <cfRule type="expression" dxfId="20" priority="78">
      <formula>RIGHT($A4,2)="00"</formula>
    </cfRule>
  </conditionalFormatting>
  <dataValidations count="3">
    <dataValidation type="date" allowBlank="1" showInputMessage="1" showErrorMessage="1" errorTitle="Invalid Date Input" error="The date must be between years 2019 to 2024." sqref="D15:E17 D4:E13 D74:E131 D22:E57" xr:uid="{00000000-0002-0000-0500-000000000000}">
      <formula1>43466</formula1>
      <formula2>45657</formula2>
    </dataValidation>
    <dataValidation type="list" allowBlank="1" showInputMessage="1" showErrorMessage="1" sqref="B4:B131" xr:uid="{00000000-0002-0000-0500-000001000000}">
      <formula1>SelectedTrades</formula1>
    </dataValidation>
    <dataValidation type="list" allowBlank="1" showInputMessage="1" showErrorMessage="1" sqref="I4:I131" xr:uid="{00000000-0002-0000-0500-000002000000}">
      <formula1>"YES,NO,'"</formula1>
    </dataValidation>
  </dataValidations>
  <pageMargins left="0.7" right="0.7" top="0.75" bottom="0.75" header="0.3" footer="0.3"/>
  <pageSetup scale="5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4" r:id="rId4" name="Button 12">
              <controlPr defaultSize="0" print="0" autoFill="0" autoPict="0" macro="[0]!Insert_Table_Row">
                <anchor moveWithCells="1">
                  <from>
                    <xdr:col>6</xdr:col>
                    <xdr:colOff>104775</xdr:colOff>
                    <xdr:row>0</xdr:row>
                    <xdr:rowOff>114300</xdr:rowOff>
                  </from>
                  <to>
                    <xdr:col>8</xdr:col>
                    <xdr:colOff>295275</xdr:colOff>
                    <xdr:row>1</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Delete_Table_Row">
                <anchor moveWithCells="1">
                  <from>
                    <xdr:col>8</xdr:col>
                    <xdr:colOff>523875</xdr:colOff>
                    <xdr:row>0</xdr:row>
                    <xdr:rowOff>114300</xdr:rowOff>
                  </from>
                  <to>
                    <xdr:col>9</xdr:col>
                    <xdr:colOff>1371600</xdr:colOff>
                    <xdr:row>1</xdr:row>
                    <xdr:rowOff>190500</xdr:rowOff>
                  </to>
                </anchor>
              </controlPr>
            </control>
          </mc:Choice>
        </mc:AlternateContent>
        <mc:AlternateContent xmlns:mc="http://schemas.openxmlformats.org/markup-compatibility/2006">
          <mc:Choice Requires="x14">
            <control shapeId="3086" r:id="rId6" name="cmdFilesWAS">
              <controlPr defaultSize="0" print="0" autoFill="0" autoPict="0" macro="[0]!Generate_Task_Files">
                <anchor moveWithCells="1" sizeWithCells="1">
                  <from>
                    <xdr:col>9</xdr:col>
                    <xdr:colOff>1609725</xdr:colOff>
                    <xdr:row>0</xdr:row>
                    <xdr:rowOff>114300</xdr:rowOff>
                  </from>
                  <to>
                    <xdr:col>9</xdr:col>
                    <xdr:colOff>3076575</xdr:colOff>
                    <xdr:row>1</xdr:row>
                    <xdr:rowOff>190500</xdr:rowOff>
                  </to>
                </anchor>
              </controlPr>
            </control>
          </mc:Choice>
        </mc:AlternateContent>
        <mc:AlternateContent xmlns:mc="http://schemas.openxmlformats.org/markup-compatibility/2006">
          <mc:Choice Requires="x14">
            <control shapeId="3087" r:id="rId7" name="cmdFilesJHA">
              <controlPr defaultSize="0" print="0" autoFill="0" autoPict="0" macro="[0]!Generate_Task_Files">
                <anchor moveWithCells="1" sizeWithCells="1">
                  <from>
                    <xdr:col>9</xdr:col>
                    <xdr:colOff>3305175</xdr:colOff>
                    <xdr:row>0</xdr:row>
                    <xdr:rowOff>114300</xdr:rowOff>
                  </from>
                  <to>
                    <xdr:col>9</xdr:col>
                    <xdr:colOff>4772025</xdr:colOff>
                    <xdr:row>1</xdr:row>
                    <xdr:rowOff>190500</xdr:rowOff>
                  </to>
                </anchor>
              </controlPr>
            </control>
          </mc:Choice>
        </mc:AlternateContent>
      </controls>
    </mc:Choice>
  </mc:AlternateContent>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CFQ152"/>
  <sheetViews>
    <sheetView zoomScale="80" zoomScaleNormal="80" workbookViewId="0">
      <pane xSplit="5" ySplit="6" topLeftCell="JK44" activePane="bottomRight" state="frozen"/>
      <selection pane="bottomRight" activeCell="JK22" sqref="JK22"/>
      <selection pane="bottomLeft" activeCell="A6" sqref="A6"/>
      <selection pane="topRight" activeCell="F1" sqref="F1"/>
    </sheetView>
  </sheetViews>
  <sheetFormatPr defaultColWidth="9.140625" defaultRowHeight="15"/>
  <cols>
    <col min="1" max="2" width="9.140625" style="164" hidden="1" customWidth="1"/>
    <col min="3" max="3" width="50.42578125" style="164" customWidth="1"/>
    <col min="4" max="5" width="11.42578125" style="164" customWidth="1"/>
    <col min="6" max="2201" width="4.7109375" style="164" customWidth="1"/>
    <col min="2202" max="16384" width="9.140625" style="164"/>
  </cols>
  <sheetData>
    <row r="1" spans="1:2201">
      <c r="C1" s="165"/>
    </row>
    <row r="2" spans="1:2201">
      <c r="C2" s="166"/>
      <c r="F2" s="167" t="s">
        <v>424</v>
      </c>
      <c r="AJ2" s="168"/>
      <c r="AK2" s="169" t="s">
        <v>425</v>
      </c>
      <c r="BL2" s="168"/>
      <c r="BM2" s="169" t="s">
        <v>426</v>
      </c>
      <c r="CQ2" s="168"/>
      <c r="CR2" s="169" t="s">
        <v>427</v>
      </c>
      <c r="DU2" s="168"/>
      <c r="DV2" s="169" t="s">
        <v>428</v>
      </c>
      <c r="EZ2" s="168"/>
      <c r="FA2" s="169" t="s">
        <v>429</v>
      </c>
      <c r="GD2" s="168"/>
      <c r="GE2" s="169" t="s">
        <v>430</v>
      </c>
      <c r="HI2" s="168"/>
      <c r="HJ2" s="169" t="s">
        <v>431</v>
      </c>
      <c r="IN2" s="168"/>
      <c r="IO2" s="169" t="s">
        <v>432</v>
      </c>
      <c r="JR2" s="168"/>
      <c r="JS2" s="169" t="s">
        <v>433</v>
      </c>
      <c r="KW2" s="168"/>
      <c r="KX2" s="169" t="s">
        <v>434</v>
      </c>
      <c r="MA2" s="168"/>
      <c r="MB2" s="169" t="s">
        <v>435</v>
      </c>
      <c r="NF2" s="168"/>
      <c r="NG2" s="169" t="s">
        <v>436</v>
      </c>
      <c r="OK2" s="168"/>
      <c r="OL2" s="169" t="s">
        <v>437</v>
      </c>
      <c r="PN2" s="168"/>
      <c r="PO2" s="169" t="s">
        <v>438</v>
      </c>
      <c r="QS2" s="168"/>
      <c r="QT2" s="169" t="s">
        <v>439</v>
      </c>
      <c r="RW2" s="168"/>
      <c r="RX2" s="169" t="s">
        <v>440</v>
      </c>
      <c r="TB2" s="168"/>
      <c r="TC2" s="169" t="s">
        <v>441</v>
      </c>
      <c r="UF2" s="168"/>
      <c r="UG2" s="169" t="s">
        <v>442</v>
      </c>
      <c r="VK2" s="168"/>
      <c r="VL2" s="169" t="s">
        <v>443</v>
      </c>
      <c r="WP2" s="168"/>
      <c r="WQ2" s="169" t="s">
        <v>444</v>
      </c>
      <c r="XT2" s="168"/>
      <c r="XU2" s="169" t="s">
        <v>445</v>
      </c>
      <c r="YY2" s="168"/>
      <c r="YZ2" s="169" t="s">
        <v>446</v>
      </c>
      <c r="AAC2" s="168"/>
      <c r="AAD2" s="169" t="s">
        <v>447</v>
      </c>
      <c r="ABH2" s="168"/>
      <c r="ABI2" s="169" t="s">
        <v>448</v>
      </c>
      <c r="ACM2" s="168"/>
      <c r="ACN2" s="169" t="s">
        <v>449</v>
      </c>
      <c r="ADO2" s="168"/>
      <c r="ADP2" s="169" t="s">
        <v>450</v>
      </c>
      <c r="AET2" s="168"/>
      <c r="AEU2" s="169" t="s">
        <v>451</v>
      </c>
      <c r="AFX2" s="168"/>
      <c r="AFY2" s="169" t="s">
        <v>452</v>
      </c>
      <c r="AHC2" s="168"/>
      <c r="AHD2" s="169" t="s">
        <v>453</v>
      </c>
      <c r="AIG2" s="168"/>
      <c r="AIH2" s="169" t="s">
        <v>454</v>
      </c>
      <c r="AJL2" s="168"/>
      <c r="AJM2" s="169" t="s">
        <v>455</v>
      </c>
      <c r="AKQ2" s="168"/>
      <c r="AKR2" s="169" t="s">
        <v>456</v>
      </c>
      <c r="ALU2" s="168"/>
      <c r="ALV2" s="169" t="s">
        <v>457</v>
      </c>
      <c r="AMZ2" s="168"/>
      <c r="ANA2" s="169" t="s">
        <v>458</v>
      </c>
      <c r="AOD2" s="168"/>
      <c r="AOE2" s="169" t="s">
        <v>459</v>
      </c>
      <c r="API2" s="168"/>
      <c r="APJ2" s="169" t="s">
        <v>460</v>
      </c>
      <c r="AQN2" s="168"/>
      <c r="AQO2" s="169" t="s">
        <v>461</v>
      </c>
      <c r="ARP2" s="168"/>
      <c r="ARQ2" s="169" t="s">
        <v>462</v>
      </c>
      <c r="ASU2" s="168"/>
      <c r="ASV2" s="169" t="s">
        <v>463</v>
      </c>
      <c r="ATY2" s="168"/>
      <c r="ATZ2" s="169" t="s">
        <v>464</v>
      </c>
      <c r="AVD2" s="168"/>
      <c r="AVE2" s="169" t="s">
        <v>465</v>
      </c>
      <c r="AWH2" s="168"/>
      <c r="AWI2" s="169" t="s">
        <v>466</v>
      </c>
      <c r="AXM2" s="168"/>
      <c r="AXN2" s="169" t="s">
        <v>467</v>
      </c>
      <c r="AYR2" s="168"/>
      <c r="AYS2" s="169" t="s">
        <v>468</v>
      </c>
      <c r="AZV2" s="168"/>
      <c r="AZW2" s="169" t="s">
        <v>469</v>
      </c>
      <c r="BBA2" s="168"/>
      <c r="BBB2" s="169" t="s">
        <v>470</v>
      </c>
      <c r="BCE2" s="168"/>
      <c r="BCF2" s="169" t="s">
        <v>471</v>
      </c>
      <c r="BDJ2" s="168"/>
      <c r="BDK2" s="169" t="s">
        <v>472</v>
      </c>
      <c r="BEO2" s="168"/>
      <c r="BEP2" s="169" t="s">
        <v>473</v>
      </c>
      <c r="BFQ2" s="168"/>
      <c r="BFR2" s="169" t="s">
        <v>474</v>
      </c>
      <c r="BGV2" s="168"/>
      <c r="BGW2" s="169" t="s">
        <v>475</v>
      </c>
      <c r="BHZ2" s="168"/>
      <c r="BIA2" s="169" t="s">
        <v>476</v>
      </c>
      <c r="BJE2" s="168"/>
      <c r="BJF2" s="169" t="s">
        <v>477</v>
      </c>
      <c r="BKI2" s="168"/>
      <c r="BKJ2" s="169" t="s">
        <v>478</v>
      </c>
      <c r="BLN2" s="168"/>
      <c r="BLO2" s="169" t="s">
        <v>479</v>
      </c>
      <c r="BMS2" s="168"/>
      <c r="BMT2" s="169" t="s">
        <v>480</v>
      </c>
      <c r="BNW2" s="168"/>
      <c r="BNX2" s="169" t="s">
        <v>481</v>
      </c>
      <c r="BPB2" s="168"/>
      <c r="BPC2" s="169" t="s">
        <v>482</v>
      </c>
      <c r="BQF2" s="168"/>
      <c r="BQG2" s="169" t="s">
        <v>483</v>
      </c>
      <c r="BRK2" s="168"/>
      <c r="BRL2" s="169" t="s">
        <v>484</v>
      </c>
      <c r="BSP2" s="168"/>
      <c r="BSQ2" s="169" t="s">
        <v>485</v>
      </c>
      <c r="BTS2" s="168"/>
      <c r="BTT2" s="169" t="s">
        <v>486</v>
      </c>
      <c r="BUX2" s="168"/>
      <c r="BUY2" s="169" t="s">
        <v>487</v>
      </c>
      <c r="BWB2" s="168"/>
      <c r="BWC2" s="169" t="s">
        <v>488</v>
      </c>
      <c r="BXG2" s="168"/>
      <c r="BXH2" s="169" t="s">
        <v>489</v>
      </c>
      <c r="BYK2" s="168"/>
      <c r="BYL2" s="169" t="s">
        <v>490</v>
      </c>
      <c r="BZP2" s="168"/>
      <c r="BZQ2" s="169" t="s">
        <v>491</v>
      </c>
      <c r="CAU2" s="168"/>
      <c r="CAV2" s="169" t="s">
        <v>492</v>
      </c>
      <c r="CBY2" s="168"/>
      <c r="CBZ2" s="169" t="s">
        <v>493</v>
      </c>
      <c r="CDD2" s="168"/>
      <c r="CDE2" s="169" t="s">
        <v>494</v>
      </c>
      <c r="CEH2" s="168"/>
      <c r="CEI2" s="169" t="s">
        <v>495</v>
      </c>
    </row>
    <row r="3" spans="1:2201">
      <c r="C3" s="166"/>
      <c r="F3" s="600" t="s">
        <v>496</v>
      </c>
      <c r="G3" s="600"/>
      <c r="H3" s="600"/>
      <c r="I3" s="600"/>
      <c r="J3" s="601"/>
      <c r="K3" s="599" t="s">
        <v>497</v>
      </c>
      <c r="L3" s="600"/>
      <c r="M3" s="600"/>
      <c r="N3" s="600"/>
      <c r="O3" s="600"/>
      <c r="P3" s="600"/>
      <c r="Q3" s="601"/>
      <c r="R3" s="599" t="s">
        <v>498</v>
      </c>
      <c r="S3" s="600"/>
      <c r="T3" s="600"/>
      <c r="U3" s="600"/>
      <c r="V3" s="600"/>
      <c r="W3" s="600"/>
      <c r="X3" s="601"/>
      <c r="Y3" s="599" t="s">
        <v>499</v>
      </c>
      <c r="Z3" s="600"/>
      <c r="AA3" s="600"/>
      <c r="AB3" s="600"/>
      <c r="AC3" s="600"/>
      <c r="AD3" s="600"/>
      <c r="AE3" s="601"/>
      <c r="AF3" s="599" t="s">
        <v>500</v>
      </c>
      <c r="AG3" s="600"/>
      <c r="AH3" s="600"/>
      <c r="AI3" s="600"/>
      <c r="AJ3" s="600"/>
      <c r="AK3" s="600"/>
      <c r="AL3" s="601"/>
      <c r="AM3" s="599" t="s">
        <v>501</v>
      </c>
      <c r="AN3" s="600"/>
      <c r="AO3" s="600"/>
      <c r="AP3" s="600"/>
      <c r="AQ3" s="600"/>
      <c r="AR3" s="600"/>
      <c r="AS3" s="601"/>
      <c r="AT3" s="599" t="s">
        <v>502</v>
      </c>
      <c r="AU3" s="600"/>
      <c r="AV3" s="600"/>
      <c r="AW3" s="600"/>
      <c r="AX3" s="600"/>
      <c r="AY3" s="600"/>
      <c r="AZ3" s="601"/>
      <c r="BA3" s="599" t="s">
        <v>503</v>
      </c>
      <c r="BB3" s="600"/>
      <c r="BC3" s="600"/>
      <c r="BD3" s="600"/>
      <c r="BE3" s="600"/>
      <c r="BF3" s="600"/>
      <c r="BG3" s="601"/>
      <c r="BH3" s="599" t="s">
        <v>504</v>
      </c>
      <c r="BI3" s="600"/>
      <c r="BJ3" s="600"/>
      <c r="BK3" s="600"/>
      <c r="BL3" s="600"/>
      <c r="BM3" s="600"/>
      <c r="BN3" s="601"/>
      <c r="BO3" s="599" t="s">
        <v>501</v>
      </c>
      <c r="BP3" s="600"/>
      <c r="BQ3" s="600"/>
      <c r="BR3" s="600"/>
      <c r="BS3" s="600"/>
      <c r="BT3" s="600"/>
      <c r="BU3" s="601"/>
      <c r="BV3" s="599" t="s">
        <v>502</v>
      </c>
      <c r="BW3" s="600"/>
      <c r="BX3" s="600"/>
      <c r="BY3" s="600"/>
      <c r="BZ3" s="600"/>
      <c r="CA3" s="600"/>
      <c r="CB3" s="601"/>
      <c r="CC3" s="599" t="s">
        <v>503</v>
      </c>
      <c r="CD3" s="600"/>
      <c r="CE3" s="600"/>
      <c r="CF3" s="600"/>
      <c r="CG3" s="600"/>
      <c r="CH3" s="600"/>
      <c r="CI3" s="601"/>
      <c r="CJ3" s="599" t="s">
        <v>505</v>
      </c>
      <c r="CK3" s="600"/>
      <c r="CL3" s="600"/>
      <c r="CM3" s="600"/>
      <c r="CN3" s="600"/>
      <c r="CO3" s="600"/>
      <c r="CP3" s="601"/>
      <c r="CQ3" s="599" t="s">
        <v>506</v>
      </c>
      <c r="CR3" s="600"/>
      <c r="CS3" s="600"/>
      <c r="CT3" s="600"/>
      <c r="CU3" s="600"/>
      <c r="CV3" s="600"/>
      <c r="CW3" s="601"/>
      <c r="CX3" s="599" t="s">
        <v>507</v>
      </c>
      <c r="CY3" s="600"/>
      <c r="CZ3" s="600"/>
      <c r="DA3" s="600"/>
      <c r="DB3" s="600"/>
      <c r="DC3" s="600"/>
      <c r="DD3" s="601"/>
      <c r="DE3" s="599" t="s">
        <v>508</v>
      </c>
      <c r="DF3" s="600"/>
      <c r="DG3" s="600"/>
      <c r="DH3" s="600"/>
      <c r="DI3" s="600"/>
      <c r="DJ3" s="600"/>
      <c r="DK3" s="601"/>
      <c r="DL3" s="599" t="s">
        <v>509</v>
      </c>
      <c r="DM3" s="600"/>
      <c r="DN3" s="600"/>
      <c r="DO3" s="600"/>
      <c r="DP3" s="600"/>
      <c r="DQ3" s="600"/>
      <c r="DR3" s="601"/>
      <c r="DS3" s="599" t="s">
        <v>510</v>
      </c>
      <c r="DT3" s="600"/>
      <c r="DU3" s="600"/>
      <c r="DV3" s="600"/>
      <c r="DW3" s="600"/>
      <c r="DX3" s="600"/>
      <c r="DY3" s="601"/>
      <c r="DZ3" s="599" t="s">
        <v>511</v>
      </c>
      <c r="EA3" s="600"/>
      <c r="EB3" s="600"/>
      <c r="EC3" s="600"/>
      <c r="ED3" s="600"/>
      <c r="EE3" s="600"/>
      <c r="EF3" s="601"/>
      <c r="EG3" s="599" t="s">
        <v>512</v>
      </c>
      <c r="EH3" s="600"/>
      <c r="EI3" s="600"/>
      <c r="EJ3" s="600"/>
      <c r="EK3" s="600"/>
      <c r="EL3" s="600"/>
      <c r="EM3" s="601"/>
      <c r="EN3" s="599" t="s">
        <v>513</v>
      </c>
      <c r="EO3" s="600"/>
      <c r="EP3" s="600"/>
      <c r="EQ3" s="600"/>
      <c r="ER3" s="600"/>
      <c r="ES3" s="600"/>
      <c r="ET3" s="601"/>
      <c r="EU3" s="599" t="s">
        <v>514</v>
      </c>
      <c r="EV3" s="600"/>
      <c r="EW3" s="600"/>
      <c r="EX3" s="600"/>
      <c r="EY3" s="600"/>
      <c r="EZ3" s="600"/>
      <c r="FA3" s="601"/>
      <c r="FB3" s="599" t="s">
        <v>515</v>
      </c>
      <c r="FC3" s="600"/>
      <c r="FD3" s="600"/>
      <c r="FE3" s="600"/>
      <c r="FF3" s="600"/>
      <c r="FG3" s="600"/>
      <c r="FH3" s="601"/>
      <c r="FI3" s="599" t="s">
        <v>516</v>
      </c>
      <c r="FJ3" s="600"/>
      <c r="FK3" s="600"/>
      <c r="FL3" s="600"/>
      <c r="FM3" s="600"/>
      <c r="FN3" s="600"/>
      <c r="FO3" s="601"/>
      <c r="FP3" s="599" t="s">
        <v>517</v>
      </c>
      <c r="FQ3" s="600"/>
      <c r="FR3" s="600"/>
      <c r="FS3" s="600"/>
      <c r="FT3" s="600"/>
      <c r="FU3" s="600"/>
      <c r="FV3" s="601"/>
      <c r="FW3" s="599" t="s">
        <v>518</v>
      </c>
      <c r="FX3" s="600"/>
      <c r="FY3" s="600"/>
      <c r="FZ3" s="600"/>
      <c r="GA3" s="600"/>
      <c r="GB3" s="600"/>
      <c r="GC3" s="601"/>
      <c r="GD3" s="599" t="s">
        <v>519</v>
      </c>
      <c r="GE3" s="600"/>
      <c r="GF3" s="600"/>
      <c r="GG3" s="600"/>
      <c r="GH3" s="600"/>
      <c r="GI3" s="600"/>
      <c r="GJ3" s="601"/>
      <c r="GK3" s="599" t="s">
        <v>507</v>
      </c>
      <c r="GL3" s="600"/>
      <c r="GM3" s="600"/>
      <c r="GN3" s="600"/>
      <c r="GO3" s="600"/>
      <c r="GP3" s="600"/>
      <c r="GQ3" s="601"/>
      <c r="GR3" s="599" t="s">
        <v>508</v>
      </c>
      <c r="GS3" s="600"/>
      <c r="GT3" s="600"/>
      <c r="GU3" s="600"/>
      <c r="GV3" s="600"/>
      <c r="GW3" s="600"/>
      <c r="GX3" s="601"/>
      <c r="GY3" s="599" t="s">
        <v>509</v>
      </c>
      <c r="GZ3" s="600"/>
      <c r="HA3" s="600"/>
      <c r="HB3" s="600"/>
      <c r="HC3" s="600"/>
      <c r="HD3" s="600"/>
      <c r="HE3" s="601"/>
      <c r="HF3" s="599" t="s">
        <v>520</v>
      </c>
      <c r="HG3" s="600"/>
      <c r="HH3" s="600"/>
      <c r="HI3" s="600"/>
      <c r="HJ3" s="600"/>
      <c r="HK3" s="600"/>
      <c r="HL3" s="601"/>
      <c r="HM3" s="599" t="s">
        <v>521</v>
      </c>
      <c r="HN3" s="600"/>
      <c r="HO3" s="600"/>
      <c r="HP3" s="600"/>
      <c r="HQ3" s="600"/>
      <c r="HR3" s="600"/>
      <c r="HS3" s="601"/>
      <c r="HT3" s="599" t="s">
        <v>522</v>
      </c>
      <c r="HU3" s="600"/>
      <c r="HV3" s="600"/>
      <c r="HW3" s="600"/>
      <c r="HX3" s="600"/>
      <c r="HY3" s="600"/>
      <c r="HZ3" s="601"/>
      <c r="IA3" s="599" t="s">
        <v>523</v>
      </c>
      <c r="IB3" s="600"/>
      <c r="IC3" s="600"/>
      <c r="ID3" s="600"/>
      <c r="IE3" s="600"/>
      <c r="IF3" s="600"/>
      <c r="IG3" s="601"/>
      <c r="IH3" s="599" t="s">
        <v>524</v>
      </c>
      <c r="II3" s="600"/>
      <c r="IJ3" s="600"/>
      <c r="IK3" s="600"/>
      <c r="IL3" s="600"/>
      <c r="IM3" s="600"/>
      <c r="IN3" s="601"/>
      <c r="IO3" s="599" t="s">
        <v>525</v>
      </c>
      <c r="IP3" s="600"/>
      <c r="IQ3" s="600"/>
      <c r="IR3" s="600"/>
      <c r="IS3" s="600"/>
      <c r="IT3" s="600"/>
      <c r="IU3" s="601"/>
      <c r="IV3" s="599" t="s">
        <v>526</v>
      </c>
      <c r="IW3" s="600"/>
      <c r="IX3" s="600"/>
      <c r="IY3" s="600"/>
      <c r="IZ3" s="600"/>
      <c r="JA3" s="600"/>
      <c r="JB3" s="601"/>
      <c r="JC3" s="599" t="s">
        <v>527</v>
      </c>
      <c r="JD3" s="600"/>
      <c r="JE3" s="600"/>
      <c r="JF3" s="600"/>
      <c r="JG3" s="600"/>
      <c r="JH3" s="600"/>
      <c r="JI3" s="601"/>
      <c r="JJ3" s="599" t="s">
        <v>528</v>
      </c>
      <c r="JK3" s="600"/>
      <c r="JL3" s="600"/>
      <c r="JM3" s="600"/>
      <c r="JN3" s="600"/>
      <c r="JO3" s="600"/>
      <c r="JP3" s="601"/>
      <c r="JQ3" s="599" t="s">
        <v>529</v>
      </c>
      <c r="JR3" s="600"/>
      <c r="JS3" s="600"/>
      <c r="JT3" s="600"/>
      <c r="JU3" s="600"/>
      <c r="JV3" s="600"/>
      <c r="JW3" s="601"/>
      <c r="JX3" s="599" t="s">
        <v>497</v>
      </c>
      <c r="JY3" s="600"/>
      <c r="JZ3" s="600"/>
      <c r="KA3" s="600"/>
      <c r="KB3" s="600"/>
      <c r="KC3" s="600"/>
      <c r="KD3" s="601"/>
      <c r="KE3" s="599" t="s">
        <v>498</v>
      </c>
      <c r="KF3" s="600"/>
      <c r="KG3" s="600"/>
      <c r="KH3" s="600"/>
      <c r="KI3" s="600"/>
      <c r="KJ3" s="600"/>
      <c r="KK3" s="601"/>
      <c r="KL3" s="599" t="s">
        <v>499</v>
      </c>
      <c r="KM3" s="600"/>
      <c r="KN3" s="600"/>
      <c r="KO3" s="600"/>
      <c r="KP3" s="600"/>
      <c r="KQ3" s="600"/>
      <c r="KR3" s="601"/>
      <c r="KS3" s="599" t="s">
        <v>500</v>
      </c>
      <c r="KT3" s="600"/>
      <c r="KU3" s="600"/>
      <c r="KV3" s="600"/>
      <c r="KW3" s="600"/>
      <c r="KX3" s="600"/>
      <c r="KY3" s="601"/>
      <c r="KZ3" s="599" t="s">
        <v>501</v>
      </c>
      <c r="LA3" s="600"/>
      <c r="LB3" s="600"/>
      <c r="LC3" s="600"/>
      <c r="LD3" s="600"/>
      <c r="LE3" s="600"/>
      <c r="LF3" s="601"/>
      <c r="LG3" s="599" t="s">
        <v>502</v>
      </c>
      <c r="LH3" s="600"/>
      <c r="LI3" s="600"/>
      <c r="LJ3" s="600"/>
      <c r="LK3" s="600"/>
      <c r="LL3" s="600"/>
      <c r="LM3" s="601"/>
      <c r="LN3" s="599" t="s">
        <v>503</v>
      </c>
      <c r="LO3" s="600"/>
      <c r="LP3" s="600"/>
      <c r="LQ3" s="600"/>
      <c r="LR3" s="600"/>
      <c r="LS3" s="600"/>
      <c r="LT3" s="601"/>
      <c r="LU3" s="599" t="s">
        <v>505</v>
      </c>
      <c r="LV3" s="600"/>
      <c r="LW3" s="600"/>
      <c r="LX3" s="600"/>
      <c r="LY3" s="600"/>
      <c r="LZ3" s="600"/>
      <c r="MA3" s="601"/>
      <c r="MB3" s="599" t="s">
        <v>525</v>
      </c>
      <c r="MC3" s="600"/>
      <c r="MD3" s="600"/>
      <c r="ME3" s="600"/>
      <c r="MF3" s="600"/>
      <c r="MG3" s="600"/>
      <c r="MH3" s="601"/>
      <c r="MI3" s="599" t="s">
        <v>526</v>
      </c>
      <c r="MJ3" s="600"/>
      <c r="MK3" s="600"/>
      <c r="ML3" s="600"/>
      <c r="MM3" s="600"/>
      <c r="MN3" s="600"/>
      <c r="MO3" s="601"/>
      <c r="MP3" s="599" t="s">
        <v>527</v>
      </c>
      <c r="MQ3" s="600"/>
      <c r="MR3" s="600"/>
      <c r="MS3" s="600"/>
      <c r="MT3" s="600"/>
      <c r="MU3" s="600"/>
      <c r="MV3" s="601"/>
      <c r="MW3" s="599" t="s">
        <v>528</v>
      </c>
      <c r="MX3" s="600"/>
      <c r="MY3" s="600"/>
      <c r="MZ3" s="600"/>
      <c r="NA3" s="600"/>
      <c r="NB3" s="600"/>
      <c r="NC3" s="601"/>
      <c r="ND3" s="599" t="s">
        <v>530</v>
      </c>
      <c r="NE3" s="600"/>
      <c r="NF3" s="600"/>
      <c r="NG3" s="600"/>
      <c r="NH3" s="600"/>
      <c r="NI3" s="600"/>
      <c r="NJ3" s="601"/>
      <c r="NK3" s="599" t="s">
        <v>511</v>
      </c>
      <c r="NL3" s="600"/>
      <c r="NM3" s="600"/>
      <c r="NN3" s="600"/>
      <c r="NO3" s="600"/>
      <c r="NP3" s="600"/>
      <c r="NQ3" s="601"/>
      <c r="NR3" s="599" t="s">
        <v>512</v>
      </c>
      <c r="NS3" s="600"/>
      <c r="NT3" s="600"/>
      <c r="NU3" s="600"/>
      <c r="NV3" s="600"/>
      <c r="NW3" s="600"/>
      <c r="NX3" s="601"/>
      <c r="NY3" s="599" t="s">
        <v>513</v>
      </c>
      <c r="NZ3" s="600"/>
      <c r="OA3" s="600"/>
      <c r="OB3" s="600"/>
      <c r="OC3" s="600"/>
      <c r="OD3" s="600"/>
      <c r="OE3" s="601"/>
      <c r="OF3" s="599" t="s">
        <v>514</v>
      </c>
      <c r="OG3" s="600"/>
      <c r="OH3" s="600"/>
      <c r="OI3" s="600"/>
      <c r="OJ3" s="600"/>
      <c r="OK3" s="600"/>
      <c r="OL3" s="601"/>
      <c r="OM3" s="599" t="s">
        <v>515</v>
      </c>
      <c r="ON3" s="600"/>
      <c r="OO3" s="600"/>
      <c r="OP3" s="600"/>
      <c r="OQ3" s="600"/>
      <c r="OR3" s="600"/>
      <c r="OS3" s="601"/>
      <c r="OT3" s="599" t="s">
        <v>516</v>
      </c>
      <c r="OU3" s="600"/>
      <c r="OV3" s="600"/>
      <c r="OW3" s="600"/>
      <c r="OX3" s="600"/>
      <c r="OY3" s="600"/>
      <c r="OZ3" s="601"/>
      <c r="PA3" s="599" t="s">
        <v>517</v>
      </c>
      <c r="PB3" s="600"/>
      <c r="PC3" s="600"/>
      <c r="PD3" s="600"/>
      <c r="PE3" s="600"/>
      <c r="PF3" s="600"/>
      <c r="PG3" s="601"/>
      <c r="PH3" s="599" t="s">
        <v>518</v>
      </c>
      <c r="PI3" s="600"/>
      <c r="PJ3" s="600"/>
      <c r="PK3" s="600"/>
      <c r="PL3" s="600"/>
      <c r="PM3" s="600"/>
      <c r="PN3" s="601"/>
      <c r="PO3" s="599" t="s">
        <v>525</v>
      </c>
      <c r="PP3" s="600"/>
      <c r="PQ3" s="600"/>
      <c r="PR3" s="600"/>
      <c r="PS3" s="600"/>
      <c r="PT3" s="600"/>
      <c r="PU3" s="601"/>
      <c r="PV3" s="599" t="s">
        <v>526</v>
      </c>
      <c r="PW3" s="600"/>
      <c r="PX3" s="600"/>
      <c r="PY3" s="600"/>
      <c r="PZ3" s="600"/>
      <c r="QA3" s="600"/>
      <c r="QB3" s="601"/>
      <c r="QC3" s="599" t="s">
        <v>527</v>
      </c>
      <c r="QD3" s="600"/>
      <c r="QE3" s="600"/>
      <c r="QF3" s="600"/>
      <c r="QG3" s="600"/>
      <c r="QH3" s="600"/>
      <c r="QI3" s="601"/>
      <c r="QJ3" s="599" t="s">
        <v>528</v>
      </c>
      <c r="QK3" s="600"/>
      <c r="QL3" s="600"/>
      <c r="QM3" s="600"/>
      <c r="QN3" s="600"/>
      <c r="QO3" s="600"/>
      <c r="QP3" s="601"/>
      <c r="QQ3" s="599" t="s">
        <v>530</v>
      </c>
      <c r="QR3" s="600"/>
      <c r="QS3" s="600"/>
      <c r="QT3" s="600"/>
      <c r="QU3" s="600"/>
      <c r="QV3" s="600"/>
      <c r="QW3" s="601"/>
      <c r="QX3" s="599" t="s">
        <v>511</v>
      </c>
      <c r="QY3" s="600"/>
      <c r="QZ3" s="600"/>
      <c r="RA3" s="600"/>
      <c r="RB3" s="600"/>
      <c r="RC3" s="600"/>
      <c r="RD3" s="601"/>
      <c r="RE3" s="599" t="s">
        <v>512</v>
      </c>
      <c r="RF3" s="600"/>
      <c r="RG3" s="600"/>
      <c r="RH3" s="600"/>
      <c r="RI3" s="600"/>
      <c r="RJ3" s="600"/>
      <c r="RK3" s="601"/>
      <c r="RL3" s="599" t="s">
        <v>513</v>
      </c>
      <c r="RM3" s="600"/>
      <c r="RN3" s="600"/>
      <c r="RO3" s="600"/>
      <c r="RP3" s="600"/>
      <c r="RQ3" s="600"/>
      <c r="RR3" s="601"/>
      <c r="RS3" s="599" t="s">
        <v>531</v>
      </c>
      <c r="RT3" s="600"/>
      <c r="RU3" s="600"/>
      <c r="RV3" s="600"/>
      <c r="RW3" s="600"/>
      <c r="RX3" s="600"/>
      <c r="RY3" s="601"/>
      <c r="RZ3" s="599" t="s">
        <v>501</v>
      </c>
      <c r="SA3" s="600"/>
      <c r="SB3" s="600"/>
      <c r="SC3" s="600"/>
      <c r="SD3" s="600"/>
      <c r="SE3" s="600"/>
      <c r="SF3" s="601"/>
      <c r="SG3" s="599" t="s">
        <v>502</v>
      </c>
      <c r="SH3" s="600"/>
      <c r="SI3" s="600"/>
      <c r="SJ3" s="600"/>
      <c r="SK3" s="600"/>
      <c r="SL3" s="600"/>
      <c r="SM3" s="601"/>
      <c r="SN3" s="599" t="s">
        <v>503</v>
      </c>
      <c r="SO3" s="600"/>
      <c r="SP3" s="600"/>
      <c r="SQ3" s="600"/>
      <c r="SR3" s="600"/>
      <c r="SS3" s="600"/>
      <c r="ST3" s="601"/>
      <c r="SU3" s="599" t="s">
        <v>505</v>
      </c>
      <c r="SV3" s="600"/>
      <c r="SW3" s="600"/>
      <c r="SX3" s="600"/>
      <c r="SY3" s="600"/>
      <c r="SZ3" s="600"/>
      <c r="TA3" s="601"/>
      <c r="TB3" s="599" t="s">
        <v>506</v>
      </c>
      <c r="TC3" s="600"/>
      <c r="TD3" s="600"/>
      <c r="TE3" s="600"/>
      <c r="TF3" s="600"/>
      <c r="TG3" s="600"/>
      <c r="TH3" s="601"/>
      <c r="TI3" s="599" t="s">
        <v>507</v>
      </c>
      <c r="TJ3" s="600"/>
      <c r="TK3" s="600"/>
      <c r="TL3" s="600"/>
      <c r="TM3" s="600"/>
      <c r="TN3" s="600"/>
      <c r="TO3" s="601"/>
      <c r="TP3" s="599" t="s">
        <v>508</v>
      </c>
      <c r="TQ3" s="600"/>
      <c r="TR3" s="600"/>
      <c r="TS3" s="600"/>
      <c r="TT3" s="600"/>
      <c r="TU3" s="600"/>
      <c r="TV3" s="601"/>
      <c r="TW3" s="599" t="s">
        <v>509</v>
      </c>
      <c r="TX3" s="600"/>
      <c r="TY3" s="600"/>
      <c r="TZ3" s="600"/>
      <c r="UA3" s="600"/>
      <c r="UB3" s="600"/>
      <c r="UC3" s="601"/>
      <c r="UD3" s="599" t="s">
        <v>510</v>
      </c>
      <c r="UE3" s="600"/>
      <c r="UF3" s="600"/>
      <c r="UG3" s="600"/>
      <c r="UH3" s="600"/>
      <c r="UI3" s="600"/>
      <c r="UJ3" s="601"/>
      <c r="UK3" s="599" t="s">
        <v>511</v>
      </c>
      <c r="UL3" s="600"/>
      <c r="UM3" s="600"/>
      <c r="UN3" s="600"/>
      <c r="UO3" s="600"/>
      <c r="UP3" s="600"/>
      <c r="UQ3" s="601"/>
      <c r="UR3" s="599" t="s">
        <v>512</v>
      </c>
      <c r="US3" s="600"/>
      <c r="UT3" s="600"/>
      <c r="UU3" s="600"/>
      <c r="UV3" s="600"/>
      <c r="UW3" s="600"/>
      <c r="UX3" s="601"/>
      <c r="UY3" s="599" t="s">
        <v>513</v>
      </c>
      <c r="UZ3" s="600"/>
      <c r="VA3" s="600"/>
      <c r="VB3" s="600"/>
      <c r="VC3" s="600"/>
      <c r="VD3" s="600"/>
      <c r="VE3" s="601"/>
      <c r="VF3" s="599" t="s">
        <v>514</v>
      </c>
      <c r="VG3" s="600"/>
      <c r="VH3" s="600"/>
      <c r="VI3" s="600"/>
      <c r="VJ3" s="600"/>
      <c r="VK3" s="600"/>
      <c r="VL3" s="601"/>
      <c r="VM3" s="599" t="s">
        <v>515</v>
      </c>
      <c r="VN3" s="600"/>
      <c r="VO3" s="600"/>
      <c r="VP3" s="600"/>
      <c r="VQ3" s="600"/>
      <c r="VR3" s="600"/>
      <c r="VS3" s="601"/>
      <c r="VT3" s="599" t="s">
        <v>516</v>
      </c>
      <c r="VU3" s="600"/>
      <c r="VV3" s="600"/>
      <c r="VW3" s="600"/>
      <c r="VX3" s="600"/>
      <c r="VY3" s="600"/>
      <c r="VZ3" s="601"/>
      <c r="WA3" s="599" t="s">
        <v>517</v>
      </c>
      <c r="WB3" s="600"/>
      <c r="WC3" s="600"/>
      <c r="WD3" s="600"/>
      <c r="WE3" s="600"/>
      <c r="WF3" s="600"/>
      <c r="WG3" s="601"/>
      <c r="WH3" s="599" t="s">
        <v>518</v>
      </c>
      <c r="WI3" s="600"/>
      <c r="WJ3" s="600"/>
      <c r="WK3" s="600"/>
      <c r="WL3" s="600"/>
      <c r="WM3" s="600"/>
      <c r="WN3" s="601"/>
      <c r="WO3" s="599" t="s">
        <v>532</v>
      </c>
      <c r="WP3" s="600"/>
      <c r="WQ3" s="600"/>
      <c r="WR3" s="600"/>
      <c r="WS3" s="600"/>
      <c r="WT3" s="600"/>
      <c r="WU3" s="601"/>
      <c r="WV3" s="599" t="s">
        <v>497</v>
      </c>
      <c r="WW3" s="600"/>
      <c r="WX3" s="600"/>
      <c r="WY3" s="600"/>
      <c r="WZ3" s="600"/>
      <c r="XA3" s="600"/>
      <c r="XB3" s="601"/>
      <c r="XC3" s="599" t="s">
        <v>498</v>
      </c>
      <c r="XD3" s="600"/>
      <c r="XE3" s="600"/>
      <c r="XF3" s="600"/>
      <c r="XG3" s="600"/>
      <c r="XH3" s="600"/>
      <c r="XI3" s="601"/>
      <c r="XJ3" s="599" t="s">
        <v>499</v>
      </c>
      <c r="XK3" s="600"/>
      <c r="XL3" s="600"/>
      <c r="XM3" s="600"/>
      <c r="XN3" s="600"/>
      <c r="XO3" s="600"/>
      <c r="XP3" s="601"/>
      <c r="XQ3" s="599" t="s">
        <v>533</v>
      </c>
      <c r="XR3" s="600"/>
      <c r="XS3" s="600"/>
      <c r="XT3" s="600"/>
      <c r="XU3" s="600"/>
      <c r="XV3" s="600"/>
      <c r="XW3" s="601"/>
      <c r="XX3" s="599" t="s">
        <v>521</v>
      </c>
      <c r="XY3" s="600"/>
      <c r="XZ3" s="600"/>
      <c r="YA3" s="600"/>
      <c r="YB3" s="600"/>
      <c r="YC3" s="600"/>
      <c r="YD3" s="601"/>
      <c r="YE3" s="599" t="s">
        <v>522</v>
      </c>
      <c r="YF3" s="600"/>
      <c r="YG3" s="600"/>
      <c r="YH3" s="600"/>
      <c r="YI3" s="600"/>
      <c r="YJ3" s="600"/>
      <c r="YK3" s="601"/>
      <c r="YL3" s="599" t="s">
        <v>523</v>
      </c>
      <c r="YM3" s="600"/>
      <c r="YN3" s="600"/>
      <c r="YO3" s="600"/>
      <c r="YP3" s="600"/>
      <c r="YQ3" s="600"/>
      <c r="YR3" s="601"/>
      <c r="YS3" s="599" t="s">
        <v>524</v>
      </c>
      <c r="YT3" s="600"/>
      <c r="YU3" s="600"/>
      <c r="YV3" s="600"/>
      <c r="YW3" s="600"/>
      <c r="YX3" s="600"/>
      <c r="YY3" s="601"/>
      <c r="YZ3" s="599" t="s">
        <v>525</v>
      </c>
      <c r="ZA3" s="600"/>
      <c r="ZB3" s="600"/>
      <c r="ZC3" s="600"/>
      <c r="ZD3" s="600"/>
      <c r="ZE3" s="600"/>
      <c r="ZF3" s="601"/>
      <c r="ZG3" s="599" t="s">
        <v>526</v>
      </c>
      <c r="ZH3" s="600"/>
      <c r="ZI3" s="600"/>
      <c r="ZJ3" s="600"/>
      <c r="ZK3" s="600"/>
      <c r="ZL3" s="600"/>
      <c r="ZM3" s="601"/>
      <c r="ZN3" s="599" t="s">
        <v>527</v>
      </c>
      <c r="ZO3" s="600"/>
      <c r="ZP3" s="600"/>
      <c r="ZQ3" s="600"/>
      <c r="ZR3" s="600"/>
      <c r="ZS3" s="600"/>
      <c r="ZT3" s="601"/>
      <c r="ZU3" s="599" t="s">
        <v>528</v>
      </c>
      <c r="ZV3" s="600"/>
      <c r="ZW3" s="600"/>
      <c r="ZX3" s="600"/>
      <c r="ZY3" s="600"/>
      <c r="ZZ3" s="600"/>
      <c r="AAA3" s="601"/>
      <c r="AAB3" s="599" t="s">
        <v>529</v>
      </c>
      <c r="AAC3" s="600"/>
      <c r="AAD3" s="600"/>
      <c r="AAE3" s="600"/>
      <c r="AAF3" s="600"/>
      <c r="AAG3" s="600"/>
      <c r="AAH3" s="601"/>
      <c r="AAI3" s="599" t="s">
        <v>497</v>
      </c>
      <c r="AAJ3" s="600"/>
      <c r="AAK3" s="600"/>
      <c r="AAL3" s="600"/>
      <c r="AAM3" s="600"/>
      <c r="AAN3" s="600"/>
      <c r="AAO3" s="601"/>
      <c r="AAP3" s="599" t="s">
        <v>498</v>
      </c>
      <c r="AAQ3" s="600"/>
      <c r="AAR3" s="600"/>
      <c r="AAS3" s="600"/>
      <c r="AAT3" s="600"/>
      <c r="AAU3" s="600"/>
      <c r="AAV3" s="601"/>
      <c r="AAW3" s="599" t="s">
        <v>499</v>
      </c>
      <c r="AAX3" s="600"/>
      <c r="AAY3" s="600"/>
      <c r="AAZ3" s="600"/>
      <c r="ABA3" s="600"/>
      <c r="ABB3" s="600"/>
      <c r="ABC3" s="601"/>
      <c r="ABD3" s="599" t="s">
        <v>500</v>
      </c>
      <c r="ABE3" s="600"/>
      <c r="ABF3" s="600"/>
      <c r="ABG3" s="600"/>
      <c r="ABH3" s="600"/>
      <c r="ABI3" s="600"/>
      <c r="ABJ3" s="601"/>
      <c r="ABK3" s="599" t="s">
        <v>501</v>
      </c>
      <c r="ABL3" s="600"/>
      <c r="ABM3" s="600"/>
      <c r="ABN3" s="600"/>
      <c r="ABO3" s="600"/>
      <c r="ABP3" s="600"/>
      <c r="ABQ3" s="601"/>
      <c r="ABR3" s="599" t="s">
        <v>502</v>
      </c>
      <c r="ABS3" s="600"/>
      <c r="ABT3" s="600"/>
      <c r="ABU3" s="600"/>
      <c r="ABV3" s="600"/>
      <c r="ABW3" s="600"/>
      <c r="ABX3" s="601"/>
      <c r="ABY3" s="599" t="s">
        <v>503</v>
      </c>
      <c r="ABZ3" s="600"/>
      <c r="ACA3" s="600"/>
      <c r="ACB3" s="600"/>
      <c r="ACC3" s="600"/>
      <c r="ACD3" s="600"/>
      <c r="ACE3" s="601"/>
      <c r="ACF3" s="599" t="s">
        <v>505</v>
      </c>
      <c r="ACG3" s="600"/>
      <c r="ACH3" s="600"/>
      <c r="ACI3" s="600"/>
      <c r="ACJ3" s="600"/>
      <c r="ACK3" s="600"/>
      <c r="ACL3" s="601"/>
      <c r="ACM3" s="599" t="s">
        <v>506</v>
      </c>
      <c r="ACN3" s="600"/>
      <c r="ACO3" s="600"/>
      <c r="ACP3" s="600"/>
      <c r="ACQ3" s="600"/>
      <c r="ACR3" s="600"/>
      <c r="ACS3" s="601"/>
      <c r="ACT3" s="599" t="s">
        <v>507</v>
      </c>
      <c r="ACU3" s="600"/>
      <c r="ACV3" s="600"/>
      <c r="ACW3" s="600"/>
      <c r="ACX3" s="600"/>
      <c r="ACY3" s="600"/>
      <c r="ACZ3" s="601"/>
      <c r="ADA3" s="599" t="s">
        <v>508</v>
      </c>
      <c r="ADB3" s="600"/>
      <c r="ADC3" s="600"/>
      <c r="ADD3" s="600"/>
      <c r="ADE3" s="600"/>
      <c r="ADF3" s="600"/>
      <c r="ADG3" s="601"/>
      <c r="ADH3" s="599" t="s">
        <v>509</v>
      </c>
      <c r="ADI3" s="600"/>
      <c r="ADJ3" s="600"/>
      <c r="ADK3" s="600"/>
      <c r="ADL3" s="600"/>
      <c r="ADM3" s="600"/>
      <c r="ADN3" s="601"/>
      <c r="ADO3" s="599" t="s">
        <v>534</v>
      </c>
      <c r="ADP3" s="600"/>
      <c r="ADQ3" s="600"/>
      <c r="ADR3" s="600"/>
      <c r="ADS3" s="600"/>
      <c r="ADT3" s="600"/>
      <c r="ADU3" s="601"/>
      <c r="ADV3" s="599" t="s">
        <v>507</v>
      </c>
      <c r="ADW3" s="600"/>
      <c r="ADX3" s="600"/>
      <c r="ADY3" s="600"/>
      <c r="ADZ3" s="600"/>
      <c r="AEA3" s="600"/>
      <c r="AEB3" s="601"/>
      <c r="AEC3" s="599" t="s">
        <v>508</v>
      </c>
      <c r="AED3" s="600"/>
      <c r="AEE3" s="600"/>
      <c r="AEF3" s="600"/>
      <c r="AEG3" s="600"/>
      <c r="AEH3" s="600"/>
      <c r="AEI3" s="601"/>
      <c r="AEJ3" s="599" t="s">
        <v>509</v>
      </c>
      <c r="AEK3" s="600"/>
      <c r="AEL3" s="600"/>
      <c r="AEM3" s="600"/>
      <c r="AEN3" s="600"/>
      <c r="AEO3" s="600"/>
      <c r="AEP3" s="601"/>
      <c r="AEQ3" s="599" t="s">
        <v>520</v>
      </c>
      <c r="AER3" s="600"/>
      <c r="AES3" s="600"/>
      <c r="AET3" s="600"/>
      <c r="AEU3" s="600"/>
      <c r="AEV3" s="600"/>
      <c r="AEW3" s="601"/>
      <c r="AEX3" s="599" t="s">
        <v>521</v>
      </c>
      <c r="AEY3" s="600"/>
      <c r="AEZ3" s="600"/>
      <c r="AFA3" s="600"/>
      <c r="AFB3" s="600"/>
      <c r="AFC3" s="600"/>
      <c r="AFD3" s="601"/>
      <c r="AFE3" s="599" t="s">
        <v>522</v>
      </c>
      <c r="AFF3" s="600"/>
      <c r="AFG3" s="600"/>
      <c r="AFH3" s="600"/>
      <c r="AFI3" s="600"/>
      <c r="AFJ3" s="600"/>
      <c r="AFK3" s="601"/>
      <c r="AFL3" s="599" t="s">
        <v>523</v>
      </c>
      <c r="AFM3" s="600"/>
      <c r="AFN3" s="600"/>
      <c r="AFO3" s="600"/>
      <c r="AFP3" s="600"/>
      <c r="AFQ3" s="600"/>
      <c r="AFR3" s="601"/>
      <c r="AFS3" s="599" t="s">
        <v>535</v>
      </c>
      <c r="AFT3" s="600"/>
      <c r="AFU3" s="600"/>
      <c r="AFV3" s="600"/>
      <c r="AFW3" s="600"/>
      <c r="AFX3" s="600"/>
      <c r="AFY3" s="601"/>
      <c r="AFZ3" s="599" t="s">
        <v>515</v>
      </c>
      <c r="AGA3" s="600"/>
      <c r="AGB3" s="600"/>
      <c r="AGC3" s="600"/>
      <c r="AGD3" s="600"/>
      <c r="AGE3" s="600"/>
      <c r="AGF3" s="601"/>
      <c r="AGG3" s="599" t="s">
        <v>516</v>
      </c>
      <c r="AGH3" s="600"/>
      <c r="AGI3" s="600"/>
      <c r="AGJ3" s="600"/>
      <c r="AGK3" s="600"/>
      <c r="AGL3" s="600"/>
      <c r="AGM3" s="601"/>
      <c r="AGN3" s="599" t="s">
        <v>517</v>
      </c>
      <c r="AGO3" s="600"/>
      <c r="AGP3" s="600"/>
      <c r="AGQ3" s="600"/>
      <c r="AGR3" s="600"/>
      <c r="AGS3" s="600"/>
      <c r="AGT3" s="601"/>
      <c r="AGU3" s="599" t="s">
        <v>518</v>
      </c>
      <c r="AGV3" s="600"/>
      <c r="AGW3" s="600"/>
      <c r="AGX3" s="600"/>
      <c r="AGY3" s="600"/>
      <c r="AGZ3" s="600"/>
      <c r="AHA3" s="601"/>
      <c r="AHB3" s="599" t="s">
        <v>532</v>
      </c>
      <c r="AHC3" s="600"/>
      <c r="AHD3" s="600"/>
      <c r="AHE3" s="600"/>
      <c r="AHF3" s="600"/>
      <c r="AHG3" s="600"/>
      <c r="AHH3" s="601"/>
      <c r="AHI3" s="599" t="s">
        <v>497</v>
      </c>
      <c r="AHJ3" s="600"/>
      <c r="AHK3" s="600"/>
      <c r="AHL3" s="600"/>
      <c r="AHM3" s="600"/>
      <c r="AHN3" s="600"/>
      <c r="AHO3" s="601"/>
      <c r="AHP3" s="599" t="s">
        <v>498</v>
      </c>
      <c r="AHQ3" s="600"/>
      <c r="AHR3" s="600"/>
      <c r="AHS3" s="600"/>
      <c r="AHT3" s="600"/>
      <c r="AHU3" s="600"/>
      <c r="AHV3" s="601"/>
      <c r="AHW3" s="599" t="s">
        <v>499</v>
      </c>
      <c r="AHX3" s="600"/>
      <c r="AHY3" s="600"/>
      <c r="AHZ3" s="600"/>
      <c r="AIA3" s="600"/>
      <c r="AIB3" s="600"/>
      <c r="AIC3" s="601"/>
      <c r="AID3" s="599" t="s">
        <v>533</v>
      </c>
      <c r="AIE3" s="600"/>
      <c r="AIF3" s="600"/>
      <c r="AIG3" s="600"/>
      <c r="AIH3" s="600"/>
      <c r="AII3" s="600"/>
      <c r="AIJ3" s="601"/>
      <c r="AIK3" s="599" t="s">
        <v>521</v>
      </c>
      <c r="AIL3" s="600"/>
      <c r="AIM3" s="600"/>
      <c r="AIN3" s="600"/>
      <c r="AIO3" s="600"/>
      <c r="AIP3" s="600"/>
      <c r="AIQ3" s="601"/>
      <c r="AIR3" s="599" t="s">
        <v>522</v>
      </c>
      <c r="AIS3" s="600"/>
      <c r="AIT3" s="600"/>
      <c r="AIU3" s="600"/>
      <c r="AIV3" s="600"/>
      <c r="AIW3" s="600"/>
      <c r="AIX3" s="601"/>
      <c r="AIY3" s="599" t="s">
        <v>523</v>
      </c>
      <c r="AIZ3" s="600"/>
      <c r="AJA3" s="600"/>
      <c r="AJB3" s="600"/>
      <c r="AJC3" s="600"/>
      <c r="AJD3" s="600"/>
      <c r="AJE3" s="601"/>
      <c r="AJF3" s="599" t="s">
        <v>524</v>
      </c>
      <c r="AJG3" s="600"/>
      <c r="AJH3" s="600"/>
      <c r="AJI3" s="600"/>
      <c r="AJJ3" s="600"/>
      <c r="AJK3" s="600"/>
      <c r="AJL3" s="601"/>
      <c r="AJM3" s="599" t="s">
        <v>525</v>
      </c>
      <c r="AJN3" s="600"/>
      <c r="AJO3" s="600"/>
      <c r="AJP3" s="600"/>
      <c r="AJQ3" s="600"/>
      <c r="AJR3" s="600"/>
      <c r="AJS3" s="601"/>
      <c r="AJT3" s="599" t="s">
        <v>526</v>
      </c>
      <c r="AJU3" s="600"/>
      <c r="AJV3" s="600"/>
      <c r="AJW3" s="600"/>
      <c r="AJX3" s="600"/>
      <c r="AJY3" s="600"/>
      <c r="AJZ3" s="601"/>
      <c r="AKA3" s="599" t="s">
        <v>527</v>
      </c>
      <c r="AKB3" s="600"/>
      <c r="AKC3" s="600"/>
      <c r="AKD3" s="600"/>
      <c r="AKE3" s="600"/>
      <c r="AKF3" s="600"/>
      <c r="AKG3" s="601"/>
      <c r="AKH3" s="599" t="s">
        <v>528</v>
      </c>
      <c r="AKI3" s="600"/>
      <c r="AKJ3" s="600"/>
      <c r="AKK3" s="600"/>
      <c r="AKL3" s="600"/>
      <c r="AKM3" s="600"/>
      <c r="AKN3" s="601"/>
      <c r="AKO3" s="599" t="s">
        <v>530</v>
      </c>
      <c r="AKP3" s="600"/>
      <c r="AKQ3" s="600"/>
      <c r="AKR3" s="600"/>
      <c r="AKS3" s="600"/>
      <c r="AKT3" s="600"/>
      <c r="AKU3" s="601"/>
      <c r="AKV3" s="599" t="s">
        <v>511</v>
      </c>
      <c r="AKW3" s="600"/>
      <c r="AKX3" s="600"/>
      <c r="AKY3" s="600"/>
      <c r="AKZ3" s="600"/>
      <c r="ALA3" s="600"/>
      <c r="ALB3" s="601"/>
      <c r="ALC3" s="599" t="s">
        <v>512</v>
      </c>
      <c r="ALD3" s="600"/>
      <c r="ALE3" s="600"/>
      <c r="ALF3" s="600"/>
      <c r="ALG3" s="600"/>
      <c r="ALH3" s="600"/>
      <c r="ALI3" s="601"/>
      <c r="ALJ3" s="599" t="s">
        <v>513</v>
      </c>
      <c r="ALK3" s="600"/>
      <c r="ALL3" s="600"/>
      <c r="ALM3" s="600"/>
      <c r="ALN3" s="600"/>
      <c r="ALO3" s="600"/>
      <c r="ALP3" s="601"/>
      <c r="ALQ3" s="599" t="s">
        <v>531</v>
      </c>
      <c r="ALR3" s="600"/>
      <c r="ALS3" s="600"/>
      <c r="ALT3" s="600"/>
      <c r="ALU3" s="600"/>
      <c r="ALV3" s="600"/>
      <c r="ALW3" s="601"/>
      <c r="ALX3" s="599" t="s">
        <v>501</v>
      </c>
      <c r="ALY3" s="600"/>
      <c r="ALZ3" s="600"/>
      <c r="AMA3" s="600"/>
      <c r="AMB3" s="600"/>
      <c r="AMC3" s="600"/>
      <c r="AMD3" s="601"/>
      <c r="AME3" s="599" t="s">
        <v>502</v>
      </c>
      <c r="AMF3" s="600"/>
      <c r="AMG3" s="600"/>
      <c r="AMH3" s="600"/>
      <c r="AMI3" s="600"/>
      <c r="AMJ3" s="600"/>
      <c r="AMK3" s="601"/>
      <c r="AML3" s="599" t="s">
        <v>503</v>
      </c>
      <c r="AMM3" s="600"/>
      <c r="AMN3" s="600"/>
      <c r="AMO3" s="600"/>
      <c r="AMP3" s="600"/>
      <c r="AMQ3" s="600"/>
      <c r="AMR3" s="601"/>
      <c r="AMS3" s="599" t="s">
        <v>505</v>
      </c>
      <c r="AMT3" s="600"/>
      <c r="AMU3" s="600"/>
      <c r="AMV3" s="600"/>
      <c r="AMW3" s="600"/>
      <c r="AMX3" s="600"/>
      <c r="AMY3" s="601"/>
      <c r="AMZ3" s="599" t="s">
        <v>506</v>
      </c>
      <c r="ANA3" s="600"/>
      <c r="ANB3" s="600"/>
      <c r="ANC3" s="600"/>
      <c r="AND3" s="600"/>
      <c r="ANE3" s="600"/>
      <c r="ANF3" s="601"/>
      <c r="ANG3" s="599" t="s">
        <v>507</v>
      </c>
      <c r="ANH3" s="600"/>
      <c r="ANI3" s="600"/>
      <c r="ANJ3" s="600"/>
      <c r="ANK3" s="600"/>
      <c r="ANL3" s="600"/>
      <c r="ANM3" s="601"/>
      <c r="ANN3" s="599" t="s">
        <v>508</v>
      </c>
      <c r="ANO3" s="600"/>
      <c r="ANP3" s="600"/>
      <c r="ANQ3" s="600"/>
      <c r="ANR3" s="600"/>
      <c r="ANS3" s="600"/>
      <c r="ANT3" s="601"/>
      <c r="ANU3" s="599" t="s">
        <v>509</v>
      </c>
      <c r="ANV3" s="600"/>
      <c r="ANW3" s="600"/>
      <c r="ANX3" s="600"/>
      <c r="ANY3" s="600"/>
      <c r="ANZ3" s="600"/>
      <c r="AOA3" s="601"/>
      <c r="AOB3" s="599" t="s">
        <v>510</v>
      </c>
      <c r="AOC3" s="600"/>
      <c r="AOD3" s="600"/>
      <c r="AOE3" s="600"/>
      <c r="AOF3" s="600"/>
      <c r="AOG3" s="600"/>
      <c r="AOH3" s="601"/>
      <c r="AOI3" s="599" t="s">
        <v>511</v>
      </c>
      <c r="AOJ3" s="600"/>
      <c r="AOK3" s="600"/>
      <c r="AOL3" s="600"/>
      <c r="AOM3" s="600"/>
      <c r="AON3" s="600"/>
      <c r="AOO3" s="601"/>
      <c r="AOP3" s="599" t="s">
        <v>512</v>
      </c>
      <c r="AOQ3" s="600"/>
      <c r="AOR3" s="600"/>
      <c r="AOS3" s="600"/>
      <c r="AOT3" s="600"/>
      <c r="AOU3" s="600"/>
      <c r="AOV3" s="601"/>
      <c r="AOW3" s="599" t="s">
        <v>513</v>
      </c>
      <c r="AOX3" s="600"/>
      <c r="AOY3" s="600"/>
      <c r="AOZ3" s="600"/>
      <c r="APA3" s="600"/>
      <c r="APB3" s="600"/>
      <c r="APC3" s="601"/>
      <c r="APD3" s="599" t="s">
        <v>514</v>
      </c>
      <c r="APE3" s="600"/>
      <c r="APF3" s="600"/>
      <c r="APG3" s="600"/>
      <c r="APH3" s="600"/>
      <c r="API3" s="600"/>
      <c r="APJ3" s="601"/>
      <c r="APK3" s="599" t="s">
        <v>515</v>
      </c>
      <c r="APL3" s="600"/>
      <c r="APM3" s="600"/>
      <c r="APN3" s="600"/>
      <c r="APO3" s="600"/>
      <c r="APP3" s="600"/>
      <c r="APQ3" s="601"/>
      <c r="APR3" s="599" t="s">
        <v>516</v>
      </c>
      <c r="APS3" s="600"/>
      <c r="APT3" s="600"/>
      <c r="APU3" s="600"/>
      <c r="APV3" s="600"/>
      <c r="APW3" s="600"/>
      <c r="APX3" s="601"/>
      <c r="APY3" s="599" t="s">
        <v>517</v>
      </c>
      <c r="APZ3" s="600"/>
      <c r="AQA3" s="600"/>
      <c r="AQB3" s="600"/>
      <c r="AQC3" s="600"/>
      <c r="AQD3" s="600"/>
      <c r="AQE3" s="601"/>
      <c r="AQF3" s="599" t="s">
        <v>518</v>
      </c>
      <c r="AQG3" s="600"/>
      <c r="AQH3" s="600"/>
      <c r="AQI3" s="600"/>
      <c r="AQJ3" s="600"/>
      <c r="AQK3" s="600"/>
      <c r="AQL3" s="601"/>
      <c r="AQM3" s="599" t="s">
        <v>532</v>
      </c>
      <c r="AQN3" s="600"/>
      <c r="AQO3" s="600"/>
      <c r="AQP3" s="600"/>
      <c r="AQQ3" s="600"/>
      <c r="AQR3" s="600"/>
      <c r="AQS3" s="601"/>
      <c r="AQT3" s="599" t="s">
        <v>497</v>
      </c>
      <c r="AQU3" s="600"/>
      <c r="AQV3" s="600"/>
      <c r="AQW3" s="600"/>
      <c r="AQX3" s="600"/>
      <c r="AQY3" s="600"/>
      <c r="AQZ3" s="601"/>
      <c r="ARA3" s="599" t="s">
        <v>498</v>
      </c>
      <c r="ARB3" s="600"/>
      <c r="ARC3" s="600"/>
      <c r="ARD3" s="600"/>
      <c r="ARE3" s="600"/>
      <c r="ARF3" s="600"/>
      <c r="ARG3" s="601"/>
      <c r="ARH3" s="599" t="s">
        <v>499</v>
      </c>
      <c r="ARI3" s="600"/>
      <c r="ARJ3" s="600"/>
      <c r="ARK3" s="600"/>
      <c r="ARL3" s="600"/>
      <c r="ARM3" s="600"/>
      <c r="ARN3" s="601"/>
      <c r="ARO3" s="599" t="s">
        <v>536</v>
      </c>
      <c r="ARP3" s="600"/>
      <c r="ARQ3" s="600"/>
      <c r="ARR3" s="600"/>
      <c r="ARS3" s="600"/>
      <c r="ART3" s="600"/>
      <c r="ARU3" s="601"/>
      <c r="ARV3" s="599" t="s">
        <v>497</v>
      </c>
      <c r="ARW3" s="600"/>
      <c r="ARX3" s="600"/>
      <c r="ARY3" s="600"/>
      <c r="ARZ3" s="600"/>
      <c r="ASA3" s="600"/>
      <c r="ASB3" s="601"/>
      <c r="ASC3" s="599" t="s">
        <v>498</v>
      </c>
      <c r="ASD3" s="600"/>
      <c r="ASE3" s="600"/>
      <c r="ASF3" s="600"/>
      <c r="ASG3" s="600"/>
      <c r="ASH3" s="600"/>
      <c r="ASI3" s="601"/>
      <c r="ASJ3" s="599" t="s">
        <v>499</v>
      </c>
      <c r="ASK3" s="600"/>
      <c r="ASL3" s="600"/>
      <c r="ASM3" s="600"/>
      <c r="ASN3" s="600"/>
      <c r="ASO3" s="600"/>
      <c r="ASP3" s="601"/>
      <c r="ASQ3" s="599" t="s">
        <v>500</v>
      </c>
      <c r="ASR3" s="600"/>
      <c r="ASS3" s="600"/>
      <c r="AST3" s="600"/>
      <c r="ASU3" s="600"/>
      <c r="ASV3" s="600"/>
      <c r="ASW3" s="601"/>
      <c r="ASX3" s="599" t="s">
        <v>501</v>
      </c>
      <c r="ASY3" s="600"/>
      <c r="ASZ3" s="600"/>
      <c r="ATA3" s="600"/>
      <c r="ATB3" s="600"/>
      <c r="ATC3" s="600"/>
      <c r="ATD3" s="601"/>
      <c r="ATE3" s="599" t="s">
        <v>502</v>
      </c>
      <c r="ATF3" s="600"/>
      <c r="ATG3" s="600"/>
      <c r="ATH3" s="600"/>
      <c r="ATI3" s="600"/>
      <c r="ATJ3" s="600"/>
      <c r="ATK3" s="601"/>
      <c r="ATL3" s="599" t="s">
        <v>503</v>
      </c>
      <c r="ATM3" s="600"/>
      <c r="ATN3" s="600"/>
      <c r="ATO3" s="600"/>
      <c r="ATP3" s="600"/>
      <c r="ATQ3" s="600"/>
      <c r="ATR3" s="601"/>
      <c r="ATS3" s="599" t="s">
        <v>505</v>
      </c>
      <c r="ATT3" s="600"/>
      <c r="ATU3" s="600"/>
      <c r="ATV3" s="600"/>
      <c r="ATW3" s="600"/>
      <c r="ATX3" s="600"/>
      <c r="ATY3" s="601"/>
      <c r="ATZ3" s="599" t="s">
        <v>525</v>
      </c>
      <c r="AUA3" s="600"/>
      <c r="AUB3" s="600"/>
      <c r="AUC3" s="600"/>
      <c r="AUD3" s="600"/>
      <c r="AUE3" s="600"/>
      <c r="AUF3" s="601"/>
      <c r="AUG3" s="599" t="s">
        <v>526</v>
      </c>
      <c r="AUH3" s="600"/>
      <c r="AUI3" s="600"/>
      <c r="AUJ3" s="600"/>
      <c r="AUK3" s="600"/>
      <c r="AUL3" s="600"/>
      <c r="AUM3" s="601"/>
      <c r="AUN3" s="599" t="s">
        <v>527</v>
      </c>
      <c r="AUO3" s="600"/>
      <c r="AUP3" s="600"/>
      <c r="AUQ3" s="600"/>
      <c r="AUR3" s="600"/>
      <c r="AUS3" s="600"/>
      <c r="AUT3" s="601"/>
      <c r="AUU3" s="599" t="s">
        <v>528</v>
      </c>
      <c r="AUV3" s="600"/>
      <c r="AUW3" s="600"/>
      <c r="AUX3" s="600"/>
      <c r="AUY3" s="600"/>
      <c r="AUZ3" s="600"/>
      <c r="AVA3" s="601"/>
      <c r="AVB3" s="599" t="s">
        <v>530</v>
      </c>
      <c r="AVC3" s="600"/>
      <c r="AVD3" s="600"/>
      <c r="AVE3" s="600"/>
      <c r="AVF3" s="600"/>
      <c r="AVG3" s="600"/>
      <c r="AVH3" s="601"/>
      <c r="AVI3" s="599" t="s">
        <v>511</v>
      </c>
      <c r="AVJ3" s="600"/>
      <c r="AVK3" s="600"/>
      <c r="AVL3" s="600"/>
      <c r="AVM3" s="600"/>
      <c r="AVN3" s="600"/>
      <c r="AVO3" s="601"/>
      <c r="AVP3" s="599" t="s">
        <v>512</v>
      </c>
      <c r="AVQ3" s="600"/>
      <c r="AVR3" s="600"/>
      <c r="AVS3" s="600"/>
      <c r="AVT3" s="600"/>
      <c r="AVU3" s="600"/>
      <c r="AVV3" s="601"/>
      <c r="AVW3" s="599" t="s">
        <v>513</v>
      </c>
      <c r="AVX3" s="600"/>
      <c r="AVY3" s="600"/>
      <c r="AVZ3" s="600"/>
      <c r="AWA3" s="600"/>
      <c r="AWB3" s="600"/>
      <c r="AWC3" s="601"/>
      <c r="AWD3" s="599" t="s">
        <v>531</v>
      </c>
      <c r="AWE3" s="600"/>
      <c r="AWF3" s="600"/>
      <c r="AWG3" s="600"/>
      <c r="AWH3" s="600"/>
      <c r="AWI3" s="600"/>
      <c r="AWJ3" s="601"/>
      <c r="AWK3" s="599" t="s">
        <v>501</v>
      </c>
      <c r="AWL3" s="600"/>
      <c r="AWM3" s="600"/>
      <c r="AWN3" s="600"/>
      <c r="AWO3" s="600"/>
      <c r="AWP3" s="600"/>
      <c r="AWQ3" s="601"/>
      <c r="AWR3" s="599" t="s">
        <v>502</v>
      </c>
      <c r="AWS3" s="600"/>
      <c r="AWT3" s="600"/>
      <c r="AWU3" s="600"/>
      <c r="AWV3" s="600"/>
      <c r="AWW3" s="600"/>
      <c r="AWX3" s="601"/>
      <c r="AWY3" s="599" t="s">
        <v>503</v>
      </c>
      <c r="AWZ3" s="600"/>
      <c r="AXA3" s="600"/>
      <c r="AXB3" s="600"/>
      <c r="AXC3" s="600"/>
      <c r="AXD3" s="600"/>
      <c r="AXE3" s="601"/>
      <c r="AXF3" s="599" t="s">
        <v>505</v>
      </c>
      <c r="AXG3" s="600"/>
      <c r="AXH3" s="600"/>
      <c r="AXI3" s="600"/>
      <c r="AXJ3" s="600"/>
      <c r="AXK3" s="600"/>
      <c r="AXL3" s="601"/>
      <c r="AXM3" s="599" t="s">
        <v>506</v>
      </c>
      <c r="AXN3" s="600"/>
      <c r="AXO3" s="600"/>
      <c r="AXP3" s="600"/>
      <c r="AXQ3" s="600"/>
      <c r="AXR3" s="600"/>
      <c r="AXS3" s="601"/>
      <c r="AXT3" s="599" t="s">
        <v>507</v>
      </c>
      <c r="AXU3" s="600"/>
      <c r="AXV3" s="600"/>
      <c r="AXW3" s="600"/>
      <c r="AXX3" s="600"/>
      <c r="AXY3" s="600"/>
      <c r="AXZ3" s="601"/>
      <c r="AYA3" s="599" t="s">
        <v>508</v>
      </c>
      <c r="AYB3" s="600"/>
      <c r="AYC3" s="600"/>
      <c r="AYD3" s="600"/>
      <c r="AYE3" s="600"/>
      <c r="AYF3" s="600"/>
      <c r="AYG3" s="601"/>
      <c r="AYH3" s="599" t="s">
        <v>509</v>
      </c>
      <c r="AYI3" s="600"/>
      <c r="AYJ3" s="600"/>
      <c r="AYK3" s="600"/>
      <c r="AYL3" s="600"/>
      <c r="AYM3" s="600"/>
      <c r="AYN3" s="601"/>
      <c r="AYO3" s="599" t="s">
        <v>520</v>
      </c>
      <c r="AYP3" s="600"/>
      <c r="AYQ3" s="600"/>
      <c r="AYR3" s="600"/>
      <c r="AYS3" s="600"/>
      <c r="AYT3" s="600"/>
      <c r="AYU3" s="601"/>
      <c r="AYV3" s="599" t="s">
        <v>521</v>
      </c>
      <c r="AYW3" s="600"/>
      <c r="AYX3" s="600"/>
      <c r="AYY3" s="600"/>
      <c r="AYZ3" s="600"/>
      <c r="AZA3" s="600"/>
      <c r="AZB3" s="601"/>
      <c r="AZC3" s="599" t="s">
        <v>522</v>
      </c>
      <c r="AZD3" s="600"/>
      <c r="AZE3" s="600"/>
      <c r="AZF3" s="600"/>
      <c r="AZG3" s="600"/>
      <c r="AZH3" s="600"/>
      <c r="AZI3" s="601"/>
      <c r="AZJ3" s="599" t="s">
        <v>523</v>
      </c>
      <c r="AZK3" s="600"/>
      <c r="AZL3" s="600"/>
      <c r="AZM3" s="600"/>
      <c r="AZN3" s="600"/>
      <c r="AZO3" s="600"/>
      <c r="AZP3" s="601"/>
      <c r="AZQ3" s="599" t="s">
        <v>535</v>
      </c>
      <c r="AZR3" s="600"/>
      <c r="AZS3" s="600"/>
      <c r="AZT3" s="600"/>
      <c r="AZU3" s="600"/>
      <c r="AZV3" s="600"/>
      <c r="AZW3" s="601"/>
      <c r="AZX3" s="599" t="s">
        <v>515</v>
      </c>
      <c r="AZY3" s="600"/>
      <c r="AZZ3" s="600"/>
      <c r="BAA3" s="600"/>
      <c r="BAB3" s="600"/>
      <c r="BAC3" s="600"/>
      <c r="BAD3" s="601"/>
      <c r="BAE3" s="599" t="s">
        <v>516</v>
      </c>
      <c r="BAF3" s="600"/>
      <c r="BAG3" s="600"/>
      <c r="BAH3" s="600"/>
      <c r="BAI3" s="600"/>
      <c r="BAJ3" s="600"/>
      <c r="BAK3" s="601"/>
      <c r="BAL3" s="599" t="s">
        <v>517</v>
      </c>
      <c r="BAM3" s="600"/>
      <c r="BAN3" s="600"/>
      <c r="BAO3" s="600"/>
      <c r="BAP3" s="600"/>
      <c r="BAQ3" s="600"/>
      <c r="BAR3" s="601"/>
      <c r="BAS3" s="599" t="s">
        <v>518</v>
      </c>
      <c r="BAT3" s="600"/>
      <c r="BAU3" s="600"/>
      <c r="BAV3" s="600"/>
      <c r="BAW3" s="600"/>
      <c r="BAX3" s="600"/>
      <c r="BAY3" s="601"/>
      <c r="BAZ3" s="599" t="s">
        <v>532</v>
      </c>
      <c r="BBA3" s="600"/>
      <c r="BBB3" s="600"/>
      <c r="BBC3" s="600"/>
      <c r="BBD3" s="600"/>
      <c r="BBE3" s="600"/>
      <c r="BBF3" s="601"/>
      <c r="BBG3" s="599" t="s">
        <v>497</v>
      </c>
      <c r="BBH3" s="600"/>
      <c r="BBI3" s="600"/>
      <c r="BBJ3" s="600"/>
      <c r="BBK3" s="600"/>
      <c r="BBL3" s="600"/>
      <c r="BBM3" s="601"/>
      <c r="BBN3" s="599" t="s">
        <v>498</v>
      </c>
      <c r="BBO3" s="600"/>
      <c r="BBP3" s="600"/>
      <c r="BBQ3" s="600"/>
      <c r="BBR3" s="600"/>
      <c r="BBS3" s="600"/>
      <c r="BBT3" s="601"/>
      <c r="BBU3" s="599" t="s">
        <v>499</v>
      </c>
      <c r="BBV3" s="600"/>
      <c r="BBW3" s="600"/>
      <c r="BBX3" s="600"/>
      <c r="BBY3" s="600"/>
      <c r="BBZ3" s="600"/>
      <c r="BCA3" s="601"/>
      <c r="BCB3" s="599" t="s">
        <v>533</v>
      </c>
      <c r="BCC3" s="600"/>
      <c r="BCD3" s="600"/>
      <c r="BCE3" s="600"/>
      <c r="BCF3" s="600"/>
      <c r="BCG3" s="600"/>
      <c r="BCH3" s="601"/>
      <c r="BCI3" s="599" t="s">
        <v>521</v>
      </c>
      <c r="BCJ3" s="600"/>
      <c r="BCK3" s="600"/>
      <c r="BCL3" s="600"/>
      <c r="BCM3" s="600"/>
      <c r="BCN3" s="600"/>
      <c r="BCO3" s="601"/>
      <c r="BCP3" s="599" t="s">
        <v>522</v>
      </c>
      <c r="BCQ3" s="600"/>
      <c r="BCR3" s="600"/>
      <c r="BCS3" s="600"/>
      <c r="BCT3" s="600"/>
      <c r="BCU3" s="600"/>
      <c r="BCV3" s="601"/>
      <c r="BCW3" s="599" t="s">
        <v>523</v>
      </c>
      <c r="BCX3" s="600"/>
      <c r="BCY3" s="600"/>
      <c r="BCZ3" s="600"/>
      <c r="BDA3" s="600"/>
      <c r="BDB3" s="600"/>
      <c r="BDC3" s="601"/>
      <c r="BDD3" s="599" t="s">
        <v>524</v>
      </c>
      <c r="BDE3" s="600"/>
      <c r="BDF3" s="600"/>
      <c r="BDG3" s="600"/>
      <c r="BDH3" s="600"/>
      <c r="BDI3" s="600"/>
      <c r="BDJ3" s="601"/>
      <c r="BDK3" s="599" t="s">
        <v>525</v>
      </c>
      <c r="BDL3" s="600"/>
      <c r="BDM3" s="600"/>
      <c r="BDN3" s="600"/>
      <c r="BDO3" s="600"/>
      <c r="BDP3" s="600"/>
      <c r="BDQ3" s="601"/>
      <c r="BDR3" s="599" t="s">
        <v>526</v>
      </c>
      <c r="BDS3" s="600"/>
      <c r="BDT3" s="600"/>
      <c r="BDU3" s="600"/>
      <c r="BDV3" s="600"/>
      <c r="BDW3" s="600"/>
      <c r="BDX3" s="601"/>
      <c r="BDY3" s="599" t="s">
        <v>527</v>
      </c>
      <c r="BDZ3" s="600"/>
      <c r="BEA3" s="600"/>
      <c r="BEB3" s="600"/>
      <c r="BEC3" s="600"/>
      <c r="BED3" s="600"/>
      <c r="BEE3" s="601"/>
      <c r="BEF3" s="599" t="s">
        <v>528</v>
      </c>
      <c r="BEG3" s="600"/>
      <c r="BEH3" s="600"/>
      <c r="BEI3" s="600"/>
      <c r="BEJ3" s="600"/>
      <c r="BEK3" s="600"/>
      <c r="BEL3" s="601"/>
      <c r="BEM3" s="599" t="s">
        <v>530</v>
      </c>
      <c r="BEN3" s="600"/>
      <c r="BEO3" s="600"/>
      <c r="BEP3" s="600"/>
      <c r="BEQ3" s="600"/>
      <c r="BER3" s="600"/>
      <c r="BES3" s="601"/>
      <c r="BET3" s="599" t="s">
        <v>511</v>
      </c>
      <c r="BEU3" s="600"/>
      <c r="BEV3" s="600"/>
      <c r="BEW3" s="600"/>
      <c r="BEX3" s="600"/>
      <c r="BEY3" s="600"/>
      <c r="BEZ3" s="601"/>
      <c r="BFA3" s="599" t="s">
        <v>512</v>
      </c>
      <c r="BFB3" s="600"/>
      <c r="BFC3" s="600"/>
      <c r="BFD3" s="600"/>
      <c r="BFE3" s="600"/>
      <c r="BFF3" s="600"/>
      <c r="BFG3" s="601"/>
      <c r="BFH3" s="599" t="s">
        <v>513</v>
      </c>
      <c r="BFI3" s="600"/>
      <c r="BFJ3" s="600"/>
      <c r="BFK3" s="600"/>
      <c r="BFL3" s="600"/>
      <c r="BFM3" s="600"/>
      <c r="BFN3" s="601"/>
      <c r="BFO3" s="599" t="s">
        <v>537</v>
      </c>
      <c r="BFP3" s="600"/>
      <c r="BFQ3" s="600"/>
      <c r="BFR3" s="600"/>
      <c r="BFS3" s="600"/>
      <c r="BFT3" s="600"/>
      <c r="BFU3" s="601"/>
      <c r="BFV3" s="599" t="s">
        <v>511</v>
      </c>
      <c r="BFW3" s="600"/>
      <c r="BFX3" s="600"/>
      <c r="BFY3" s="600"/>
      <c r="BFZ3" s="600"/>
      <c r="BGA3" s="600"/>
      <c r="BGB3" s="601"/>
      <c r="BGC3" s="599" t="s">
        <v>512</v>
      </c>
      <c r="BGD3" s="600"/>
      <c r="BGE3" s="600"/>
      <c r="BGF3" s="600"/>
      <c r="BGG3" s="600"/>
      <c r="BGH3" s="600"/>
      <c r="BGI3" s="601"/>
      <c r="BGJ3" s="599" t="s">
        <v>513</v>
      </c>
      <c r="BGK3" s="600"/>
      <c r="BGL3" s="600"/>
      <c r="BGM3" s="600"/>
      <c r="BGN3" s="600"/>
      <c r="BGO3" s="600"/>
      <c r="BGP3" s="601"/>
      <c r="BGQ3" s="599" t="s">
        <v>514</v>
      </c>
      <c r="BGR3" s="600"/>
      <c r="BGS3" s="600"/>
      <c r="BGT3" s="600"/>
      <c r="BGU3" s="600"/>
      <c r="BGV3" s="600"/>
      <c r="BGW3" s="601"/>
      <c r="BGX3" s="599" t="s">
        <v>515</v>
      </c>
      <c r="BGY3" s="600"/>
      <c r="BGZ3" s="600"/>
      <c r="BHA3" s="600"/>
      <c r="BHB3" s="600"/>
      <c r="BHC3" s="600"/>
      <c r="BHD3" s="601"/>
      <c r="BHE3" s="599" t="s">
        <v>516</v>
      </c>
      <c r="BHF3" s="600"/>
      <c r="BHG3" s="600"/>
      <c r="BHH3" s="600"/>
      <c r="BHI3" s="600"/>
      <c r="BHJ3" s="600"/>
      <c r="BHK3" s="601"/>
      <c r="BHL3" s="599" t="s">
        <v>517</v>
      </c>
      <c r="BHM3" s="600"/>
      <c r="BHN3" s="600"/>
      <c r="BHO3" s="600"/>
      <c r="BHP3" s="600"/>
      <c r="BHQ3" s="600"/>
      <c r="BHR3" s="601"/>
      <c r="BHS3" s="599" t="s">
        <v>518</v>
      </c>
      <c r="BHT3" s="600"/>
      <c r="BHU3" s="600"/>
      <c r="BHV3" s="600"/>
      <c r="BHW3" s="600"/>
      <c r="BHX3" s="600"/>
      <c r="BHY3" s="601"/>
      <c r="BHZ3" s="599" t="s">
        <v>519</v>
      </c>
      <c r="BIA3" s="600"/>
      <c r="BIB3" s="600"/>
      <c r="BIC3" s="600"/>
      <c r="BID3" s="600"/>
      <c r="BIE3" s="600"/>
      <c r="BIF3" s="601"/>
      <c r="BIG3" s="599" t="s">
        <v>507</v>
      </c>
      <c r="BIH3" s="600"/>
      <c r="BII3" s="600"/>
      <c r="BIJ3" s="600"/>
      <c r="BIK3" s="600"/>
      <c r="BIL3" s="600"/>
      <c r="BIM3" s="601"/>
      <c r="BIN3" s="599" t="s">
        <v>508</v>
      </c>
      <c r="BIO3" s="600"/>
      <c r="BIP3" s="600"/>
      <c r="BIQ3" s="600"/>
      <c r="BIR3" s="600"/>
      <c r="BIS3" s="600"/>
      <c r="BIT3" s="601"/>
      <c r="BIU3" s="599" t="s">
        <v>509</v>
      </c>
      <c r="BIV3" s="600"/>
      <c r="BIW3" s="600"/>
      <c r="BIX3" s="600"/>
      <c r="BIY3" s="600"/>
      <c r="BIZ3" s="600"/>
      <c r="BJA3" s="601"/>
      <c r="BJB3" s="599" t="s">
        <v>520</v>
      </c>
      <c r="BJC3" s="600"/>
      <c r="BJD3" s="600"/>
      <c r="BJE3" s="600"/>
      <c r="BJF3" s="600"/>
      <c r="BJG3" s="600"/>
      <c r="BJH3" s="601"/>
      <c r="BJI3" s="599" t="s">
        <v>521</v>
      </c>
      <c r="BJJ3" s="600"/>
      <c r="BJK3" s="600"/>
      <c r="BJL3" s="600"/>
      <c r="BJM3" s="600"/>
      <c r="BJN3" s="600"/>
      <c r="BJO3" s="601"/>
      <c r="BJP3" s="599" t="s">
        <v>522</v>
      </c>
      <c r="BJQ3" s="600"/>
      <c r="BJR3" s="600"/>
      <c r="BJS3" s="600"/>
      <c r="BJT3" s="600"/>
      <c r="BJU3" s="600"/>
      <c r="BJV3" s="601"/>
      <c r="BJW3" s="599" t="s">
        <v>523</v>
      </c>
      <c r="BJX3" s="600"/>
      <c r="BJY3" s="600"/>
      <c r="BJZ3" s="600"/>
      <c r="BKA3" s="600"/>
      <c r="BKB3" s="600"/>
      <c r="BKC3" s="601"/>
      <c r="BKD3" s="599" t="s">
        <v>535</v>
      </c>
      <c r="BKE3" s="600"/>
      <c r="BKF3" s="600"/>
      <c r="BKG3" s="600"/>
      <c r="BKH3" s="600"/>
      <c r="BKI3" s="600"/>
      <c r="BKJ3" s="601"/>
      <c r="BKK3" s="599" t="s">
        <v>515</v>
      </c>
      <c r="BKL3" s="600"/>
      <c r="BKM3" s="600"/>
      <c r="BKN3" s="600"/>
      <c r="BKO3" s="600"/>
      <c r="BKP3" s="600"/>
      <c r="BKQ3" s="601"/>
      <c r="BKR3" s="599" t="s">
        <v>516</v>
      </c>
      <c r="BKS3" s="600"/>
      <c r="BKT3" s="600"/>
      <c r="BKU3" s="600"/>
      <c r="BKV3" s="600"/>
      <c r="BKW3" s="600"/>
      <c r="BKX3" s="601"/>
      <c r="BKY3" s="599" t="s">
        <v>517</v>
      </c>
      <c r="BKZ3" s="600"/>
      <c r="BLA3" s="600"/>
      <c r="BLB3" s="600"/>
      <c r="BLC3" s="600"/>
      <c r="BLD3" s="600"/>
      <c r="BLE3" s="601"/>
      <c r="BLF3" s="599" t="s">
        <v>518</v>
      </c>
      <c r="BLG3" s="600"/>
      <c r="BLH3" s="600"/>
      <c r="BLI3" s="600"/>
      <c r="BLJ3" s="600"/>
      <c r="BLK3" s="600"/>
      <c r="BLL3" s="601"/>
      <c r="BLM3" s="599" t="s">
        <v>532</v>
      </c>
      <c r="BLN3" s="600"/>
      <c r="BLO3" s="600"/>
      <c r="BLP3" s="600"/>
      <c r="BLQ3" s="600"/>
      <c r="BLR3" s="600"/>
      <c r="BLS3" s="601"/>
      <c r="BLT3" s="599" t="s">
        <v>497</v>
      </c>
      <c r="BLU3" s="600"/>
      <c r="BLV3" s="600"/>
      <c r="BLW3" s="600"/>
      <c r="BLX3" s="600"/>
      <c r="BLY3" s="600"/>
      <c r="BLZ3" s="601"/>
      <c r="BMA3" s="599" t="s">
        <v>498</v>
      </c>
      <c r="BMB3" s="600"/>
      <c r="BMC3" s="600"/>
      <c r="BMD3" s="600"/>
      <c r="BME3" s="600"/>
      <c r="BMF3" s="600"/>
      <c r="BMG3" s="601"/>
      <c r="BMH3" s="599" t="s">
        <v>499</v>
      </c>
      <c r="BMI3" s="600"/>
      <c r="BMJ3" s="600"/>
      <c r="BMK3" s="600"/>
      <c r="BML3" s="600"/>
      <c r="BMM3" s="600"/>
      <c r="BMN3" s="601"/>
      <c r="BMO3" s="599" t="s">
        <v>500</v>
      </c>
      <c r="BMP3" s="600"/>
      <c r="BMQ3" s="600"/>
      <c r="BMR3" s="600"/>
      <c r="BMS3" s="600"/>
      <c r="BMT3" s="600"/>
      <c r="BMU3" s="601"/>
      <c r="BMV3" s="599" t="s">
        <v>501</v>
      </c>
      <c r="BMW3" s="600"/>
      <c r="BMX3" s="600"/>
      <c r="BMY3" s="600"/>
      <c r="BMZ3" s="600"/>
      <c r="BNA3" s="600"/>
      <c r="BNB3" s="601"/>
      <c r="BNC3" s="599" t="s">
        <v>502</v>
      </c>
      <c r="BND3" s="600"/>
      <c r="BNE3" s="600"/>
      <c r="BNF3" s="600"/>
      <c r="BNG3" s="600"/>
      <c r="BNH3" s="600"/>
      <c r="BNI3" s="601"/>
      <c r="BNJ3" s="599" t="s">
        <v>503</v>
      </c>
      <c r="BNK3" s="600"/>
      <c r="BNL3" s="600"/>
      <c r="BNM3" s="600"/>
      <c r="BNN3" s="600"/>
      <c r="BNO3" s="600"/>
      <c r="BNP3" s="601"/>
      <c r="BNQ3" s="599" t="s">
        <v>505</v>
      </c>
      <c r="BNR3" s="600"/>
      <c r="BNS3" s="600"/>
      <c r="BNT3" s="600"/>
      <c r="BNU3" s="600"/>
      <c r="BNV3" s="600"/>
      <c r="BNW3" s="601"/>
      <c r="BNX3" s="599" t="s">
        <v>525</v>
      </c>
      <c r="BNY3" s="600"/>
      <c r="BNZ3" s="600"/>
      <c r="BOA3" s="600"/>
      <c r="BOB3" s="600"/>
      <c r="BOC3" s="600"/>
      <c r="BOD3" s="601"/>
      <c r="BOE3" s="599" t="s">
        <v>526</v>
      </c>
      <c r="BOF3" s="600"/>
      <c r="BOG3" s="600"/>
      <c r="BOH3" s="600"/>
      <c r="BOI3" s="600"/>
      <c r="BOJ3" s="600"/>
      <c r="BOK3" s="601"/>
      <c r="BOL3" s="599" t="s">
        <v>527</v>
      </c>
      <c r="BOM3" s="600"/>
      <c r="BON3" s="600"/>
      <c r="BOO3" s="600"/>
      <c r="BOP3" s="600"/>
      <c r="BOQ3" s="600"/>
      <c r="BOR3" s="601"/>
      <c r="BOS3" s="599" t="s">
        <v>528</v>
      </c>
      <c r="BOT3" s="600"/>
      <c r="BOU3" s="600"/>
      <c r="BOV3" s="600"/>
      <c r="BOW3" s="600"/>
      <c r="BOX3" s="600"/>
      <c r="BOY3" s="601"/>
      <c r="BOZ3" s="599" t="s">
        <v>530</v>
      </c>
      <c r="BPA3" s="600"/>
      <c r="BPB3" s="600"/>
      <c r="BPC3" s="600"/>
      <c r="BPD3" s="600"/>
      <c r="BPE3" s="600"/>
      <c r="BPF3" s="601"/>
      <c r="BPG3" s="599" t="s">
        <v>511</v>
      </c>
      <c r="BPH3" s="600"/>
      <c r="BPI3" s="600"/>
      <c r="BPJ3" s="600"/>
      <c r="BPK3" s="600"/>
      <c r="BPL3" s="600"/>
      <c r="BPM3" s="601"/>
      <c r="BPN3" s="599" t="s">
        <v>512</v>
      </c>
      <c r="BPO3" s="600"/>
      <c r="BPP3" s="600"/>
      <c r="BPQ3" s="600"/>
      <c r="BPR3" s="600"/>
      <c r="BPS3" s="600"/>
      <c r="BPT3" s="601"/>
      <c r="BPU3" s="599" t="s">
        <v>513</v>
      </c>
      <c r="BPV3" s="600"/>
      <c r="BPW3" s="600"/>
      <c r="BPX3" s="600"/>
      <c r="BPY3" s="600"/>
      <c r="BPZ3" s="600"/>
      <c r="BQA3" s="601"/>
      <c r="BQB3" s="599" t="s">
        <v>531</v>
      </c>
      <c r="BQC3" s="600"/>
      <c r="BQD3" s="600"/>
      <c r="BQE3" s="600"/>
      <c r="BQF3" s="600"/>
      <c r="BQG3" s="600"/>
      <c r="BQH3" s="601"/>
      <c r="BQI3" s="599" t="s">
        <v>501</v>
      </c>
      <c r="BQJ3" s="600"/>
      <c r="BQK3" s="600"/>
      <c r="BQL3" s="600"/>
      <c r="BQM3" s="600"/>
      <c r="BQN3" s="600"/>
      <c r="BQO3" s="601"/>
      <c r="BQP3" s="599" t="s">
        <v>502</v>
      </c>
      <c r="BQQ3" s="600"/>
      <c r="BQR3" s="600"/>
      <c r="BQS3" s="600"/>
      <c r="BQT3" s="600"/>
      <c r="BQU3" s="600"/>
      <c r="BQV3" s="601"/>
      <c r="BQW3" s="599" t="s">
        <v>503</v>
      </c>
      <c r="BQX3" s="600"/>
      <c r="BQY3" s="600"/>
      <c r="BQZ3" s="600"/>
      <c r="BRA3" s="600"/>
      <c r="BRB3" s="600"/>
      <c r="BRC3" s="601"/>
      <c r="BRD3" s="599" t="s">
        <v>505</v>
      </c>
      <c r="BRE3" s="600"/>
      <c r="BRF3" s="600"/>
      <c r="BRG3" s="600"/>
      <c r="BRH3" s="600"/>
      <c r="BRI3" s="600"/>
      <c r="BRJ3" s="601"/>
      <c r="BRK3" s="599" t="s">
        <v>506</v>
      </c>
      <c r="BRL3" s="600"/>
      <c r="BRM3" s="600"/>
      <c r="BRN3" s="600"/>
      <c r="BRO3" s="600"/>
      <c r="BRP3" s="600"/>
      <c r="BRQ3" s="601"/>
      <c r="BRR3" s="599" t="s">
        <v>507</v>
      </c>
      <c r="BRS3" s="600"/>
      <c r="BRT3" s="600"/>
      <c r="BRU3" s="600"/>
      <c r="BRV3" s="600"/>
      <c r="BRW3" s="600"/>
      <c r="BRX3" s="601"/>
      <c r="BRY3" s="599" t="s">
        <v>508</v>
      </c>
      <c r="BRZ3" s="600"/>
      <c r="BSA3" s="600"/>
      <c r="BSB3" s="600"/>
      <c r="BSC3" s="600"/>
      <c r="BSD3" s="600"/>
      <c r="BSE3" s="601"/>
      <c r="BSF3" s="599" t="s">
        <v>509</v>
      </c>
      <c r="BSG3" s="600"/>
      <c r="BSH3" s="600"/>
      <c r="BSI3" s="600"/>
      <c r="BSJ3" s="600"/>
      <c r="BSK3" s="600"/>
      <c r="BSL3" s="601"/>
      <c r="BSM3" s="599" t="s">
        <v>520</v>
      </c>
      <c r="BSN3" s="600"/>
      <c r="BSO3" s="600"/>
      <c r="BSP3" s="600"/>
      <c r="BSQ3" s="600"/>
      <c r="BSR3" s="600"/>
      <c r="BSS3" s="601"/>
      <c r="BST3" s="599" t="s">
        <v>521</v>
      </c>
      <c r="BSU3" s="600"/>
      <c r="BSV3" s="600"/>
      <c r="BSW3" s="600"/>
      <c r="BSX3" s="600"/>
      <c r="BSY3" s="600"/>
      <c r="BSZ3" s="601"/>
      <c r="BTA3" s="599" t="s">
        <v>522</v>
      </c>
      <c r="BTB3" s="600"/>
      <c r="BTC3" s="600"/>
      <c r="BTD3" s="600"/>
      <c r="BTE3" s="600"/>
      <c r="BTF3" s="600"/>
      <c r="BTG3" s="601"/>
      <c r="BTH3" s="599" t="s">
        <v>523</v>
      </c>
      <c r="BTI3" s="600"/>
      <c r="BTJ3" s="600"/>
      <c r="BTK3" s="600"/>
      <c r="BTL3" s="600"/>
      <c r="BTM3" s="600"/>
      <c r="BTN3" s="601"/>
      <c r="BTO3" s="599" t="s">
        <v>538</v>
      </c>
      <c r="BTP3" s="600"/>
      <c r="BTQ3" s="600"/>
      <c r="BTR3" s="600"/>
      <c r="BTS3" s="600"/>
      <c r="BTT3" s="600"/>
      <c r="BTU3" s="601"/>
      <c r="BTV3" s="599" t="s">
        <v>501</v>
      </c>
      <c r="BTW3" s="600"/>
      <c r="BTX3" s="600"/>
      <c r="BTY3" s="600"/>
      <c r="BTZ3" s="600"/>
      <c r="BUA3" s="600"/>
      <c r="BUB3" s="601"/>
      <c r="BUC3" s="599" t="s">
        <v>502</v>
      </c>
      <c r="BUD3" s="600"/>
      <c r="BUE3" s="600"/>
      <c r="BUF3" s="600"/>
      <c r="BUG3" s="600"/>
      <c r="BUH3" s="600"/>
      <c r="BUI3" s="601"/>
      <c r="BUJ3" s="599" t="s">
        <v>503</v>
      </c>
      <c r="BUK3" s="600"/>
      <c r="BUL3" s="600"/>
      <c r="BUM3" s="600"/>
      <c r="BUN3" s="600"/>
      <c r="BUO3" s="600"/>
      <c r="BUP3" s="601"/>
      <c r="BUQ3" s="599" t="s">
        <v>505</v>
      </c>
      <c r="BUR3" s="600"/>
      <c r="BUS3" s="600"/>
      <c r="BUT3" s="600"/>
      <c r="BUU3" s="600"/>
      <c r="BUV3" s="600"/>
      <c r="BUW3" s="601"/>
      <c r="BUX3" s="599" t="s">
        <v>506</v>
      </c>
      <c r="BUY3" s="600"/>
      <c r="BUZ3" s="600"/>
      <c r="BVA3" s="600"/>
      <c r="BVB3" s="600"/>
      <c r="BVC3" s="600"/>
      <c r="BVD3" s="601"/>
      <c r="BVE3" s="599" t="s">
        <v>507</v>
      </c>
      <c r="BVF3" s="600"/>
      <c r="BVG3" s="600"/>
      <c r="BVH3" s="600"/>
      <c r="BVI3" s="600"/>
      <c r="BVJ3" s="600"/>
      <c r="BVK3" s="601"/>
      <c r="BVL3" s="599" t="s">
        <v>508</v>
      </c>
      <c r="BVM3" s="600"/>
      <c r="BVN3" s="600"/>
      <c r="BVO3" s="600"/>
      <c r="BVP3" s="600"/>
      <c r="BVQ3" s="600"/>
      <c r="BVR3" s="601"/>
      <c r="BVS3" s="599" t="s">
        <v>509</v>
      </c>
      <c r="BVT3" s="600"/>
      <c r="BVU3" s="600"/>
      <c r="BVV3" s="600"/>
      <c r="BVW3" s="600"/>
      <c r="BVX3" s="600"/>
      <c r="BVY3" s="601"/>
      <c r="BVZ3" s="599" t="s">
        <v>510</v>
      </c>
      <c r="BWA3" s="600"/>
      <c r="BWB3" s="600"/>
      <c r="BWC3" s="600"/>
      <c r="BWD3" s="600"/>
      <c r="BWE3" s="600"/>
      <c r="BWF3" s="601"/>
      <c r="BWG3" s="599" t="s">
        <v>511</v>
      </c>
      <c r="BWH3" s="600"/>
      <c r="BWI3" s="600"/>
      <c r="BWJ3" s="600"/>
      <c r="BWK3" s="600"/>
      <c r="BWL3" s="600"/>
      <c r="BWM3" s="601"/>
      <c r="BWN3" s="599" t="s">
        <v>512</v>
      </c>
      <c r="BWO3" s="600"/>
      <c r="BWP3" s="600"/>
      <c r="BWQ3" s="600"/>
      <c r="BWR3" s="600"/>
      <c r="BWS3" s="600"/>
      <c r="BWT3" s="601"/>
      <c r="BWU3" s="599" t="s">
        <v>513</v>
      </c>
      <c r="BWV3" s="600"/>
      <c r="BWW3" s="600"/>
      <c r="BWX3" s="600"/>
      <c r="BWY3" s="600"/>
      <c r="BWZ3" s="600"/>
      <c r="BXA3" s="601"/>
      <c r="BXB3" s="599" t="s">
        <v>514</v>
      </c>
      <c r="BXC3" s="600"/>
      <c r="BXD3" s="600"/>
      <c r="BXE3" s="600"/>
      <c r="BXF3" s="600"/>
      <c r="BXG3" s="600"/>
      <c r="BXH3" s="601"/>
      <c r="BXI3" s="599" t="s">
        <v>515</v>
      </c>
      <c r="BXJ3" s="600"/>
      <c r="BXK3" s="600"/>
      <c r="BXL3" s="600"/>
      <c r="BXM3" s="600"/>
      <c r="BXN3" s="600"/>
      <c r="BXO3" s="601"/>
      <c r="BXP3" s="599" t="s">
        <v>516</v>
      </c>
      <c r="BXQ3" s="600"/>
      <c r="BXR3" s="600"/>
      <c r="BXS3" s="600"/>
      <c r="BXT3" s="600"/>
      <c r="BXU3" s="600"/>
      <c r="BXV3" s="601"/>
      <c r="BXW3" s="599" t="s">
        <v>517</v>
      </c>
      <c r="BXX3" s="600"/>
      <c r="BXY3" s="600"/>
      <c r="BXZ3" s="600"/>
      <c r="BYA3" s="600"/>
      <c r="BYB3" s="600"/>
      <c r="BYC3" s="601"/>
      <c r="BYD3" s="599" t="s">
        <v>518</v>
      </c>
      <c r="BYE3" s="600"/>
      <c r="BYF3" s="600"/>
      <c r="BYG3" s="600"/>
      <c r="BYH3" s="600"/>
      <c r="BYI3" s="600"/>
      <c r="BYJ3" s="601"/>
      <c r="BYK3" s="599" t="s">
        <v>519</v>
      </c>
      <c r="BYL3" s="600"/>
      <c r="BYM3" s="600"/>
      <c r="BYN3" s="600"/>
      <c r="BYO3" s="600"/>
      <c r="BYP3" s="600"/>
      <c r="BYQ3" s="601"/>
      <c r="BYR3" s="599" t="s">
        <v>507</v>
      </c>
      <c r="BYS3" s="600"/>
      <c r="BYT3" s="600"/>
      <c r="BYU3" s="600"/>
      <c r="BYV3" s="600"/>
      <c r="BYW3" s="600"/>
      <c r="BYX3" s="601"/>
      <c r="BYY3" s="599" t="s">
        <v>508</v>
      </c>
      <c r="BYZ3" s="600"/>
      <c r="BZA3" s="600"/>
      <c r="BZB3" s="600"/>
      <c r="BZC3" s="600"/>
      <c r="BZD3" s="600"/>
      <c r="BZE3" s="601"/>
      <c r="BZF3" s="599" t="s">
        <v>509</v>
      </c>
      <c r="BZG3" s="600"/>
      <c r="BZH3" s="600"/>
      <c r="BZI3" s="600"/>
      <c r="BZJ3" s="600"/>
      <c r="BZK3" s="600"/>
      <c r="BZL3" s="601"/>
      <c r="BZM3" s="599" t="s">
        <v>520</v>
      </c>
      <c r="BZN3" s="600"/>
      <c r="BZO3" s="600"/>
      <c r="BZP3" s="600"/>
      <c r="BZQ3" s="600"/>
      <c r="BZR3" s="600"/>
      <c r="BZS3" s="601"/>
      <c r="BZT3" s="599" t="s">
        <v>521</v>
      </c>
      <c r="BZU3" s="600"/>
      <c r="BZV3" s="600"/>
      <c r="BZW3" s="600"/>
      <c r="BZX3" s="600"/>
      <c r="BZY3" s="600"/>
      <c r="BZZ3" s="601"/>
      <c r="CAA3" s="599" t="s">
        <v>522</v>
      </c>
      <c r="CAB3" s="600"/>
      <c r="CAC3" s="600"/>
      <c r="CAD3" s="600"/>
      <c r="CAE3" s="600"/>
      <c r="CAF3" s="600"/>
      <c r="CAG3" s="601"/>
      <c r="CAH3" s="599" t="s">
        <v>523</v>
      </c>
      <c r="CAI3" s="600"/>
      <c r="CAJ3" s="600"/>
      <c r="CAK3" s="600"/>
      <c r="CAL3" s="600"/>
      <c r="CAM3" s="600"/>
      <c r="CAN3" s="601"/>
      <c r="CAO3" s="599" t="s">
        <v>524</v>
      </c>
      <c r="CAP3" s="600"/>
      <c r="CAQ3" s="600"/>
      <c r="CAR3" s="600"/>
      <c r="CAS3" s="600"/>
      <c r="CAT3" s="600"/>
      <c r="CAU3" s="601"/>
      <c r="CAV3" s="599" t="s">
        <v>525</v>
      </c>
      <c r="CAW3" s="600"/>
      <c r="CAX3" s="600"/>
      <c r="CAY3" s="600"/>
      <c r="CAZ3" s="600"/>
      <c r="CBA3" s="600"/>
      <c r="CBB3" s="601"/>
      <c r="CBC3" s="599" t="s">
        <v>526</v>
      </c>
      <c r="CBD3" s="600"/>
      <c r="CBE3" s="600"/>
      <c r="CBF3" s="600"/>
      <c r="CBG3" s="600"/>
      <c r="CBH3" s="600"/>
      <c r="CBI3" s="601"/>
      <c r="CBJ3" s="599" t="s">
        <v>527</v>
      </c>
      <c r="CBK3" s="600"/>
      <c r="CBL3" s="600"/>
      <c r="CBM3" s="600"/>
      <c r="CBN3" s="600"/>
      <c r="CBO3" s="600"/>
      <c r="CBP3" s="601"/>
      <c r="CBQ3" s="599" t="s">
        <v>528</v>
      </c>
      <c r="CBR3" s="600"/>
      <c r="CBS3" s="600"/>
      <c r="CBT3" s="600"/>
      <c r="CBU3" s="600"/>
      <c r="CBV3" s="600"/>
      <c r="CBW3" s="601"/>
      <c r="CBX3" s="599" t="s">
        <v>529</v>
      </c>
      <c r="CBY3" s="600"/>
      <c r="CBZ3" s="600"/>
      <c r="CCA3" s="600"/>
      <c r="CCB3" s="600"/>
      <c r="CCC3" s="600"/>
      <c r="CCD3" s="601"/>
      <c r="CCE3" s="599" t="s">
        <v>497</v>
      </c>
      <c r="CCF3" s="600"/>
      <c r="CCG3" s="600"/>
      <c r="CCH3" s="600"/>
      <c r="CCI3" s="600"/>
      <c r="CCJ3" s="600"/>
      <c r="CCK3" s="601"/>
      <c r="CCL3" s="599" t="s">
        <v>498</v>
      </c>
      <c r="CCM3" s="600"/>
      <c r="CCN3" s="600"/>
      <c r="CCO3" s="600"/>
      <c r="CCP3" s="600"/>
      <c r="CCQ3" s="600"/>
      <c r="CCR3" s="601"/>
      <c r="CCS3" s="599" t="s">
        <v>499</v>
      </c>
      <c r="CCT3" s="600"/>
      <c r="CCU3" s="600"/>
      <c r="CCV3" s="600"/>
      <c r="CCW3" s="600"/>
      <c r="CCX3" s="600"/>
      <c r="CCY3" s="601"/>
      <c r="CCZ3" s="599" t="s">
        <v>500</v>
      </c>
      <c r="CDA3" s="600"/>
      <c r="CDB3" s="600"/>
      <c r="CDC3" s="600"/>
      <c r="CDD3" s="600"/>
      <c r="CDE3" s="600"/>
      <c r="CDF3" s="601"/>
      <c r="CDG3" s="599" t="s">
        <v>501</v>
      </c>
      <c r="CDH3" s="600"/>
      <c r="CDI3" s="600"/>
      <c r="CDJ3" s="600"/>
      <c r="CDK3" s="600"/>
      <c r="CDL3" s="600"/>
      <c r="CDM3" s="601"/>
      <c r="CDN3" s="599" t="s">
        <v>502</v>
      </c>
      <c r="CDO3" s="600"/>
      <c r="CDP3" s="600"/>
      <c r="CDQ3" s="600"/>
      <c r="CDR3" s="600"/>
      <c r="CDS3" s="600"/>
      <c r="CDT3" s="601"/>
      <c r="CDU3" s="599" t="s">
        <v>503</v>
      </c>
      <c r="CDV3" s="600"/>
      <c r="CDW3" s="600"/>
      <c r="CDX3" s="600"/>
      <c r="CDY3" s="600"/>
      <c r="CDZ3" s="600"/>
      <c r="CEA3" s="601"/>
      <c r="CEB3" s="599" t="s">
        <v>505</v>
      </c>
      <c r="CEC3" s="600"/>
      <c r="CED3" s="600"/>
      <c r="CEE3" s="600"/>
      <c r="CEF3" s="600"/>
      <c r="CEG3" s="600"/>
      <c r="CEH3" s="601"/>
      <c r="CEI3" s="599" t="s">
        <v>525</v>
      </c>
      <c r="CEJ3" s="600"/>
      <c r="CEK3" s="600"/>
      <c r="CEL3" s="600"/>
      <c r="CEM3" s="600"/>
      <c r="CEN3" s="600"/>
      <c r="CEO3" s="601"/>
      <c r="CEP3" s="599" t="s">
        <v>526</v>
      </c>
      <c r="CEQ3" s="600"/>
      <c r="CER3" s="600"/>
      <c r="CES3" s="600"/>
      <c r="CET3" s="600"/>
      <c r="CEU3" s="600"/>
      <c r="CEV3" s="601"/>
      <c r="CEW3" s="599" t="s">
        <v>527</v>
      </c>
      <c r="CEX3" s="600"/>
      <c r="CEY3" s="600"/>
      <c r="CEZ3" s="600"/>
      <c r="CFA3" s="600"/>
      <c r="CFB3" s="600"/>
      <c r="CFC3" s="601"/>
      <c r="CFD3" s="599" t="s">
        <v>528</v>
      </c>
      <c r="CFE3" s="600"/>
      <c r="CFF3" s="600"/>
      <c r="CFG3" s="600"/>
      <c r="CFH3" s="600"/>
      <c r="CFI3" s="600"/>
      <c r="CFJ3" s="601"/>
      <c r="CFK3" s="599" t="s">
        <v>539</v>
      </c>
      <c r="CFL3" s="600"/>
      <c r="CFM3" s="600"/>
      <c r="CFN3" s="600"/>
      <c r="CFO3" s="600"/>
      <c r="CFP3" s="600"/>
      <c r="CFQ3" s="600"/>
    </row>
    <row r="4" spans="1:2201">
      <c r="C4" s="166"/>
      <c r="E4" s="170"/>
      <c r="F4" s="171">
        <f>IF(WEEKDAY(F6,12)&gt;=6,0,SUMIFS(tblProjectSchedule[[Skilled]:[Skilled]],tblProjectSchedule[[Start]:[Start]],"&lt;="&amp;F6,tblProjectSchedule[[Finish]:[Finish]],"&gt;="&amp;F6)+SUMIFS(tblProjectSchedule[[Helpers]:[Helpers]],tblProjectSchedule[[Start]:[Start]],"&lt;="&amp;F6,tblProjectSchedule[[Finish]:[Finish]],"&gt;="&amp;F6))</f>
        <v>0</v>
      </c>
      <c r="G4" s="171">
        <f>IF(WEEKDAY(G6,12)&gt;=6,0,SUMIFS(tblProjectSchedule[[Skilled]:[Skilled]],tblProjectSchedule[[Start]:[Start]],"&lt;="&amp;G6,tblProjectSchedule[[Finish]:[Finish]],"&gt;="&amp;G6)+SUMIFS(tblProjectSchedule[[Helpers]:[Helpers]],tblProjectSchedule[[Start]:[Start]],"&lt;="&amp;G6,tblProjectSchedule[[Finish]:[Finish]],"&gt;="&amp;G6))</f>
        <v>0</v>
      </c>
      <c r="H4" s="171">
        <f>IF(WEEKDAY(H6,12)&gt;=6,0,SUMIFS(tblProjectSchedule[[Skilled]:[Skilled]],tblProjectSchedule[[Start]:[Start]],"&lt;="&amp;H6,tblProjectSchedule[[Finish]:[Finish]],"&gt;="&amp;H6)+SUMIFS(tblProjectSchedule[[Helpers]:[Helpers]],tblProjectSchedule[[Start]:[Start]],"&lt;="&amp;H6,tblProjectSchedule[[Finish]:[Finish]],"&gt;="&amp;H6))</f>
        <v>0</v>
      </c>
      <c r="I4" s="171">
        <f>IF(WEEKDAY(I6,12)&gt;=6,0,SUMIFS(tblProjectSchedule[[Skilled]:[Skilled]],tblProjectSchedule[[Start]:[Start]],"&lt;="&amp;I6,tblProjectSchedule[[Finish]:[Finish]],"&gt;="&amp;I6)+SUMIFS(tblProjectSchedule[[Helpers]:[Helpers]],tblProjectSchedule[[Start]:[Start]],"&lt;="&amp;I6,tblProjectSchedule[[Finish]:[Finish]],"&gt;="&amp;I6))</f>
        <v>0</v>
      </c>
      <c r="J4" s="172">
        <f>IF(WEEKDAY(J6,12)&gt;=6,0,SUMIFS(tblProjectSchedule[[Skilled]:[Skilled]],tblProjectSchedule[[Start]:[Start]],"&lt;="&amp;J6,tblProjectSchedule[[Finish]:[Finish]],"&gt;="&amp;J6)+SUMIFS(tblProjectSchedule[[Helpers]:[Helpers]],tblProjectSchedule[[Start]:[Start]],"&lt;="&amp;J6,tblProjectSchedule[[Finish]:[Finish]],"&gt;="&amp;J6))</f>
        <v>0</v>
      </c>
      <c r="K4" s="173">
        <f>IF(WEEKDAY(K6,12)&gt;=6,0,SUMIFS(tblProjectSchedule[[Skilled]:[Skilled]],tblProjectSchedule[[Start]:[Start]],"&lt;="&amp;K6,tblProjectSchedule[[Finish]:[Finish]],"&gt;="&amp;K6)+SUMIFS(tblProjectSchedule[[Helpers]:[Helpers]],tblProjectSchedule[[Start]:[Start]],"&lt;="&amp;K6,tblProjectSchedule[[Finish]:[Finish]],"&gt;="&amp;K6))</f>
        <v>0</v>
      </c>
      <c r="L4" s="172">
        <f>IF(WEEKDAY(L6,12)&gt;=6,0,SUMIFS(tblProjectSchedule[[Skilled]:[Skilled]],tblProjectSchedule[[Start]:[Start]],"&lt;="&amp;L6,tblProjectSchedule[[Finish]:[Finish]],"&gt;="&amp;L6)+SUMIFS(tblProjectSchedule[[Helpers]:[Helpers]],tblProjectSchedule[[Start]:[Start]],"&lt;="&amp;L6,tblProjectSchedule[[Finish]:[Finish]],"&gt;="&amp;L6))</f>
        <v>0</v>
      </c>
      <c r="M4" s="172">
        <f>IF(WEEKDAY(M6,12)&gt;=6,0,SUMIFS(tblProjectSchedule[[Skilled]:[Skilled]],tblProjectSchedule[[Start]:[Start]],"&lt;="&amp;M6,tblProjectSchedule[[Finish]:[Finish]],"&gt;="&amp;M6)+SUMIFS(tblProjectSchedule[[Helpers]:[Helpers]],tblProjectSchedule[[Start]:[Start]],"&lt;="&amp;M6,tblProjectSchedule[[Finish]:[Finish]],"&gt;="&amp;M6))</f>
        <v>0</v>
      </c>
      <c r="N4" s="172">
        <f>IF(WEEKDAY(N6,12)&gt;=6,0,SUMIFS(tblProjectSchedule[[Skilled]:[Skilled]],tblProjectSchedule[[Start]:[Start]],"&lt;="&amp;N6,tblProjectSchedule[[Finish]:[Finish]],"&gt;="&amp;N6)+SUMIFS(tblProjectSchedule[[Helpers]:[Helpers]],tblProjectSchedule[[Start]:[Start]],"&lt;="&amp;N6,tblProjectSchedule[[Finish]:[Finish]],"&gt;="&amp;N6))</f>
        <v>0</v>
      </c>
      <c r="O4" s="172">
        <f>IF(WEEKDAY(O6,12)&gt;=6,0,SUMIFS(tblProjectSchedule[[Skilled]:[Skilled]],tblProjectSchedule[[Start]:[Start]],"&lt;="&amp;O6,tblProjectSchedule[[Finish]:[Finish]],"&gt;="&amp;O6)+SUMIFS(tblProjectSchedule[[Helpers]:[Helpers]],tblProjectSchedule[[Start]:[Start]],"&lt;="&amp;O6,tblProjectSchedule[[Finish]:[Finish]],"&gt;="&amp;O6))</f>
        <v>0</v>
      </c>
      <c r="P4" s="172">
        <f>IF(WEEKDAY(P6,12)&gt;=6,0,SUMIFS(tblProjectSchedule[[Skilled]:[Skilled]],tblProjectSchedule[[Start]:[Start]],"&lt;="&amp;P6,tblProjectSchedule[[Finish]:[Finish]],"&gt;="&amp;P6)+SUMIFS(tblProjectSchedule[[Helpers]:[Helpers]],tblProjectSchedule[[Start]:[Start]],"&lt;="&amp;P6,tblProjectSchedule[[Finish]:[Finish]],"&gt;="&amp;P6))</f>
        <v>0</v>
      </c>
      <c r="Q4" s="174">
        <f>IF(WEEKDAY(Q6,12)&gt;=6,0,SUMIFS(tblProjectSchedule[[Skilled]:[Skilled]],tblProjectSchedule[[Start]:[Start]],"&lt;="&amp;Q6,tblProjectSchedule[[Finish]:[Finish]],"&gt;="&amp;Q6)+SUMIFS(tblProjectSchedule[[Helpers]:[Helpers]],tblProjectSchedule[[Start]:[Start]],"&lt;="&amp;Q6,tblProjectSchedule[[Finish]:[Finish]],"&gt;="&amp;Q6))</f>
        <v>0</v>
      </c>
      <c r="R4" s="173">
        <f>IF(WEEKDAY(R6,12)&gt;=6,0,SUMIFS(tblProjectSchedule[[Skilled]:[Skilled]],tblProjectSchedule[[Start]:[Start]],"&lt;="&amp;R6,tblProjectSchedule[[Finish]:[Finish]],"&gt;="&amp;R6)+SUMIFS(tblProjectSchedule[[Helpers]:[Helpers]],tblProjectSchedule[[Start]:[Start]],"&lt;="&amp;R6,tblProjectSchedule[[Finish]:[Finish]],"&gt;="&amp;R6))</f>
        <v>0</v>
      </c>
      <c r="S4" s="172">
        <f>IF(WEEKDAY(S6,12)&gt;=6,0,SUMIFS(tblProjectSchedule[[Skilled]:[Skilled]],tblProjectSchedule[[Start]:[Start]],"&lt;="&amp;S6,tblProjectSchedule[[Finish]:[Finish]],"&gt;="&amp;S6)+SUMIFS(tblProjectSchedule[[Helpers]:[Helpers]],tblProjectSchedule[[Start]:[Start]],"&lt;="&amp;S6,tblProjectSchedule[[Finish]:[Finish]],"&gt;="&amp;S6))</f>
        <v>0</v>
      </c>
      <c r="T4" s="172">
        <f>IF(WEEKDAY(T6,12)&gt;=6,0,SUMIFS(tblProjectSchedule[[Skilled]:[Skilled]],tblProjectSchedule[[Start]:[Start]],"&lt;="&amp;T6,tblProjectSchedule[[Finish]:[Finish]],"&gt;="&amp;T6)+SUMIFS(tblProjectSchedule[[Helpers]:[Helpers]],tblProjectSchedule[[Start]:[Start]],"&lt;="&amp;T6,tblProjectSchedule[[Finish]:[Finish]],"&gt;="&amp;T6))</f>
        <v>0</v>
      </c>
      <c r="U4" s="172">
        <f>IF(WEEKDAY(U6,12)&gt;=6,0,SUMIFS(tblProjectSchedule[[Skilled]:[Skilled]],tblProjectSchedule[[Start]:[Start]],"&lt;="&amp;U6,tblProjectSchedule[[Finish]:[Finish]],"&gt;="&amp;U6)+SUMIFS(tblProjectSchedule[[Helpers]:[Helpers]],tblProjectSchedule[[Start]:[Start]],"&lt;="&amp;U6,tblProjectSchedule[[Finish]:[Finish]],"&gt;="&amp;U6))</f>
        <v>0</v>
      </c>
      <c r="V4" s="172">
        <f>IF(WEEKDAY(V6,12)&gt;=6,0,SUMIFS(tblProjectSchedule[[Skilled]:[Skilled]],tblProjectSchedule[[Start]:[Start]],"&lt;="&amp;V6,tblProjectSchedule[[Finish]:[Finish]],"&gt;="&amp;V6)+SUMIFS(tblProjectSchedule[[Helpers]:[Helpers]],tblProjectSchedule[[Start]:[Start]],"&lt;="&amp;V6,tblProjectSchedule[[Finish]:[Finish]],"&gt;="&amp;V6))</f>
        <v>0</v>
      </c>
      <c r="W4" s="172">
        <f>IF(WEEKDAY(W6,12)&gt;=6,0,SUMIFS(tblProjectSchedule[[Skilled]:[Skilled]],tblProjectSchedule[[Start]:[Start]],"&lt;="&amp;W6,tblProjectSchedule[[Finish]:[Finish]],"&gt;="&amp;W6)+SUMIFS(tblProjectSchedule[[Helpers]:[Helpers]],tblProjectSchedule[[Start]:[Start]],"&lt;="&amp;W6,tblProjectSchedule[[Finish]:[Finish]],"&gt;="&amp;W6))</f>
        <v>0</v>
      </c>
      <c r="X4" s="174">
        <f>IF(WEEKDAY(X6,12)&gt;=6,0,SUMIFS(tblProjectSchedule[[Skilled]:[Skilled]],tblProjectSchedule[[Start]:[Start]],"&lt;="&amp;X6,tblProjectSchedule[[Finish]:[Finish]],"&gt;="&amp;X6)+SUMIFS(tblProjectSchedule[[Helpers]:[Helpers]],tblProjectSchedule[[Start]:[Start]],"&lt;="&amp;X6,tblProjectSchedule[[Finish]:[Finish]],"&gt;="&amp;X6))</f>
        <v>0</v>
      </c>
      <c r="Y4" s="173">
        <f>IF(WEEKDAY(Y6,12)&gt;=6,0,SUMIFS(tblProjectSchedule[[Skilled]:[Skilled]],tblProjectSchedule[[Start]:[Start]],"&lt;="&amp;Y6,tblProjectSchedule[[Finish]:[Finish]],"&gt;="&amp;Y6)+SUMIFS(tblProjectSchedule[[Helpers]:[Helpers]],tblProjectSchedule[[Start]:[Start]],"&lt;="&amp;Y6,tblProjectSchedule[[Finish]:[Finish]],"&gt;="&amp;Y6))</f>
        <v>0</v>
      </c>
      <c r="Z4" s="172">
        <f>IF(WEEKDAY(Z6,12)&gt;=6,0,SUMIFS(tblProjectSchedule[[Skilled]:[Skilled]],tblProjectSchedule[[Start]:[Start]],"&lt;="&amp;Z6,tblProjectSchedule[[Finish]:[Finish]],"&gt;="&amp;Z6)+SUMIFS(tblProjectSchedule[[Helpers]:[Helpers]],tblProjectSchedule[[Start]:[Start]],"&lt;="&amp;Z6,tblProjectSchedule[[Finish]:[Finish]],"&gt;="&amp;Z6))</f>
        <v>0</v>
      </c>
      <c r="AA4" s="172">
        <f>IF(WEEKDAY(AA6,12)&gt;=6,0,SUMIFS(tblProjectSchedule[[Skilled]:[Skilled]],tblProjectSchedule[[Start]:[Start]],"&lt;="&amp;AA6,tblProjectSchedule[[Finish]:[Finish]],"&gt;="&amp;AA6)+SUMIFS(tblProjectSchedule[[Helpers]:[Helpers]],tblProjectSchedule[[Start]:[Start]],"&lt;="&amp;AA6,tblProjectSchedule[[Finish]:[Finish]],"&gt;="&amp;AA6))</f>
        <v>0</v>
      </c>
      <c r="AB4" s="172">
        <f>IF(WEEKDAY(AB6,12)&gt;=6,0,SUMIFS(tblProjectSchedule[[Skilled]:[Skilled]],tblProjectSchedule[[Start]:[Start]],"&lt;="&amp;AB6,tblProjectSchedule[[Finish]:[Finish]],"&gt;="&amp;AB6)+SUMIFS(tblProjectSchedule[[Helpers]:[Helpers]],tblProjectSchedule[[Start]:[Start]],"&lt;="&amp;AB6,tblProjectSchedule[[Finish]:[Finish]],"&gt;="&amp;AB6))</f>
        <v>0</v>
      </c>
      <c r="AC4" s="172">
        <f>IF(WEEKDAY(AC6,12)&gt;=6,0,SUMIFS(tblProjectSchedule[[Skilled]:[Skilled]],tblProjectSchedule[[Start]:[Start]],"&lt;="&amp;AC6,tblProjectSchedule[[Finish]:[Finish]],"&gt;="&amp;AC6)+SUMIFS(tblProjectSchedule[[Helpers]:[Helpers]],tblProjectSchedule[[Start]:[Start]],"&lt;="&amp;AC6,tblProjectSchedule[[Finish]:[Finish]],"&gt;="&amp;AC6))</f>
        <v>0</v>
      </c>
      <c r="AD4" s="172">
        <f>IF(WEEKDAY(AD6,12)&gt;=6,0,SUMIFS(tblProjectSchedule[[Skilled]:[Skilled]],tblProjectSchedule[[Start]:[Start]],"&lt;="&amp;AD6,tblProjectSchedule[[Finish]:[Finish]],"&gt;="&amp;AD6)+SUMIFS(tblProjectSchedule[[Helpers]:[Helpers]],tblProjectSchedule[[Start]:[Start]],"&lt;="&amp;AD6,tblProjectSchedule[[Finish]:[Finish]],"&gt;="&amp;AD6))</f>
        <v>0</v>
      </c>
      <c r="AE4" s="174">
        <f>IF(WEEKDAY(AE6,12)&gt;=6,0,SUMIFS(tblProjectSchedule[[Skilled]:[Skilled]],tblProjectSchedule[[Start]:[Start]],"&lt;="&amp;AE6,tblProjectSchedule[[Finish]:[Finish]],"&gt;="&amp;AE6)+SUMIFS(tblProjectSchedule[[Helpers]:[Helpers]],tblProjectSchedule[[Start]:[Start]],"&lt;="&amp;AE6,tblProjectSchedule[[Finish]:[Finish]],"&gt;="&amp;AE6))</f>
        <v>0</v>
      </c>
      <c r="AF4" s="173">
        <f>IF(WEEKDAY(AF6,12)&gt;=6,0,SUMIFS(tblProjectSchedule[[Skilled]:[Skilled]],tblProjectSchedule[[Start]:[Start]],"&lt;="&amp;AF6,tblProjectSchedule[[Finish]:[Finish]],"&gt;="&amp;AF6)+SUMIFS(tblProjectSchedule[[Helpers]:[Helpers]],tblProjectSchedule[[Start]:[Start]],"&lt;="&amp;AF6,tblProjectSchedule[[Finish]:[Finish]],"&gt;="&amp;AF6))</f>
        <v>0</v>
      </c>
      <c r="AG4" s="172">
        <f>IF(WEEKDAY(AG6,12)&gt;=6,0,SUMIFS(tblProjectSchedule[[Skilled]:[Skilled]],tblProjectSchedule[[Start]:[Start]],"&lt;="&amp;AG6,tblProjectSchedule[[Finish]:[Finish]],"&gt;="&amp;AG6)+SUMIFS(tblProjectSchedule[[Helpers]:[Helpers]],tblProjectSchedule[[Start]:[Start]],"&lt;="&amp;AG6,tblProjectSchedule[[Finish]:[Finish]],"&gt;="&amp;AG6))</f>
        <v>0</v>
      </c>
      <c r="AH4" s="172">
        <f>IF(WEEKDAY(AH6,12)&gt;=6,0,SUMIFS(tblProjectSchedule[[Skilled]:[Skilled]],tblProjectSchedule[[Start]:[Start]],"&lt;="&amp;AH6,tblProjectSchedule[[Finish]:[Finish]],"&gt;="&amp;AH6)+SUMIFS(tblProjectSchedule[[Helpers]:[Helpers]],tblProjectSchedule[[Start]:[Start]],"&lt;="&amp;AH6,tblProjectSchedule[[Finish]:[Finish]],"&gt;="&amp;AH6))</f>
        <v>0</v>
      </c>
      <c r="AI4" s="172">
        <f>IF(WEEKDAY(AI6,12)&gt;=6,0,SUMIFS(tblProjectSchedule[[Skilled]:[Skilled]],tblProjectSchedule[[Start]:[Start]],"&lt;="&amp;AI6,tblProjectSchedule[[Finish]:[Finish]],"&gt;="&amp;AI6)+SUMIFS(tblProjectSchedule[[Helpers]:[Helpers]],tblProjectSchedule[[Start]:[Start]],"&lt;="&amp;AI6,tblProjectSchedule[[Finish]:[Finish]],"&gt;="&amp;AI6))</f>
        <v>0</v>
      </c>
      <c r="AJ4" s="172">
        <f>IF(WEEKDAY(AJ6,12)&gt;=6,0,SUMIFS(tblProjectSchedule[[Skilled]:[Skilled]],tblProjectSchedule[[Start]:[Start]],"&lt;="&amp;AJ6,tblProjectSchedule[[Finish]:[Finish]],"&gt;="&amp;AJ6)+SUMIFS(tblProjectSchedule[[Helpers]:[Helpers]],tblProjectSchedule[[Start]:[Start]],"&lt;="&amp;AJ6,tblProjectSchedule[[Finish]:[Finish]],"&gt;="&amp;AJ6))</f>
        <v>0</v>
      </c>
      <c r="AK4" s="172">
        <f>IF(WEEKDAY(AK6,12)&gt;=6,0,SUMIFS(tblProjectSchedule[[Skilled]:[Skilled]],tblProjectSchedule[[Start]:[Start]],"&lt;="&amp;AK6,tblProjectSchedule[[Finish]:[Finish]],"&gt;="&amp;AK6)+SUMIFS(tblProjectSchedule[[Helpers]:[Helpers]],tblProjectSchedule[[Start]:[Start]],"&lt;="&amp;AK6,tblProjectSchedule[[Finish]:[Finish]],"&gt;="&amp;AK6))</f>
        <v>0</v>
      </c>
      <c r="AL4" s="174">
        <f>IF(WEEKDAY(AL6,12)&gt;=6,0,SUMIFS(tblProjectSchedule[[Skilled]:[Skilled]],tblProjectSchedule[[Start]:[Start]],"&lt;="&amp;AL6,tblProjectSchedule[[Finish]:[Finish]],"&gt;="&amp;AL6)+SUMIFS(tblProjectSchedule[[Helpers]:[Helpers]],tblProjectSchedule[[Start]:[Start]],"&lt;="&amp;AL6,tblProjectSchedule[[Finish]:[Finish]],"&gt;="&amp;AL6))</f>
        <v>0</v>
      </c>
      <c r="AM4" s="173">
        <f>IF(WEEKDAY(AM6,12)&gt;=6,0,SUMIFS(tblProjectSchedule[[Skilled]:[Skilled]],tblProjectSchedule[[Start]:[Start]],"&lt;="&amp;AM6,tblProjectSchedule[[Finish]:[Finish]],"&gt;="&amp;AM6)+SUMIFS(tblProjectSchedule[[Helpers]:[Helpers]],tblProjectSchedule[[Start]:[Start]],"&lt;="&amp;AM6,tblProjectSchedule[[Finish]:[Finish]],"&gt;="&amp;AM6))</f>
        <v>0</v>
      </c>
      <c r="AN4" s="172">
        <f>IF(WEEKDAY(AN6,12)&gt;=6,0,SUMIFS(tblProjectSchedule[[Skilled]:[Skilled]],tblProjectSchedule[[Start]:[Start]],"&lt;="&amp;AN6,tblProjectSchedule[[Finish]:[Finish]],"&gt;="&amp;AN6)+SUMIFS(tblProjectSchedule[[Helpers]:[Helpers]],tblProjectSchedule[[Start]:[Start]],"&lt;="&amp;AN6,tblProjectSchedule[[Finish]:[Finish]],"&gt;="&amp;AN6))</f>
        <v>0</v>
      </c>
      <c r="AO4" s="172">
        <f>IF(WEEKDAY(AO6,12)&gt;=6,0,SUMIFS(tblProjectSchedule[[Skilled]:[Skilled]],tblProjectSchedule[[Start]:[Start]],"&lt;="&amp;AO6,tblProjectSchedule[[Finish]:[Finish]],"&gt;="&amp;AO6)+SUMIFS(tblProjectSchedule[[Helpers]:[Helpers]],tblProjectSchedule[[Start]:[Start]],"&lt;="&amp;AO6,tblProjectSchedule[[Finish]:[Finish]],"&gt;="&amp;AO6))</f>
        <v>0</v>
      </c>
      <c r="AP4" s="172">
        <f>IF(WEEKDAY(AP6,12)&gt;=6,0,SUMIFS(tblProjectSchedule[[Skilled]:[Skilled]],tblProjectSchedule[[Start]:[Start]],"&lt;="&amp;AP6,tblProjectSchedule[[Finish]:[Finish]],"&gt;="&amp;AP6)+SUMIFS(tblProjectSchedule[[Helpers]:[Helpers]],tblProjectSchedule[[Start]:[Start]],"&lt;="&amp;AP6,tblProjectSchedule[[Finish]:[Finish]],"&gt;="&amp;AP6))</f>
        <v>0</v>
      </c>
      <c r="AQ4" s="172">
        <f>IF(WEEKDAY(AQ6,12)&gt;=6,0,SUMIFS(tblProjectSchedule[[Skilled]:[Skilled]],tblProjectSchedule[[Start]:[Start]],"&lt;="&amp;AQ6,tblProjectSchedule[[Finish]:[Finish]],"&gt;="&amp;AQ6)+SUMIFS(tblProjectSchedule[[Helpers]:[Helpers]],tblProjectSchedule[[Start]:[Start]],"&lt;="&amp;AQ6,tblProjectSchedule[[Finish]:[Finish]],"&gt;="&amp;AQ6))</f>
        <v>0</v>
      </c>
      <c r="AR4" s="172">
        <f>IF(WEEKDAY(AR6,12)&gt;=6,0,SUMIFS(tblProjectSchedule[[Skilled]:[Skilled]],tblProjectSchedule[[Start]:[Start]],"&lt;="&amp;AR6,tblProjectSchedule[[Finish]:[Finish]],"&gt;="&amp;AR6)+SUMIFS(tblProjectSchedule[[Helpers]:[Helpers]],tblProjectSchedule[[Start]:[Start]],"&lt;="&amp;AR6,tblProjectSchedule[[Finish]:[Finish]],"&gt;="&amp;AR6))</f>
        <v>0</v>
      </c>
      <c r="AS4" s="174">
        <f>IF(WEEKDAY(AS6,12)&gt;=6,0,SUMIFS(tblProjectSchedule[[Skilled]:[Skilled]],tblProjectSchedule[[Start]:[Start]],"&lt;="&amp;AS6,tblProjectSchedule[[Finish]:[Finish]],"&gt;="&amp;AS6)+SUMIFS(tblProjectSchedule[[Helpers]:[Helpers]],tblProjectSchedule[[Start]:[Start]],"&lt;="&amp;AS6,tblProjectSchedule[[Finish]:[Finish]],"&gt;="&amp;AS6))</f>
        <v>0</v>
      </c>
      <c r="AT4" s="173">
        <f>IF(WEEKDAY(AT6,12)&gt;=6,0,SUMIFS(tblProjectSchedule[[Skilled]:[Skilled]],tblProjectSchedule[[Start]:[Start]],"&lt;="&amp;AT6,tblProjectSchedule[[Finish]:[Finish]],"&gt;="&amp;AT6)+SUMIFS(tblProjectSchedule[[Helpers]:[Helpers]],tblProjectSchedule[[Start]:[Start]],"&lt;="&amp;AT6,tblProjectSchedule[[Finish]:[Finish]],"&gt;="&amp;AT6))</f>
        <v>0</v>
      </c>
      <c r="AU4" s="172">
        <f>IF(WEEKDAY(AU6,12)&gt;=6,0,SUMIFS(tblProjectSchedule[[Skilled]:[Skilled]],tblProjectSchedule[[Start]:[Start]],"&lt;="&amp;AU6,tblProjectSchedule[[Finish]:[Finish]],"&gt;="&amp;AU6)+SUMIFS(tblProjectSchedule[[Helpers]:[Helpers]],tblProjectSchedule[[Start]:[Start]],"&lt;="&amp;AU6,tblProjectSchedule[[Finish]:[Finish]],"&gt;="&amp;AU6))</f>
        <v>0</v>
      </c>
      <c r="AV4" s="172">
        <f>IF(WEEKDAY(AV6,12)&gt;=6,0,SUMIFS(tblProjectSchedule[[Skilled]:[Skilled]],tblProjectSchedule[[Start]:[Start]],"&lt;="&amp;AV6,tblProjectSchedule[[Finish]:[Finish]],"&gt;="&amp;AV6)+SUMIFS(tblProjectSchedule[[Helpers]:[Helpers]],tblProjectSchedule[[Start]:[Start]],"&lt;="&amp;AV6,tblProjectSchedule[[Finish]:[Finish]],"&gt;="&amp;AV6))</f>
        <v>0</v>
      </c>
      <c r="AW4" s="172">
        <f>IF(WEEKDAY(AW6,12)&gt;=6,0,SUMIFS(tblProjectSchedule[[Skilled]:[Skilled]],tblProjectSchedule[[Start]:[Start]],"&lt;="&amp;AW6,tblProjectSchedule[[Finish]:[Finish]],"&gt;="&amp;AW6)+SUMIFS(tblProjectSchedule[[Helpers]:[Helpers]],tblProjectSchedule[[Start]:[Start]],"&lt;="&amp;AW6,tblProjectSchedule[[Finish]:[Finish]],"&gt;="&amp;AW6))</f>
        <v>0</v>
      </c>
      <c r="AX4" s="172">
        <f>IF(WEEKDAY(AX6,12)&gt;=6,0,SUMIFS(tblProjectSchedule[[Skilled]:[Skilled]],tblProjectSchedule[[Start]:[Start]],"&lt;="&amp;AX6,tblProjectSchedule[[Finish]:[Finish]],"&gt;="&amp;AX6)+SUMIFS(tblProjectSchedule[[Helpers]:[Helpers]],tblProjectSchedule[[Start]:[Start]],"&lt;="&amp;AX6,tblProjectSchedule[[Finish]:[Finish]],"&gt;="&amp;AX6))</f>
        <v>0</v>
      </c>
      <c r="AY4" s="172">
        <f>IF(WEEKDAY(AY6,12)&gt;=6,0,SUMIFS(tblProjectSchedule[[Skilled]:[Skilled]],tblProjectSchedule[[Start]:[Start]],"&lt;="&amp;AY6,tblProjectSchedule[[Finish]:[Finish]],"&gt;="&amp;AY6)+SUMIFS(tblProjectSchedule[[Helpers]:[Helpers]],tblProjectSchedule[[Start]:[Start]],"&lt;="&amp;AY6,tblProjectSchedule[[Finish]:[Finish]],"&gt;="&amp;AY6))</f>
        <v>0</v>
      </c>
      <c r="AZ4" s="174">
        <f>IF(WEEKDAY(AZ6,12)&gt;=6,0,SUMIFS(tblProjectSchedule[[Skilled]:[Skilled]],tblProjectSchedule[[Start]:[Start]],"&lt;="&amp;AZ6,tblProjectSchedule[[Finish]:[Finish]],"&gt;="&amp;AZ6)+SUMIFS(tblProjectSchedule[[Helpers]:[Helpers]],tblProjectSchedule[[Start]:[Start]],"&lt;="&amp;AZ6,tblProjectSchedule[[Finish]:[Finish]],"&gt;="&amp;AZ6))</f>
        <v>0</v>
      </c>
      <c r="BA4" s="173">
        <f>IF(WEEKDAY(BA6,12)&gt;=6,0,SUMIFS(tblProjectSchedule[[Skilled]:[Skilled]],tblProjectSchedule[[Start]:[Start]],"&lt;="&amp;BA6,tblProjectSchedule[[Finish]:[Finish]],"&gt;="&amp;BA6)+SUMIFS(tblProjectSchedule[[Helpers]:[Helpers]],tblProjectSchedule[[Start]:[Start]],"&lt;="&amp;BA6,tblProjectSchedule[[Finish]:[Finish]],"&gt;="&amp;BA6))</f>
        <v>0</v>
      </c>
      <c r="BB4" s="172">
        <f>IF(WEEKDAY(BB6,12)&gt;=6,0,SUMIFS(tblProjectSchedule[[Skilled]:[Skilled]],tblProjectSchedule[[Start]:[Start]],"&lt;="&amp;BB6,tblProjectSchedule[[Finish]:[Finish]],"&gt;="&amp;BB6)+SUMIFS(tblProjectSchedule[[Helpers]:[Helpers]],tblProjectSchedule[[Start]:[Start]],"&lt;="&amp;BB6,tblProjectSchedule[[Finish]:[Finish]],"&gt;="&amp;BB6))</f>
        <v>0</v>
      </c>
      <c r="BC4" s="172">
        <f>IF(WEEKDAY(BC6,12)&gt;=6,0,SUMIFS(tblProjectSchedule[[Skilled]:[Skilled]],tblProjectSchedule[[Start]:[Start]],"&lt;="&amp;BC6,tblProjectSchedule[[Finish]:[Finish]],"&gt;="&amp;BC6)+SUMIFS(tblProjectSchedule[[Helpers]:[Helpers]],tblProjectSchedule[[Start]:[Start]],"&lt;="&amp;BC6,tblProjectSchedule[[Finish]:[Finish]],"&gt;="&amp;BC6))</f>
        <v>0</v>
      </c>
      <c r="BD4" s="172">
        <f>IF(WEEKDAY(BD6,12)&gt;=6,0,SUMIFS(tblProjectSchedule[[Skilled]:[Skilled]],tblProjectSchedule[[Start]:[Start]],"&lt;="&amp;BD6,tblProjectSchedule[[Finish]:[Finish]],"&gt;="&amp;BD6)+SUMIFS(tblProjectSchedule[[Helpers]:[Helpers]],tblProjectSchedule[[Start]:[Start]],"&lt;="&amp;BD6,tblProjectSchedule[[Finish]:[Finish]],"&gt;="&amp;BD6))</f>
        <v>0</v>
      </c>
      <c r="BE4" s="172">
        <f>IF(WEEKDAY(BE6,12)&gt;=6,0,SUMIFS(tblProjectSchedule[[Skilled]:[Skilled]],tblProjectSchedule[[Start]:[Start]],"&lt;="&amp;BE6,tblProjectSchedule[[Finish]:[Finish]],"&gt;="&amp;BE6)+SUMIFS(tblProjectSchedule[[Helpers]:[Helpers]],tblProjectSchedule[[Start]:[Start]],"&lt;="&amp;BE6,tblProjectSchedule[[Finish]:[Finish]],"&gt;="&amp;BE6))</f>
        <v>0</v>
      </c>
      <c r="BF4" s="172">
        <f>IF(WEEKDAY(BF6,12)&gt;=6,0,SUMIFS(tblProjectSchedule[[Skilled]:[Skilled]],tblProjectSchedule[[Start]:[Start]],"&lt;="&amp;BF6,tblProjectSchedule[[Finish]:[Finish]],"&gt;="&amp;BF6)+SUMIFS(tblProjectSchedule[[Helpers]:[Helpers]],tblProjectSchedule[[Start]:[Start]],"&lt;="&amp;BF6,tblProjectSchedule[[Finish]:[Finish]],"&gt;="&amp;BF6))</f>
        <v>0</v>
      </c>
      <c r="BG4" s="174">
        <f>IF(WEEKDAY(BG6,12)&gt;=6,0,SUMIFS(tblProjectSchedule[[Skilled]:[Skilled]],tblProjectSchedule[[Start]:[Start]],"&lt;="&amp;BG6,tblProjectSchedule[[Finish]:[Finish]],"&gt;="&amp;BG6)+SUMIFS(tblProjectSchedule[[Helpers]:[Helpers]],tblProjectSchedule[[Start]:[Start]],"&lt;="&amp;BG6,tblProjectSchedule[[Finish]:[Finish]],"&gt;="&amp;BG6))</f>
        <v>0</v>
      </c>
      <c r="BH4" s="173">
        <f>IF(WEEKDAY(BH6,12)&gt;=6,0,SUMIFS(tblProjectSchedule[[Skilled]:[Skilled]],tblProjectSchedule[[Start]:[Start]],"&lt;="&amp;BH6,tblProjectSchedule[[Finish]:[Finish]],"&gt;="&amp;BH6)+SUMIFS(tblProjectSchedule[[Helpers]:[Helpers]],tblProjectSchedule[[Start]:[Start]],"&lt;="&amp;BH6,tblProjectSchedule[[Finish]:[Finish]],"&gt;="&amp;BH6))</f>
        <v>0</v>
      </c>
      <c r="BI4" s="172">
        <f>IF(WEEKDAY(BI6,12)&gt;=6,0,SUMIFS(tblProjectSchedule[[Skilled]:[Skilled]],tblProjectSchedule[[Start]:[Start]],"&lt;="&amp;BI6,tblProjectSchedule[[Finish]:[Finish]],"&gt;="&amp;BI6)+SUMIFS(tblProjectSchedule[[Helpers]:[Helpers]],tblProjectSchedule[[Start]:[Start]],"&lt;="&amp;BI6,tblProjectSchedule[[Finish]:[Finish]],"&gt;="&amp;BI6))</f>
        <v>0</v>
      </c>
      <c r="BJ4" s="172">
        <f>IF(WEEKDAY(BJ6,12)&gt;=6,0,SUMIFS(tblProjectSchedule[[Skilled]:[Skilled]],tblProjectSchedule[[Start]:[Start]],"&lt;="&amp;BJ6,tblProjectSchedule[[Finish]:[Finish]],"&gt;="&amp;BJ6)+SUMIFS(tblProjectSchedule[[Helpers]:[Helpers]],tblProjectSchedule[[Start]:[Start]],"&lt;="&amp;BJ6,tblProjectSchedule[[Finish]:[Finish]],"&gt;="&amp;BJ6))</f>
        <v>0</v>
      </c>
      <c r="BK4" s="172">
        <f>IF(WEEKDAY(BK6,12)&gt;=6,0,SUMIFS(tblProjectSchedule[[Skilled]:[Skilled]],tblProjectSchedule[[Start]:[Start]],"&lt;="&amp;BK6,tblProjectSchedule[[Finish]:[Finish]],"&gt;="&amp;BK6)+SUMIFS(tblProjectSchedule[[Helpers]:[Helpers]],tblProjectSchedule[[Start]:[Start]],"&lt;="&amp;BK6,tblProjectSchedule[[Finish]:[Finish]],"&gt;="&amp;BK6))</f>
        <v>0</v>
      </c>
      <c r="BL4" s="172">
        <f>IF(WEEKDAY(BL6,12)&gt;=6,0,SUMIFS(tblProjectSchedule[[Skilled]:[Skilled]],tblProjectSchedule[[Start]:[Start]],"&lt;="&amp;BL6,tblProjectSchedule[[Finish]:[Finish]],"&gt;="&amp;BL6)+SUMIFS(tblProjectSchedule[[Helpers]:[Helpers]],tblProjectSchedule[[Start]:[Start]],"&lt;="&amp;BL6,tblProjectSchedule[[Finish]:[Finish]],"&gt;="&amp;BL6))</f>
        <v>0</v>
      </c>
      <c r="BM4" s="172">
        <f>IF(WEEKDAY(BM6,12)&gt;=6,0,SUMIFS(tblProjectSchedule[[Skilled]:[Skilled]],tblProjectSchedule[[Start]:[Start]],"&lt;="&amp;BM6,tblProjectSchedule[[Finish]:[Finish]],"&gt;="&amp;BM6)+SUMIFS(tblProjectSchedule[[Helpers]:[Helpers]],tblProjectSchedule[[Start]:[Start]],"&lt;="&amp;BM6,tblProjectSchedule[[Finish]:[Finish]],"&gt;="&amp;BM6))</f>
        <v>0</v>
      </c>
      <c r="BN4" s="174">
        <f>IF(WEEKDAY(BN6,12)&gt;=6,0,SUMIFS(tblProjectSchedule[[Skilled]:[Skilled]],tblProjectSchedule[[Start]:[Start]],"&lt;="&amp;BN6,tblProjectSchedule[[Finish]:[Finish]],"&gt;="&amp;BN6)+SUMIFS(tblProjectSchedule[[Helpers]:[Helpers]],tblProjectSchedule[[Start]:[Start]],"&lt;="&amp;BN6,tblProjectSchedule[[Finish]:[Finish]],"&gt;="&amp;BN6))</f>
        <v>0</v>
      </c>
      <c r="BO4" s="173">
        <f>IF(WEEKDAY(BO6,12)&gt;=6,0,SUMIFS(tblProjectSchedule[[Skilled]:[Skilled]],tblProjectSchedule[[Start]:[Start]],"&lt;="&amp;BO6,tblProjectSchedule[[Finish]:[Finish]],"&gt;="&amp;BO6)+SUMIFS(tblProjectSchedule[[Helpers]:[Helpers]],tblProjectSchedule[[Start]:[Start]],"&lt;="&amp;BO6,tblProjectSchedule[[Finish]:[Finish]],"&gt;="&amp;BO6))</f>
        <v>0</v>
      </c>
      <c r="BP4" s="172">
        <f>IF(WEEKDAY(BP6,12)&gt;=6,0,SUMIFS(tblProjectSchedule[[Skilled]:[Skilled]],tblProjectSchedule[[Start]:[Start]],"&lt;="&amp;BP6,tblProjectSchedule[[Finish]:[Finish]],"&gt;="&amp;BP6)+SUMIFS(tblProjectSchedule[[Helpers]:[Helpers]],tblProjectSchedule[[Start]:[Start]],"&lt;="&amp;BP6,tblProjectSchedule[[Finish]:[Finish]],"&gt;="&amp;BP6))</f>
        <v>0</v>
      </c>
      <c r="BQ4" s="172">
        <f>IF(WEEKDAY(BQ6,12)&gt;=6,0,SUMIFS(tblProjectSchedule[[Skilled]:[Skilled]],tblProjectSchedule[[Start]:[Start]],"&lt;="&amp;BQ6,tblProjectSchedule[[Finish]:[Finish]],"&gt;="&amp;BQ6)+SUMIFS(tblProjectSchedule[[Helpers]:[Helpers]],tblProjectSchedule[[Start]:[Start]],"&lt;="&amp;BQ6,tblProjectSchedule[[Finish]:[Finish]],"&gt;="&amp;BQ6))</f>
        <v>0</v>
      </c>
      <c r="BR4" s="172">
        <f>IF(WEEKDAY(BR6,12)&gt;=6,0,SUMIFS(tblProjectSchedule[[Skilled]:[Skilled]],tblProjectSchedule[[Start]:[Start]],"&lt;="&amp;BR6,tblProjectSchedule[[Finish]:[Finish]],"&gt;="&amp;BR6)+SUMIFS(tblProjectSchedule[[Helpers]:[Helpers]],tblProjectSchedule[[Start]:[Start]],"&lt;="&amp;BR6,tblProjectSchedule[[Finish]:[Finish]],"&gt;="&amp;BR6))</f>
        <v>0</v>
      </c>
      <c r="BS4" s="172">
        <f>IF(WEEKDAY(BS6,12)&gt;=6,0,SUMIFS(tblProjectSchedule[[Skilled]:[Skilled]],tblProjectSchedule[[Start]:[Start]],"&lt;="&amp;BS6,tblProjectSchedule[[Finish]:[Finish]],"&gt;="&amp;BS6)+SUMIFS(tblProjectSchedule[[Helpers]:[Helpers]],tblProjectSchedule[[Start]:[Start]],"&lt;="&amp;BS6,tblProjectSchedule[[Finish]:[Finish]],"&gt;="&amp;BS6))</f>
        <v>0</v>
      </c>
      <c r="BT4" s="172">
        <f>IF(WEEKDAY(BT6,12)&gt;=6,0,SUMIFS(tblProjectSchedule[[Skilled]:[Skilled]],tblProjectSchedule[[Start]:[Start]],"&lt;="&amp;BT6,tblProjectSchedule[[Finish]:[Finish]],"&gt;="&amp;BT6)+SUMIFS(tblProjectSchedule[[Helpers]:[Helpers]],tblProjectSchedule[[Start]:[Start]],"&lt;="&amp;BT6,tblProjectSchedule[[Finish]:[Finish]],"&gt;="&amp;BT6))</f>
        <v>0</v>
      </c>
      <c r="BU4" s="174">
        <f>IF(WEEKDAY(BU6,12)&gt;=6,0,SUMIFS(tblProjectSchedule[[Skilled]:[Skilled]],tblProjectSchedule[[Start]:[Start]],"&lt;="&amp;BU6,tblProjectSchedule[[Finish]:[Finish]],"&gt;="&amp;BU6)+SUMIFS(tblProjectSchedule[[Helpers]:[Helpers]],tblProjectSchedule[[Start]:[Start]],"&lt;="&amp;BU6,tblProjectSchedule[[Finish]:[Finish]],"&gt;="&amp;BU6))</f>
        <v>0</v>
      </c>
      <c r="BV4" s="173">
        <f>IF(WEEKDAY(BV6,12)&gt;=6,0,SUMIFS(tblProjectSchedule[[Skilled]:[Skilled]],tblProjectSchedule[[Start]:[Start]],"&lt;="&amp;BV6,tblProjectSchedule[[Finish]:[Finish]],"&gt;="&amp;BV6)+SUMIFS(tblProjectSchedule[[Helpers]:[Helpers]],tblProjectSchedule[[Start]:[Start]],"&lt;="&amp;BV6,tblProjectSchedule[[Finish]:[Finish]],"&gt;="&amp;BV6))</f>
        <v>0</v>
      </c>
      <c r="BW4" s="172">
        <f>IF(WEEKDAY(BW6,12)&gt;=6,0,SUMIFS(tblProjectSchedule[[Skilled]:[Skilled]],tblProjectSchedule[[Start]:[Start]],"&lt;="&amp;BW6,tblProjectSchedule[[Finish]:[Finish]],"&gt;="&amp;BW6)+SUMIFS(tblProjectSchedule[[Helpers]:[Helpers]],tblProjectSchedule[[Start]:[Start]],"&lt;="&amp;BW6,tblProjectSchedule[[Finish]:[Finish]],"&gt;="&amp;BW6))</f>
        <v>0</v>
      </c>
      <c r="BX4" s="172">
        <f>IF(WEEKDAY(BX6,12)&gt;=6,0,SUMIFS(tblProjectSchedule[[Skilled]:[Skilled]],tblProjectSchedule[[Start]:[Start]],"&lt;="&amp;BX6,tblProjectSchedule[[Finish]:[Finish]],"&gt;="&amp;BX6)+SUMIFS(tblProjectSchedule[[Helpers]:[Helpers]],tblProjectSchedule[[Start]:[Start]],"&lt;="&amp;BX6,tblProjectSchedule[[Finish]:[Finish]],"&gt;="&amp;BX6))</f>
        <v>0</v>
      </c>
      <c r="BY4" s="172">
        <f>IF(WEEKDAY(BY6,12)&gt;=6,0,SUMIFS(tblProjectSchedule[[Skilled]:[Skilled]],tblProjectSchedule[[Start]:[Start]],"&lt;="&amp;BY6,tblProjectSchedule[[Finish]:[Finish]],"&gt;="&amp;BY6)+SUMIFS(tblProjectSchedule[[Helpers]:[Helpers]],tblProjectSchedule[[Start]:[Start]],"&lt;="&amp;BY6,tblProjectSchedule[[Finish]:[Finish]],"&gt;="&amp;BY6))</f>
        <v>0</v>
      </c>
      <c r="BZ4" s="172">
        <f>IF(WEEKDAY(BZ6,12)&gt;=6,0,SUMIFS(tblProjectSchedule[[Skilled]:[Skilled]],tblProjectSchedule[[Start]:[Start]],"&lt;="&amp;BZ6,tblProjectSchedule[[Finish]:[Finish]],"&gt;="&amp;BZ6)+SUMIFS(tblProjectSchedule[[Helpers]:[Helpers]],tblProjectSchedule[[Start]:[Start]],"&lt;="&amp;BZ6,tblProjectSchedule[[Finish]:[Finish]],"&gt;="&amp;BZ6))</f>
        <v>0</v>
      </c>
      <c r="CA4" s="172">
        <f>IF(WEEKDAY(CA6,12)&gt;=6,0,SUMIFS(tblProjectSchedule[[Skilled]:[Skilled]],tblProjectSchedule[[Start]:[Start]],"&lt;="&amp;CA6,tblProjectSchedule[[Finish]:[Finish]],"&gt;="&amp;CA6)+SUMIFS(tblProjectSchedule[[Helpers]:[Helpers]],tblProjectSchedule[[Start]:[Start]],"&lt;="&amp;CA6,tblProjectSchedule[[Finish]:[Finish]],"&gt;="&amp;CA6))</f>
        <v>0</v>
      </c>
      <c r="CB4" s="174">
        <f>IF(WEEKDAY(CB6,12)&gt;=6,0,SUMIFS(tblProjectSchedule[[Skilled]:[Skilled]],tblProjectSchedule[[Start]:[Start]],"&lt;="&amp;CB6,tblProjectSchedule[[Finish]:[Finish]],"&gt;="&amp;CB6)+SUMIFS(tblProjectSchedule[[Helpers]:[Helpers]],tblProjectSchedule[[Start]:[Start]],"&lt;="&amp;CB6,tblProjectSchedule[[Finish]:[Finish]],"&gt;="&amp;CB6))</f>
        <v>0</v>
      </c>
      <c r="CC4" s="173">
        <f>IF(WEEKDAY(CC6,12)&gt;=6,0,SUMIFS(tblProjectSchedule[[Skilled]:[Skilled]],tblProjectSchedule[[Start]:[Start]],"&lt;="&amp;CC6,tblProjectSchedule[[Finish]:[Finish]],"&gt;="&amp;CC6)+SUMIFS(tblProjectSchedule[[Helpers]:[Helpers]],tblProjectSchedule[[Start]:[Start]],"&lt;="&amp;CC6,tblProjectSchedule[[Finish]:[Finish]],"&gt;="&amp;CC6))</f>
        <v>0</v>
      </c>
      <c r="CD4" s="172">
        <f>IF(WEEKDAY(CD6,12)&gt;=6,0,SUMIFS(tblProjectSchedule[[Skilled]:[Skilled]],tblProjectSchedule[[Start]:[Start]],"&lt;="&amp;CD6,tblProjectSchedule[[Finish]:[Finish]],"&gt;="&amp;CD6)+SUMIFS(tblProjectSchedule[[Helpers]:[Helpers]],tblProjectSchedule[[Start]:[Start]],"&lt;="&amp;CD6,tblProjectSchedule[[Finish]:[Finish]],"&gt;="&amp;CD6))</f>
        <v>0</v>
      </c>
      <c r="CE4" s="172">
        <f>IF(WEEKDAY(CE6,12)&gt;=6,0,SUMIFS(tblProjectSchedule[[Skilled]:[Skilled]],tblProjectSchedule[[Start]:[Start]],"&lt;="&amp;CE6,tblProjectSchedule[[Finish]:[Finish]],"&gt;="&amp;CE6)+SUMIFS(tblProjectSchedule[[Helpers]:[Helpers]],tblProjectSchedule[[Start]:[Start]],"&lt;="&amp;CE6,tblProjectSchedule[[Finish]:[Finish]],"&gt;="&amp;CE6))</f>
        <v>0</v>
      </c>
      <c r="CF4" s="172">
        <f>IF(WEEKDAY(CF6,12)&gt;=6,0,SUMIFS(tblProjectSchedule[[Skilled]:[Skilled]],tblProjectSchedule[[Start]:[Start]],"&lt;="&amp;CF6,tblProjectSchedule[[Finish]:[Finish]],"&gt;="&amp;CF6)+SUMIFS(tblProjectSchedule[[Helpers]:[Helpers]],tblProjectSchedule[[Start]:[Start]],"&lt;="&amp;CF6,tblProjectSchedule[[Finish]:[Finish]],"&gt;="&amp;CF6))</f>
        <v>0</v>
      </c>
      <c r="CG4" s="172">
        <f>IF(WEEKDAY(CG6,12)&gt;=6,0,SUMIFS(tblProjectSchedule[[Skilled]:[Skilled]],tblProjectSchedule[[Start]:[Start]],"&lt;="&amp;CG6,tblProjectSchedule[[Finish]:[Finish]],"&gt;="&amp;CG6)+SUMIFS(tblProjectSchedule[[Helpers]:[Helpers]],tblProjectSchedule[[Start]:[Start]],"&lt;="&amp;CG6,tblProjectSchedule[[Finish]:[Finish]],"&gt;="&amp;CG6))</f>
        <v>0</v>
      </c>
      <c r="CH4" s="172">
        <f>IF(WEEKDAY(CH6,12)&gt;=6,0,SUMIFS(tblProjectSchedule[[Skilled]:[Skilled]],tblProjectSchedule[[Start]:[Start]],"&lt;="&amp;CH6,tblProjectSchedule[[Finish]:[Finish]],"&gt;="&amp;CH6)+SUMIFS(tblProjectSchedule[[Helpers]:[Helpers]],tblProjectSchedule[[Start]:[Start]],"&lt;="&amp;CH6,tblProjectSchedule[[Finish]:[Finish]],"&gt;="&amp;CH6))</f>
        <v>0</v>
      </c>
      <c r="CI4" s="174">
        <f>IF(WEEKDAY(CI6,12)&gt;=6,0,SUMIFS(tblProjectSchedule[[Skilled]:[Skilled]],tblProjectSchedule[[Start]:[Start]],"&lt;="&amp;CI6,tblProjectSchedule[[Finish]:[Finish]],"&gt;="&amp;CI6)+SUMIFS(tblProjectSchedule[[Helpers]:[Helpers]],tblProjectSchedule[[Start]:[Start]],"&lt;="&amp;CI6,tblProjectSchedule[[Finish]:[Finish]],"&gt;="&amp;CI6))</f>
        <v>0</v>
      </c>
      <c r="CJ4" s="173">
        <f>IF(WEEKDAY(CJ6,12)&gt;=6,0,SUMIFS(tblProjectSchedule[[Skilled]:[Skilled]],tblProjectSchedule[[Start]:[Start]],"&lt;="&amp;CJ6,tblProjectSchedule[[Finish]:[Finish]],"&gt;="&amp;CJ6)+SUMIFS(tblProjectSchedule[[Helpers]:[Helpers]],tblProjectSchedule[[Start]:[Start]],"&lt;="&amp;CJ6,tblProjectSchedule[[Finish]:[Finish]],"&gt;="&amp;CJ6))</f>
        <v>0</v>
      </c>
      <c r="CK4" s="172">
        <f>IF(WEEKDAY(CK6,12)&gt;=6,0,SUMIFS(tblProjectSchedule[[Skilled]:[Skilled]],tblProjectSchedule[[Start]:[Start]],"&lt;="&amp;CK6,tblProjectSchedule[[Finish]:[Finish]],"&gt;="&amp;CK6)+SUMIFS(tblProjectSchedule[[Helpers]:[Helpers]],tblProjectSchedule[[Start]:[Start]],"&lt;="&amp;CK6,tblProjectSchedule[[Finish]:[Finish]],"&gt;="&amp;CK6))</f>
        <v>0</v>
      </c>
      <c r="CL4" s="172">
        <f>IF(WEEKDAY(CL6,12)&gt;=6,0,SUMIFS(tblProjectSchedule[[Skilled]:[Skilled]],tblProjectSchedule[[Start]:[Start]],"&lt;="&amp;CL6,tblProjectSchedule[[Finish]:[Finish]],"&gt;="&amp;CL6)+SUMIFS(tblProjectSchedule[[Helpers]:[Helpers]],tblProjectSchedule[[Start]:[Start]],"&lt;="&amp;CL6,tblProjectSchedule[[Finish]:[Finish]],"&gt;="&amp;CL6))</f>
        <v>0</v>
      </c>
      <c r="CM4" s="172">
        <f>IF(WEEKDAY(CM6,12)&gt;=6,0,SUMIFS(tblProjectSchedule[[Skilled]:[Skilled]],tblProjectSchedule[[Start]:[Start]],"&lt;="&amp;CM6,tblProjectSchedule[[Finish]:[Finish]],"&gt;="&amp;CM6)+SUMIFS(tblProjectSchedule[[Helpers]:[Helpers]],tblProjectSchedule[[Start]:[Start]],"&lt;="&amp;CM6,tblProjectSchedule[[Finish]:[Finish]],"&gt;="&amp;CM6))</f>
        <v>0</v>
      </c>
      <c r="CN4" s="172">
        <f>IF(WEEKDAY(CN6,12)&gt;=6,0,SUMIFS(tblProjectSchedule[[Skilled]:[Skilled]],tblProjectSchedule[[Start]:[Start]],"&lt;="&amp;CN6,tblProjectSchedule[[Finish]:[Finish]],"&gt;="&amp;CN6)+SUMIFS(tblProjectSchedule[[Helpers]:[Helpers]],tblProjectSchedule[[Start]:[Start]],"&lt;="&amp;CN6,tblProjectSchedule[[Finish]:[Finish]],"&gt;="&amp;CN6))</f>
        <v>0</v>
      </c>
      <c r="CO4" s="172">
        <f>IF(WEEKDAY(CO6,12)&gt;=6,0,SUMIFS(tblProjectSchedule[[Skilled]:[Skilled]],tblProjectSchedule[[Start]:[Start]],"&lt;="&amp;CO6,tblProjectSchedule[[Finish]:[Finish]],"&gt;="&amp;CO6)+SUMIFS(tblProjectSchedule[[Helpers]:[Helpers]],tblProjectSchedule[[Start]:[Start]],"&lt;="&amp;CO6,tblProjectSchedule[[Finish]:[Finish]],"&gt;="&amp;CO6))</f>
        <v>0</v>
      </c>
      <c r="CP4" s="174">
        <f>IF(WEEKDAY(CP6,12)&gt;=6,0,SUMIFS(tblProjectSchedule[[Skilled]:[Skilled]],tblProjectSchedule[[Start]:[Start]],"&lt;="&amp;CP6,tblProjectSchedule[[Finish]:[Finish]],"&gt;="&amp;CP6)+SUMIFS(tblProjectSchedule[[Helpers]:[Helpers]],tblProjectSchedule[[Start]:[Start]],"&lt;="&amp;CP6,tblProjectSchedule[[Finish]:[Finish]],"&gt;="&amp;CP6))</f>
        <v>0</v>
      </c>
      <c r="CQ4" s="173">
        <f>IF(WEEKDAY(CQ6,12)&gt;=6,0,SUMIFS(tblProjectSchedule[[Skilled]:[Skilled]],tblProjectSchedule[[Start]:[Start]],"&lt;="&amp;CQ6,tblProjectSchedule[[Finish]:[Finish]],"&gt;="&amp;CQ6)+SUMIFS(tblProjectSchedule[[Helpers]:[Helpers]],tblProjectSchedule[[Start]:[Start]],"&lt;="&amp;CQ6,tblProjectSchedule[[Finish]:[Finish]],"&gt;="&amp;CQ6))</f>
        <v>0</v>
      </c>
      <c r="CR4" s="172">
        <f>IF(WEEKDAY(CR6,12)&gt;=6,0,SUMIFS(tblProjectSchedule[[Skilled]:[Skilled]],tblProjectSchedule[[Start]:[Start]],"&lt;="&amp;CR6,tblProjectSchedule[[Finish]:[Finish]],"&gt;="&amp;CR6)+SUMIFS(tblProjectSchedule[[Helpers]:[Helpers]],tblProjectSchedule[[Start]:[Start]],"&lt;="&amp;CR6,tblProjectSchedule[[Finish]:[Finish]],"&gt;="&amp;CR6))</f>
        <v>0</v>
      </c>
      <c r="CS4" s="172">
        <f>IF(WEEKDAY(CS6,12)&gt;=6,0,SUMIFS(tblProjectSchedule[[Skilled]:[Skilled]],tblProjectSchedule[[Start]:[Start]],"&lt;="&amp;CS6,tblProjectSchedule[[Finish]:[Finish]],"&gt;="&amp;CS6)+SUMIFS(tblProjectSchedule[[Helpers]:[Helpers]],tblProjectSchedule[[Start]:[Start]],"&lt;="&amp;CS6,tblProjectSchedule[[Finish]:[Finish]],"&gt;="&amp;CS6))</f>
        <v>0</v>
      </c>
      <c r="CT4" s="172">
        <f>IF(WEEKDAY(CT6,12)&gt;=6,0,SUMIFS(tblProjectSchedule[[Skilled]:[Skilled]],tblProjectSchedule[[Start]:[Start]],"&lt;="&amp;CT6,tblProjectSchedule[[Finish]:[Finish]],"&gt;="&amp;CT6)+SUMIFS(tblProjectSchedule[[Helpers]:[Helpers]],tblProjectSchedule[[Start]:[Start]],"&lt;="&amp;CT6,tblProjectSchedule[[Finish]:[Finish]],"&gt;="&amp;CT6))</f>
        <v>0</v>
      </c>
      <c r="CU4" s="172">
        <f>IF(WEEKDAY(CU6,12)&gt;=6,0,SUMIFS(tblProjectSchedule[[Skilled]:[Skilled]],tblProjectSchedule[[Start]:[Start]],"&lt;="&amp;CU6,tblProjectSchedule[[Finish]:[Finish]],"&gt;="&amp;CU6)+SUMIFS(tblProjectSchedule[[Helpers]:[Helpers]],tblProjectSchedule[[Start]:[Start]],"&lt;="&amp;CU6,tblProjectSchedule[[Finish]:[Finish]],"&gt;="&amp;CU6))</f>
        <v>0</v>
      </c>
      <c r="CV4" s="172">
        <f>IF(WEEKDAY(CV6,12)&gt;=6,0,SUMIFS(tblProjectSchedule[[Skilled]:[Skilled]],tblProjectSchedule[[Start]:[Start]],"&lt;="&amp;CV6,tblProjectSchedule[[Finish]:[Finish]],"&gt;="&amp;CV6)+SUMIFS(tblProjectSchedule[[Helpers]:[Helpers]],tblProjectSchedule[[Start]:[Start]],"&lt;="&amp;CV6,tblProjectSchedule[[Finish]:[Finish]],"&gt;="&amp;CV6))</f>
        <v>0</v>
      </c>
      <c r="CW4" s="174">
        <f>IF(WEEKDAY(CW6,12)&gt;=6,0,SUMIFS(tblProjectSchedule[[Skilled]:[Skilled]],tblProjectSchedule[[Start]:[Start]],"&lt;="&amp;CW6,tblProjectSchedule[[Finish]:[Finish]],"&gt;="&amp;CW6)+SUMIFS(tblProjectSchedule[[Helpers]:[Helpers]],tblProjectSchedule[[Start]:[Start]],"&lt;="&amp;CW6,tblProjectSchedule[[Finish]:[Finish]],"&gt;="&amp;CW6))</f>
        <v>0</v>
      </c>
      <c r="CX4" s="173">
        <f>IF(WEEKDAY(CX6,12)&gt;=6,0,SUMIFS(tblProjectSchedule[[Skilled]:[Skilled]],tblProjectSchedule[[Start]:[Start]],"&lt;="&amp;CX6,tblProjectSchedule[[Finish]:[Finish]],"&gt;="&amp;CX6)+SUMIFS(tblProjectSchedule[[Helpers]:[Helpers]],tblProjectSchedule[[Start]:[Start]],"&lt;="&amp;CX6,tblProjectSchedule[[Finish]:[Finish]],"&gt;="&amp;CX6))</f>
        <v>0</v>
      </c>
      <c r="CY4" s="172">
        <f>IF(WEEKDAY(CY6,12)&gt;=6,0,SUMIFS(tblProjectSchedule[[Skilled]:[Skilled]],tblProjectSchedule[[Start]:[Start]],"&lt;="&amp;CY6,tblProjectSchedule[[Finish]:[Finish]],"&gt;="&amp;CY6)+SUMIFS(tblProjectSchedule[[Helpers]:[Helpers]],tblProjectSchedule[[Start]:[Start]],"&lt;="&amp;CY6,tblProjectSchedule[[Finish]:[Finish]],"&gt;="&amp;CY6))</f>
        <v>0</v>
      </c>
      <c r="CZ4" s="172">
        <f>IF(WEEKDAY(CZ6,12)&gt;=6,0,SUMIFS(tblProjectSchedule[[Skilled]:[Skilled]],tblProjectSchedule[[Start]:[Start]],"&lt;="&amp;CZ6,tblProjectSchedule[[Finish]:[Finish]],"&gt;="&amp;CZ6)+SUMIFS(tblProjectSchedule[[Helpers]:[Helpers]],tblProjectSchedule[[Start]:[Start]],"&lt;="&amp;CZ6,tblProjectSchedule[[Finish]:[Finish]],"&gt;="&amp;CZ6))</f>
        <v>0</v>
      </c>
      <c r="DA4" s="172">
        <f>IF(WEEKDAY(DA6,12)&gt;=6,0,SUMIFS(tblProjectSchedule[[Skilled]:[Skilled]],tblProjectSchedule[[Start]:[Start]],"&lt;="&amp;DA6,tblProjectSchedule[[Finish]:[Finish]],"&gt;="&amp;DA6)+SUMIFS(tblProjectSchedule[[Helpers]:[Helpers]],tblProjectSchedule[[Start]:[Start]],"&lt;="&amp;DA6,tblProjectSchedule[[Finish]:[Finish]],"&gt;="&amp;DA6))</f>
        <v>0</v>
      </c>
      <c r="DB4" s="172">
        <f>IF(WEEKDAY(DB6,12)&gt;=6,0,SUMIFS(tblProjectSchedule[[Skilled]:[Skilled]],tblProjectSchedule[[Start]:[Start]],"&lt;="&amp;DB6,tblProjectSchedule[[Finish]:[Finish]],"&gt;="&amp;DB6)+SUMIFS(tblProjectSchedule[[Helpers]:[Helpers]],tblProjectSchedule[[Start]:[Start]],"&lt;="&amp;DB6,tblProjectSchedule[[Finish]:[Finish]],"&gt;="&amp;DB6))</f>
        <v>0</v>
      </c>
      <c r="DC4" s="172">
        <f>IF(WEEKDAY(DC6,12)&gt;=6,0,SUMIFS(tblProjectSchedule[[Skilled]:[Skilled]],tblProjectSchedule[[Start]:[Start]],"&lt;="&amp;DC6,tblProjectSchedule[[Finish]:[Finish]],"&gt;="&amp;DC6)+SUMIFS(tblProjectSchedule[[Helpers]:[Helpers]],tblProjectSchedule[[Start]:[Start]],"&lt;="&amp;DC6,tblProjectSchedule[[Finish]:[Finish]],"&gt;="&amp;DC6))</f>
        <v>0</v>
      </c>
      <c r="DD4" s="174">
        <f>IF(WEEKDAY(DD6,12)&gt;=6,0,SUMIFS(tblProjectSchedule[[Skilled]:[Skilled]],tblProjectSchedule[[Start]:[Start]],"&lt;="&amp;DD6,tblProjectSchedule[[Finish]:[Finish]],"&gt;="&amp;DD6)+SUMIFS(tblProjectSchedule[[Helpers]:[Helpers]],tblProjectSchedule[[Start]:[Start]],"&lt;="&amp;DD6,tblProjectSchedule[[Finish]:[Finish]],"&gt;="&amp;DD6))</f>
        <v>0</v>
      </c>
      <c r="DE4" s="173">
        <f>IF(WEEKDAY(DE6,12)&gt;=6,0,SUMIFS(tblProjectSchedule[[Skilled]:[Skilled]],tblProjectSchedule[[Start]:[Start]],"&lt;="&amp;DE6,tblProjectSchedule[[Finish]:[Finish]],"&gt;="&amp;DE6)+SUMIFS(tblProjectSchedule[[Helpers]:[Helpers]],tblProjectSchedule[[Start]:[Start]],"&lt;="&amp;DE6,tblProjectSchedule[[Finish]:[Finish]],"&gt;="&amp;DE6))</f>
        <v>0</v>
      </c>
      <c r="DF4" s="172">
        <f>IF(WEEKDAY(DF6,12)&gt;=6,0,SUMIFS(tblProjectSchedule[[Skilled]:[Skilled]],tblProjectSchedule[[Start]:[Start]],"&lt;="&amp;DF6,tblProjectSchedule[[Finish]:[Finish]],"&gt;="&amp;DF6)+SUMIFS(tblProjectSchedule[[Helpers]:[Helpers]],tblProjectSchedule[[Start]:[Start]],"&lt;="&amp;DF6,tblProjectSchedule[[Finish]:[Finish]],"&gt;="&amp;DF6))</f>
        <v>0</v>
      </c>
      <c r="DG4" s="172">
        <f>IF(WEEKDAY(DG6,12)&gt;=6,0,SUMIFS(tblProjectSchedule[[Skilled]:[Skilled]],tblProjectSchedule[[Start]:[Start]],"&lt;="&amp;DG6,tblProjectSchedule[[Finish]:[Finish]],"&gt;="&amp;DG6)+SUMIFS(tblProjectSchedule[[Helpers]:[Helpers]],tblProjectSchedule[[Start]:[Start]],"&lt;="&amp;DG6,tblProjectSchedule[[Finish]:[Finish]],"&gt;="&amp;DG6))</f>
        <v>0</v>
      </c>
      <c r="DH4" s="172">
        <f>IF(WEEKDAY(DH6,12)&gt;=6,0,SUMIFS(tblProjectSchedule[[Skilled]:[Skilled]],tblProjectSchedule[[Start]:[Start]],"&lt;="&amp;DH6,tblProjectSchedule[[Finish]:[Finish]],"&gt;="&amp;DH6)+SUMIFS(tblProjectSchedule[[Helpers]:[Helpers]],tblProjectSchedule[[Start]:[Start]],"&lt;="&amp;DH6,tblProjectSchedule[[Finish]:[Finish]],"&gt;="&amp;DH6))</f>
        <v>0</v>
      </c>
      <c r="DI4" s="172">
        <f>IF(WEEKDAY(DI6,12)&gt;=6,0,SUMIFS(tblProjectSchedule[[Skilled]:[Skilled]],tblProjectSchedule[[Start]:[Start]],"&lt;="&amp;DI6,tblProjectSchedule[[Finish]:[Finish]],"&gt;="&amp;DI6)+SUMIFS(tblProjectSchedule[[Helpers]:[Helpers]],tblProjectSchedule[[Start]:[Start]],"&lt;="&amp;DI6,tblProjectSchedule[[Finish]:[Finish]],"&gt;="&amp;DI6))</f>
        <v>0</v>
      </c>
      <c r="DJ4" s="172">
        <f>IF(WEEKDAY(DJ6,12)&gt;=6,0,SUMIFS(tblProjectSchedule[[Skilled]:[Skilled]],tblProjectSchedule[[Start]:[Start]],"&lt;="&amp;DJ6,tblProjectSchedule[[Finish]:[Finish]],"&gt;="&amp;DJ6)+SUMIFS(tblProjectSchedule[[Helpers]:[Helpers]],tblProjectSchedule[[Start]:[Start]],"&lt;="&amp;DJ6,tblProjectSchedule[[Finish]:[Finish]],"&gt;="&amp;DJ6))</f>
        <v>0</v>
      </c>
      <c r="DK4" s="174">
        <f>IF(WEEKDAY(DK6,12)&gt;=6,0,SUMIFS(tblProjectSchedule[[Skilled]:[Skilled]],tblProjectSchedule[[Start]:[Start]],"&lt;="&amp;DK6,tblProjectSchedule[[Finish]:[Finish]],"&gt;="&amp;DK6)+SUMIFS(tblProjectSchedule[[Helpers]:[Helpers]],tblProjectSchedule[[Start]:[Start]],"&lt;="&amp;DK6,tblProjectSchedule[[Finish]:[Finish]],"&gt;="&amp;DK6))</f>
        <v>0</v>
      </c>
      <c r="DL4" s="173">
        <f>IF(WEEKDAY(DL6,12)&gt;=6,0,SUMIFS(tblProjectSchedule[[Skilled]:[Skilled]],tblProjectSchedule[[Start]:[Start]],"&lt;="&amp;DL6,tblProjectSchedule[[Finish]:[Finish]],"&gt;="&amp;DL6)+SUMIFS(tblProjectSchedule[[Helpers]:[Helpers]],tblProjectSchedule[[Start]:[Start]],"&lt;="&amp;DL6,tblProjectSchedule[[Finish]:[Finish]],"&gt;="&amp;DL6))</f>
        <v>0</v>
      </c>
      <c r="DM4" s="172">
        <f>IF(WEEKDAY(DM6,12)&gt;=6,0,SUMIFS(tblProjectSchedule[[Skilled]:[Skilled]],tblProjectSchedule[[Start]:[Start]],"&lt;="&amp;DM6,tblProjectSchedule[[Finish]:[Finish]],"&gt;="&amp;DM6)+SUMIFS(tblProjectSchedule[[Helpers]:[Helpers]],tblProjectSchedule[[Start]:[Start]],"&lt;="&amp;DM6,tblProjectSchedule[[Finish]:[Finish]],"&gt;="&amp;DM6))</f>
        <v>0</v>
      </c>
      <c r="DN4" s="172">
        <f>IF(WEEKDAY(DN6,12)&gt;=6,0,SUMIFS(tblProjectSchedule[[Skilled]:[Skilled]],tblProjectSchedule[[Start]:[Start]],"&lt;="&amp;DN6,tblProjectSchedule[[Finish]:[Finish]],"&gt;="&amp;DN6)+SUMIFS(tblProjectSchedule[[Helpers]:[Helpers]],tblProjectSchedule[[Start]:[Start]],"&lt;="&amp;DN6,tblProjectSchedule[[Finish]:[Finish]],"&gt;="&amp;DN6))</f>
        <v>0</v>
      </c>
      <c r="DO4" s="172">
        <f>IF(WEEKDAY(DO6,12)&gt;=6,0,SUMIFS(tblProjectSchedule[[Skilled]:[Skilled]],tblProjectSchedule[[Start]:[Start]],"&lt;="&amp;DO6,tblProjectSchedule[[Finish]:[Finish]],"&gt;="&amp;DO6)+SUMIFS(tblProjectSchedule[[Helpers]:[Helpers]],tblProjectSchedule[[Start]:[Start]],"&lt;="&amp;DO6,tblProjectSchedule[[Finish]:[Finish]],"&gt;="&amp;DO6))</f>
        <v>0</v>
      </c>
      <c r="DP4" s="172">
        <f>IF(WEEKDAY(DP6,12)&gt;=6,0,SUMIFS(tblProjectSchedule[[Skilled]:[Skilled]],tblProjectSchedule[[Start]:[Start]],"&lt;="&amp;DP6,tblProjectSchedule[[Finish]:[Finish]],"&gt;="&amp;DP6)+SUMIFS(tblProjectSchedule[[Helpers]:[Helpers]],tblProjectSchedule[[Start]:[Start]],"&lt;="&amp;DP6,tblProjectSchedule[[Finish]:[Finish]],"&gt;="&amp;DP6))</f>
        <v>0</v>
      </c>
      <c r="DQ4" s="172">
        <f>IF(WEEKDAY(DQ6,12)&gt;=6,0,SUMIFS(tblProjectSchedule[[Skilled]:[Skilled]],tblProjectSchedule[[Start]:[Start]],"&lt;="&amp;DQ6,tblProjectSchedule[[Finish]:[Finish]],"&gt;="&amp;DQ6)+SUMIFS(tblProjectSchedule[[Helpers]:[Helpers]],tblProjectSchedule[[Start]:[Start]],"&lt;="&amp;DQ6,tblProjectSchedule[[Finish]:[Finish]],"&gt;="&amp;DQ6))</f>
        <v>0</v>
      </c>
      <c r="DR4" s="174">
        <f>IF(WEEKDAY(DR6,12)&gt;=6,0,SUMIFS(tblProjectSchedule[[Skilled]:[Skilled]],tblProjectSchedule[[Start]:[Start]],"&lt;="&amp;DR6,tblProjectSchedule[[Finish]:[Finish]],"&gt;="&amp;DR6)+SUMIFS(tblProjectSchedule[[Helpers]:[Helpers]],tblProjectSchedule[[Start]:[Start]],"&lt;="&amp;DR6,tblProjectSchedule[[Finish]:[Finish]],"&gt;="&amp;DR6))</f>
        <v>0</v>
      </c>
      <c r="DS4" s="173">
        <f>IF(WEEKDAY(DS6,12)&gt;=6,0,SUMIFS(tblProjectSchedule[[Skilled]:[Skilled]],tblProjectSchedule[[Start]:[Start]],"&lt;="&amp;DS6,tblProjectSchedule[[Finish]:[Finish]],"&gt;="&amp;DS6)+SUMIFS(tblProjectSchedule[[Helpers]:[Helpers]],tblProjectSchedule[[Start]:[Start]],"&lt;="&amp;DS6,tblProjectSchedule[[Finish]:[Finish]],"&gt;="&amp;DS6))</f>
        <v>0</v>
      </c>
      <c r="DT4" s="172">
        <f>IF(WEEKDAY(DT6,12)&gt;=6,0,SUMIFS(tblProjectSchedule[[Skilled]:[Skilled]],tblProjectSchedule[[Start]:[Start]],"&lt;="&amp;DT6,tblProjectSchedule[[Finish]:[Finish]],"&gt;="&amp;DT6)+SUMIFS(tblProjectSchedule[[Helpers]:[Helpers]],tblProjectSchedule[[Start]:[Start]],"&lt;="&amp;DT6,tblProjectSchedule[[Finish]:[Finish]],"&gt;="&amp;DT6))</f>
        <v>0</v>
      </c>
      <c r="DU4" s="172">
        <f>IF(WEEKDAY(DU6,12)&gt;=6,0,SUMIFS(tblProjectSchedule[[Skilled]:[Skilled]],tblProjectSchedule[[Start]:[Start]],"&lt;="&amp;DU6,tblProjectSchedule[[Finish]:[Finish]],"&gt;="&amp;DU6)+SUMIFS(tblProjectSchedule[[Helpers]:[Helpers]],tblProjectSchedule[[Start]:[Start]],"&lt;="&amp;DU6,tblProjectSchedule[[Finish]:[Finish]],"&gt;="&amp;DU6))</f>
        <v>0</v>
      </c>
      <c r="DV4" s="172">
        <f>IF(WEEKDAY(DV6,12)&gt;=6,0,SUMIFS(tblProjectSchedule[[Skilled]:[Skilled]],tblProjectSchedule[[Start]:[Start]],"&lt;="&amp;DV6,tblProjectSchedule[[Finish]:[Finish]],"&gt;="&amp;DV6)+SUMIFS(tblProjectSchedule[[Helpers]:[Helpers]],tblProjectSchedule[[Start]:[Start]],"&lt;="&amp;DV6,tblProjectSchedule[[Finish]:[Finish]],"&gt;="&amp;DV6))</f>
        <v>0</v>
      </c>
      <c r="DW4" s="172">
        <f>IF(WEEKDAY(DW6,12)&gt;=6,0,SUMIFS(tblProjectSchedule[[Skilled]:[Skilled]],tblProjectSchedule[[Start]:[Start]],"&lt;="&amp;DW6,tblProjectSchedule[[Finish]:[Finish]],"&gt;="&amp;DW6)+SUMIFS(tblProjectSchedule[[Helpers]:[Helpers]],tblProjectSchedule[[Start]:[Start]],"&lt;="&amp;DW6,tblProjectSchedule[[Finish]:[Finish]],"&gt;="&amp;DW6))</f>
        <v>0</v>
      </c>
      <c r="DX4" s="172">
        <f>IF(WEEKDAY(DX6,12)&gt;=6,0,SUMIFS(tblProjectSchedule[[Skilled]:[Skilled]],tblProjectSchedule[[Start]:[Start]],"&lt;="&amp;DX6,tblProjectSchedule[[Finish]:[Finish]],"&gt;="&amp;DX6)+SUMIFS(tblProjectSchedule[[Helpers]:[Helpers]],tblProjectSchedule[[Start]:[Start]],"&lt;="&amp;DX6,tblProjectSchedule[[Finish]:[Finish]],"&gt;="&amp;DX6))</f>
        <v>0</v>
      </c>
      <c r="DY4" s="174">
        <f>IF(WEEKDAY(DY6,12)&gt;=6,0,SUMIFS(tblProjectSchedule[[Skilled]:[Skilled]],tblProjectSchedule[[Start]:[Start]],"&lt;="&amp;DY6,tblProjectSchedule[[Finish]:[Finish]],"&gt;="&amp;DY6)+SUMIFS(tblProjectSchedule[[Helpers]:[Helpers]],tblProjectSchedule[[Start]:[Start]],"&lt;="&amp;DY6,tblProjectSchedule[[Finish]:[Finish]],"&gt;="&amp;DY6))</f>
        <v>0</v>
      </c>
      <c r="DZ4" s="173">
        <f>IF(WEEKDAY(DZ6,12)&gt;=6,0,SUMIFS(tblProjectSchedule[[Skilled]:[Skilled]],tblProjectSchedule[[Start]:[Start]],"&lt;="&amp;DZ6,tblProjectSchedule[[Finish]:[Finish]],"&gt;="&amp;DZ6)+SUMIFS(tblProjectSchedule[[Helpers]:[Helpers]],tblProjectSchedule[[Start]:[Start]],"&lt;="&amp;DZ6,tblProjectSchedule[[Finish]:[Finish]],"&gt;="&amp;DZ6))</f>
        <v>0</v>
      </c>
      <c r="EA4" s="172">
        <f>IF(WEEKDAY(EA6,12)&gt;=6,0,SUMIFS(tblProjectSchedule[[Skilled]:[Skilled]],tblProjectSchedule[[Start]:[Start]],"&lt;="&amp;EA6,tblProjectSchedule[[Finish]:[Finish]],"&gt;="&amp;EA6)+SUMIFS(tblProjectSchedule[[Helpers]:[Helpers]],tblProjectSchedule[[Start]:[Start]],"&lt;="&amp;EA6,tblProjectSchedule[[Finish]:[Finish]],"&gt;="&amp;EA6))</f>
        <v>0</v>
      </c>
      <c r="EB4" s="172">
        <f>IF(WEEKDAY(EB6,12)&gt;=6,0,SUMIFS(tblProjectSchedule[[Skilled]:[Skilled]],tblProjectSchedule[[Start]:[Start]],"&lt;="&amp;EB6,tblProjectSchedule[[Finish]:[Finish]],"&gt;="&amp;EB6)+SUMIFS(tblProjectSchedule[[Helpers]:[Helpers]],tblProjectSchedule[[Start]:[Start]],"&lt;="&amp;EB6,tblProjectSchedule[[Finish]:[Finish]],"&gt;="&amp;EB6))</f>
        <v>0</v>
      </c>
      <c r="EC4" s="172">
        <f>IF(WEEKDAY(EC6,12)&gt;=6,0,SUMIFS(tblProjectSchedule[[Skilled]:[Skilled]],tblProjectSchedule[[Start]:[Start]],"&lt;="&amp;EC6,tblProjectSchedule[[Finish]:[Finish]],"&gt;="&amp;EC6)+SUMIFS(tblProjectSchedule[[Helpers]:[Helpers]],tblProjectSchedule[[Start]:[Start]],"&lt;="&amp;EC6,tblProjectSchedule[[Finish]:[Finish]],"&gt;="&amp;EC6))</f>
        <v>0</v>
      </c>
      <c r="ED4" s="172">
        <f>IF(WEEKDAY(ED6,12)&gt;=6,0,SUMIFS(tblProjectSchedule[[Skilled]:[Skilled]],tblProjectSchedule[[Start]:[Start]],"&lt;="&amp;ED6,tblProjectSchedule[[Finish]:[Finish]],"&gt;="&amp;ED6)+SUMIFS(tblProjectSchedule[[Helpers]:[Helpers]],tblProjectSchedule[[Start]:[Start]],"&lt;="&amp;ED6,tblProjectSchedule[[Finish]:[Finish]],"&gt;="&amp;ED6))</f>
        <v>0</v>
      </c>
      <c r="EE4" s="172">
        <f>IF(WEEKDAY(EE6,12)&gt;=6,0,SUMIFS(tblProjectSchedule[[Skilled]:[Skilled]],tblProjectSchedule[[Start]:[Start]],"&lt;="&amp;EE6,tblProjectSchedule[[Finish]:[Finish]],"&gt;="&amp;EE6)+SUMIFS(tblProjectSchedule[[Helpers]:[Helpers]],tblProjectSchedule[[Start]:[Start]],"&lt;="&amp;EE6,tblProjectSchedule[[Finish]:[Finish]],"&gt;="&amp;EE6))</f>
        <v>0</v>
      </c>
      <c r="EF4" s="174">
        <f>IF(WEEKDAY(EF6,12)&gt;=6,0,SUMIFS(tblProjectSchedule[[Skilled]:[Skilled]],tblProjectSchedule[[Start]:[Start]],"&lt;="&amp;EF6,tblProjectSchedule[[Finish]:[Finish]],"&gt;="&amp;EF6)+SUMIFS(tblProjectSchedule[[Helpers]:[Helpers]],tblProjectSchedule[[Start]:[Start]],"&lt;="&amp;EF6,tblProjectSchedule[[Finish]:[Finish]],"&gt;="&amp;EF6))</f>
        <v>0</v>
      </c>
      <c r="EG4" s="173">
        <f>IF(WEEKDAY(EG6,12)&gt;=6,0,SUMIFS(tblProjectSchedule[[Skilled]:[Skilled]],tblProjectSchedule[[Start]:[Start]],"&lt;="&amp;EG6,tblProjectSchedule[[Finish]:[Finish]],"&gt;="&amp;EG6)+SUMIFS(tblProjectSchedule[[Helpers]:[Helpers]],tblProjectSchedule[[Start]:[Start]],"&lt;="&amp;EG6,tblProjectSchedule[[Finish]:[Finish]],"&gt;="&amp;EG6))</f>
        <v>0</v>
      </c>
      <c r="EH4" s="172">
        <f>IF(WEEKDAY(EH6,12)&gt;=6,0,SUMIFS(tblProjectSchedule[[Skilled]:[Skilled]],tblProjectSchedule[[Start]:[Start]],"&lt;="&amp;EH6,tblProjectSchedule[[Finish]:[Finish]],"&gt;="&amp;EH6)+SUMIFS(tblProjectSchedule[[Helpers]:[Helpers]],tblProjectSchedule[[Start]:[Start]],"&lt;="&amp;EH6,tblProjectSchedule[[Finish]:[Finish]],"&gt;="&amp;EH6))</f>
        <v>0</v>
      </c>
      <c r="EI4" s="172">
        <f>IF(WEEKDAY(EI6,12)&gt;=6,0,SUMIFS(tblProjectSchedule[[Skilled]:[Skilled]],tblProjectSchedule[[Start]:[Start]],"&lt;="&amp;EI6,tblProjectSchedule[[Finish]:[Finish]],"&gt;="&amp;EI6)+SUMIFS(tblProjectSchedule[[Helpers]:[Helpers]],tblProjectSchedule[[Start]:[Start]],"&lt;="&amp;EI6,tblProjectSchedule[[Finish]:[Finish]],"&gt;="&amp;EI6))</f>
        <v>0</v>
      </c>
      <c r="EJ4" s="172">
        <f>IF(WEEKDAY(EJ6,12)&gt;=6,0,SUMIFS(tblProjectSchedule[[Skilled]:[Skilled]],tblProjectSchedule[[Start]:[Start]],"&lt;="&amp;EJ6,tblProjectSchedule[[Finish]:[Finish]],"&gt;="&amp;EJ6)+SUMIFS(tblProjectSchedule[[Helpers]:[Helpers]],tblProjectSchedule[[Start]:[Start]],"&lt;="&amp;EJ6,tblProjectSchedule[[Finish]:[Finish]],"&gt;="&amp;EJ6))</f>
        <v>0</v>
      </c>
      <c r="EK4" s="172">
        <f>IF(WEEKDAY(EK6,12)&gt;=6,0,SUMIFS(tblProjectSchedule[[Skilled]:[Skilled]],tblProjectSchedule[[Start]:[Start]],"&lt;="&amp;EK6,tblProjectSchedule[[Finish]:[Finish]],"&gt;="&amp;EK6)+SUMIFS(tblProjectSchedule[[Helpers]:[Helpers]],tblProjectSchedule[[Start]:[Start]],"&lt;="&amp;EK6,tblProjectSchedule[[Finish]:[Finish]],"&gt;="&amp;EK6))</f>
        <v>0</v>
      </c>
      <c r="EL4" s="172">
        <f>IF(WEEKDAY(EL6,12)&gt;=6,0,SUMIFS(tblProjectSchedule[[Skilled]:[Skilled]],tblProjectSchedule[[Start]:[Start]],"&lt;="&amp;EL6,tblProjectSchedule[[Finish]:[Finish]],"&gt;="&amp;EL6)+SUMIFS(tblProjectSchedule[[Helpers]:[Helpers]],tblProjectSchedule[[Start]:[Start]],"&lt;="&amp;EL6,tblProjectSchedule[[Finish]:[Finish]],"&gt;="&amp;EL6))</f>
        <v>0</v>
      </c>
      <c r="EM4" s="174">
        <f>IF(WEEKDAY(EM6,12)&gt;=6,0,SUMIFS(tblProjectSchedule[[Skilled]:[Skilled]],tblProjectSchedule[[Start]:[Start]],"&lt;="&amp;EM6,tblProjectSchedule[[Finish]:[Finish]],"&gt;="&amp;EM6)+SUMIFS(tblProjectSchedule[[Helpers]:[Helpers]],tblProjectSchedule[[Start]:[Start]],"&lt;="&amp;EM6,tblProjectSchedule[[Finish]:[Finish]],"&gt;="&amp;EM6))</f>
        <v>0</v>
      </c>
      <c r="EN4" s="173">
        <f>IF(WEEKDAY(EN6,12)&gt;=6,0,SUMIFS(tblProjectSchedule[[Skilled]:[Skilled]],tblProjectSchedule[[Start]:[Start]],"&lt;="&amp;EN6,tblProjectSchedule[[Finish]:[Finish]],"&gt;="&amp;EN6)+SUMIFS(tblProjectSchedule[[Helpers]:[Helpers]],tblProjectSchedule[[Start]:[Start]],"&lt;="&amp;EN6,tblProjectSchedule[[Finish]:[Finish]],"&gt;="&amp;EN6))</f>
        <v>0</v>
      </c>
      <c r="EO4" s="172">
        <f>IF(WEEKDAY(EO6,12)&gt;=6,0,SUMIFS(tblProjectSchedule[[Skilled]:[Skilled]],tblProjectSchedule[[Start]:[Start]],"&lt;="&amp;EO6,tblProjectSchedule[[Finish]:[Finish]],"&gt;="&amp;EO6)+SUMIFS(tblProjectSchedule[[Helpers]:[Helpers]],tblProjectSchedule[[Start]:[Start]],"&lt;="&amp;EO6,tblProjectSchedule[[Finish]:[Finish]],"&gt;="&amp;EO6))</f>
        <v>0</v>
      </c>
      <c r="EP4" s="172">
        <f>IF(WEEKDAY(EP6,12)&gt;=6,0,SUMIFS(tblProjectSchedule[[Skilled]:[Skilled]],tblProjectSchedule[[Start]:[Start]],"&lt;="&amp;EP6,tblProjectSchedule[[Finish]:[Finish]],"&gt;="&amp;EP6)+SUMIFS(tblProjectSchedule[[Helpers]:[Helpers]],tblProjectSchedule[[Start]:[Start]],"&lt;="&amp;EP6,tblProjectSchedule[[Finish]:[Finish]],"&gt;="&amp;EP6))</f>
        <v>0</v>
      </c>
      <c r="EQ4" s="172">
        <f>IF(WEEKDAY(EQ6,12)&gt;=6,0,SUMIFS(tblProjectSchedule[[Skilled]:[Skilled]],tblProjectSchedule[[Start]:[Start]],"&lt;="&amp;EQ6,tblProjectSchedule[[Finish]:[Finish]],"&gt;="&amp;EQ6)+SUMIFS(tblProjectSchedule[[Helpers]:[Helpers]],tblProjectSchedule[[Start]:[Start]],"&lt;="&amp;EQ6,tblProjectSchedule[[Finish]:[Finish]],"&gt;="&amp;EQ6))</f>
        <v>0</v>
      </c>
      <c r="ER4" s="172">
        <f>IF(WEEKDAY(ER6,12)&gt;=6,0,SUMIFS(tblProjectSchedule[[Skilled]:[Skilled]],tblProjectSchedule[[Start]:[Start]],"&lt;="&amp;ER6,tblProjectSchedule[[Finish]:[Finish]],"&gt;="&amp;ER6)+SUMIFS(tblProjectSchedule[[Helpers]:[Helpers]],tblProjectSchedule[[Start]:[Start]],"&lt;="&amp;ER6,tblProjectSchedule[[Finish]:[Finish]],"&gt;="&amp;ER6))</f>
        <v>0</v>
      </c>
      <c r="ES4" s="172">
        <f>IF(WEEKDAY(ES6,12)&gt;=6,0,SUMIFS(tblProjectSchedule[[Skilled]:[Skilled]],tblProjectSchedule[[Start]:[Start]],"&lt;="&amp;ES6,tblProjectSchedule[[Finish]:[Finish]],"&gt;="&amp;ES6)+SUMIFS(tblProjectSchedule[[Helpers]:[Helpers]],tblProjectSchedule[[Start]:[Start]],"&lt;="&amp;ES6,tblProjectSchedule[[Finish]:[Finish]],"&gt;="&amp;ES6))</f>
        <v>0</v>
      </c>
      <c r="ET4" s="174">
        <f>IF(WEEKDAY(ET6,12)&gt;=6,0,SUMIFS(tblProjectSchedule[[Skilled]:[Skilled]],tblProjectSchedule[[Start]:[Start]],"&lt;="&amp;ET6,tblProjectSchedule[[Finish]:[Finish]],"&gt;="&amp;ET6)+SUMIFS(tblProjectSchedule[[Helpers]:[Helpers]],tblProjectSchedule[[Start]:[Start]],"&lt;="&amp;ET6,tblProjectSchedule[[Finish]:[Finish]],"&gt;="&amp;ET6))</f>
        <v>0</v>
      </c>
      <c r="EU4" s="173">
        <f>IF(WEEKDAY(EU6,12)&gt;=6,0,SUMIFS(tblProjectSchedule[[Skilled]:[Skilled]],tblProjectSchedule[[Start]:[Start]],"&lt;="&amp;EU6,tblProjectSchedule[[Finish]:[Finish]],"&gt;="&amp;EU6)+SUMIFS(tblProjectSchedule[[Helpers]:[Helpers]],tblProjectSchedule[[Start]:[Start]],"&lt;="&amp;EU6,tblProjectSchedule[[Finish]:[Finish]],"&gt;="&amp;EU6))</f>
        <v>0</v>
      </c>
      <c r="EV4" s="172">
        <f>IF(WEEKDAY(EV6,12)&gt;=6,0,SUMIFS(tblProjectSchedule[[Skilled]:[Skilled]],tblProjectSchedule[[Start]:[Start]],"&lt;="&amp;EV6,tblProjectSchedule[[Finish]:[Finish]],"&gt;="&amp;EV6)+SUMIFS(tblProjectSchedule[[Helpers]:[Helpers]],tblProjectSchedule[[Start]:[Start]],"&lt;="&amp;EV6,tblProjectSchedule[[Finish]:[Finish]],"&gt;="&amp;EV6))</f>
        <v>0</v>
      </c>
      <c r="EW4" s="172">
        <f>IF(WEEKDAY(EW6,12)&gt;=6,0,SUMIFS(tblProjectSchedule[[Skilled]:[Skilled]],tblProjectSchedule[[Start]:[Start]],"&lt;="&amp;EW6,tblProjectSchedule[[Finish]:[Finish]],"&gt;="&amp;EW6)+SUMIFS(tblProjectSchedule[[Helpers]:[Helpers]],tblProjectSchedule[[Start]:[Start]],"&lt;="&amp;EW6,tblProjectSchedule[[Finish]:[Finish]],"&gt;="&amp;EW6))</f>
        <v>0</v>
      </c>
      <c r="EX4" s="172">
        <f>IF(WEEKDAY(EX6,12)&gt;=6,0,SUMIFS(tblProjectSchedule[[Skilled]:[Skilled]],tblProjectSchedule[[Start]:[Start]],"&lt;="&amp;EX6,tblProjectSchedule[[Finish]:[Finish]],"&gt;="&amp;EX6)+SUMIFS(tblProjectSchedule[[Helpers]:[Helpers]],tblProjectSchedule[[Start]:[Start]],"&lt;="&amp;EX6,tblProjectSchedule[[Finish]:[Finish]],"&gt;="&amp;EX6))</f>
        <v>0</v>
      </c>
      <c r="EY4" s="172">
        <f>IF(WEEKDAY(EY6,12)&gt;=6,0,SUMIFS(tblProjectSchedule[[Skilled]:[Skilled]],tblProjectSchedule[[Start]:[Start]],"&lt;="&amp;EY6,tblProjectSchedule[[Finish]:[Finish]],"&gt;="&amp;EY6)+SUMIFS(tblProjectSchedule[[Helpers]:[Helpers]],tblProjectSchedule[[Start]:[Start]],"&lt;="&amp;EY6,tblProjectSchedule[[Finish]:[Finish]],"&gt;="&amp;EY6))</f>
        <v>0</v>
      </c>
      <c r="EZ4" s="172">
        <f>IF(WEEKDAY(EZ6,12)&gt;=6,0,SUMIFS(tblProjectSchedule[[Skilled]:[Skilled]],tblProjectSchedule[[Start]:[Start]],"&lt;="&amp;EZ6,tblProjectSchedule[[Finish]:[Finish]],"&gt;="&amp;EZ6)+SUMIFS(tblProjectSchedule[[Helpers]:[Helpers]],tblProjectSchedule[[Start]:[Start]],"&lt;="&amp;EZ6,tblProjectSchedule[[Finish]:[Finish]],"&gt;="&amp;EZ6))</f>
        <v>0</v>
      </c>
      <c r="FA4" s="174">
        <f>IF(WEEKDAY(FA6,12)&gt;=6,0,SUMIFS(tblProjectSchedule[[Skilled]:[Skilled]],tblProjectSchedule[[Start]:[Start]],"&lt;="&amp;FA6,tblProjectSchedule[[Finish]:[Finish]],"&gt;="&amp;FA6)+SUMIFS(tblProjectSchedule[[Helpers]:[Helpers]],tblProjectSchedule[[Start]:[Start]],"&lt;="&amp;FA6,tblProjectSchedule[[Finish]:[Finish]],"&gt;="&amp;FA6))</f>
        <v>0</v>
      </c>
      <c r="FB4" s="173">
        <f>IF(WEEKDAY(FB6,12)&gt;=6,0,SUMIFS(tblProjectSchedule[[Skilled]:[Skilled]],tblProjectSchedule[[Start]:[Start]],"&lt;="&amp;FB6,tblProjectSchedule[[Finish]:[Finish]],"&gt;="&amp;FB6)+SUMIFS(tblProjectSchedule[[Helpers]:[Helpers]],tblProjectSchedule[[Start]:[Start]],"&lt;="&amp;FB6,tblProjectSchedule[[Finish]:[Finish]],"&gt;="&amp;FB6))</f>
        <v>0</v>
      </c>
      <c r="FC4" s="172">
        <f>IF(WEEKDAY(FC6,12)&gt;=6,0,SUMIFS(tblProjectSchedule[[Skilled]:[Skilled]],tblProjectSchedule[[Start]:[Start]],"&lt;="&amp;FC6,tblProjectSchedule[[Finish]:[Finish]],"&gt;="&amp;FC6)+SUMIFS(tblProjectSchedule[[Helpers]:[Helpers]],tblProjectSchedule[[Start]:[Start]],"&lt;="&amp;FC6,tblProjectSchedule[[Finish]:[Finish]],"&gt;="&amp;FC6))</f>
        <v>0</v>
      </c>
      <c r="FD4" s="172">
        <f>IF(WEEKDAY(FD6,12)&gt;=6,0,SUMIFS(tblProjectSchedule[[Skilled]:[Skilled]],tblProjectSchedule[[Start]:[Start]],"&lt;="&amp;FD6,tblProjectSchedule[[Finish]:[Finish]],"&gt;="&amp;FD6)+SUMIFS(tblProjectSchedule[[Helpers]:[Helpers]],tblProjectSchedule[[Start]:[Start]],"&lt;="&amp;FD6,tblProjectSchedule[[Finish]:[Finish]],"&gt;="&amp;FD6))</f>
        <v>0</v>
      </c>
      <c r="FE4" s="172">
        <f>IF(WEEKDAY(FE6,12)&gt;=6,0,SUMIFS(tblProjectSchedule[[Skilled]:[Skilled]],tblProjectSchedule[[Start]:[Start]],"&lt;="&amp;FE6,tblProjectSchedule[[Finish]:[Finish]],"&gt;="&amp;FE6)+SUMIFS(tblProjectSchedule[[Helpers]:[Helpers]],tblProjectSchedule[[Start]:[Start]],"&lt;="&amp;FE6,tblProjectSchedule[[Finish]:[Finish]],"&gt;="&amp;FE6))</f>
        <v>0</v>
      </c>
      <c r="FF4" s="172">
        <f>IF(WEEKDAY(FF6,12)&gt;=6,0,SUMIFS(tblProjectSchedule[[Skilled]:[Skilled]],tblProjectSchedule[[Start]:[Start]],"&lt;="&amp;FF6,tblProjectSchedule[[Finish]:[Finish]],"&gt;="&amp;FF6)+SUMIFS(tblProjectSchedule[[Helpers]:[Helpers]],tblProjectSchedule[[Start]:[Start]],"&lt;="&amp;FF6,tblProjectSchedule[[Finish]:[Finish]],"&gt;="&amp;FF6))</f>
        <v>0</v>
      </c>
      <c r="FG4" s="172">
        <f>IF(WEEKDAY(FG6,12)&gt;=6,0,SUMIFS(tblProjectSchedule[[Skilled]:[Skilled]],tblProjectSchedule[[Start]:[Start]],"&lt;="&amp;FG6,tblProjectSchedule[[Finish]:[Finish]],"&gt;="&amp;FG6)+SUMIFS(tblProjectSchedule[[Helpers]:[Helpers]],tblProjectSchedule[[Start]:[Start]],"&lt;="&amp;FG6,tblProjectSchedule[[Finish]:[Finish]],"&gt;="&amp;FG6))</f>
        <v>0</v>
      </c>
      <c r="FH4" s="174">
        <f>IF(WEEKDAY(FH6,12)&gt;=6,0,SUMIFS(tblProjectSchedule[[Skilled]:[Skilled]],tblProjectSchedule[[Start]:[Start]],"&lt;="&amp;FH6,tblProjectSchedule[[Finish]:[Finish]],"&gt;="&amp;FH6)+SUMIFS(tblProjectSchedule[[Helpers]:[Helpers]],tblProjectSchedule[[Start]:[Start]],"&lt;="&amp;FH6,tblProjectSchedule[[Finish]:[Finish]],"&gt;="&amp;FH6))</f>
        <v>0</v>
      </c>
      <c r="FI4" s="173">
        <f>IF(WEEKDAY(FI6,12)&gt;=6,0,SUMIFS(tblProjectSchedule[[Skilled]:[Skilled]],tblProjectSchedule[[Start]:[Start]],"&lt;="&amp;FI6,tblProjectSchedule[[Finish]:[Finish]],"&gt;="&amp;FI6)+SUMIFS(tblProjectSchedule[[Helpers]:[Helpers]],tblProjectSchedule[[Start]:[Start]],"&lt;="&amp;FI6,tblProjectSchedule[[Finish]:[Finish]],"&gt;="&amp;FI6))</f>
        <v>0</v>
      </c>
      <c r="FJ4" s="172">
        <f>IF(WEEKDAY(FJ6,12)&gt;=6,0,SUMIFS(tblProjectSchedule[[Skilled]:[Skilled]],tblProjectSchedule[[Start]:[Start]],"&lt;="&amp;FJ6,tblProjectSchedule[[Finish]:[Finish]],"&gt;="&amp;FJ6)+SUMIFS(tblProjectSchedule[[Helpers]:[Helpers]],tblProjectSchedule[[Start]:[Start]],"&lt;="&amp;FJ6,tblProjectSchedule[[Finish]:[Finish]],"&gt;="&amp;FJ6))</f>
        <v>0</v>
      </c>
      <c r="FK4" s="172">
        <f>IF(WEEKDAY(FK6,12)&gt;=6,0,SUMIFS(tblProjectSchedule[[Skilled]:[Skilled]],tblProjectSchedule[[Start]:[Start]],"&lt;="&amp;FK6,tblProjectSchedule[[Finish]:[Finish]],"&gt;="&amp;FK6)+SUMIFS(tblProjectSchedule[[Helpers]:[Helpers]],tblProjectSchedule[[Start]:[Start]],"&lt;="&amp;FK6,tblProjectSchedule[[Finish]:[Finish]],"&gt;="&amp;FK6))</f>
        <v>0</v>
      </c>
      <c r="FL4" s="172">
        <f>IF(WEEKDAY(FL6,12)&gt;=6,0,SUMIFS(tblProjectSchedule[[Skilled]:[Skilled]],tblProjectSchedule[[Start]:[Start]],"&lt;="&amp;FL6,tblProjectSchedule[[Finish]:[Finish]],"&gt;="&amp;FL6)+SUMIFS(tblProjectSchedule[[Helpers]:[Helpers]],tblProjectSchedule[[Start]:[Start]],"&lt;="&amp;FL6,tblProjectSchedule[[Finish]:[Finish]],"&gt;="&amp;FL6))</f>
        <v>0</v>
      </c>
      <c r="FM4" s="172">
        <f>IF(WEEKDAY(FM6,12)&gt;=6,0,SUMIFS(tblProjectSchedule[[Skilled]:[Skilled]],tblProjectSchedule[[Start]:[Start]],"&lt;="&amp;FM6,tblProjectSchedule[[Finish]:[Finish]],"&gt;="&amp;FM6)+SUMIFS(tblProjectSchedule[[Helpers]:[Helpers]],tblProjectSchedule[[Start]:[Start]],"&lt;="&amp;FM6,tblProjectSchedule[[Finish]:[Finish]],"&gt;="&amp;FM6))</f>
        <v>0</v>
      </c>
      <c r="FN4" s="172">
        <f>IF(WEEKDAY(FN6,12)&gt;=6,0,SUMIFS(tblProjectSchedule[[Skilled]:[Skilled]],tblProjectSchedule[[Start]:[Start]],"&lt;="&amp;FN6,tblProjectSchedule[[Finish]:[Finish]],"&gt;="&amp;FN6)+SUMIFS(tblProjectSchedule[[Helpers]:[Helpers]],tblProjectSchedule[[Start]:[Start]],"&lt;="&amp;FN6,tblProjectSchedule[[Finish]:[Finish]],"&gt;="&amp;FN6))</f>
        <v>0</v>
      </c>
      <c r="FO4" s="174">
        <f>IF(WEEKDAY(FO6,12)&gt;=6,0,SUMIFS(tblProjectSchedule[[Skilled]:[Skilled]],tblProjectSchedule[[Start]:[Start]],"&lt;="&amp;FO6,tblProjectSchedule[[Finish]:[Finish]],"&gt;="&amp;FO6)+SUMIFS(tblProjectSchedule[[Helpers]:[Helpers]],tblProjectSchedule[[Start]:[Start]],"&lt;="&amp;FO6,tblProjectSchedule[[Finish]:[Finish]],"&gt;="&amp;FO6))</f>
        <v>0</v>
      </c>
      <c r="FP4" s="173">
        <f>IF(WEEKDAY(FP6,12)&gt;=6,0,SUMIFS(tblProjectSchedule[[Skilled]:[Skilled]],tblProjectSchedule[[Start]:[Start]],"&lt;="&amp;FP6,tblProjectSchedule[[Finish]:[Finish]],"&gt;="&amp;FP6)+SUMIFS(tblProjectSchedule[[Helpers]:[Helpers]],tblProjectSchedule[[Start]:[Start]],"&lt;="&amp;FP6,tblProjectSchedule[[Finish]:[Finish]],"&gt;="&amp;FP6))</f>
        <v>0</v>
      </c>
      <c r="FQ4" s="172">
        <f>IF(WEEKDAY(FQ6,12)&gt;=6,0,SUMIFS(tblProjectSchedule[[Skilled]:[Skilled]],tblProjectSchedule[[Start]:[Start]],"&lt;="&amp;FQ6,tblProjectSchedule[[Finish]:[Finish]],"&gt;="&amp;FQ6)+SUMIFS(tblProjectSchedule[[Helpers]:[Helpers]],tblProjectSchedule[[Start]:[Start]],"&lt;="&amp;FQ6,tblProjectSchedule[[Finish]:[Finish]],"&gt;="&amp;FQ6))</f>
        <v>0</v>
      </c>
      <c r="FR4" s="172">
        <f>IF(WEEKDAY(FR6,12)&gt;=6,0,SUMIFS(tblProjectSchedule[[Skilled]:[Skilled]],tblProjectSchedule[[Start]:[Start]],"&lt;="&amp;FR6,tblProjectSchedule[[Finish]:[Finish]],"&gt;="&amp;FR6)+SUMIFS(tblProjectSchedule[[Helpers]:[Helpers]],tblProjectSchedule[[Start]:[Start]],"&lt;="&amp;FR6,tblProjectSchedule[[Finish]:[Finish]],"&gt;="&amp;FR6))</f>
        <v>0</v>
      </c>
      <c r="FS4" s="172">
        <f>IF(WEEKDAY(FS6,12)&gt;=6,0,SUMIFS(tblProjectSchedule[[Skilled]:[Skilled]],tblProjectSchedule[[Start]:[Start]],"&lt;="&amp;FS6,tblProjectSchedule[[Finish]:[Finish]],"&gt;="&amp;FS6)+SUMIFS(tblProjectSchedule[[Helpers]:[Helpers]],tblProjectSchedule[[Start]:[Start]],"&lt;="&amp;FS6,tblProjectSchedule[[Finish]:[Finish]],"&gt;="&amp;FS6))</f>
        <v>0</v>
      </c>
      <c r="FT4" s="172">
        <f>IF(WEEKDAY(FT6,12)&gt;=6,0,SUMIFS(tblProjectSchedule[[Skilled]:[Skilled]],tblProjectSchedule[[Start]:[Start]],"&lt;="&amp;FT6,tblProjectSchedule[[Finish]:[Finish]],"&gt;="&amp;FT6)+SUMIFS(tblProjectSchedule[[Helpers]:[Helpers]],tblProjectSchedule[[Start]:[Start]],"&lt;="&amp;FT6,tblProjectSchedule[[Finish]:[Finish]],"&gt;="&amp;FT6))</f>
        <v>0</v>
      </c>
      <c r="FU4" s="172">
        <f>IF(WEEKDAY(FU6,12)&gt;=6,0,SUMIFS(tblProjectSchedule[[Skilled]:[Skilled]],tblProjectSchedule[[Start]:[Start]],"&lt;="&amp;FU6,tblProjectSchedule[[Finish]:[Finish]],"&gt;="&amp;FU6)+SUMIFS(tblProjectSchedule[[Helpers]:[Helpers]],tblProjectSchedule[[Start]:[Start]],"&lt;="&amp;FU6,tblProjectSchedule[[Finish]:[Finish]],"&gt;="&amp;FU6))</f>
        <v>0</v>
      </c>
      <c r="FV4" s="174">
        <f>IF(WEEKDAY(FV6,12)&gt;=6,0,SUMIFS(tblProjectSchedule[[Skilled]:[Skilled]],tblProjectSchedule[[Start]:[Start]],"&lt;="&amp;FV6,tblProjectSchedule[[Finish]:[Finish]],"&gt;="&amp;FV6)+SUMIFS(tblProjectSchedule[[Helpers]:[Helpers]],tblProjectSchedule[[Start]:[Start]],"&lt;="&amp;FV6,tblProjectSchedule[[Finish]:[Finish]],"&gt;="&amp;FV6))</f>
        <v>0</v>
      </c>
      <c r="FW4" s="173">
        <f>IF(WEEKDAY(FW6,12)&gt;=6,0,SUMIFS(tblProjectSchedule[[Skilled]:[Skilled]],tblProjectSchedule[[Start]:[Start]],"&lt;="&amp;FW6,tblProjectSchedule[[Finish]:[Finish]],"&gt;="&amp;FW6)+SUMIFS(tblProjectSchedule[[Helpers]:[Helpers]],tblProjectSchedule[[Start]:[Start]],"&lt;="&amp;FW6,tblProjectSchedule[[Finish]:[Finish]],"&gt;="&amp;FW6))</f>
        <v>0</v>
      </c>
      <c r="FX4" s="172">
        <f>IF(WEEKDAY(FX6,12)&gt;=6,0,SUMIFS(tblProjectSchedule[[Skilled]:[Skilled]],tblProjectSchedule[[Start]:[Start]],"&lt;="&amp;FX6,tblProjectSchedule[[Finish]:[Finish]],"&gt;="&amp;FX6)+SUMIFS(tblProjectSchedule[[Helpers]:[Helpers]],tblProjectSchedule[[Start]:[Start]],"&lt;="&amp;FX6,tblProjectSchedule[[Finish]:[Finish]],"&gt;="&amp;FX6))</f>
        <v>0</v>
      </c>
      <c r="FY4" s="172">
        <f>IF(WEEKDAY(FY6,12)&gt;=6,0,SUMIFS(tblProjectSchedule[[Skilled]:[Skilled]],tblProjectSchedule[[Start]:[Start]],"&lt;="&amp;FY6,tblProjectSchedule[[Finish]:[Finish]],"&gt;="&amp;FY6)+SUMIFS(tblProjectSchedule[[Helpers]:[Helpers]],tblProjectSchedule[[Start]:[Start]],"&lt;="&amp;FY6,tblProjectSchedule[[Finish]:[Finish]],"&gt;="&amp;FY6))</f>
        <v>0</v>
      </c>
      <c r="FZ4" s="172">
        <f>IF(WEEKDAY(FZ6,12)&gt;=6,0,SUMIFS(tblProjectSchedule[[Skilled]:[Skilled]],tblProjectSchedule[[Start]:[Start]],"&lt;="&amp;FZ6,tblProjectSchedule[[Finish]:[Finish]],"&gt;="&amp;FZ6)+SUMIFS(tblProjectSchedule[[Helpers]:[Helpers]],tblProjectSchedule[[Start]:[Start]],"&lt;="&amp;FZ6,tblProjectSchedule[[Finish]:[Finish]],"&gt;="&amp;FZ6))</f>
        <v>0</v>
      </c>
      <c r="GA4" s="172">
        <f>IF(WEEKDAY(GA6,12)&gt;=6,0,SUMIFS(tblProjectSchedule[[Skilled]:[Skilled]],tblProjectSchedule[[Start]:[Start]],"&lt;="&amp;GA6,tblProjectSchedule[[Finish]:[Finish]],"&gt;="&amp;GA6)+SUMIFS(tblProjectSchedule[[Helpers]:[Helpers]],tblProjectSchedule[[Start]:[Start]],"&lt;="&amp;GA6,tblProjectSchedule[[Finish]:[Finish]],"&gt;="&amp;GA6))</f>
        <v>0</v>
      </c>
      <c r="GB4" s="172">
        <f>IF(WEEKDAY(GB6,12)&gt;=6,0,SUMIFS(tblProjectSchedule[[Skilled]:[Skilled]],tblProjectSchedule[[Start]:[Start]],"&lt;="&amp;GB6,tblProjectSchedule[[Finish]:[Finish]],"&gt;="&amp;GB6)+SUMIFS(tblProjectSchedule[[Helpers]:[Helpers]],tblProjectSchedule[[Start]:[Start]],"&lt;="&amp;GB6,tblProjectSchedule[[Finish]:[Finish]],"&gt;="&amp;GB6))</f>
        <v>0</v>
      </c>
      <c r="GC4" s="174">
        <f>IF(WEEKDAY(GC6,12)&gt;=6,0,SUMIFS(tblProjectSchedule[[Skilled]:[Skilled]],tblProjectSchedule[[Start]:[Start]],"&lt;="&amp;GC6,tblProjectSchedule[[Finish]:[Finish]],"&gt;="&amp;GC6)+SUMIFS(tblProjectSchedule[[Helpers]:[Helpers]],tblProjectSchedule[[Start]:[Start]],"&lt;="&amp;GC6,tblProjectSchedule[[Finish]:[Finish]],"&gt;="&amp;GC6))</f>
        <v>0</v>
      </c>
      <c r="GD4" s="173">
        <f>IF(WEEKDAY(GD6,12)&gt;=6,0,SUMIFS(tblProjectSchedule[[Skilled]:[Skilled]],tblProjectSchedule[[Start]:[Start]],"&lt;="&amp;GD6,tblProjectSchedule[[Finish]:[Finish]],"&gt;="&amp;GD6)+SUMIFS(tblProjectSchedule[[Helpers]:[Helpers]],tblProjectSchedule[[Start]:[Start]],"&lt;="&amp;GD6,tblProjectSchedule[[Finish]:[Finish]],"&gt;="&amp;GD6))</f>
        <v>0</v>
      </c>
      <c r="GE4" s="172">
        <f>IF(WEEKDAY(GE6,12)&gt;=6,0,SUMIFS(tblProjectSchedule[[Skilled]:[Skilled]],tblProjectSchedule[[Start]:[Start]],"&lt;="&amp;GE6,tblProjectSchedule[[Finish]:[Finish]],"&gt;="&amp;GE6)+SUMIFS(tblProjectSchedule[[Helpers]:[Helpers]],tblProjectSchedule[[Start]:[Start]],"&lt;="&amp;GE6,tblProjectSchedule[[Finish]:[Finish]],"&gt;="&amp;GE6))</f>
        <v>0</v>
      </c>
      <c r="GF4" s="172">
        <f>IF(WEEKDAY(GF6,12)&gt;=6,0,SUMIFS(tblProjectSchedule[[Skilled]:[Skilled]],tblProjectSchedule[[Start]:[Start]],"&lt;="&amp;GF6,tblProjectSchedule[[Finish]:[Finish]],"&gt;="&amp;GF6)+SUMIFS(tblProjectSchedule[[Helpers]:[Helpers]],tblProjectSchedule[[Start]:[Start]],"&lt;="&amp;GF6,tblProjectSchedule[[Finish]:[Finish]],"&gt;="&amp;GF6))</f>
        <v>0</v>
      </c>
      <c r="GG4" s="172">
        <f>IF(WEEKDAY(GG6,12)&gt;=6,0,SUMIFS(tblProjectSchedule[[Skilled]:[Skilled]],tblProjectSchedule[[Start]:[Start]],"&lt;="&amp;GG6,tblProjectSchedule[[Finish]:[Finish]],"&gt;="&amp;GG6)+SUMIFS(tblProjectSchedule[[Helpers]:[Helpers]],tblProjectSchedule[[Start]:[Start]],"&lt;="&amp;GG6,tblProjectSchedule[[Finish]:[Finish]],"&gt;="&amp;GG6))</f>
        <v>0</v>
      </c>
      <c r="GH4" s="172">
        <f>IF(WEEKDAY(GH6,12)&gt;=6,0,SUMIFS(tblProjectSchedule[[Skilled]:[Skilled]],tblProjectSchedule[[Start]:[Start]],"&lt;="&amp;GH6,tblProjectSchedule[[Finish]:[Finish]],"&gt;="&amp;GH6)+SUMIFS(tblProjectSchedule[[Helpers]:[Helpers]],tblProjectSchedule[[Start]:[Start]],"&lt;="&amp;GH6,tblProjectSchedule[[Finish]:[Finish]],"&gt;="&amp;GH6))</f>
        <v>0</v>
      </c>
      <c r="GI4" s="172">
        <f>IF(WEEKDAY(GI6,12)&gt;=6,0,SUMIFS(tblProjectSchedule[[Skilled]:[Skilled]],tblProjectSchedule[[Start]:[Start]],"&lt;="&amp;GI6,tblProjectSchedule[[Finish]:[Finish]],"&gt;="&amp;GI6)+SUMIFS(tblProjectSchedule[[Helpers]:[Helpers]],tblProjectSchedule[[Start]:[Start]],"&lt;="&amp;GI6,tblProjectSchedule[[Finish]:[Finish]],"&gt;="&amp;GI6))</f>
        <v>0</v>
      </c>
      <c r="GJ4" s="174">
        <f>IF(WEEKDAY(GJ6,12)&gt;=6,0,SUMIFS(tblProjectSchedule[[Skilled]:[Skilled]],tblProjectSchedule[[Start]:[Start]],"&lt;="&amp;GJ6,tblProjectSchedule[[Finish]:[Finish]],"&gt;="&amp;GJ6)+SUMIFS(tblProjectSchedule[[Helpers]:[Helpers]],tblProjectSchedule[[Start]:[Start]],"&lt;="&amp;GJ6,tblProjectSchedule[[Finish]:[Finish]],"&gt;="&amp;GJ6))</f>
        <v>0</v>
      </c>
      <c r="GK4" s="173">
        <f>IF(WEEKDAY(GK6,12)&gt;=6,0,SUMIFS(tblProjectSchedule[[Skilled]:[Skilled]],tblProjectSchedule[[Start]:[Start]],"&lt;="&amp;GK6,tblProjectSchedule[[Finish]:[Finish]],"&gt;="&amp;GK6)+SUMIFS(tblProjectSchedule[[Helpers]:[Helpers]],tblProjectSchedule[[Start]:[Start]],"&lt;="&amp;GK6,tblProjectSchedule[[Finish]:[Finish]],"&gt;="&amp;GK6))</f>
        <v>0</v>
      </c>
      <c r="GL4" s="172">
        <f>IF(WEEKDAY(GL6,12)&gt;=6,0,SUMIFS(tblProjectSchedule[[Skilled]:[Skilled]],tblProjectSchedule[[Start]:[Start]],"&lt;="&amp;GL6,tblProjectSchedule[[Finish]:[Finish]],"&gt;="&amp;GL6)+SUMIFS(tblProjectSchedule[[Helpers]:[Helpers]],tblProjectSchedule[[Start]:[Start]],"&lt;="&amp;GL6,tblProjectSchedule[[Finish]:[Finish]],"&gt;="&amp;GL6))</f>
        <v>0</v>
      </c>
      <c r="GM4" s="172">
        <f>IF(WEEKDAY(GM6,12)&gt;=6,0,SUMIFS(tblProjectSchedule[[Skilled]:[Skilled]],tblProjectSchedule[[Start]:[Start]],"&lt;="&amp;GM6,tblProjectSchedule[[Finish]:[Finish]],"&gt;="&amp;GM6)+SUMIFS(tblProjectSchedule[[Helpers]:[Helpers]],tblProjectSchedule[[Start]:[Start]],"&lt;="&amp;GM6,tblProjectSchedule[[Finish]:[Finish]],"&gt;="&amp;GM6))</f>
        <v>0</v>
      </c>
      <c r="GN4" s="172">
        <f>IF(WEEKDAY(GN6,12)&gt;=6,0,SUMIFS(tblProjectSchedule[[Skilled]:[Skilled]],tblProjectSchedule[[Start]:[Start]],"&lt;="&amp;GN6,tblProjectSchedule[[Finish]:[Finish]],"&gt;="&amp;GN6)+SUMIFS(tblProjectSchedule[[Helpers]:[Helpers]],tblProjectSchedule[[Start]:[Start]],"&lt;="&amp;GN6,tblProjectSchedule[[Finish]:[Finish]],"&gt;="&amp;GN6))</f>
        <v>0</v>
      </c>
      <c r="GO4" s="172">
        <f>IF(WEEKDAY(GO6,12)&gt;=6,0,SUMIFS(tblProjectSchedule[[Skilled]:[Skilled]],tblProjectSchedule[[Start]:[Start]],"&lt;="&amp;GO6,tblProjectSchedule[[Finish]:[Finish]],"&gt;="&amp;GO6)+SUMIFS(tblProjectSchedule[[Helpers]:[Helpers]],tblProjectSchedule[[Start]:[Start]],"&lt;="&amp;GO6,tblProjectSchedule[[Finish]:[Finish]],"&gt;="&amp;GO6))</f>
        <v>0</v>
      </c>
      <c r="GP4" s="172">
        <f>IF(WEEKDAY(GP6,12)&gt;=6,0,SUMIFS(tblProjectSchedule[[Skilled]:[Skilled]],tblProjectSchedule[[Start]:[Start]],"&lt;="&amp;GP6,tblProjectSchedule[[Finish]:[Finish]],"&gt;="&amp;GP6)+SUMIFS(tblProjectSchedule[[Helpers]:[Helpers]],tblProjectSchedule[[Start]:[Start]],"&lt;="&amp;GP6,tblProjectSchedule[[Finish]:[Finish]],"&gt;="&amp;GP6))</f>
        <v>0</v>
      </c>
      <c r="GQ4" s="174">
        <f>IF(WEEKDAY(GQ6,12)&gt;=6,0,SUMIFS(tblProjectSchedule[[Skilled]:[Skilled]],tblProjectSchedule[[Start]:[Start]],"&lt;="&amp;GQ6,tblProjectSchedule[[Finish]:[Finish]],"&gt;="&amp;GQ6)+SUMIFS(tblProjectSchedule[[Helpers]:[Helpers]],tblProjectSchedule[[Start]:[Start]],"&lt;="&amp;GQ6,tblProjectSchedule[[Finish]:[Finish]],"&gt;="&amp;GQ6))</f>
        <v>0</v>
      </c>
      <c r="GR4" s="173">
        <f>IF(WEEKDAY(GR6,12)&gt;=6,0,SUMIFS(tblProjectSchedule[[Skilled]:[Skilled]],tblProjectSchedule[[Start]:[Start]],"&lt;="&amp;GR6,tblProjectSchedule[[Finish]:[Finish]],"&gt;="&amp;GR6)+SUMIFS(tblProjectSchedule[[Helpers]:[Helpers]],tblProjectSchedule[[Start]:[Start]],"&lt;="&amp;GR6,tblProjectSchedule[[Finish]:[Finish]],"&gt;="&amp;GR6))</f>
        <v>0</v>
      </c>
      <c r="GS4" s="172">
        <f>IF(WEEKDAY(GS6,12)&gt;=6,0,SUMIFS(tblProjectSchedule[[Skilled]:[Skilled]],tblProjectSchedule[[Start]:[Start]],"&lt;="&amp;GS6,tblProjectSchedule[[Finish]:[Finish]],"&gt;="&amp;GS6)+SUMIFS(tblProjectSchedule[[Helpers]:[Helpers]],tblProjectSchedule[[Start]:[Start]],"&lt;="&amp;GS6,tblProjectSchedule[[Finish]:[Finish]],"&gt;="&amp;GS6))</f>
        <v>0</v>
      </c>
      <c r="GT4" s="172">
        <f>IF(WEEKDAY(GT6,12)&gt;=6,0,SUMIFS(tblProjectSchedule[[Skilled]:[Skilled]],tblProjectSchedule[[Start]:[Start]],"&lt;="&amp;GT6,tblProjectSchedule[[Finish]:[Finish]],"&gt;="&amp;GT6)+SUMIFS(tblProjectSchedule[[Helpers]:[Helpers]],tblProjectSchedule[[Start]:[Start]],"&lt;="&amp;GT6,tblProjectSchedule[[Finish]:[Finish]],"&gt;="&amp;GT6))</f>
        <v>0</v>
      </c>
      <c r="GU4" s="172">
        <f>IF(WEEKDAY(GU6,12)&gt;=6,0,SUMIFS(tblProjectSchedule[[Skilled]:[Skilled]],tblProjectSchedule[[Start]:[Start]],"&lt;="&amp;GU6,tblProjectSchedule[[Finish]:[Finish]],"&gt;="&amp;GU6)+SUMIFS(tblProjectSchedule[[Helpers]:[Helpers]],tblProjectSchedule[[Start]:[Start]],"&lt;="&amp;GU6,tblProjectSchedule[[Finish]:[Finish]],"&gt;="&amp;GU6))</f>
        <v>0</v>
      </c>
      <c r="GV4" s="172">
        <f>IF(WEEKDAY(GV6,12)&gt;=6,0,SUMIFS(tblProjectSchedule[[Skilled]:[Skilled]],tblProjectSchedule[[Start]:[Start]],"&lt;="&amp;GV6,tblProjectSchedule[[Finish]:[Finish]],"&gt;="&amp;GV6)+SUMIFS(tblProjectSchedule[[Helpers]:[Helpers]],tblProjectSchedule[[Start]:[Start]],"&lt;="&amp;GV6,tblProjectSchedule[[Finish]:[Finish]],"&gt;="&amp;GV6))</f>
        <v>0</v>
      </c>
      <c r="GW4" s="172">
        <f>IF(WEEKDAY(GW6,12)&gt;=6,0,SUMIFS(tblProjectSchedule[[Skilled]:[Skilled]],tblProjectSchedule[[Start]:[Start]],"&lt;="&amp;GW6,tblProjectSchedule[[Finish]:[Finish]],"&gt;="&amp;GW6)+SUMIFS(tblProjectSchedule[[Helpers]:[Helpers]],tblProjectSchedule[[Start]:[Start]],"&lt;="&amp;GW6,tblProjectSchedule[[Finish]:[Finish]],"&gt;="&amp;GW6))</f>
        <v>0</v>
      </c>
      <c r="GX4" s="174">
        <f>IF(WEEKDAY(GX6,12)&gt;=6,0,SUMIFS(tblProjectSchedule[[Skilled]:[Skilled]],tblProjectSchedule[[Start]:[Start]],"&lt;="&amp;GX6,tblProjectSchedule[[Finish]:[Finish]],"&gt;="&amp;GX6)+SUMIFS(tblProjectSchedule[[Helpers]:[Helpers]],tblProjectSchedule[[Start]:[Start]],"&lt;="&amp;GX6,tblProjectSchedule[[Finish]:[Finish]],"&gt;="&amp;GX6))</f>
        <v>0</v>
      </c>
      <c r="GY4" s="173">
        <f>IF(WEEKDAY(GY6,12)&gt;=6,0,SUMIFS(tblProjectSchedule[[Skilled]:[Skilled]],tblProjectSchedule[[Start]:[Start]],"&lt;="&amp;GY6,tblProjectSchedule[[Finish]:[Finish]],"&gt;="&amp;GY6)+SUMIFS(tblProjectSchedule[[Helpers]:[Helpers]],tblProjectSchedule[[Start]:[Start]],"&lt;="&amp;GY6,tblProjectSchedule[[Finish]:[Finish]],"&gt;="&amp;GY6))</f>
        <v>0</v>
      </c>
      <c r="GZ4" s="172">
        <f>IF(WEEKDAY(GZ6,12)&gt;=6,0,SUMIFS(tblProjectSchedule[[Skilled]:[Skilled]],tblProjectSchedule[[Start]:[Start]],"&lt;="&amp;GZ6,tblProjectSchedule[[Finish]:[Finish]],"&gt;="&amp;GZ6)+SUMIFS(tblProjectSchedule[[Helpers]:[Helpers]],tblProjectSchedule[[Start]:[Start]],"&lt;="&amp;GZ6,tblProjectSchedule[[Finish]:[Finish]],"&gt;="&amp;GZ6))</f>
        <v>0</v>
      </c>
      <c r="HA4" s="172">
        <f>IF(WEEKDAY(HA6,12)&gt;=6,0,SUMIFS(tblProjectSchedule[[Skilled]:[Skilled]],tblProjectSchedule[[Start]:[Start]],"&lt;="&amp;HA6,tblProjectSchedule[[Finish]:[Finish]],"&gt;="&amp;HA6)+SUMIFS(tblProjectSchedule[[Helpers]:[Helpers]],tblProjectSchedule[[Start]:[Start]],"&lt;="&amp;HA6,tblProjectSchedule[[Finish]:[Finish]],"&gt;="&amp;HA6))</f>
        <v>0</v>
      </c>
      <c r="HB4" s="172">
        <f>IF(WEEKDAY(HB6,12)&gt;=6,0,SUMIFS(tblProjectSchedule[[Skilled]:[Skilled]],tblProjectSchedule[[Start]:[Start]],"&lt;="&amp;HB6,tblProjectSchedule[[Finish]:[Finish]],"&gt;="&amp;HB6)+SUMIFS(tblProjectSchedule[[Helpers]:[Helpers]],tblProjectSchedule[[Start]:[Start]],"&lt;="&amp;HB6,tblProjectSchedule[[Finish]:[Finish]],"&gt;="&amp;HB6))</f>
        <v>0</v>
      </c>
      <c r="HC4" s="172">
        <f>IF(WEEKDAY(HC6,12)&gt;=6,0,SUMIFS(tblProjectSchedule[[Skilled]:[Skilled]],tblProjectSchedule[[Start]:[Start]],"&lt;="&amp;HC6,tblProjectSchedule[[Finish]:[Finish]],"&gt;="&amp;HC6)+SUMIFS(tblProjectSchedule[[Helpers]:[Helpers]],tblProjectSchedule[[Start]:[Start]],"&lt;="&amp;HC6,tblProjectSchedule[[Finish]:[Finish]],"&gt;="&amp;HC6))</f>
        <v>0</v>
      </c>
      <c r="HD4" s="172">
        <f>IF(WEEKDAY(HD6,12)&gt;=6,0,SUMIFS(tblProjectSchedule[[Skilled]:[Skilled]],tblProjectSchedule[[Start]:[Start]],"&lt;="&amp;HD6,tblProjectSchedule[[Finish]:[Finish]],"&gt;="&amp;HD6)+SUMIFS(tblProjectSchedule[[Helpers]:[Helpers]],tblProjectSchedule[[Start]:[Start]],"&lt;="&amp;HD6,tblProjectSchedule[[Finish]:[Finish]],"&gt;="&amp;HD6))</f>
        <v>0</v>
      </c>
      <c r="HE4" s="174">
        <f>IF(WEEKDAY(HE6,12)&gt;=6,0,SUMIFS(tblProjectSchedule[[Skilled]:[Skilled]],tblProjectSchedule[[Start]:[Start]],"&lt;="&amp;HE6,tblProjectSchedule[[Finish]:[Finish]],"&gt;="&amp;HE6)+SUMIFS(tblProjectSchedule[[Helpers]:[Helpers]],tblProjectSchedule[[Start]:[Start]],"&lt;="&amp;HE6,tblProjectSchedule[[Finish]:[Finish]],"&gt;="&amp;HE6))</f>
        <v>0</v>
      </c>
      <c r="HF4" s="173">
        <f>IF(WEEKDAY(HF6,12)&gt;=6,0,SUMIFS(tblProjectSchedule[[Skilled]:[Skilled]],tblProjectSchedule[[Start]:[Start]],"&lt;="&amp;HF6,tblProjectSchedule[[Finish]:[Finish]],"&gt;="&amp;HF6)+SUMIFS(tblProjectSchedule[[Helpers]:[Helpers]],tblProjectSchedule[[Start]:[Start]],"&lt;="&amp;HF6,tblProjectSchedule[[Finish]:[Finish]],"&gt;="&amp;HF6))</f>
        <v>0</v>
      </c>
      <c r="HG4" s="172">
        <f>IF(WEEKDAY(HG6,12)&gt;=6,0,SUMIFS(tblProjectSchedule[[Skilled]:[Skilled]],tblProjectSchedule[[Start]:[Start]],"&lt;="&amp;HG6,tblProjectSchedule[[Finish]:[Finish]],"&gt;="&amp;HG6)+SUMIFS(tblProjectSchedule[[Helpers]:[Helpers]],tblProjectSchedule[[Start]:[Start]],"&lt;="&amp;HG6,tblProjectSchedule[[Finish]:[Finish]],"&gt;="&amp;HG6))</f>
        <v>0</v>
      </c>
      <c r="HH4" s="172">
        <f>IF(WEEKDAY(HH6,12)&gt;=6,0,SUMIFS(tblProjectSchedule[[Skilled]:[Skilled]],tblProjectSchedule[[Start]:[Start]],"&lt;="&amp;HH6,tblProjectSchedule[[Finish]:[Finish]],"&gt;="&amp;HH6)+SUMIFS(tblProjectSchedule[[Helpers]:[Helpers]],tblProjectSchedule[[Start]:[Start]],"&lt;="&amp;HH6,tblProjectSchedule[[Finish]:[Finish]],"&gt;="&amp;HH6))</f>
        <v>0</v>
      </c>
      <c r="HI4" s="172">
        <f>IF(WEEKDAY(HI6,12)&gt;=6,0,SUMIFS(tblProjectSchedule[[Skilled]:[Skilled]],tblProjectSchedule[[Start]:[Start]],"&lt;="&amp;HI6,tblProjectSchedule[[Finish]:[Finish]],"&gt;="&amp;HI6)+SUMIFS(tblProjectSchedule[[Helpers]:[Helpers]],tblProjectSchedule[[Start]:[Start]],"&lt;="&amp;HI6,tblProjectSchedule[[Finish]:[Finish]],"&gt;="&amp;HI6))</f>
        <v>0</v>
      </c>
      <c r="HJ4" s="172">
        <f>IF(WEEKDAY(HJ6,12)&gt;=6,0,SUMIFS(tblProjectSchedule[[Skilled]:[Skilled]],tblProjectSchedule[[Start]:[Start]],"&lt;="&amp;HJ6,tblProjectSchedule[[Finish]:[Finish]],"&gt;="&amp;HJ6)+SUMIFS(tblProjectSchedule[[Helpers]:[Helpers]],tblProjectSchedule[[Start]:[Start]],"&lt;="&amp;HJ6,tblProjectSchedule[[Finish]:[Finish]],"&gt;="&amp;HJ6))</f>
        <v>0</v>
      </c>
      <c r="HK4" s="172">
        <f>IF(WEEKDAY(HK6,12)&gt;=6,0,SUMIFS(tblProjectSchedule[[Skilled]:[Skilled]],tblProjectSchedule[[Start]:[Start]],"&lt;="&amp;HK6,tblProjectSchedule[[Finish]:[Finish]],"&gt;="&amp;HK6)+SUMIFS(tblProjectSchedule[[Helpers]:[Helpers]],tblProjectSchedule[[Start]:[Start]],"&lt;="&amp;HK6,tblProjectSchedule[[Finish]:[Finish]],"&gt;="&amp;HK6))</f>
        <v>0</v>
      </c>
      <c r="HL4" s="174">
        <f>IF(WEEKDAY(HL6,12)&gt;=6,0,SUMIFS(tblProjectSchedule[[Skilled]:[Skilled]],tblProjectSchedule[[Start]:[Start]],"&lt;="&amp;HL6,tblProjectSchedule[[Finish]:[Finish]],"&gt;="&amp;HL6)+SUMIFS(tblProjectSchedule[[Helpers]:[Helpers]],tblProjectSchedule[[Start]:[Start]],"&lt;="&amp;HL6,tblProjectSchedule[[Finish]:[Finish]],"&gt;="&amp;HL6))</f>
        <v>0</v>
      </c>
      <c r="HM4" s="173">
        <f>IF(WEEKDAY(HM6,12)&gt;=6,0,SUMIFS(tblProjectSchedule[[Skilled]:[Skilled]],tblProjectSchedule[[Start]:[Start]],"&lt;="&amp;HM6,tblProjectSchedule[[Finish]:[Finish]],"&gt;="&amp;HM6)+SUMIFS(tblProjectSchedule[[Helpers]:[Helpers]],tblProjectSchedule[[Start]:[Start]],"&lt;="&amp;HM6,tblProjectSchedule[[Finish]:[Finish]],"&gt;="&amp;HM6))</f>
        <v>0</v>
      </c>
      <c r="HN4" s="172">
        <f>IF(WEEKDAY(HN6,12)&gt;=6,0,SUMIFS(tblProjectSchedule[[Skilled]:[Skilled]],tblProjectSchedule[[Start]:[Start]],"&lt;="&amp;HN6,tblProjectSchedule[[Finish]:[Finish]],"&gt;="&amp;HN6)+SUMIFS(tblProjectSchedule[[Helpers]:[Helpers]],tblProjectSchedule[[Start]:[Start]],"&lt;="&amp;HN6,tblProjectSchedule[[Finish]:[Finish]],"&gt;="&amp;HN6))</f>
        <v>0</v>
      </c>
      <c r="HO4" s="172">
        <f>IF(WEEKDAY(HO6,12)&gt;=6,0,SUMIFS(tblProjectSchedule[[Skilled]:[Skilled]],tblProjectSchedule[[Start]:[Start]],"&lt;="&amp;HO6,tblProjectSchedule[[Finish]:[Finish]],"&gt;="&amp;HO6)+SUMIFS(tblProjectSchedule[[Helpers]:[Helpers]],tblProjectSchedule[[Start]:[Start]],"&lt;="&amp;HO6,tblProjectSchedule[[Finish]:[Finish]],"&gt;="&amp;HO6))</f>
        <v>0</v>
      </c>
      <c r="HP4" s="172">
        <f>IF(WEEKDAY(HP6,12)&gt;=6,0,SUMIFS(tblProjectSchedule[[Skilled]:[Skilled]],tblProjectSchedule[[Start]:[Start]],"&lt;="&amp;HP6,tblProjectSchedule[[Finish]:[Finish]],"&gt;="&amp;HP6)+SUMIFS(tblProjectSchedule[[Helpers]:[Helpers]],tblProjectSchedule[[Start]:[Start]],"&lt;="&amp;HP6,tblProjectSchedule[[Finish]:[Finish]],"&gt;="&amp;HP6))</f>
        <v>0</v>
      </c>
      <c r="HQ4" s="172">
        <f>IF(WEEKDAY(HQ6,12)&gt;=6,0,SUMIFS(tblProjectSchedule[[Skilled]:[Skilled]],tblProjectSchedule[[Start]:[Start]],"&lt;="&amp;HQ6,tblProjectSchedule[[Finish]:[Finish]],"&gt;="&amp;HQ6)+SUMIFS(tblProjectSchedule[[Helpers]:[Helpers]],tblProjectSchedule[[Start]:[Start]],"&lt;="&amp;HQ6,tblProjectSchedule[[Finish]:[Finish]],"&gt;="&amp;HQ6))</f>
        <v>0</v>
      </c>
      <c r="HR4" s="172">
        <f>IF(WEEKDAY(HR6,12)&gt;=6,0,SUMIFS(tblProjectSchedule[[Skilled]:[Skilled]],tblProjectSchedule[[Start]:[Start]],"&lt;="&amp;HR6,tblProjectSchedule[[Finish]:[Finish]],"&gt;="&amp;HR6)+SUMIFS(tblProjectSchedule[[Helpers]:[Helpers]],tblProjectSchedule[[Start]:[Start]],"&lt;="&amp;HR6,tblProjectSchedule[[Finish]:[Finish]],"&gt;="&amp;HR6))</f>
        <v>0</v>
      </c>
      <c r="HS4" s="174">
        <f>IF(WEEKDAY(HS6,12)&gt;=6,0,SUMIFS(tblProjectSchedule[[Skilled]:[Skilled]],tblProjectSchedule[[Start]:[Start]],"&lt;="&amp;HS6,tblProjectSchedule[[Finish]:[Finish]],"&gt;="&amp;HS6)+SUMIFS(tblProjectSchedule[[Helpers]:[Helpers]],tblProjectSchedule[[Start]:[Start]],"&lt;="&amp;HS6,tblProjectSchedule[[Finish]:[Finish]],"&gt;="&amp;HS6))</f>
        <v>0</v>
      </c>
      <c r="HT4" s="173">
        <f>IF(WEEKDAY(HT6,12)&gt;=6,0,SUMIFS(tblProjectSchedule[[Skilled]:[Skilled]],tblProjectSchedule[[Start]:[Start]],"&lt;="&amp;HT6,tblProjectSchedule[[Finish]:[Finish]],"&gt;="&amp;HT6)+SUMIFS(tblProjectSchedule[[Helpers]:[Helpers]],tblProjectSchedule[[Start]:[Start]],"&lt;="&amp;HT6,tblProjectSchedule[[Finish]:[Finish]],"&gt;="&amp;HT6))</f>
        <v>0</v>
      </c>
      <c r="HU4" s="172">
        <f>IF(WEEKDAY(HU6,12)&gt;=6,0,SUMIFS(tblProjectSchedule[[Skilled]:[Skilled]],tblProjectSchedule[[Start]:[Start]],"&lt;="&amp;HU6,tblProjectSchedule[[Finish]:[Finish]],"&gt;="&amp;HU6)+SUMIFS(tblProjectSchedule[[Helpers]:[Helpers]],tblProjectSchedule[[Start]:[Start]],"&lt;="&amp;HU6,tblProjectSchedule[[Finish]:[Finish]],"&gt;="&amp;HU6))</f>
        <v>0</v>
      </c>
      <c r="HV4" s="172">
        <f>IF(WEEKDAY(HV6,12)&gt;=6,0,SUMIFS(tblProjectSchedule[[Skilled]:[Skilled]],tblProjectSchedule[[Start]:[Start]],"&lt;="&amp;HV6,tblProjectSchedule[[Finish]:[Finish]],"&gt;="&amp;HV6)+SUMIFS(tblProjectSchedule[[Helpers]:[Helpers]],tblProjectSchedule[[Start]:[Start]],"&lt;="&amp;HV6,tblProjectSchedule[[Finish]:[Finish]],"&gt;="&amp;HV6))</f>
        <v>0</v>
      </c>
      <c r="HW4" s="172">
        <f>IF(WEEKDAY(HW6,12)&gt;=6,0,SUMIFS(tblProjectSchedule[[Skilled]:[Skilled]],tblProjectSchedule[[Start]:[Start]],"&lt;="&amp;HW6,tblProjectSchedule[[Finish]:[Finish]],"&gt;="&amp;HW6)+SUMIFS(tblProjectSchedule[[Helpers]:[Helpers]],tblProjectSchedule[[Start]:[Start]],"&lt;="&amp;HW6,tblProjectSchedule[[Finish]:[Finish]],"&gt;="&amp;HW6))</f>
        <v>0</v>
      </c>
      <c r="HX4" s="172">
        <f>IF(WEEKDAY(HX6,12)&gt;=6,0,SUMIFS(tblProjectSchedule[[Skilled]:[Skilled]],tblProjectSchedule[[Start]:[Start]],"&lt;="&amp;HX6,tblProjectSchedule[[Finish]:[Finish]],"&gt;="&amp;HX6)+SUMIFS(tblProjectSchedule[[Helpers]:[Helpers]],tblProjectSchedule[[Start]:[Start]],"&lt;="&amp;HX6,tblProjectSchedule[[Finish]:[Finish]],"&gt;="&amp;HX6))</f>
        <v>0</v>
      </c>
      <c r="HY4" s="172">
        <f>IF(WEEKDAY(HY6,12)&gt;=6,0,SUMIFS(tblProjectSchedule[[Skilled]:[Skilled]],tblProjectSchedule[[Start]:[Start]],"&lt;="&amp;HY6,tblProjectSchedule[[Finish]:[Finish]],"&gt;="&amp;HY6)+SUMIFS(tblProjectSchedule[[Helpers]:[Helpers]],tblProjectSchedule[[Start]:[Start]],"&lt;="&amp;HY6,tblProjectSchedule[[Finish]:[Finish]],"&gt;="&amp;HY6))</f>
        <v>0</v>
      </c>
      <c r="HZ4" s="174">
        <f>IF(WEEKDAY(HZ6,12)&gt;=6,0,SUMIFS(tblProjectSchedule[[Skilled]:[Skilled]],tblProjectSchedule[[Start]:[Start]],"&lt;="&amp;HZ6,tblProjectSchedule[[Finish]:[Finish]],"&gt;="&amp;HZ6)+SUMIFS(tblProjectSchedule[[Helpers]:[Helpers]],tblProjectSchedule[[Start]:[Start]],"&lt;="&amp;HZ6,tblProjectSchedule[[Finish]:[Finish]],"&gt;="&amp;HZ6))</f>
        <v>0</v>
      </c>
      <c r="IA4" s="173">
        <f>IF(WEEKDAY(IA6,12)&gt;=6,0,SUMIFS(tblProjectSchedule[[Skilled]:[Skilled]],tblProjectSchedule[[Start]:[Start]],"&lt;="&amp;IA6,tblProjectSchedule[[Finish]:[Finish]],"&gt;="&amp;IA6)+SUMIFS(tblProjectSchedule[[Helpers]:[Helpers]],tblProjectSchedule[[Start]:[Start]],"&lt;="&amp;IA6,tblProjectSchedule[[Finish]:[Finish]],"&gt;="&amp;IA6))</f>
        <v>0</v>
      </c>
      <c r="IB4" s="172">
        <f>IF(WEEKDAY(IB6,12)&gt;=6,0,SUMIFS(tblProjectSchedule[[Skilled]:[Skilled]],tblProjectSchedule[[Start]:[Start]],"&lt;="&amp;IB6,tblProjectSchedule[[Finish]:[Finish]],"&gt;="&amp;IB6)+SUMIFS(tblProjectSchedule[[Helpers]:[Helpers]],tblProjectSchedule[[Start]:[Start]],"&lt;="&amp;IB6,tblProjectSchedule[[Finish]:[Finish]],"&gt;="&amp;IB6))</f>
        <v>0</v>
      </c>
      <c r="IC4" s="172">
        <f>IF(WEEKDAY(IC6,12)&gt;=6,0,SUMIFS(tblProjectSchedule[[Skilled]:[Skilled]],tblProjectSchedule[[Start]:[Start]],"&lt;="&amp;IC6,tblProjectSchedule[[Finish]:[Finish]],"&gt;="&amp;IC6)+SUMIFS(tblProjectSchedule[[Helpers]:[Helpers]],tblProjectSchedule[[Start]:[Start]],"&lt;="&amp;IC6,tblProjectSchedule[[Finish]:[Finish]],"&gt;="&amp;IC6))</f>
        <v>0</v>
      </c>
      <c r="ID4" s="172">
        <f>IF(WEEKDAY(ID6,12)&gt;=6,0,SUMIFS(tblProjectSchedule[[Skilled]:[Skilled]],tblProjectSchedule[[Start]:[Start]],"&lt;="&amp;ID6,tblProjectSchedule[[Finish]:[Finish]],"&gt;="&amp;ID6)+SUMIFS(tblProjectSchedule[[Helpers]:[Helpers]],tblProjectSchedule[[Start]:[Start]],"&lt;="&amp;ID6,tblProjectSchedule[[Finish]:[Finish]],"&gt;="&amp;ID6))</f>
        <v>0</v>
      </c>
      <c r="IE4" s="172">
        <f>IF(WEEKDAY(IE6,12)&gt;=6,0,SUMIFS(tblProjectSchedule[[Skilled]:[Skilled]],tblProjectSchedule[[Start]:[Start]],"&lt;="&amp;IE6,tblProjectSchedule[[Finish]:[Finish]],"&gt;="&amp;IE6)+SUMIFS(tblProjectSchedule[[Helpers]:[Helpers]],tblProjectSchedule[[Start]:[Start]],"&lt;="&amp;IE6,tblProjectSchedule[[Finish]:[Finish]],"&gt;="&amp;IE6))</f>
        <v>0</v>
      </c>
      <c r="IF4" s="172">
        <f>IF(WEEKDAY(IF6,12)&gt;=6,0,SUMIFS(tblProjectSchedule[[Skilled]:[Skilled]],tblProjectSchedule[[Start]:[Start]],"&lt;="&amp;IF6,tblProjectSchedule[[Finish]:[Finish]],"&gt;="&amp;IF6)+SUMIFS(tblProjectSchedule[[Helpers]:[Helpers]],tblProjectSchedule[[Start]:[Start]],"&lt;="&amp;IF6,tblProjectSchedule[[Finish]:[Finish]],"&gt;="&amp;IF6))</f>
        <v>0</v>
      </c>
      <c r="IG4" s="174">
        <f>IF(WEEKDAY(IG6,12)&gt;=6,0,SUMIFS(tblProjectSchedule[[Skilled]:[Skilled]],tblProjectSchedule[[Start]:[Start]],"&lt;="&amp;IG6,tblProjectSchedule[[Finish]:[Finish]],"&gt;="&amp;IG6)+SUMIFS(tblProjectSchedule[[Helpers]:[Helpers]],tblProjectSchedule[[Start]:[Start]],"&lt;="&amp;IG6,tblProjectSchedule[[Finish]:[Finish]],"&gt;="&amp;IG6))</f>
        <v>0</v>
      </c>
      <c r="IH4" s="173">
        <f>IF(WEEKDAY(IH6,12)&gt;=6,0,SUMIFS(tblProjectSchedule[[Skilled]:[Skilled]],tblProjectSchedule[[Start]:[Start]],"&lt;="&amp;IH6,tblProjectSchedule[[Finish]:[Finish]],"&gt;="&amp;IH6)+SUMIFS(tblProjectSchedule[[Helpers]:[Helpers]],tblProjectSchedule[[Start]:[Start]],"&lt;="&amp;IH6,tblProjectSchedule[[Finish]:[Finish]],"&gt;="&amp;IH6))</f>
        <v>0</v>
      </c>
      <c r="II4" s="172">
        <f>IF(WEEKDAY(II6,12)&gt;=6,0,SUMIFS(tblProjectSchedule[[Skilled]:[Skilled]],tblProjectSchedule[[Start]:[Start]],"&lt;="&amp;II6,tblProjectSchedule[[Finish]:[Finish]],"&gt;="&amp;II6)+SUMIFS(tblProjectSchedule[[Helpers]:[Helpers]],tblProjectSchedule[[Start]:[Start]],"&lt;="&amp;II6,tblProjectSchedule[[Finish]:[Finish]],"&gt;="&amp;II6))</f>
        <v>0</v>
      </c>
      <c r="IJ4" s="172">
        <f>IF(WEEKDAY(IJ6,12)&gt;=6,0,SUMIFS(tblProjectSchedule[[Skilled]:[Skilled]],tblProjectSchedule[[Start]:[Start]],"&lt;="&amp;IJ6,tblProjectSchedule[[Finish]:[Finish]],"&gt;="&amp;IJ6)+SUMIFS(tblProjectSchedule[[Helpers]:[Helpers]],tblProjectSchedule[[Start]:[Start]],"&lt;="&amp;IJ6,tblProjectSchedule[[Finish]:[Finish]],"&gt;="&amp;IJ6))</f>
        <v>0</v>
      </c>
      <c r="IK4" s="172">
        <f>IF(WEEKDAY(IK6,12)&gt;=6,0,SUMIFS(tblProjectSchedule[[Skilled]:[Skilled]],tblProjectSchedule[[Start]:[Start]],"&lt;="&amp;IK6,tblProjectSchedule[[Finish]:[Finish]],"&gt;="&amp;IK6)+SUMIFS(tblProjectSchedule[[Helpers]:[Helpers]],tblProjectSchedule[[Start]:[Start]],"&lt;="&amp;IK6,tblProjectSchedule[[Finish]:[Finish]],"&gt;="&amp;IK6))</f>
        <v>0</v>
      </c>
      <c r="IL4" s="172">
        <f>IF(WEEKDAY(IL6,12)&gt;=6,0,SUMIFS(tblProjectSchedule[[Skilled]:[Skilled]],tblProjectSchedule[[Start]:[Start]],"&lt;="&amp;IL6,tblProjectSchedule[[Finish]:[Finish]],"&gt;="&amp;IL6)+SUMIFS(tblProjectSchedule[[Helpers]:[Helpers]],tblProjectSchedule[[Start]:[Start]],"&lt;="&amp;IL6,tblProjectSchedule[[Finish]:[Finish]],"&gt;="&amp;IL6))</f>
        <v>0</v>
      </c>
      <c r="IM4" s="172">
        <f>IF(WEEKDAY(IM6,12)&gt;=6,0,SUMIFS(tblProjectSchedule[[Skilled]:[Skilled]],tblProjectSchedule[[Start]:[Start]],"&lt;="&amp;IM6,tblProjectSchedule[[Finish]:[Finish]],"&gt;="&amp;IM6)+SUMIFS(tblProjectSchedule[[Helpers]:[Helpers]],tblProjectSchedule[[Start]:[Start]],"&lt;="&amp;IM6,tblProjectSchedule[[Finish]:[Finish]],"&gt;="&amp;IM6))</f>
        <v>0</v>
      </c>
      <c r="IN4" s="174">
        <f>IF(WEEKDAY(IN6,12)&gt;=6,0,SUMIFS(tblProjectSchedule[[Skilled]:[Skilled]],tblProjectSchedule[[Start]:[Start]],"&lt;="&amp;IN6,tblProjectSchedule[[Finish]:[Finish]],"&gt;="&amp;IN6)+SUMIFS(tblProjectSchedule[[Helpers]:[Helpers]],tblProjectSchedule[[Start]:[Start]],"&lt;="&amp;IN6,tblProjectSchedule[[Finish]:[Finish]],"&gt;="&amp;IN6))</f>
        <v>0</v>
      </c>
      <c r="IO4" s="173">
        <f>IF(WEEKDAY(IO6,12)&gt;=6,0,SUMIFS(tblProjectSchedule[[Skilled]:[Skilled]],tblProjectSchedule[[Start]:[Start]],"&lt;="&amp;IO6,tblProjectSchedule[[Finish]:[Finish]],"&gt;="&amp;IO6)+SUMIFS(tblProjectSchedule[[Helpers]:[Helpers]],tblProjectSchedule[[Start]:[Start]],"&lt;="&amp;IO6,tblProjectSchedule[[Finish]:[Finish]],"&gt;="&amp;IO6))</f>
        <v>0</v>
      </c>
      <c r="IP4" s="172">
        <f>IF(WEEKDAY(IP6,12)&gt;=6,0,SUMIFS(tblProjectSchedule[[Skilled]:[Skilled]],tblProjectSchedule[[Start]:[Start]],"&lt;="&amp;IP6,tblProjectSchedule[[Finish]:[Finish]],"&gt;="&amp;IP6)+SUMIFS(tblProjectSchedule[[Helpers]:[Helpers]],tblProjectSchedule[[Start]:[Start]],"&lt;="&amp;IP6,tblProjectSchedule[[Finish]:[Finish]],"&gt;="&amp;IP6))</f>
        <v>0</v>
      </c>
      <c r="IQ4" s="172">
        <f>IF(WEEKDAY(IQ6,12)&gt;=6,0,SUMIFS(tblProjectSchedule[[Skilled]:[Skilled]],tblProjectSchedule[[Start]:[Start]],"&lt;="&amp;IQ6,tblProjectSchedule[[Finish]:[Finish]],"&gt;="&amp;IQ6)+SUMIFS(tblProjectSchedule[[Helpers]:[Helpers]],tblProjectSchedule[[Start]:[Start]],"&lt;="&amp;IQ6,tblProjectSchedule[[Finish]:[Finish]],"&gt;="&amp;IQ6))</f>
        <v>0</v>
      </c>
      <c r="IR4" s="172">
        <f>IF(WEEKDAY(IR6,12)&gt;=6,0,SUMIFS(tblProjectSchedule[[Skilled]:[Skilled]],tblProjectSchedule[[Start]:[Start]],"&lt;="&amp;IR6,tblProjectSchedule[[Finish]:[Finish]],"&gt;="&amp;IR6)+SUMIFS(tblProjectSchedule[[Helpers]:[Helpers]],tblProjectSchedule[[Start]:[Start]],"&lt;="&amp;IR6,tblProjectSchedule[[Finish]:[Finish]],"&gt;="&amp;IR6))</f>
        <v>0</v>
      </c>
      <c r="IS4" s="172">
        <f>IF(WEEKDAY(IS6,12)&gt;=6,0,SUMIFS(tblProjectSchedule[[Skilled]:[Skilled]],tblProjectSchedule[[Start]:[Start]],"&lt;="&amp;IS6,tblProjectSchedule[[Finish]:[Finish]],"&gt;="&amp;IS6)+SUMIFS(tblProjectSchedule[[Helpers]:[Helpers]],tblProjectSchedule[[Start]:[Start]],"&lt;="&amp;IS6,tblProjectSchedule[[Finish]:[Finish]],"&gt;="&amp;IS6))</f>
        <v>0</v>
      </c>
      <c r="IT4" s="172">
        <f>IF(WEEKDAY(IT6,12)&gt;=6,0,SUMIFS(tblProjectSchedule[[Skilled]:[Skilled]],tblProjectSchedule[[Start]:[Start]],"&lt;="&amp;IT6,tblProjectSchedule[[Finish]:[Finish]],"&gt;="&amp;IT6)+SUMIFS(tblProjectSchedule[[Helpers]:[Helpers]],tblProjectSchedule[[Start]:[Start]],"&lt;="&amp;IT6,tblProjectSchedule[[Finish]:[Finish]],"&gt;="&amp;IT6))</f>
        <v>0</v>
      </c>
      <c r="IU4" s="174">
        <f>IF(WEEKDAY(IU6,12)&gt;=6,0,SUMIFS(tblProjectSchedule[[Skilled]:[Skilled]],tblProjectSchedule[[Start]:[Start]],"&lt;="&amp;IU6,tblProjectSchedule[[Finish]:[Finish]],"&gt;="&amp;IU6)+SUMIFS(tblProjectSchedule[[Helpers]:[Helpers]],tblProjectSchedule[[Start]:[Start]],"&lt;="&amp;IU6,tblProjectSchedule[[Finish]:[Finish]],"&gt;="&amp;IU6))</f>
        <v>0</v>
      </c>
      <c r="IV4" s="173">
        <f>IF(WEEKDAY(IV6,12)&gt;=6,0,SUMIFS(tblProjectSchedule[[Skilled]:[Skilled]],tblProjectSchedule[[Start]:[Start]],"&lt;="&amp;IV6,tblProjectSchedule[[Finish]:[Finish]],"&gt;="&amp;IV6)+SUMIFS(tblProjectSchedule[[Helpers]:[Helpers]],tblProjectSchedule[[Start]:[Start]],"&lt;="&amp;IV6,tblProjectSchedule[[Finish]:[Finish]],"&gt;="&amp;IV6))</f>
        <v>0</v>
      </c>
      <c r="IW4" s="172">
        <f>IF(WEEKDAY(IW6,12)&gt;=6,0,SUMIFS(tblProjectSchedule[[Skilled]:[Skilled]],tblProjectSchedule[[Start]:[Start]],"&lt;="&amp;IW6,tblProjectSchedule[[Finish]:[Finish]],"&gt;="&amp;IW6)+SUMIFS(tblProjectSchedule[[Helpers]:[Helpers]],tblProjectSchedule[[Start]:[Start]],"&lt;="&amp;IW6,tblProjectSchedule[[Finish]:[Finish]],"&gt;="&amp;IW6))</f>
        <v>0</v>
      </c>
      <c r="IX4" s="172">
        <f>IF(WEEKDAY(IX6,12)&gt;=6,0,SUMIFS(tblProjectSchedule[[Skilled]:[Skilled]],tblProjectSchedule[[Start]:[Start]],"&lt;="&amp;IX6,tblProjectSchedule[[Finish]:[Finish]],"&gt;="&amp;IX6)+SUMIFS(tblProjectSchedule[[Helpers]:[Helpers]],tblProjectSchedule[[Start]:[Start]],"&lt;="&amp;IX6,tblProjectSchedule[[Finish]:[Finish]],"&gt;="&amp;IX6))</f>
        <v>0</v>
      </c>
      <c r="IY4" s="172">
        <f>IF(WEEKDAY(IY6,12)&gt;=6,0,SUMIFS(tblProjectSchedule[[Skilled]:[Skilled]],tblProjectSchedule[[Start]:[Start]],"&lt;="&amp;IY6,tblProjectSchedule[[Finish]:[Finish]],"&gt;="&amp;IY6)+SUMIFS(tblProjectSchedule[[Helpers]:[Helpers]],tblProjectSchedule[[Start]:[Start]],"&lt;="&amp;IY6,tblProjectSchedule[[Finish]:[Finish]],"&gt;="&amp;IY6))</f>
        <v>0</v>
      </c>
      <c r="IZ4" s="172">
        <f>IF(WEEKDAY(IZ6,12)&gt;=6,0,SUMIFS(tblProjectSchedule[[Skilled]:[Skilled]],tblProjectSchedule[[Start]:[Start]],"&lt;="&amp;IZ6,tblProjectSchedule[[Finish]:[Finish]],"&gt;="&amp;IZ6)+SUMIFS(tblProjectSchedule[[Helpers]:[Helpers]],tblProjectSchedule[[Start]:[Start]],"&lt;="&amp;IZ6,tblProjectSchedule[[Finish]:[Finish]],"&gt;="&amp;IZ6))</f>
        <v>0</v>
      </c>
      <c r="JA4" s="172">
        <f>IF(WEEKDAY(JA6,12)&gt;=6,0,SUMIFS(tblProjectSchedule[[Skilled]:[Skilled]],tblProjectSchedule[[Start]:[Start]],"&lt;="&amp;JA6,tblProjectSchedule[[Finish]:[Finish]],"&gt;="&amp;JA6)+SUMIFS(tblProjectSchedule[[Helpers]:[Helpers]],tblProjectSchedule[[Start]:[Start]],"&lt;="&amp;JA6,tblProjectSchedule[[Finish]:[Finish]],"&gt;="&amp;JA6))</f>
        <v>0</v>
      </c>
      <c r="JB4" s="174">
        <f>IF(WEEKDAY(JB6,12)&gt;=6,0,SUMIFS(tblProjectSchedule[[Skilled]:[Skilled]],tblProjectSchedule[[Start]:[Start]],"&lt;="&amp;JB6,tblProjectSchedule[[Finish]:[Finish]],"&gt;="&amp;JB6)+SUMIFS(tblProjectSchedule[[Helpers]:[Helpers]],tblProjectSchedule[[Start]:[Start]],"&lt;="&amp;JB6,tblProjectSchedule[[Finish]:[Finish]],"&gt;="&amp;JB6))</f>
        <v>0</v>
      </c>
      <c r="JC4" s="173">
        <f>IF(WEEKDAY(JC6,12)&gt;=6,0,SUMIFS(tblProjectSchedule[[Skilled]:[Skilled]],tblProjectSchedule[[Start]:[Start]],"&lt;="&amp;JC6,tblProjectSchedule[[Finish]:[Finish]],"&gt;="&amp;JC6)+SUMIFS(tblProjectSchedule[[Helpers]:[Helpers]],tblProjectSchedule[[Start]:[Start]],"&lt;="&amp;JC6,tblProjectSchedule[[Finish]:[Finish]],"&gt;="&amp;JC6))</f>
        <v>0</v>
      </c>
      <c r="JD4" s="172">
        <f>IF(WEEKDAY(JD6,12)&gt;=6,0,SUMIFS(tblProjectSchedule[[Skilled]:[Skilled]],tblProjectSchedule[[Start]:[Start]],"&lt;="&amp;JD6,tblProjectSchedule[[Finish]:[Finish]],"&gt;="&amp;JD6)+SUMIFS(tblProjectSchedule[[Helpers]:[Helpers]],tblProjectSchedule[[Start]:[Start]],"&lt;="&amp;JD6,tblProjectSchedule[[Finish]:[Finish]],"&gt;="&amp;JD6))</f>
        <v>0</v>
      </c>
      <c r="JE4" s="172">
        <f>IF(WEEKDAY(JE6,12)&gt;=6,0,SUMIFS(tblProjectSchedule[[Skilled]:[Skilled]],tblProjectSchedule[[Start]:[Start]],"&lt;="&amp;JE6,tblProjectSchedule[[Finish]:[Finish]],"&gt;="&amp;JE6)+SUMIFS(tblProjectSchedule[[Helpers]:[Helpers]],tblProjectSchedule[[Start]:[Start]],"&lt;="&amp;JE6,tblProjectSchedule[[Finish]:[Finish]],"&gt;="&amp;JE6))</f>
        <v>0</v>
      </c>
      <c r="JF4" s="172">
        <f>IF(WEEKDAY(JF6,12)&gt;=6,0,SUMIFS(tblProjectSchedule[[Skilled]:[Skilled]],tblProjectSchedule[[Start]:[Start]],"&lt;="&amp;JF6,tblProjectSchedule[[Finish]:[Finish]],"&gt;="&amp;JF6)+SUMIFS(tblProjectSchedule[[Helpers]:[Helpers]],tblProjectSchedule[[Start]:[Start]],"&lt;="&amp;JF6,tblProjectSchedule[[Finish]:[Finish]],"&gt;="&amp;JF6))</f>
        <v>0</v>
      </c>
      <c r="JG4" s="172">
        <f>IF(WEEKDAY(JG6,12)&gt;=6,0,SUMIFS(tblProjectSchedule[[Skilled]:[Skilled]],tblProjectSchedule[[Start]:[Start]],"&lt;="&amp;JG6,tblProjectSchedule[[Finish]:[Finish]],"&gt;="&amp;JG6)+SUMIFS(tblProjectSchedule[[Helpers]:[Helpers]],tblProjectSchedule[[Start]:[Start]],"&lt;="&amp;JG6,tblProjectSchedule[[Finish]:[Finish]],"&gt;="&amp;JG6))</f>
        <v>0</v>
      </c>
      <c r="JH4" s="172">
        <f>IF(WEEKDAY(JH6,12)&gt;=6,0,SUMIFS(tblProjectSchedule[[Skilled]:[Skilled]],tblProjectSchedule[[Start]:[Start]],"&lt;="&amp;JH6,tblProjectSchedule[[Finish]:[Finish]],"&gt;="&amp;JH6)+SUMIFS(tblProjectSchedule[[Helpers]:[Helpers]],tblProjectSchedule[[Start]:[Start]],"&lt;="&amp;JH6,tblProjectSchedule[[Finish]:[Finish]],"&gt;="&amp;JH6))</f>
        <v>0</v>
      </c>
      <c r="JI4" s="174">
        <f>IF(WEEKDAY(JI6,12)&gt;=6,0,SUMIFS(tblProjectSchedule[[Skilled]:[Skilled]],tblProjectSchedule[[Start]:[Start]],"&lt;="&amp;JI6,tblProjectSchedule[[Finish]:[Finish]],"&gt;="&amp;JI6)+SUMIFS(tblProjectSchedule[[Helpers]:[Helpers]],tblProjectSchedule[[Start]:[Start]],"&lt;="&amp;JI6,tblProjectSchedule[[Finish]:[Finish]],"&gt;="&amp;JI6))</f>
        <v>0</v>
      </c>
      <c r="JJ4" s="173">
        <f>IF(WEEKDAY(JJ6,12)&gt;=6,0,SUMIFS(tblProjectSchedule[[Skilled]:[Skilled]],tblProjectSchedule[[Start]:[Start]],"&lt;="&amp;JJ6,tblProjectSchedule[[Finish]:[Finish]],"&gt;="&amp;JJ6)+SUMIFS(tblProjectSchedule[[Helpers]:[Helpers]],tblProjectSchedule[[Start]:[Start]],"&lt;="&amp;JJ6,tblProjectSchedule[[Finish]:[Finish]],"&gt;="&amp;JJ6))</f>
        <v>0</v>
      </c>
      <c r="JK4" s="172">
        <f>IF(WEEKDAY(JK6,12)&gt;=6,0,SUMIFS(tblProjectSchedule[[Skilled]:[Skilled]],tblProjectSchedule[[Start]:[Start]],"&lt;="&amp;JK6,tblProjectSchedule[[Finish]:[Finish]],"&gt;="&amp;JK6)+SUMIFS(tblProjectSchedule[[Helpers]:[Helpers]],tblProjectSchedule[[Start]:[Start]],"&lt;="&amp;JK6,tblProjectSchedule[[Finish]:[Finish]],"&gt;="&amp;JK6))</f>
        <v>0</v>
      </c>
      <c r="JL4" s="172">
        <f>IF(WEEKDAY(JL6,12)&gt;=6,0,SUMIFS(tblProjectSchedule[[Skilled]:[Skilled]],tblProjectSchedule[[Start]:[Start]],"&lt;="&amp;JL6,tblProjectSchedule[[Finish]:[Finish]],"&gt;="&amp;JL6)+SUMIFS(tblProjectSchedule[[Helpers]:[Helpers]],tblProjectSchedule[[Start]:[Start]],"&lt;="&amp;JL6,tblProjectSchedule[[Finish]:[Finish]],"&gt;="&amp;JL6))</f>
        <v>0</v>
      </c>
      <c r="JM4" s="172">
        <f>IF(WEEKDAY(JM6,12)&gt;=6,0,SUMIFS(tblProjectSchedule[[Skilled]:[Skilled]],tblProjectSchedule[[Start]:[Start]],"&lt;="&amp;JM6,tblProjectSchedule[[Finish]:[Finish]],"&gt;="&amp;JM6)+SUMIFS(tblProjectSchedule[[Helpers]:[Helpers]],tblProjectSchedule[[Start]:[Start]],"&lt;="&amp;JM6,tblProjectSchedule[[Finish]:[Finish]],"&gt;="&amp;JM6))</f>
        <v>0</v>
      </c>
      <c r="JN4" s="172">
        <f>IF(WEEKDAY(JN6,12)&gt;=6,0,SUMIFS(tblProjectSchedule[[Skilled]:[Skilled]],tblProjectSchedule[[Start]:[Start]],"&lt;="&amp;JN6,tblProjectSchedule[[Finish]:[Finish]],"&gt;="&amp;JN6)+SUMIFS(tblProjectSchedule[[Helpers]:[Helpers]],tblProjectSchedule[[Start]:[Start]],"&lt;="&amp;JN6,tblProjectSchedule[[Finish]:[Finish]],"&gt;="&amp;JN6))</f>
        <v>0</v>
      </c>
      <c r="JO4" s="172">
        <f>IF(WEEKDAY(JO6,12)&gt;=6,0,SUMIFS(tblProjectSchedule[[Skilled]:[Skilled]],tblProjectSchedule[[Start]:[Start]],"&lt;="&amp;JO6,tblProjectSchedule[[Finish]:[Finish]],"&gt;="&amp;JO6)+SUMIFS(tblProjectSchedule[[Helpers]:[Helpers]],tblProjectSchedule[[Start]:[Start]],"&lt;="&amp;JO6,tblProjectSchedule[[Finish]:[Finish]],"&gt;="&amp;JO6))</f>
        <v>0</v>
      </c>
      <c r="JP4" s="174">
        <f>IF(WEEKDAY(JP6,12)&gt;=6,0,SUMIFS(tblProjectSchedule[[Skilled]:[Skilled]],tblProjectSchedule[[Start]:[Start]],"&lt;="&amp;JP6,tblProjectSchedule[[Finish]:[Finish]],"&gt;="&amp;JP6)+SUMIFS(tblProjectSchedule[[Helpers]:[Helpers]],tblProjectSchedule[[Start]:[Start]],"&lt;="&amp;JP6,tblProjectSchedule[[Finish]:[Finish]],"&gt;="&amp;JP6))</f>
        <v>0</v>
      </c>
      <c r="JQ4" s="173">
        <f>IF(WEEKDAY(JQ6,12)&gt;=6,0,SUMIFS(tblProjectSchedule[[Skilled]:[Skilled]],tblProjectSchedule[[Start]:[Start]],"&lt;="&amp;JQ6,tblProjectSchedule[[Finish]:[Finish]],"&gt;="&amp;JQ6)+SUMIFS(tblProjectSchedule[[Helpers]:[Helpers]],tblProjectSchedule[[Start]:[Start]],"&lt;="&amp;JQ6,tblProjectSchedule[[Finish]:[Finish]],"&gt;="&amp;JQ6))</f>
        <v>0</v>
      </c>
      <c r="JR4" s="172">
        <f>IF(WEEKDAY(JR6,12)&gt;=6,0,SUMIFS(tblProjectSchedule[[Skilled]:[Skilled]],tblProjectSchedule[[Start]:[Start]],"&lt;="&amp;JR6,tblProjectSchedule[[Finish]:[Finish]],"&gt;="&amp;JR6)+SUMIFS(tblProjectSchedule[[Helpers]:[Helpers]],tblProjectSchedule[[Start]:[Start]],"&lt;="&amp;JR6,tblProjectSchedule[[Finish]:[Finish]],"&gt;="&amp;JR6))</f>
        <v>0</v>
      </c>
      <c r="JS4" s="172">
        <f>IF(WEEKDAY(JS6,12)&gt;=6,0,SUMIFS(tblProjectSchedule[[Skilled]:[Skilled]],tblProjectSchedule[[Start]:[Start]],"&lt;="&amp;JS6,tblProjectSchedule[[Finish]:[Finish]],"&gt;="&amp;JS6)+SUMIFS(tblProjectSchedule[[Helpers]:[Helpers]],tblProjectSchedule[[Start]:[Start]],"&lt;="&amp;JS6,tblProjectSchedule[[Finish]:[Finish]],"&gt;="&amp;JS6))</f>
        <v>0</v>
      </c>
      <c r="JT4" s="172">
        <f>IF(WEEKDAY(JT6,12)&gt;=6,0,SUMIFS(tblProjectSchedule[[Skilled]:[Skilled]],tblProjectSchedule[[Start]:[Start]],"&lt;="&amp;JT6,tblProjectSchedule[[Finish]:[Finish]],"&gt;="&amp;JT6)+SUMIFS(tblProjectSchedule[[Helpers]:[Helpers]],tblProjectSchedule[[Start]:[Start]],"&lt;="&amp;JT6,tblProjectSchedule[[Finish]:[Finish]],"&gt;="&amp;JT6))</f>
        <v>0</v>
      </c>
      <c r="JU4" s="172">
        <f>IF(WEEKDAY(JU6,12)&gt;=6,0,SUMIFS(tblProjectSchedule[[Skilled]:[Skilled]],tblProjectSchedule[[Start]:[Start]],"&lt;="&amp;JU6,tblProjectSchedule[[Finish]:[Finish]],"&gt;="&amp;JU6)+SUMIFS(tblProjectSchedule[[Helpers]:[Helpers]],tblProjectSchedule[[Start]:[Start]],"&lt;="&amp;JU6,tblProjectSchedule[[Finish]:[Finish]],"&gt;="&amp;JU6))</f>
        <v>0</v>
      </c>
      <c r="JV4" s="172">
        <f>IF(WEEKDAY(JV6,12)&gt;=6,0,SUMIFS(tblProjectSchedule[[Skilled]:[Skilled]],tblProjectSchedule[[Start]:[Start]],"&lt;="&amp;JV6,tblProjectSchedule[[Finish]:[Finish]],"&gt;="&amp;JV6)+SUMIFS(tblProjectSchedule[[Helpers]:[Helpers]],tblProjectSchedule[[Start]:[Start]],"&lt;="&amp;JV6,tblProjectSchedule[[Finish]:[Finish]],"&gt;="&amp;JV6))</f>
        <v>0</v>
      </c>
      <c r="JW4" s="174">
        <f>IF(WEEKDAY(JW6,12)&gt;=6,0,SUMIFS(tblProjectSchedule[[Skilled]:[Skilled]],tblProjectSchedule[[Start]:[Start]],"&lt;="&amp;JW6,tblProjectSchedule[[Finish]:[Finish]],"&gt;="&amp;JW6)+SUMIFS(tblProjectSchedule[[Helpers]:[Helpers]],tblProjectSchedule[[Start]:[Start]],"&lt;="&amp;JW6,tblProjectSchedule[[Finish]:[Finish]],"&gt;="&amp;JW6))</f>
        <v>0</v>
      </c>
      <c r="JX4" s="173">
        <f>IF(WEEKDAY(JX6,12)&gt;=6,0,SUMIFS(tblProjectSchedule[[Skilled]:[Skilled]],tblProjectSchedule[[Start]:[Start]],"&lt;="&amp;JX6,tblProjectSchedule[[Finish]:[Finish]],"&gt;="&amp;JX6)+SUMIFS(tblProjectSchedule[[Helpers]:[Helpers]],tblProjectSchedule[[Start]:[Start]],"&lt;="&amp;JX6,tblProjectSchedule[[Finish]:[Finish]],"&gt;="&amp;JX6))</f>
        <v>0</v>
      </c>
      <c r="JY4" s="172">
        <f>IF(WEEKDAY(JY6,12)&gt;=6,0,SUMIFS(tblProjectSchedule[[Skilled]:[Skilled]],tblProjectSchedule[[Start]:[Start]],"&lt;="&amp;JY6,tblProjectSchedule[[Finish]:[Finish]],"&gt;="&amp;JY6)+SUMIFS(tblProjectSchedule[[Helpers]:[Helpers]],tblProjectSchedule[[Start]:[Start]],"&lt;="&amp;JY6,tblProjectSchedule[[Finish]:[Finish]],"&gt;="&amp;JY6))</f>
        <v>0</v>
      </c>
      <c r="JZ4" s="172">
        <f>IF(WEEKDAY(JZ6,12)&gt;=6,0,SUMIFS(tblProjectSchedule[[Skilled]:[Skilled]],tblProjectSchedule[[Start]:[Start]],"&lt;="&amp;JZ6,tblProjectSchedule[[Finish]:[Finish]],"&gt;="&amp;JZ6)+SUMIFS(tblProjectSchedule[[Helpers]:[Helpers]],tblProjectSchedule[[Start]:[Start]],"&lt;="&amp;JZ6,tblProjectSchedule[[Finish]:[Finish]],"&gt;="&amp;JZ6))</f>
        <v>0</v>
      </c>
      <c r="KA4" s="172">
        <f>IF(WEEKDAY(KA6,12)&gt;=6,0,SUMIFS(tblProjectSchedule[[Skilled]:[Skilled]],tblProjectSchedule[[Start]:[Start]],"&lt;="&amp;KA6,tblProjectSchedule[[Finish]:[Finish]],"&gt;="&amp;KA6)+SUMIFS(tblProjectSchedule[[Helpers]:[Helpers]],tblProjectSchedule[[Start]:[Start]],"&lt;="&amp;KA6,tblProjectSchedule[[Finish]:[Finish]],"&gt;="&amp;KA6))</f>
        <v>0</v>
      </c>
      <c r="KB4" s="172">
        <f>IF(WEEKDAY(KB6,12)&gt;=6,0,SUMIFS(tblProjectSchedule[[Skilled]:[Skilled]],tblProjectSchedule[[Start]:[Start]],"&lt;="&amp;KB6,tblProjectSchedule[[Finish]:[Finish]],"&gt;="&amp;KB6)+SUMIFS(tblProjectSchedule[[Helpers]:[Helpers]],tblProjectSchedule[[Start]:[Start]],"&lt;="&amp;KB6,tblProjectSchedule[[Finish]:[Finish]],"&gt;="&amp;KB6))</f>
        <v>0</v>
      </c>
      <c r="KC4" s="172">
        <f>IF(WEEKDAY(KC6,12)&gt;=6,0,SUMIFS(tblProjectSchedule[[Skilled]:[Skilled]],tblProjectSchedule[[Start]:[Start]],"&lt;="&amp;KC6,tblProjectSchedule[[Finish]:[Finish]],"&gt;="&amp;KC6)+SUMIFS(tblProjectSchedule[[Helpers]:[Helpers]],tblProjectSchedule[[Start]:[Start]],"&lt;="&amp;KC6,tblProjectSchedule[[Finish]:[Finish]],"&gt;="&amp;KC6))</f>
        <v>0</v>
      </c>
      <c r="KD4" s="174">
        <f>IF(WEEKDAY(KD6,12)&gt;=6,0,SUMIFS(tblProjectSchedule[[Skilled]:[Skilled]],tblProjectSchedule[[Start]:[Start]],"&lt;="&amp;KD6,tblProjectSchedule[[Finish]:[Finish]],"&gt;="&amp;KD6)+SUMIFS(tblProjectSchedule[[Helpers]:[Helpers]],tblProjectSchedule[[Start]:[Start]],"&lt;="&amp;KD6,tblProjectSchedule[[Finish]:[Finish]],"&gt;="&amp;KD6))</f>
        <v>0</v>
      </c>
      <c r="KE4" s="173">
        <f>IF(WEEKDAY(KE6,12)&gt;=6,0,SUMIFS(tblProjectSchedule[[Skilled]:[Skilled]],tblProjectSchedule[[Start]:[Start]],"&lt;="&amp;KE6,tblProjectSchedule[[Finish]:[Finish]],"&gt;="&amp;KE6)+SUMIFS(tblProjectSchedule[[Helpers]:[Helpers]],tblProjectSchedule[[Start]:[Start]],"&lt;="&amp;KE6,tblProjectSchedule[[Finish]:[Finish]],"&gt;="&amp;KE6))</f>
        <v>0</v>
      </c>
      <c r="KF4" s="172">
        <f>IF(WEEKDAY(KF6,12)&gt;=6,0,SUMIFS(tblProjectSchedule[[Skilled]:[Skilled]],tblProjectSchedule[[Start]:[Start]],"&lt;="&amp;KF6,tblProjectSchedule[[Finish]:[Finish]],"&gt;="&amp;KF6)+SUMIFS(tblProjectSchedule[[Helpers]:[Helpers]],tblProjectSchedule[[Start]:[Start]],"&lt;="&amp;KF6,tblProjectSchedule[[Finish]:[Finish]],"&gt;="&amp;KF6))</f>
        <v>0</v>
      </c>
      <c r="KG4" s="172">
        <f>IF(WEEKDAY(KG6,12)&gt;=6,0,SUMIFS(tblProjectSchedule[[Skilled]:[Skilled]],tblProjectSchedule[[Start]:[Start]],"&lt;="&amp;KG6,tblProjectSchedule[[Finish]:[Finish]],"&gt;="&amp;KG6)+SUMIFS(tblProjectSchedule[[Helpers]:[Helpers]],tblProjectSchedule[[Start]:[Start]],"&lt;="&amp;KG6,tblProjectSchedule[[Finish]:[Finish]],"&gt;="&amp;KG6))</f>
        <v>0</v>
      </c>
      <c r="KH4" s="172">
        <f>IF(WEEKDAY(KH6,12)&gt;=6,0,SUMIFS(tblProjectSchedule[[Skilled]:[Skilled]],tblProjectSchedule[[Start]:[Start]],"&lt;="&amp;KH6,tblProjectSchedule[[Finish]:[Finish]],"&gt;="&amp;KH6)+SUMIFS(tblProjectSchedule[[Helpers]:[Helpers]],tblProjectSchedule[[Start]:[Start]],"&lt;="&amp;KH6,tblProjectSchedule[[Finish]:[Finish]],"&gt;="&amp;KH6))</f>
        <v>0</v>
      </c>
      <c r="KI4" s="172">
        <f>IF(WEEKDAY(KI6,12)&gt;=6,0,SUMIFS(tblProjectSchedule[[Skilled]:[Skilled]],tblProjectSchedule[[Start]:[Start]],"&lt;="&amp;KI6,tblProjectSchedule[[Finish]:[Finish]],"&gt;="&amp;KI6)+SUMIFS(tblProjectSchedule[[Helpers]:[Helpers]],tblProjectSchedule[[Start]:[Start]],"&lt;="&amp;KI6,tblProjectSchedule[[Finish]:[Finish]],"&gt;="&amp;KI6))</f>
        <v>0</v>
      </c>
      <c r="KJ4" s="172">
        <f>IF(WEEKDAY(KJ6,12)&gt;=6,0,SUMIFS(tblProjectSchedule[[Skilled]:[Skilled]],tblProjectSchedule[[Start]:[Start]],"&lt;="&amp;KJ6,tblProjectSchedule[[Finish]:[Finish]],"&gt;="&amp;KJ6)+SUMIFS(tblProjectSchedule[[Helpers]:[Helpers]],tblProjectSchedule[[Start]:[Start]],"&lt;="&amp;KJ6,tblProjectSchedule[[Finish]:[Finish]],"&gt;="&amp;KJ6))</f>
        <v>0</v>
      </c>
      <c r="KK4" s="174">
        <f>IF(WEEKDAY(KK6,12)&gt;=6,0,SUMIFS(tblProjectSchedule[[Skilled]:[Skilled]],tblProjectSchedule[[Start]:[Start]],"&lt;="&amp;KK6,tblProjectSchedule[[Finish]:[Finish]],"&gt;="&amp;KK6)+SUMIFS(tblProjectSchedule[[Helpers]:[Helpers]],tblProjectSchedule[[Start]:[Start]],"&lt;="&amp;KK6,tblProjectSchedule[[Finish]:[Finish]],"&gt;="&amp;KK6))</f>
        <v>0</v>
      </c>
      <c r="KL4" s="173">
        <f>IF(WEEKDAY(KL6,12)&gt;=6,0,SUMIFS(tblProjectSchedule[[Skilled]:[Skilled]],tblProjectSchedule[[Start]:[Start]],"&lt;="&amp;KL6,tblProjectSchedule[[Finish]:[Finish]],"&gt;="&amp;KL6)+SUMIFS(tblProjectSchedule[[Helpers]:[Helpers]],tblProjectSchedule[[Start]:[Start]],"&lt;="&amp;KL6,tblProjectSchedule[[Finish]:[Finish]],"&gt;="&amp;KL6))</f>
        <v>0</v>
      </c>
      <c r="KM4" s="172">
        <f>IF(WEEKDAY(KM6,12)&gt;=6,0,SUMIFS(tblProjectSchedule[[Skilled]:[Skilled]],tblProjectSchedule[[Start]:[Start]],"&lt;="&amp;KM6,tblProjectSchedule[[Finish]:[Finish]],"&gt;="&amp;KM6)+SUMIFS(tblProjectSchedule[[Helpers]:[Helpers]],tblProjectSchedule[[Start]:[Start]],"&lt;="&amp;KM6,tblProjectSchedule[[Finish]:[Finish]],"&gt;="&amp;KM6))</f>
        <v>0</v>
      </c>
      <c r="KN4" s="172">
        <f>IF(WEEKDAY(KN6,12)&gt;=6,0,SUMIFS(tblProjectSchedule[[Skilled]:[Skilled]],tblProjectSchedule[[Start]:[Start]],"&lt;="&amp;KN6,tblProjectSchedule[[Finish]:[Finish]],"&gt;="&amp;KN6)+SUMIFS(tblProjectSchedule[[Helpers]:[Helpers]],tblProjectSchedule[[Start]:[Start]],"&lt;="&amp;KN6,tblProjectSchedule[[Finish]:[Finish]],"&gt;="&amp;KN6))</f>
        <v>0</v>
      </c>
      <c r="KO4" s="172">
        <f>IF(WEEKDAY(KO6,12)&gt;=6,0,SUMIFS(tblProjectSchedule[[Skilled]:[Skilled]],tblProjectSchedule[[Start]:[Start]],"&lt;="&amp;KO6,tblProjectSchedule[[Finish]:[Finish]],"&gt;="&amp;KO6)+SUMIFS(tblProjectSchedule[[Helpers]:[Helpers]],tblProjectSchedule[[Start]:[Start]],"&lt;="&amp;KO6,tblProjectSchedule[[Finish]:[Finish]],"&gt;="&amp;KO6))</f>
        <v>0</v>
      </c>
      <c r="KP4" s="172">
        <f>IF(WEEKDAY(KP6,12)&gt;=6,0,SUMIFS(tblProjectSchedule[[Skilled]:[Skilled]],tblProjectSchedule[[Start]:[Start]],"&lt;="&amp;KP6,tblProjectSchedule[[Finish]:[Finish]],"&gt;="&amp;KP6)+SUMIFS(tblProjectSchedule[[Helpers]:[Helpers]],tblProjectSchedule[[Start]:[Start]],"&lt;="&amp;KP6,tblProjectSchedule[[Finish]:[Finish]],"&gt;="&amp;KP6))</f>
        <v>0</v>
      </c>
      <c r="KQ4" s="172">
        <f>IF(WEEKDAY(KQ6,12)&gt;=6,0,SUMIFS(tblProjectSchedule[[Skilled]:[Skilled]],tblProjectSchedule[[Start]:[Start]],"&lt;="&amp;KQ6,tblProjectSchedule[[Finish]:[Finish]],"&gt;="&amp;KQ6)+SUMIFS(tblProjectSchedule[[Helpers]:[Helpers]],tblProjectSchedule[[Start]:[Start]],"&lt;="&amp;KQ6,tblProjectSchedule[[Finish]:[Finish]],"&gt;="&amp;KQ6))</f>
        <v>0</v>
      </c>
      <c r="KR4" s="174">
        <f>IF(WEEKDAY(KR6,12)&gt;=6,0,SUMIFS(tblProjectSchedule[[Skilled]:[Skilled]],tblProjectSchedule[[Start]:[Start]],"&lt;="&amp;KR6,tblProjectSchedule[[Finish]:[Finish]],"&gt;="&amp;KR6)+SUMIFS(tblProjectSchedule[[Helpers]:[Helpers]],tblProjectSchedule[[Start]:[Start]],"&lt;="&amp;KR6,tblProjectSchedule[[Finish]:[Finish]],"&gt;="&amp;KR6))</f>
        <v>0</v>
      </c>
      <c r="KS4" s="173">
        <f>IF(WEEKDAY(KS6,12)&gt;=6,0,SUMIFS(tblProjectSchedule[[Skilled]:[Skilled]],tblProjectSchedule[[Start]:[Start]],"&lt;="&amp;KS6,tblProjectSchedule[[Finish]:[Finish]],"&gt;="&amp;KS6)+SUMIFS(tblProjectSchedule[[Helpers]:[Helpers]],tblProjectSchedule[[Start]:[Start]],"&lt;="&amp;KS6,tblProjectSchedule[[Finish]:[Finish]],"&gt;="&amp;KS6))</f>
        <v>0</v>
      </c>
      <c r="KT4" s="172">
        <f>IF(WEEKDAY(KT6,12)&gt;=6,0,SUMIFS(tblProjectSchedule[[Skilled]:[Skilled]],tblProjectSchedule[[Start]:[Start]],"&lt;="&amp;KT6,tblProjectSchedule[[Finish]:[Finish]],"&gt;="&amp;KT6)+SUMIFS(tblProjectSchedule[[Helpers]:[Helpers]],tblProjectSchedule[[Start]:[Start]],"&lt;="&amp;KT6,tblProjectSchedule[[Finish]:[Finish]],"&gt;="&amp;KT6))</f>
        <v>0</v>
      </c>
      <c r="KU4" s="172">
        <f>IF(WEEKDAY(KU6,12)&gt;=6,0,SUMIFS(tblProjectSchedule[[Skilled]:[Skilled]],tblProjectSchedule[[Start]:[Start]],"&lt;="&amp;KU6,tblProjectSchedule[[Finish]:[Finish]],"&gt;="&amp;KU6)+SUMIFS(tblProjectSchedule[[Helpers]:[Helpers]],tblProjectSchedule[[Start]:[Start]],"&lt;="&amp;KU6,tblProjectSchedule[[Finish]:[Finish]],"&gt;="&amp;KU6))</f>
        <v>0</v>
      </c>
      <c r="KV4" s="172">
        <f>IF(WEEKDAY(KV6,12)&gt;=6,0,SUMIFS(tblProjectSchedule[[Skilled]:[Skilled]],tblProjectSchedule[[Start]:[Start]],"&lt;="&amp;KV6,tblProjectSchedule[[Finish]:[Finish]],"&gt;="&amp;KV6)+SUMIFS(tblProjectSchedule[[Helpers]:[Helpers]],tblProjectSchedule[[Start]:[Start]],"&lt;="&amp;KV6,tblProjectSchedule[[Finish]:[Finish]],"&gt;="&amp;KV6))</f>
        <v>0</v>
      </c>
      <c r="KW4" s="172">
        <f>IF(WEEKDAY(KW6,12)&gt;=6,0,SUMIFS(tblProjectSchedule[[Skilled]:[Skilled]],tblProjectSchedule[[Start]:[Start]],"&lt;="&amp;KW6,tblProjectSchedule[[Finish]:[Finish]],"&gt;="&amp;KW6)+SUMIFS(tblProjectSchedule[[Helpers]:[Helpers]],tblProjectSchedule[[Start]:[Start]],"&lt;="&amp;KW6,tblProjectSchedule[[Finish]:[Finish]],"&gt;="&amp;KW6))</f>
        <v>0</v>
      </c>
      <c r="KX4" s="172">
        <f>IF(WEEKDAY(KX6,12)&gt;=6,0,SUMIFS(tblProjectSchedule[[Skilled]:[Skilled]],tblProjectSchedule[[Start]:[Start]],"&lt;="&amp;KX6,tblProjectSchedule[[Finish]:[Finish]],"&gt;="&amp;KX6)+SUMIFS(tblProjectSchedule[[Helpers]:[Helpers]],tblProjectSchedule[[Start]:[Start]],"&lt;="&amp;KX6,tblProjectSchedule[[Finish]:[Finish]],"&gt;="&amp;KX6))</f>
        <v>0</v>
      </c>
      <c r="KY4" s="174">
        <f>IF(WEEKDAY(KY6,12)&gt;=6,0,SUMIFS(tblProjectSchedule[[Skilled]:[Skilled]],tblProjectSchedule[[Start]:[Start]],"&lt;="&amp;KY6,tblProjectSchedule[[Finish]:[Finish]],"&gt;="&amp;KY6)+SUMIFS(tblProjectSchedule[[Helpers]:[Helpers]],tblProjectSchedule[[Start]:[Start]],"&lt;="&amp;KY6,tblProjectSchedule[[Finish]:[Finish]],"&gt;="&amp;KY6))</f>
        <v>0</v>
      </c>
      <c r="KZ4" s="173">
        <f>IF(WEEKDAY(KZ6,12)&gt;=6,0,SUMIFS(tblProjectSchedule[[Skilled]:[Skilled]],tblProjectSchedule[[Start]:[Start]],"&lt;="&amp;KZ6,tblProjectSchedule[[Finish]:[Finish]],"&gt;="&amp;KZ6)+SUMIFS(tblProjectSchedule[[Helpers]:[Helpers]],tblProjectSchedule[[Start]:[Start]],"&lt;="&amp;KZ6,tblProjectSchedule[[Finish]:[Finish]],"&gt;="&amp;KZ6))</f>
        <v>0</v>
      </c>
      <c r="LA4" s="172">
        <f>IF(WEEKDAY(LA6,12)&gt;=6,0,SUMIFS(tblProjectSchedule[[Skilled]:[Skilled]],tblProjectSchedule[[Start]:[Start]],"&lt;="&amp;LA6,tblProjectSchedule[[Finish]:[Finish]],"&gt;="&amp;LA6)+SUMIFS(tblProjectSchedule[[Helpers]:[Helpers]],tblProjectSchedule[[Start]:[Start]],"&lt;="&amp;LA6,tblProjectSchedule[[Finish]:[Finish]],"&gt;="&amp;LA6))</f>
        <v>0</v>
      </c>
      <c r="LB4" s="172">
        <f>IF(WEEKDAY(LB6,12)&gt;=6,0,SUMIFS(tblProjectSchedule[[Skilled]:[Skilled]],tblProjectSchedule[[Start]:[Start]],"&lt;="&amp;LB6,tblProjectSchedule[[Finish]:[Finish]],"&gt;="&amp;LB6)+SUMIFS(tblProjectSchedule[[Helpers]:[Helpers]],tblProjectSchedule[[Start]:[Start]],"&lt;="&amp;LB6,tblProjectSchedule[[Finish]:[Finish]],"&gt;="&amp;LB6))</f>
        <v>0</v>
      </c>
      <c r="LC4" s="172">
        <f>IF(WEEKDAY(LC6,12)&gt;=6,0,SUMIFS(tblProjectSchedule[[Skilled]:[Skilled]],tblProjectSchedule[[Start]:[Start]],"&lt;="&amp;LC6,tblProjectSchedule[[Finish]:[Finish]],"&gt;="&amp;LC6)+SUMIFS(tblProjectSchedule[[Helpers]:[Helpers]],tblProjectSchedule[[Start]:[Start]],"&lt;="&amp;LC6,tblProjectSchedule[[Finish]:[Finish]],"&gt;="&amp;LC6))</f>
        <v>0</v>
      </c>
      <c r="LD4" s="172">
        <f>IF(WEEKDAY(LD6,12)&gt;=6,0,SUMIFS(tblProjectSchedule[[Skilled]:[Skilled]],tblProjectSchedule[[Start]:[Start]],"&lt;="&amp;LD6,tblProjectSchedule[[Finish]:[Finish]],"&gt;="&amp;LD6)+SUMIFS(tblProjectSchedule[[Helpers]:[Helpers]],tblProjectSchedule[[Start]:[Start]],"&lt;="&amp;LD6,tblProjectSchedule[[Finish]:[Finish]],"&gt;="&amp;LD6))</f>
        <v>0</v>
      </c>
      <c r="LE4" s="172">
        <f>IF(WEEKDAY(LE6,12)&gt;=6,0,SUMIFS(tblProjectSchedule[[Skilled]:[Skilled]],tblProjectSchedule[[Start]:[Start]],"&lt;="&amp;LE6,tblProjectSchedule[[Finish]:[Finish]],"&gt;="&amp;LE6)+SUMIFS(tblProjectSchedule[[Helpers]:[Helpers]],tblProjectSchedule[[Start]:[Start]],"&lt;="&amp;LE6,tblProjectSchedule[[Finish]:[Finish]],"&gt;="&amp;LE6))</f>
        <v>0</v>
      </c>
      <c r="LF4" s="174">
        <f>IF(WEEKDAY(LF6,12)&gt;=6,0,SUMIFS(tblProjectSchedule[[Skilled]:[Skilled]],tblProjectSchedule[[Start]:[Start]],"&lt;="&amp;LF6,tblProjectSchedule[[Finish]:[Finish]],"&gt;="&amp;LF6)+SUMIFS(tblProjectSchedule[[Helpers]:[Helpers]],tblProjectSchedule[[Start]:[Start]],"&lt;="&amp;LF6,tblProjectSchedule[[Finish]:[Finish]],"&gt;="&amp;LF6))</f>
        <v>0</v>
      </c>
      <c r="LG4" s="173">
        <f>IF(WEEKDAY(LG6,12)&gt;=6,0,SUMIFS(tblProjectSchedule[[Skilled]:[Skilled]],tblProjectSchedule[[Start]:[Start]],"&lt;="&amp;LG6,tblProjectSchedule[[Finish]:[Finish]],"&gt;="&amp;LG6)+SUMIFS(tblProjectSchedule[[Helpers]:[Helpers]],tblProjectSchedule[[Start]:[Start]],"&lt;="&amp;LG6,tblProjectSchedule[[Finish]:[Finish]],"&gt;="&amp;LG6))</f>
        <v>0</v>
      </c>
      <c r="LH4" s="172">
        <f>IF(WEEKDAY(LH6,12)&gt;=6,0,SUMIFS(tblProjectSchedule[[Skilled]:[Skilled]],tblProjectSchedule[[Start]:[Start]],"&lt;="&amp;LH6,tblProjectSchedule[[Finish]:[Finish]],"&gt;="&amp;LH6)+SUMIFS(tblProjectSchedule[[Helpers]:[Helpers]],tblProjectSchedule[[Start]:[Start]],"&lt;="&amp;LH6,tblProjectSchedule[[Finish]:[Finish]],"&gt;="&amp;LH6))</f>
        <v>0</v>
      </c>
      <c r="LI4" s="172">
        <f>IF(WEEKDAY(LI6,12)&gt;=6,0,SUMIFS(tblProjectSchedule[[Skilled]:[Skilled]],tblProjectSchedule[[Start]:[Start]],"&lt;="&amp;LI6,tblProjectSchedule[[Finish]:[Finish]],"&gt;="&amp;LI6)+SUMIFS(tblProjectSchedule[[Helpers]:[Helpers]],tblProjectSchedule[[Start]:[Start]],"&lt;="&amp;LI6,tblProjectSchedule[[Finish]:[Finish]],"&gt;="&amp;LI6))</f>
        <v>0</v>
      </c>
      <c r="LJ4" s="172">
        <f>IF(WEEKDAY(LJ6,12)&gt;=6,0,SUMIFS(tblProjectSchedule[[Skilled]:[Skilled]],tblProjectSchedule[[Start]:[Start]],"&lt;="&amp;LJ6,tblProjectSchedule[[Finish]:[Finish]],"&gt;="&amp;LJ6)+SUMIFS(tblProjectSchedule[[Helpers]:[Helpers]],tblProjectSchedule[[Start]:[Start]],"&lt;="&amp;LJ6,tblProjectSchedule[[Finish]:[Finish]],"&gt;="&amp;LJ6))</f>
        <v>0</v>
      </c>
      <c r="LK4" s="172">
        <f>IF(WEEKDAY(LK6,12)&gt;=6,0,SUMIFS(tblProjectSchedule[[Skilled]:[Skilled]],tblProjectSchedule[[Start]:[Start]],"&lt;="&amp;LK6,tblProjectSchedule[[Finish]:[Finish]],"&gt;="&amp;LK6)+SUMIFS(tblProjectSchedule[[Helpers]:[Helpers]],tblProjectSchedule[[Start]:[Start]],"&lt;="&amp;LK6,tblProjectSchedule[[Finish]:[Finish]],"&gt;="&amp;LK6))</f>
        <v>0</v>
      </c>
      <c r="LL4" s="172">
        <f>IF(WEEKDAY(LL6,12)&gt;=6,0,SUMIFS(tblProjectSchedule[[Skilled]:[Skilled]],tblProjectSchedule[[Start]:[Start]],"&lt;="&amp;LL6,tblProjectSchedule[[Finish]:[Finish]],"&gt;="&amp;LL6)+SUMIFS(tblProjectSchedule[[Helpers]:[Helpers]],tblProjectSchedule[[Start]:[Start]],"&lt;="&amp;LL6,tblProjectSchedule[[Finish]:[Finish]],"&gt;="&amp;LL6))</f>
        <v>0</v>
      </c>
      <c r="LM4" s="174">
        <f>IF(WEEKDAY(LM6,12)&gt;=6,0,SUMIFS(tblProjectSchedule[[Skilled]:[Skilled]],tblProjectSchedule[[Start]:[Start]],"&lt;="&amp;LM6,tblProjectSchedule[[Finish]:[Finish]],"&gt;="&amp;LM6)+SUMIFS(tblProjectSchedule[[Helpers]:[Helpers]],tblProjectSchedule[[Start]:[Start]],"&lt;="&amp;LM6,tblProjectSchedule[[Finish]:[Finish]],"&gt;="&amp;LM6))</f>
        <v>0</v>
      </c>
      <c r="LN4" s="173">
        <f>IF(WEEKDAY(LN6,12)&gt;=6,0,SUMIFS(tblProjectSchedule[[Skilled]:[Skilled]],tblProjectSchedule[[Start]:[Start]],"&lt;="&amp;LN6,tblProjectSchedule[[Finish]:[Finish]],"&gt;="&amp;LN6)+SUMIFS(tblProjectSchedule[[Helpers]:[Helpers]],tblProjectSchedule[[Start]:[Start]],"&lt;="&amp;LN6,tblProjectSchedule[[Finish]:[Finish]],"&gt;="&amp;LN6))</f>
        <v>0</v>
      </c>
      <c r="LO4" s="172">
        <f>IF(WEEKDAY(LO6,12)&gt;=6,0,SUMIFS(tblProjectSchedule[[Skilled]:[Skilled]],tblProjectSchedule[[Start]:[Start]],"&lt;="&amp;LO6,tblProjectSchedule[[Finish]:[Finish]],"&gt;="&amp;LO6)+SUMIFS(tblProjectSchedule[[Helpers]:[Helpers]],tblProjectSchedule[[Start]:[Start]],"&lt;="&amp;LO6,tblProjectSchedule[[Finish]:[Finish]],"&gt;="&amp;LO6))</f>
        <v>0</v>
      </c>
      <c r="LP4" s="172">
        <f>IF(WEEKDAY(LP6,12)&gt;=6,0,SUMIFS(tblProjectSchedule[[Skilled]:[Skilled]],tblProjectSchedule[[Start]:[Start]],"&lt;="&amp;LP6,tblProjectSchedule[[Finish]:[Finish]],"&gt;="&amp;LP6)+SUMIFS(tblProjectSchedule[[Helpers]:[Helpers]],tblProjectSchedule[[Start]:[Start]],"&lt;="&amp;LP6,tblProjectSchedule[[Finish]:[Finish]],"&gt;="&amp;LP6))</f>
        <v>0</v>
      </c>
      <c r="LQ4" s="172">
        <f>IF(WEEKDAY(LQ6,12)&gt;=6,0,SUMIFS(tblProjectSchedule[[Skilled]:[Skilled]],tblProjectSchedule[[Start]:[Start]],"&lt;="&amp;LQ6,tblProjectSchedule[[Finish]:[Finish]],"&gt;="&amp;LQ6)+SUMIFS(tblProjectSchedule[[Helpers]:[Helpers]],tblProjectSchedule[[Start]:[Start]],"&lt;="&amp;LQ6,tblProjectSchedule[[Finish]:[Finish]],"&gt;="&amp;LQ6))</f>
        <v>0</v>
      </c>
      <c r="LR4" s="172">
        <f>IF(WEEKDAY(LR6,12)&gt;=6,0,SUMIFS(tblProjectSchedule[[Skilled]:[Skilled]],tblProjectSchedule[[Start]:[Start]],"&lt;="&amp;LR6,tblProjectSchedule[[Finish]:[Finish]],"&gt;="&amp;LR6)+SUMIFS(tblProjectSchedule[[Helpers]:[Helpers]],tblProjectSchedule[[Start]:[Start]],"&lt;="&amp;LR6,tblProjectSchedule[[Finish]:[Finish]],"&gt;="&amp;LR6))</f>
        <v>0</v>
      </c>
      <c r="LS4" s="172">
        <f>IF(WEEKDAY(LS6,12)&gt;=6,0,SUMIFS(tblProjectSchedule[[Skilled]:[Skilled]],tblProjectSchedule[[Start]:[Start]],"&lt;="&amp;LS6,tblProjectSchedule[[Finish]:[Finish]],"&gt;="&amp;LS6)+SUMIFS(tblProjectSchedule[[Helpers]:[Helpers]],tblProjectSchedule[[Start]:[Start]],"&lt;="&amp;LS6,tblProjectSchedule[[Finish]:[Finish]],"&gt;="&amp;LS6))</f>
        <v>0</v>
      </c>
      <c r="LT4" s="174">
        <f>IF(WEEKDAY(LT6,12)&gt;=6,0,SUMIFS(tblProjectSchedule[[Skilled]:[Skilled]],tblProjectSchedule[[Start]:[Start]],"&lt;="&amp;LT6,tblProjectSchedule[[Finish]:[Finish]],"&gt;="&amp;LT6)+SUMIFS(tblProjectSchedule[[Helpers]:[Helpers]],tblProjectSchedule[[Start]:[Start]],"&lt;="&amp;LT6,tblProjectSchedule[[Finish]:[Finish]],"&gt;="&amp;LT6))</f>
        <v>0</v>
      </c>
      <c r="LU4" s="173">
        <f>IF(WEEKDAY(LU6,12)&gt;=6,0,SUMIFS(tblProjectSchedule[[Skilled]:[Skilled]],tblProjectSchedule[[Start]:[Start]],"&lt;="&amp;LU6,tblProjectSchedule[[Finish]:[Finish]],"&gt;="&amp;LU6)+SUMIFS(tblProjectSchedule[[Helpers]:[Helpers]],tblProjectSchedule[[Start]:[Start]],"&lt;="&amp;LU6,tblProjectSchedule[[Finish]:[Finish]],"&gt;="&amp;LU6))</f>
        <v>0</v>
      </c>
      <c r="LV4" s="172">
        <f>IF(WEEKDAY(LV6,12)&gt;=6,0,SUMIFS(tblProjectSchedule[[Skilled]:[Skilled]],tblProjectSchedule[[Start]:[Start]],"&lt;="&amp;LV6,tblProjectSchedule[[Finish]:[Finish]],"&gt;="&amp;LV6)+SUMIFS(tblProjectSchedule[[Helpers]:[Helpers]],tblProjectSchedule[[Start]:[Start]],"&lt;="&amp;LV6,tblProjectSchedule[[Finish]:[Finish]],"&gt;="&amp;LV6))</f>
        <v>0</v>
      </c>
      <c r="LW4" s="172">
        <f>IF(WEEKDAY(LW6,12)&gt;=6,0,SUMIFS(tblProjectSchedule[[Skilled]:[Skilled]],tblProjectSchedule[[Start]:[Start]],"&lt;="&amp;LW6,tblProjectSchedule[[Finish]:[Finish]],"&gt;="&amp;LW6)+SUMIFS(tblProjectSchedule[[Helpers]:[Helpers]],tblProjectSchedule[[Start]:[Start]],"&lt;="&amp;LW6,tblProjectSchedule[[Finish]:[Finish]],"&gt;="&amp;LW6))</f>
        <v>0</v>
      </c>
      <c r="LX4" s="172">
        <f>IF(WEEKDAY(LX6,12)&gt;=6,0,SUMIFS(tblProjectSchedule[[Skilled]:[Skilled]],tblProjectSchedule[[Start]:[Start]],"&lt;="&amp;LX6,tblProjectSchedule[[Finish]:[Finish]],"&gt;="&amp;LX6)+SUMIFS(tblProjectSchedule[[Helpers]:[Helpers]],tblProjectSchedule[[Start]:[Start]],"&lt;="&amp;LX6,tblProjectSchedule[[Finish]:[Finish]],"&gt;="&amp;LX6))</f>
        <v>0</v>
      </c>
      <c r="LY4" s="172">
        <f>IF(WEEKDAY(LY6,12)&gt;=6,0,SUMIFS(tblProjectSchedule[[Skilled]:[Skilled]],tblProjectSchedule[[Start]:[Start]],"&lt;="&amp;LY6,tblProjectSchedule[[Finish]:[Finish]],"&gt;="&amp;LY6)+SUMIFS(tblProjectSchedule[[Helpers]:[Helpers]],tblProjectSchedule[[Start]:[Start]],"&lt;="&amp;LY6,tblProjectSchedule[[Finish]:[Finish]],"&gt;="&amp;LY6))</f>
        <v>0</v>
      </c>
      <c r="LZ4" s="172">
        <f>IF(WEEKDAY(LZ6,12)&gt;=6,0,SUMIFS(tblProjectSchedule[[Skilled]:[Skilled]],tblProjectSchedule[[Start]:[Start]],"&lt;="&amp;LZ6,tblProjectSchedule[[Finish]:[Finish]],"&gt;="&amp;LZ6)+SUMIFS(tblProjectSchedule[[Helpers]:[Helpers]],tblProjectSchedule[[Start]:[Start]],"&lt;="&amp;LZ6,tblProjectSchedule[[Finish]:[Finish]],"&gt;="&amp;LZ6))</f>
        <v>0</v>
      </c>
      <c r="MA4" s="174">
        <f>IF(WEEKDAY(MA6,12)&gt;=6,0,SUMIFS(tblProjectSchedule[[Skilled]:[Skilled]],tblProjectSchedule[[Start]:[Start]],"&lt;="&amp;MA6,tblProjectSchedule[[Finish]:[Finish]],"&gt;="&amp;MA6)+SUMIFS(tblProjectSchedule[[Helpers]:[Helpers]],tblProjectSchedule[[Start]:[Start]],"&lt;="&amp;MA6,tblProjectSchedule[[Finish]:[Finish]],"&gt;="&amp;MA6))</f>
        <v>0</v>
      </c>
      <c r="MB4" s="173">
        <f>IF(WEEKDAY(MB6,12)&gt;=6,0,SUMIFS(tblProjectSchedule[[Skilled]:[Skilled]],tblProjectSchedule[[Start]:[Start]],"&lt;="&amp;MB6,tblProjectSchedule[[Finish]:[Finish]],"&gt;="&amp;MB6)+SUMIFS(tblProjectSchedule[[Helpers]:[Helpers]],tblProjectSchedule[[Start]:[Start]],"&lt;="&amp;MB6,tblProjectSchedule[[Finish]:[Finish]],"&gt;="&amp;MB6))</f>
        <v>0</v>
      </c>
      <c r="MC4" s="172">
        <f>IF(WEEKDAY(MC6,12)&gt;=6,0,SUMIFS(tblProjectSchedule[[Skilled]:[Skilled]],tblProjectSchedule[[Start]:[Start]],"&lt;="&amp;MC6,tblProjectSchedule[[Finish]:[Finish]],"&gt;="&amp;MC6)+SUMIFS(tblProjectSchedule[[Helpers]:[Helpers]],tblProjectSchedule[[Start]:[Start]],"&lt;="&amp;MC6,tblProjectSchedule[[Finish]:[Finish]],"&gt;="&amp;MC6))</f>
        <v>0</v>
      </c>
      <c r="MD4" s="172">
        <f>IF(WEEKDAY(MD6,12)&gt;=6,0,SUMIFS(tblProjectSchedule[[Skilled]:[Skilled]],tblProjectSchedule[[Start]:[Start]],"&lt;="&amp;MD6,tblProjectSchedule[[Finish]:[Finish]],"&gt;="&amp;MD6)+SUMIFS(tblProjectSchedule[[Helpers]:[Helpers]],tblProjectSchedule[[Start]:[Start]],"&lt;="&amp;MD6,tblProjectSchedule[[Finish]:[Finish]],"&gt;="&amp;MD6))</f>
        <v>0</v>
      </c>
      <c r="ME4" s="172">
        <f>IF(WEEKDAY(ME6,12)&gt;=6,0,SUMIFS(tblProjectSchedule[[Skilled]:[Skilled]],tblProjectSchedule[[Start]:[Start]],"&lt;="&amp;ME6,tblProjectSchedule[[Finish]:[Finish]],"&gt;="&amp;ME6)+SUMIFS(tblProjectSchedule[[Helpers]:[Helpers]],tblProjectSchedule[[Start]:[Start]],"&lt;="&amp;ME6,tblProjectSchedule[[Finish]:[Finish]],"&gt;="&amp;ME6))</f>
        <v>0</v>
      </c>
      <c r="MF4" s="172">
        <f>IF(WEEKDAY(MF6,12)&gt;=6,0,SUMIFS(tblProjectSchedule[[Skilled]:[Skilled]],tblProjectSchedule[[Start]:[Start]],"&lt;="&amp;MF6,tblProjectSchedule[[Finish]:[Finish]],"&gt;="&amp;MF6)+SUMIFS(tblProjectSchedule[[Helpers]:[Helpers]],tblProjectSchedule[[Start]:[Start]],"&lt;="&amp;MF6,tblProjectSchedule[[Finish]:[Finish]],"&gt;="&amp;MF6))</f>
        <v>0</v>
      </c>
      <c r="MG4" s="172">
        <f>IF(WEEKDAY(MG6,12)&gt;=6,0,SUMIFS(tblProjectSchedule[[Skilled]:[Skilled]],tblProjectSchedule[[Start]:[Start]],"&lt;="&amp;MG6,tblProjectSchedule[[Finish]:[Finish]],"&gt;="&amp;MG6)+SUMIFS(tblProjectSchedule[[Helpers]:[Helpers]],tblProjectSchedule[[Start]:[Start]],"&lt;="&amp;MG6,tblProjectSchedule[[Finish]:[Finish]],"&gt;="&amp;MG6))</f>
        <v>0</v>
      </c>
      <c r="MH4" s="174">
        <f>IF(WEEKDAY(MH6,12)&gt;=6,0,SUMIFS(tblProjectSchedule[[Skilled]:[Skilled]],tblProjectSchedule[[Start]:[Start]],"&lt;="&amp;MH6,tblProjectSchedule[[Finish]:[Finish]],"&gt;="&amp;MH6)+SUMIFS(tblProjectSchedule[[Helpers]:[Helpers]],tblProjectSchedule[[Start]:[Start]],"&lt;="&amp;MH6,tblProjectSchedule[[Finish]:[Finish]],"&gt;="&amp;MH6))</f>
        <v>0</v>
      </c>
      <c r="MI4" s="173">
        <f>IF(WEEKDAY(MI6,12)&gt;=6,0,SUMIFS(tblProjectSchedule[[Skilled]:[Skilled]],tblProjectSchedule[[Start]:[Start]],"&lt;="&amp;MI6,tblProjectSchedule[[Finish]:[Finish]],"&gt;="&amp;MI6)+SUMIFS(tblProjectSchedule[[Helpers]:[Helpers]],tblProjectSchedule[[Start]:[Start]],"&lt;="&amp;MI6,tblProjectSchedule[[Finish]:[Finish]],"&gt;="&amp;MI6))</f>
        <v>0</v>
      </c>
      <c r="MJ4" s="172">
        <f>IF(WEEKDAY(MJ6,12)&gt;=6,0,SUMIFS(tblProjectSchedule[[Skilled]:[Skilled]],tblProjectSchedule[[Start]:[Start]],"&lt;="&amp;MJ6,tblProjectSchedule[[Finish]:[Finish]],"&gt;="&amp;MJ6)+SUMIFS(tblProjectSchedule[[Helpers]:[Helpers]],tblProjectSchedule[[Start]:[Start]],"&lt;="&amp;MJ6,tblProjectSchedule[[Finish]:[Finish]],"&gt;="&amp;MJ6))</f>
        <v>0</v>
      </c>
      <c r="MK4" s="172">
        <f>IF(WEEKDAY(MK6,12)&gt;=6,0,SUMIFS(tblProjectSchedule[[Skilled]:[Skilled]],tblProjectSchedule[[Start]:[Start]],"&lt;="&amp;MK6,tblProjectSchedule[[Finish]:[Finish]],"&gt;="&amp;MK6)+SUMIFS(tblProjectSchedule[[Helpers]:[Helpers]],tblProjectSchedule[[Start]:[Start]],"&lt;="&amp;MK6,tblProjectSchedule[[Finish]:[Finish]],"&gt;="&amp;MK6))</f>
        <v>0</v>
      </c>
      <c r="ML4" s="172">
        <f>IF(WEEKDAY(ML6,12)&gt;=6,0,SUMIFS(tblProjectSchedule[[Skilled]:[Skilled]],tblProjectSchedule[[Start]:[Start]],"&lt;="&amp;ML6,tblProjectSchedule[[Finish]:[Finish]],"&gt;="&amp;ML6)+SUMIFS(tblProjectSchedule[[Helpers]:[Helpers]],tblProjectSchedule[[Start]:[Start]],"&lt;="&amp;ML6,tblProjectSchedule[[Finish]:[Finish]],"&gt;="&amp;ML6))</f>
        <v>0</v>
      </c>
      <c r="MM4" s="172">
        <f>IF(WEEKDAY(MM6,12)&gt;=6,0,SUMIFS(tblProjectSchedule[[Skilled]:[Skilled]],tblProjectSchedule[[Start]:[Start]],"&lt;="&amp;MM6,tblProjectSchedule[[Finish]:[Finish]],"&gt;="&amp;MM6)+SUMIFS(tblProjectSchedule[[Helpers]:[Helpers]],tblProjectSchedule[[Start]:[Start]],"&lt;="&amp;MM6,tblProjectSchedule[[Finish]:[Finish]],"&gt;="&amp;MM6))</f>
        <v>0</v>
      </c>
      <c r="MN4" s="172">
        <f>IF(WEEKDAY(MN6,12)&gt;=6,0,SUMIFS(tblProjectSchedule[[Skilled]:[Skilled]],tblProjectSchedule[[Start]:[Start]],"&lt;="&amp;MN6,tblProjectSchedule[[Finish]:[Finish]],"&gt;="&amp;MN6)+SUMIFS(tblProjectSchedule[[Helpers]:[Helpers]],tblProjectSchedule[[Start]:[Start]],"&lt;="&amp;MN6,tblProjectSchedule[[Finish]:[Finish]],"&gt;="&amp;MN6))</f>
        <v>0</v>
      </c>
      <c r="MO4" s="174">
        <f>IF(WEEKDAY(MO6,12)&gt;=6,0,SUMIFS(tblProjectSchedule[[Skilled]:[Skilled]],tblProjectSchedule[[Start]:[Start]],"&lt;="&amp;MO6,tblProjectSchedule[[Finish]:[Finish]],"&gt;="&amp;MO6)+SUMIFS(tblProjectSchedule[[Helpers]:[Helpers]],tblProjectSchedule[[Start]:[Start]],"&lt;="&amp;MO6,tblProjectSchedule[[Finish]:[Finish]],"&gt;="&amp;MO6))</f>
        <v>0</v>
      </c>
      <c r="MP4" s="173">
        <f>IF(WEEKDAY(MP6,12)&gt;=6,0,SUMIFS(tblProjectSchedule[[Skilled]:[Skilled]],tblProjectSchedule[[Start]:[Start]],"&lt;="&amp;MP6,tblProjectSchedule[[Finish]:[Finish]],"&gt;="&amp;MP6)+SUMIFS(tblProjectSchedule[[Helpers]:[Helpers]],tblProjectSchedule[[Start]:[Start]],"&lt;="&amp;MP6,tblProjectSchedule[[Finish]:[Finish]],"&gt;="&amp;MP6))</f>
        <v>0</v>
      </c>
      <c r="MQ4" s="172">
        <f>IF(WEEKDAY(MQ6,12)&gt;=6,0,SUMIFS(tblProjectSchedule[[Skilled]:[Skilled]],tblProjectSchedule[[Start]:[Start]],"&lt;="&amp;MQ6,tblProjectSchedule[[Finish]:[Finish]],"&gt;="&amp;MQ6)+SUMIFS(tblProjectSchedule[[Helpers]:[Helpers]],tblProjectSchedule[[Start]:[Start]],"&lt;="&amp;MQ6,tblProjectSchedule[[Finish]:[Finish]],"&gt;="&amp;MQ6))</f>
        <v>0</v>
      </c>
      <c r="MR4" s="172">
        <f>IF(WEEKDAY(MR6,12)&gt;=6,0,SUMIFS(tblProjectSchedule[[Skilled]:[Skilled]],tblProjectSchedule[[Start]:[Start]],"&lt;="&amp;MR6,tblProjectSchedule[[Finish]:[Finish]],"&gt;="&amp;MR6)+SUMIFS(tblProjectSchedule[[Helpers]:[Helpers]],tblProjectSchedule[[Start]:[Start]],"&lt;="&amp;MR6,tblProjectSchedule[[Finish]:[Finish]],"&gt;="&amp;MR6))</f>
        <v>0</v>
      </c>
      <c r="MS4" s="172">
        <f>IF(WEEKDAY(MS6,12)&gt;=6,0,SUMIFS(tblProjectSchedule[[Skilled]:[Skilled]],tblProjectSchedule[[Start]:[Start]],"&lt;="&amp;MS6,tblProjectSchedule[[Finish]:[Finish]],"&gt;="&amp;MS6)+SUMIFS(tblProjectSchedule[[Helpers]:[Helpers]],tblProjectSchedule[[Start]:[Start]],"&lt;="&amp;MS6,tblProjectSchedule[[Finish]:[Finish]],"&gt;="&amp;MS6))</f>
        <v>0</v>
      </c>
      <c r="MT4" s="172">
        <f>IF(WEEKDAY(MT6,12)&gt;=6,0,SUMIFS(tblProjectSchedule[[Skilled]:[Skilled]],tblProjectSchedule[[Start]:[Start]],"&lt;="&amp;MT6,tblProjectSchedule[[Finish]:[Finish]],"&gt;="&amp;MT6)+SUMIFS(tblProjectSchedule[[Helpers]:[Helpers]],tblProjectSchedule[[Start]:[Start]],"&lt;="&amp;MT6,tblProjectSchedule[[Finish]:[Finish]],"&gt;="&amp;MT6))</f>
        <v>0</v>
      </c>
      <c r="MU4" s="172">
        <f>IF(WEEKDAY(MU6,12)&gt;=6,0,SUMIFS(tblProjectSchedule[[Skilled]:[Skilled]],tblProjectSchedule[[Start]:[Start]],"&lt;="&amp;MU6,tblProjectSchedule[[Finish]:[Finish]],"&gt;="&amp;MU6)+SUMIFS(tblProjectSchedule[[Helpers]:[Helpers]],tblProjectSchedule[[Start]:[Start]],"&lt;="&amp;MU6,tblProjectSchedule[[Finish]:[Finish]],"&gt;="&amp;MU6))</f>
        <v>0</v>
      </c>
      <c r="MV4" s="174">
        <f>IF(WEEKDAY(MV6,12)&gt;=6,0,SUMIFS(tblProjectSchedule[[Skilled]:[Skilled]],tblProjectSchedule[[Start]:[Start]],"&lt;="&amp;MV6,tblProjectSchedule[[Finish]:[Finish]],"&gt;="&amp;MV6)+SUMIFS(tblProjectSchedule[[Helpers]:[Helpers]],tblProjectSchedule[[Start]:[Start]],"&lt;="&amp;MV6,tblProjectSchedule[[Finish]:[Finish]],"&gt;="&amp;MV6))</f>
        <v>0</v>
      </c>
      <c r="MW4" s="173">
        <f>IF(WEEKDAY(MW6,12)&gt;=6,0,SUMIFS(tblProjectSchedule[[Skilled]:[Skilled]],tblProjectSchedule[[Start]:[Start]],"&lt;="&amp;MW6,tblProjectSchedule[[Finish]:[Finish]],"&gt;="&amp;MW6)+SUMIFS(tblProjectSchedule[[Helpers]:[Helpers]],tblProjectSchedule[[Start]:[Start]],"&lt;="&amp;MW6,tblProjectSchedule[[Finish]:[Finish]],"&gt;="&amp;MW6))</f>
        <v>0</v>
      </c>
      <c r="MX4" s="172">
        <f>IF(WEEKDAY(MX6,12)&gt;=6,0,SUMIFS(tblProjectSchedule[[Skilled]:[Skilled]],tblProjectSchedule[[Start]:[Start]],"&lt;="&amp;MX6,tblProjectSchedule[[Finish]:[Finish]],"&gt;="&amp;MX6)+SUMIFS(tblProjectSchedule[[Helpers]:[Helpers]],tblProjectSchedule[[Start]:[Start]],"&lt;="&amp;MX6,tblProjectSchedule[[Finish]:[Finish]],"&gt;="&amp;MX6))</f>
        <v>0</v>
      </c>
      <c r="MY4" s="172">
        <f>IF(WEEKDAY(MY6,12)&gt;=6,0,SUMIFS(tblProjectSchedule[[Skilled]:[Skilled]],tblProjectSchedule[[Start]:[Start]],"&lt;="&amp;MY6,tblProjectSchedule[[Finish]:[Finish]],"&gt;="&amp;MY6)+SUMIFS(tblProjectSchedule[[Helpers]:[Helpers]],tblProjectSchedule[[Start]:[Start]],"&lt;="&amp;MY6,tblProjectSchedule[[Finish]:[Finish]],"&gt;="&amp;MY6))</f>
        <v>0</v>
      </c>
      <c r="MZ4" s="172">
        <f>IF(WEEKDAY(MZ6,12)&gt;=6,0,SUMIFS(tblProjectSchedule[[Skilled]:[Skilled]],tblProjectSchedule[[Start]:[Start]],"&lt;="&amp;MZ6,tblProjectSchedule[[Finish]:[Finish]],"&gt;="&amp;MZ6)+SUMIFS(tblProjectSchedule[[Helpers]:[Helpers]],tblProjectSchedule[[Start]:[Start]],"&lt;="&amp;MZ6,tblProjectSchedule[[Finish]:[Finish]],"&gt;="&amp;MZ6))</f>
        <v>0</v>
      </c>
      <c r="NA4" s="172">
        <f>IF(WEEKDAY(NA6,12)&gt;=6,0,SUMIFS(tblProjectSchedule[[Skilled]:[Skilled]],tblProjectSchedule[[Start]:[Start]],"&lt;="&amp;NA6,tblProjectSchedule[[Finish]:[Finish]],"&gt;="&amp;NA6)+SUMIFS(tblProjectSchedule[[Helpers]:[Helpers]],tblProjectSchedule[[Start]:[Start]],"&lt;="&amp;NA6,tblProjectSchedule[[Finish]:[Finish]],"&gt;="&amp;NA6))</f>
        <v>0</v>
      </c>
      <c r="NB4" s="172">
        <f>IF(WEEKDAY(NB6,12)&gt;=6,0,SUMIFS(tblProjectSchedule[[Skilled]:[Skilled]],tblProjectSchedule[[Start]:[Start]],"&lt;="&amp;NB6,tblProjectSchedule[[Finish]:[Finish]],"&gt;="&amp;NB6)+SUMIFS(tblProjectSchedule[[Helpers]:[Helpers]],tblProjectSchedule[[Start]:[Start]],"&lt;="&amp;NB6,tblProjectSchedule[[Finish]:[Finish]],"&gt;="&amp;NB6))</f>
        <v>0</v>
      </c>
      <c r="NC4" s="174">
        <f>IF(WEEKDAY(NC6,12)&gt;=6,0,SUMIFS(tblProjectSchedule[[Skilled]:[Skilled]],tblProjectSchedule[[Start]:[Start]],"&lt;="&amp;NC6,tblProjectSchedule[[Finish]:[Finish]],"&gt;="&amp;NC6)+SUMIFS(tblProjectSchedule[[Helpers]:[Helpers]],tblProjectSchedule[[Start]:[Start]],"&lt;="&amp;NC6,tblProjectSchedule[[Finish]:[Finish]],"&gt;="&amp;NC6))</f>
        <v>0</v>
      </c>
      <c r="ND4" s="173">
        <f>IF(WEEKDAY(ND6,12)&gt;=6,0,SUMIFS(tblProjectSchedule[[Skilled]:[Skilled]],tblProjectSchedule[[Start]:[Start]],"&lt;="&amp;ND6,tblProjectSchedule[[Finish]:[Finish]],"&gt;="&amp;ND6)+SUMIFS(tblProjectSchedule[[Helpers]:[Helpers]],tblProjectSchedule[[Start]:[Start]],"&lt;="&amp;ND6,tblProjectSchedule[[Finish]:[Finish]],"&gt;="&amp;ND6))</f>
        <v>0</v>
      </c>
      <c r="NE4" s="172">
        <f>IF(WEEKDAY(NE6,12)&gt;=6,0,SUMIFS(tblProjectSchedule[[Skilled]:[Skilled]],tblProjectSchedule[[Start]:[Start]],"&lt;="&amp;NE6,tblProjectSchedule[[Finish]:[Finish]],"&gt;="&amp;NE6)+SUMIFS(tblProjectSchedule[[Helpers]:[Helpers]],tblProjectSchedule[[Start]:[Start]],"&lt;="&amp;NE6,tblProjectSchedule[[Finish]:[Finish]],"&gt;="&amp;NE6))</f>
        <v>0</v>
      </c>
      <c r="NF4" s="172">
        <f>IF(WEEKDAY(NF6,12)&gt;=6,0,SUMIFS(tblProjectSchedule[[Skilled]:[Skilled]],tblProjectSchedule[[Start]:[Start]],"&lt;="&amp;NF6,tblProjectSchedule[[Finish]:[Finish]],"&gt;="&amp;NF6)+SUMIFS(tblProjectSchedule[[Helpers]:[Helpers]],tblProjectSchedule[[Start]:[Start]],"&lt;="&amp;NF6,tblProjectSchedule[[Finish]:[Finish]],"&gt;="&amp;NF6))</f>
        <v>0</v>
      </c>
      <c r="NG4" s="172">
        <f>IF(WEEKDAY(NG6,12)&gt;=6,0,SUMIFS(tblProjectSchedule[[Skilled]:[Skilled]],tblProjectSchedule[[Start]:[Start]],"&lt;="&amp;NG6,tblProjectSchedule[[Finish]:[Finish]],"&gt;="&amp;NG6)+SUMIFS(tblProjectSchedule[[Helpers]:[Helpers]],tblProjectSchedule[[Start]:[Start]],"&lt;="&amp;NG6,tblProjectSchedule[[Finish]:[Finish]],"&gt;="&amp;NG6))</f>
        <v>0</v>
      </c>
      <c r="NH4" s="172">
        <f>IF(WEEKDAY(NH6,12)&gt;=6,0,SUMIFS(tblProjectSchedule[[Skilled]:[Skilled]],tblProjectSchedule[[Start]:[Start]],"&lt;="&amp;NH6,tblProjectSchedule[[Finish]:[Finish]],"&gt;="&amp;NH6)+SUMIFS(tblProjectSchedule[[Helpers]:[Helpers]],tblProjectSchedule[[Start]:[Start]],"&lt;="&amp;NH6,tblProjectSchedule[[Finish]:[Finish]],"&gt;="&amp;NH6))</f>
        <v>0</v>
      </c>
      <c r="NI4" s="172">
        <f>IF(WEEKDAY(NI6,12)&gt;=6,0,SUMIFS(tblProjectSchedule[[Skilled]:[Skilled]],tblProjectSchedule[[Start]:[Start]],"&lt;="&amp;NI6,tblProjectSchedule[[Finish]:[Finish]],"&gt;="&amp;NI6)+SUMIFS(tblProjectSchedule[[Helpers]:[Helpers]],tblProjectSchedule[[Start]:[Start]],"&lt;="&amp;NI6,tblProjectSchedule[[Finish]:[Finish]],"&gt;="&amp;NI6))</f>
        <v>0</v>
      </c>
      <c r="NJ4" s="174">
        <f>IF(WEEKDAY(NJ6,12)&gt;=6,0,SUMIFS(tblProjectSchedule[[Skilled]:[Skilled]],tblProjectSchedule[[Start]:[Start]],"&lt;="&amp;NJ6,tblProjectSchedule[[Finish]:[Finish]],"&gt;="&amp;NJ6)+SUMIFS(tblProjectSchedule[[Helpers]:[Helpers]],tblProjectSchedule[[Start]:[Start]],"&lt;="&amp;NJ6,tblProjectSchedule[[Finish]:[Finish]],"&gt;="&amp;NJ6))</f>
        <v>0</v>
      </c>
      <c r="NK4" s="173">
        <f>IF(WEEKDAY(NK6,12)&gt;=6,0,SUMIFS(tblProjectSchedule[[Skilled]:[Skilled]],tblProjectSchedule[[Start]:[Start]],"&lt;="&amp;NK6,tblProjectSchedule[[Finish]:[Finish]],"&gt;="&amp;NK6)+SUMIFS(tblProjectSchedule[[Helpers]:[Helpers]],tblProjectSchedule[[Start]:[Start]],"&lt;="&amp;NK6,tblProjectSchedule[[Finish]:[Finish]],"&gt;="&amp;NK6))</f>
        <v>0</v>
      </c>
      <c r="NL4" s="172">
        <f>IF(WEEKDAY(NL6,12)&gt;=6,0,SUMIFS(tblProjectSchedule[[Skilled]:[Skilled]],tblProjectSchedule[[Start]:[Start]],"&lt;="&amp;NL6,tblProjectSchedule[[Finish]:[Finish]],"&gt;="&amp;NL6)+SUMIFS(tblProjectSchedule[[Helpers]:[Helpers]],tblProjectSchedule[[Start]:[Start]],"&lt;="&amp;NL6,tblProjectSchedule[[Finish]:[Finish]],"&gt;="&amp;NL6))</f>
        <v>0</v>
      </c>
      <c r="NM4" s="172">
        <f>IF(WEEKDAY(NM6,12)&gt;=6,0,SUMIFS(tblProjectSchedule[[Skilled]:[Skilled]],tblProjectSchedule[[Start]:[Start]],"&lt;="&amp;NM6,tblProjectSchedule[[Finish]:[Finish]],"&gt;="&amp;NM6)+SUMIFS(tblProjectSchedule[[Helpers]:[Helpers]],tblProjectSchedule[[Start]:[Start]],"&lt;="&amp;NM6,tblProjectSchedule[[Finish]:[Finish]],"&gt;="&amp;NM6))</f>
        <v>0</v>
      </c>
      <c r="NN4" s="172">
        <f>IF(WEEKDAY(NN6,12)&gt;=6,0,SUMIFS(tblProjectSchedule[[Skilled]:[Skilled]],tblProjectSchedule[[Start]:[Start]],"&lt;="&amp;NN6,tblProjectSchedule[[Finish]:[Finish]],"&gt;="&amp;NN6)+SUMIFS(tblProjectSchedule[[Helpers]:[Helpers]],tblProjectSchedule[[Start]:[Start]],"&lt;="&amp;NN6,tblProjectSchedule[[Finish]:[Finish]],"&gt;="&amp;NN6))</f>
        <v>0</v>
      </c>
      <c r="NO4" s="172">
        <f>IF(WEEKDAY(NO6,12)&gt;=6,0,SUMIFS(tblProjectSchedule[[Skilled]:[Skilled]],tblProjectSchedule[[Start]:[Start]],"&lt;="&amp;NO6,tblProjectSchedule[[Finish]:[Finish]],"&gt;="&amp;NO6)+SUMIFS(tblProjectSchedule[[Helpers]:[Helpers]],tblProjectSchedule[[Start]:[Start]],"&lt;="&amp;NO6,tblProjectSchedule[[Finish]:[Finish]],"&gt;="&amp;NO6))</f>
        <v>0</v>
      </c>
      <c r="NP4" s="172">
        <f>IF(WEEKDAY(NP6,12)&gt;=6,0,SUMIFS(tblProjectSchedule[[Skilled]:[Skilled]],tblProjectSchedule[[Start]:[Start]],"&lt;="&amp;NP6,tblProjectSchedule[[Finish]:[Finish]],"&gt;="&amp;NP6)+SUMIFS(tblProjectSchedule[[Helpers]:[Helpers]],tblProjectSchedule[[Start]:[Start]],"&lt;="&amp;NP6,tblProjectSchedule[[Finish]:[Finish]],"&gt;="&amp;NP6))</f>
        <v>0</v>
      </c>
      <c r="NQ4" s="174">
        <f>IF(WEEKDAY(NQ6,12)&gt;=6,0,SUMIFS(tblProjectSchedule[[Skilled]:[Skilled]],tblProjectSchedule[[Start]:[Start]],"&lt;="&amp;NQ6,tblProjectSchedule[[Finish]:[Finish]],"&gt;="&amp;NQ6)+SUMIFS(tblProjectSchedule[[Helpers]:[Helpers]],tblProjectSchedule[[Start]:[Start]],"&lt;="&amp;NQ6,tblProjectSchedule[[Finish]:[Finish]],"&gt;="&amp;NQ6))</f>
        <v>0</v>
      </c>
      <c r="NR4" s="173">
        <f>IF(WEEKDAY(NR6,12)&gt;=6,0,SUMIFS(tblProjectSchedule[[Skilled]:[Skilled]],tblProjectSchedule[[Start]:[Start]],"&lt;="&amp;NR6,tblProjectSchedule[[Finish]:[Finish]],"&gt;="&amp;NR6)+SUMIFS(tblProjectSchedule[[Helpers]:[Helpers]],tblProjectSchedule[[Start]:[Start]],"&lt;="&amp;NR6,tblProjectSchedule[[Finish]:[Finish]],"&gt;="&amp;NR6))</f>
        <v>0</v>
      </c>
      <c r="NS4" s="172">
        <f>IF(WEEKDAY(NS6,12)&gt;=6,0,SUMIFS(tblProjectSchedule[[Skilled]:[Skilled]],tblProjectSchedule[[Start]:[Start]],"&lt;="&amp;NS6,tblProjectSchedule[[Finish]:[Finish]],"&gt;="&amp;NS6)+SUMIFS(tblProjectSchedule[[Helpers]:[Helpers]],tblProjectSchedule[[Start]:[Start]],"&lt;="&amp;NS6,tblProjectSchedule[[Finish]:[Finish]],"&gt;="&amp;NS6))</f>
        <v>0</v>
      </c>
      <c r="NT4" s="172">
        <f>IF(WEEKDAY(NT6,12)&gt;=6,0,SUMIFS(tblProjectSchedule[[Skilled]:[Skilled]],tblProjectSchedule[[Start]:[Start]],"&lt;="&amp;NT6,tblProjectSchedule[[Finish]:[Finish]],"&gt;="&amp;NT6)+SUMIFS(tblProjectSchedule[[Helpers]:[Helpers]],tblProjectSchedule[[Start]:[Start]],"&lt;="&amp;NT6,tblProjectSchedule[[Finish]:[Finish]],"&gt;="&amp;NT6))</f>
        <v>0</v>
      </c>
      <c r="NU4" s="172">
        <f>IF(WEEKDAY(NU6,12)&gt;=6,0,SUMIFS(tblProjectSchedule[[Skilled]:[Skilled]],tblProjectSchedule[[Start]:[Start]],"&lt;="&amp;NU6,tblProjectSchedule[[Finish]:[Finish]],"&gt;="&amp;NU6)+SUMIFS(tblProjectSchedule[[Helpers]:[Helpers]],tblProjectSchedule[[Start]:[Start]],"&lt;="&amp;NU6,tblProjectSchedule[[Finish]:[Finish]],"&gt;="&amp;NU6))</f>
        <v>0</v>
      </c>
      <c r="NV4" s="172">
        <f>IF(WEEKDAY(NV6,12)&gt;=6,0,SUMIFS(tblProjectSchedule[[Skilled]:[Skilled]],tblProjectSchedule[[Start]:[Start]],"&lt;="&amp;NV6,tblProjectSchedule[[Finish]:[Finish]],"&gt;="&amp;NV6)+SUMIFS(tblProjectSchedule[[Helpers]:[Helpers]],tblProjectSchedule[[Start]:[Start]],"&lt;="&amp;NV6,tblProjectSchedule[[Finish]:[Finish]],"&gt;="&amp;NV6))</f>
        <v>0</v>
      </c>
      <c r="NW4" s="172">
        <f>IF(WEEKDAY(NW6,12)&gt;=6,0,SUMIFS(tblProjectSchedule[[Skilled]:[Skilled]],tblProjectSchedule[[Start]:[Start]],"&lt;="&amp;NW6,tblProjectSchedule[[Finish]:[Finish]],"&gt;="&amp;NW6)+SUMIFS(tblProjectSchedule[[Helpers]:[Helpers]],tblProjectSchedule[[Start]:[Start]],"&lt;="&amp;NW6,tblProjectSchedule[[Finish]:[Finish]],"&gt;="&amp;NW6))</f>
        <v>0</v>
      </c>
      <c r="NX4" s="174">
        <f>IF(WEEKDAY(NX6,12)&gt;=6,0,SUMIFS(tblProjectSchedule[[Skilled]:[Skilled]],tblProjectSchedule[[Start]:[Start]],"&lt;="&amp;NX6,tblProjectSchedule[[Finish]:[Finish]],"&gt;="&amp;NX6)+SUMIFS(tblProjectSchedule[[Helpers]:[Helpers]],tblProjectSchedule[[Start]:[Start]],"&lt;="&amp;NX6,tblProjectSchedule[[Finish]:[Finish]],"&gt;="&amp;NX6))</f>
        <v>0</v>
      </c>
      <c r="NY4" s="173">
        <f>IF(WEEKDAY(NY6,12)&gt;=6,0,SUMIFS(tblProjectSchedule[[Skilled]:[Skilled]],tblProjectSchedule[[Start]:[Start]],"&lt;="&amp;NY6,tblProjectSchedule[[Finish]:[Finish]],"&gt;="&amp;NY6)+SUMIFS(tblProjectSchedule[[Helpers]:[Helpers]],tblProjectSchedule[[Start]:[Start]],"&lt;="&amp;NY6,tblProjectSchedule[[Finish]:[Finish]],"&gt;="&amp;NY6))</f>
        <v>0</v>
      </c>
      <c r="NZ4" s="172">
        <f>IF(WEEKDAY(NZ6,12)&gt;=6,0,SUMIFS(tblProjectSchedule[[Skilled]:[Skilled]],tblProjectSchedule[[Start]:[Start]],"&lt;="&amp;NZ6,tblProjectSchedule[[Finish]:[Finish]],"&gt;="&amp;NZ6)+SUMIFS(tblProjectSchedule[[Helpers]:[Helpers]],tblProjectSchedule[[Start]:[Start]],"&lt;="&amp;NZ6,tblProjectSchedule[[Finish]:[Finish]],"&gt;="&amp;NZ6))</f>
        <v>0</v>
      </c>
      <c r="OA4" s="172">
        <f>IF(WEEKDAY(OA6,12)&gt;=6,0,SUMIFS(tblProjectSchedule[[Skilled]:[Skilled]],tblProjectSchedule[[Start]:[Start]],"&lt;="&amp;OA6,tblProjectSchedule[[Finish]:[Finish]],"&gt;="&amp;OA6)+SUMIFS(tblProjectSchedule[[Helpers]:[Helpers]],tblProjectSchedule[[Start]:[Start]],"&lt;="&amp;OA6,tblProjectSchedule[[Finish]:[Finish]],"&gt;="&amp;OA6))</f>
        <v>0</v>
      </c>
      <c r="OB4" s="172">
        <f>IF(WEEKDAY(OB6,12)&gt;=6,0,SUMIFS(tblProjectSchedule[[Skilled]:[Skilled]],tblProjectSchedule[[Start]:[Start]],"&lt;="&amp;OB6,tblProjectSchedule[[Finish]:[Finish]],"&gt;="&amp;OB6)+SUMIFS(tblProjectSchedule[[Helpers]:[Helpers]],tblProjectSchedule[[Start]:[Start]],"&lt;="&amp;OB6,tblProjectSchedule[[Finish]:[Finish]],"&gt;="&amp;OB6))</f>
        <v>0</v>
      </c>
      <c r="OC4" s="172">
        <f>IF(WEEKDAY(OC6,12)&gt;=6,0,SUMIFS(tblProjectSchedule[[Skilled]:[Skilled]],tblProjectSchedule[[Start]:[Start]],"&lt;="&amp;OC6,tblProjectSchedule[[Finish]:[Finish]],"&gt;="&amp;OC6)+SUMIFS(tblProjectSchedule[[Helpers]:[Helpers]],tblProjectSchedule[[Start]:[Start]],"&lt;="&amp;OC6,tblProjectSchedule[[Finish]:[Finish]],"&gt;="&amp;OC6))</f>
        <v>0</v>
      </c>
      <c r="OD4" s="172">
        <f>IF(WEEKDAY(OD6,12)&gt;=6,0,SUMIFS(tblProjectSchedule[[Skilled]:[Skilled]],tblProjectSchedule[[Start]:[Start]],"&lt;="&amp;OD6,tblProjectSchedule[[Finish]:[Finish]],"&gt;="&amp;OD6)+SUMIFS(tblProjectSchedule[[Helpers]:[Helpers]],tblProjectSchedule[[Start]:[Start]],"&lt;="&amp;OD6,tblProjectSchedule[[Finish]:[Finish]],"&gt;="&amp;OD6))</f>
        <v>0</v>
      </c>
      <c r="OE4" s="174">
        <f>IF(WEEKDAY(OE6,12)&gt;=6,0,SUMIFS(tblProjectSchedule[[Skilled]:[Skilled]],tblProjectSchedule[[Start]:[Start]],"&lt;="&amp;OE6,tblProjectSchedule[[Finish]:[Finish]],"&gt;="&amp;OE6)+SUMIFS(tblProjectSchedule[[Helpers]:[Helpers]],tblProjectSchedule[[Start]:[Start]],"&lt;="&amp;OE6,tblProjectSchedule[[Finish]:[Finish]],"&gt;="&amp;OE6))</f>
        <v>0</v>
      </c>
      <c r="OF4" s="173">
        <f>IF(WEEKDAY(OF6,12)&gt;=6,0,SUMIFS(tblProjectSchedule[[Skilled]:[Skilled]],tblProjectSchedule[[Start]:[Start]],"&lt;="&amp;OF6,tblProjectSchedule[[Finish]:[Finish]],"&gt;="&amp;OF6)+SUMIFS(tblProjectSchedule[[Helpers]:[Helpers]],tblProjectSchedule[[Start]:[Start]],"&lt;="&amp;OF6,tblProjectSchedule[[Finish]:[Finish]],"&gt;="&amp;OF6))</f>
        <v>0</v>
      </c>
      <c r="OG4" s="172">
        <f>IF(WEEKDAY(OG6,12)&gt;=6,0,SUMIFS(tblProjectSchedule[[Skilled]:[Skilled]],tblProjectSchedule[[Start]:[Start]],"&lt;="&amp;OG6,tblProjectSchedule[[Finish]:[Finish]],"&gt;="&amp;OG6)+SUMIFS(tblProjectSchedule[[Helpers]:[Helpers]],tblProjectSchedule[[Start]:[Start]],"&lt;="&amp;OG6,tblProjectSchedule[[Finish]:[Finish]],"&gt;="&amp;OG6))</f>
        <v>0</v>
      </c>
      <c r="OH4" s="172">
        <f>IF(WEEKDAY(OH6,12)&gt;=6,0,SUMIFS(tblProjectSchedule[[Skilled]:[Skilled]],tblProjectSchedule[[Start]:[Start]],"&lt;="&amp;OH6,tblProjectSchedule[[Finish]:[Finish]],"&gt;="&amp;OH6)+SUMIFS(tblProjectSchedule[[Helpers]:[Helpers]],tblProjectSchedule[[Start]:[Start]],"&lt;="&amp;OH6,tblProjectSchedule[[Finish]:[Finish]],"&gt;="&amp;OH6))</f>
        <v>0</v>
      </c>
      <c r="OI4" s="172">
        <f>IF(WEEKDAY(OI6,12)&gt;=6,0,SUMIFS(tblProjectSchedule[[Skilled]:[Skilled]],tblProjectSchedule[[Start]:[Start]],"&lt;="&amp;OI6,tblProjectSchedule[[Finish]:[Finish]],"&gt;="&amp;OI6)+SUMIFS(tblProjectSchedule[[Helpers]:[Helpers]],tblProjectSchedule[[Start]:[Start]],"&lt;="&amp;OI6,tblProjectSchedule[[Finish]:[Finish]],"&gt;="&amp;OI6))</f>
        <v>0</v>
      </c>
      <c r="OJ4" s="172">
        <f>IF(WEEKDAY(OJ6,12)&gt;=6,0,SUMIFS(tblProjectSchedule[[Skilled]:[Skilled]],tblProjectSchedule[[Start]:[Start]],"&lt;="&amp;OJ6,tblProjectSchedule[[Finish]:[Finish]],"&gt;="&amp;OJ6)+SUMIFS(tblProjectSchedule[[Helpers]:[Helpers]],tblProjectSchedule[[Start]:[Start]],"&lt;="&amp;OJ6,tblProjectSchedule[[Finish]:[Finish]],"&gt;="&amp;OJ6))</f>
        <v>0</v>
      </c>
      <c r="OK4" s="172">
        <f>IF(WEEKDAY(OK6,12)&gt;=6,0,SUMIFS(tblProjectSchedule[[Skilled]:[Skilled]],tblProjectSchedule[[Start]:[Start]],"&lt;="&amp;OK6,tblProjectSchedule[[Finish]:[Finish]],"&gt;="&amp;OK6)+SUMIFS(tblProjectSchedule[[Helpers]:[Helpers]],tblProjectSchedule[[Start]:[Start]],"&lt;="&amp;OK6,tblProjectSchedule[[Finish]:[Finish]],"&gt;="&amp;OK6))</f>
        <v>0</v>
      </c>
      <c r="OL4" s="174">
        <f>IF(WEEKDAY(OL6,12)&gt;=6,0,SUMIFS(tblProjectSchedule[[Skilled]:[Skilled]],tblProjectSchedule[[Start]:[Start]],"&lt;="&amp;OL6,tblProjectSchedule[[Finish]:[Finish]],"&gt;="&amp;OL6)+SUMIFS(tblProjectSchedule[[Helpers]:[Helpers]],tblProjectSchedule[[Start]:[Start]],"&lt;="&amp;OL6,tblProjectSchedule[[Finish]:[Finish]],"&gt;="&amp;OL6))</f>
        <v>0</v>
      </c>
      <c r="OM4" s="173">
        <f>IF(WEEKDAY(OM6,12)&gt;=6,0,SUMIFS(tblProjectSchedule[[Skilled]:[Skilled]],tblProjectSchedule[[Start]:[Start]],"&lt;="&amp;OM6,tblProjectSchedule[[Finish]:[Finish]],"&gt;="&amp;OM6)+SUMIFS(tblProjectSchedule[[Helpers]:[Helpers]],tblProjectSchedule[[Start]:[Start]],"&lt;="&amp;OM6,tblProjectSchedule[[Finish]:[Finish]],"&gt;="&amp;OM6))</f>
        <v>0</v>
      </c>
      <c r="ON4" s="172">
        <f>IF(WEEKDAY(ON6,12)&gt;=6,0,SUMIFS(tblProjectSchedule[[Skilled]:[Skilled]],tblProjectSchedule[[Start]:[Start]],"&lt;="&amp;ON6,tblProjectSchedule[[Finish]:[Finish]],"&gt;="&amp;ON6)+SUMIFS(tblProjectSchedule[[Helpers]:[Helpers]],tblProjectSchedule[[Start]:[Start]],"&lt;="&amp;ON6,tblProjectSchedule[[Finish]:[Finish]],"&gt;="&amp;ON6))</f>
        <v>0</v>
      </c>
      <c r="OO4" s="172">
        <f>IF(WEEKDAY(OO6,12)&gt;=6,0,SUMIFS(tblProjectSchedule[[Skilled]:[Skilled]],tblProjectSchedule[[Start]:[Start]],"&lt;="&amp;OO6,tblProjectSchedule[[Finish]:[Finish]],"&gt;="&amp;OO6)+SUMIFS(tblProjectSchedule[[Helpers]:[Helpers]],tblProjectSchedule[[Start]:[Start]],"&lt;="&amp;OO6,tblProjectSchedule[[Finish]:[Finish]],"&gt;="&amp;OO6))</f>
        <v>0</v>
      </c>
      <c r="OP4" s="172">
        <f>IF(WEEKDAY(OP6,12)&gt;=6,0,SUMIFS(tblProjectSchedule[[Skilled]:[Skilled]],tblProjectSchedule[[Start]:[Start]],"&lt;="&amp;OP6,tblProjectSchedule[[Finish]:[Finish]],"&gt;="&amp;OP6)+SUMIFS(tblProjectSchedule[[Helpers]:[Helpers]],tblProjectSchedule[[Start]:[Start]],"&lt;="&amp;OP6,tblProjectSchedule[[Finish]:[Finish]],"&gt;="&amp;OP6))</f>
        <v>0</v>
      </c>
      <c r="OQ4" s="172">
        <f>IF(WEEKDAY(OQ6,12)&gt;=6,0,SUMIFS(tblProjectSchedule[[Skilled]:[Skilled]],tblProjectSchedule[[Start]:[Start]],"&lt;="&amp;OQ6,tblProjectSchedule[[Finish]:[Finish]],"&gt;="&amp;OQ6)+SUMIFS(tblProjectSchedule[[Helpers]:[Helpers]],tblProjectSchedule[[Start]:[Start]],"&lt;="&amp;OQ6,tblProjectSchedule[[Finish]:[Finish]],"&gt;="&amp;OQ6))</f>
        <v>0</v>
      </c>
      <c r="OR4" s="172">
        <f>IF(WEEKDAY(OR6,12)&gt;=6,0,SUMIFS(tblProjectSchedule[[Skilled]:[Skilled]],tblProjectSchedule[[Start]:[Start]],"&lt;="&amp;OR6,tblProjectSchedule[[Finish]:[Finish]],"&gt;="&amp;OR6)+SUMIFS(tblProjectSchedule[[Helpers]:[Helpers]],tblProjectSchedule[[Start]:[Start]],"&lt;="&amp;OR6,tblProjectSchedule[[Finish]:[Finish]],"&gt;="&amp;OR6))</f>
        <v>0</v>
      </c>
      <c r="OS4" s="174">
        <f>IF(WEEKDAY(OS6,12)&gt;=6,0,SUMIFS(tblProjectSchedule[[Skilled]:[Skilled]],tblProjectSchedule[[Start]:[Start]],"&lt;="&amp;OS6,tblProjectSchedule[[Finish]:[Finish]],"&gt;="&amp;OS6)+SUMIFS(tblProjectSchedule[[Helpers]:[Helpers]],tblProjectSchedule[[Start]:[Start]],"&lt;="&amp;OS6,tblProjectSchedule[[Finish]:[Finish]],"&gt;="&amp;OS6))</f>
        <v>0</v>
      </c>
      <c r="OT4" s="173">
        <f>IF(WEEKDAY(OT6,12)&gt;=6,0,SUMIFS(tblProjectSchedule[[Skilled]:[Skilled]],tblProjectSchedule[[Start]:[Start]],"&lt;="&amp;OT6,tblProjectSchedule[[Finish]:[Finish]],"&gt;="&amp;OT6)+SUMIFS(tblProjectSchedule[[Helpers]:[Helpers]],tblProjectSchedule[[Start]:[Start]],"&lt;="&amp;OT6,tblProjectSchedule[[Finish]:[Finish]],"&gt;="&amp;OT6))</f>
        <v>0</v>
      </c>
      <c r="OU4" s="172">
        <f>IF(WEEKDAY(OU6,12)&gt;=6,0,SUMIFS(tblProjectSchedule[[Skilled]:[Skilled]],tblProjectSchedule[[Start]:[Start]],"&lt;="&amp;OU6,tblProjectSchedule[[Finish]:[Finish]],"&gt;="&amp;OU6)+SUMIFS(tblProjectSchedule[[Helpers]:[Helpers]],tblProjectSchedule[[Start]:[Start]],"&lt;="&amp;OU6,tblProjectSchedule[[Finish]:[Finish]],"&gt;="&amp;OU6))</f>
        <v>0</v>
      </c>
      <c r="OV4" s="172">
        <f>IF(WEEKDAY(OV6,12)&gt;=6,0,SUMIFS(tblProjectSchedule[[Skilled]:[Skilled]],tblProjectSchedule[[Start]:[Start]],"&lt;="&amp;OV6,tblProjectSchedule[[Finish]:[Finish]],"&gt;="&amp;OV6)+SUMIFS(tblProjectSchedule[[Helpers]:[Helpers]],tblProjectSchedule[[Start]:[Start]],"&lt;="&amp;OV6,tblProjectSchedule[[Finish]:[Finish]],"&gt;="&amp;OV6))</f>
        <v>0</v>
      </c>
      <c r="OW4" s="172">
        <f>IF(WEEKDAY(OW6,12)&gt;=6,0,SUMIFS(tblProjectSchedule[[Skilled]:[Skilled]],tblProjectSchedule[[Start]:[Start]],"&lt;="&amp;OW6,tblProjectSchedule[[Finish]:[Finish]],"&gt;="&amp;OW6)+SUMIFS(tblProjectSchedule[[Helpers]:[Helpers]],tblProjectSchedule[[Start]:[Start]],"&lt;="&amp;OW6,tblProjectSchedule[[Finish]:[Finish]],"&gt;="&amp;OW6))</f>
        <v>0</v>
      </c>
      <c r="OX4" s="172">
        <f>IF(WEEKDAY(OX6,12)&gt;=6,0,SUMIFS(tblProjectSchedule[[Skilled]:[Skilled]],tblProjectSchedule[[Start]:[Start]],"&lt;="&amp;OX6,tblProjectSchedule[[Finish]:[Finish]],"&gt;="&amp;OX6)+SUMIFS(tblProjectSchedule[[Helpers]:[Helpers]],tblProjectSchedule[[Start]:[Start]],"&lt;="&amp;OX6,tblProjectSchedule[[Finish]:[Finish]],"&gt;="&amp;OX6))</f>
        <v>0</v>
      </c>
      <c r="OY4" s="172">
        <f>IF(WEEKDAY(OY6,12)&gt;=6,0,SUMIFS(tblProjectSchedule[[Skilled]:[Skilled]],tblProjectSchedule[[Start]:[Start]],"&lt;="&amp;OY6,tblProjectSchedule[[Finish]:[Finish]],"&gt;="&amp;OY6)+SUMIFS(tblProjectSchedule[[Helpers]:[Helpers]],tblProjectSchedule[[Start]:[Start]],"&lt;="&amp;OY6,tblProjectSchedule[[Finish]:[Finish]],"&gt;="&amp;OY6))</f>
        <v>0</v>
      </c>
      <c r="OZ4" s="174">
        <f>IF(WEEKDAY(OZ6,12)&gt;=6,0,SUMIFS(tblProjectSchedule[[Skilled]:[Skilled]],tblProjectSchedule[[Start]:[Start]],"&lt;="&amp;OZ6,tblProjectSchedule[[Finish]:[Finish]],"&gt;="&amp;OZ6)+SUMIFS(tblProjectSchedule[[Helpers]:[Helpers]],tblProjectSchedule[[Start]:[Start]],"&lt;="&amp;OZ6,tblProjectSchedule[[Finish]:[Finish]],"&gt;="&amp;OZ6))</f>
        <v>0</v>
      </c>
      <c r="PA4" s="173">
        <f>IF(WEEKDAY(PA6,12)&gt;=6,0,SUMIFS(tblProjectSchedule[[Skilled]:[Skilled]],tblProjectSchedule[[Start]:[Start]],"&lt;="&amp;PA6,tblProjectSchedule[[Finish]:[Finish]],"&gt;="&amp;PA6)+SUMIFS(tblProjectSchedule[[Helpers]:[Helpers]],tblProjectSchedule[[Start]:[Start]],"&lt;="&amp;PA6,tblProjectSchedule[[Finish]:[Finish]],"&gt;="&amp;PA6))</f>
        <v>0</v>
      </c>
      <c r="PB4" s="172">
        <f>IF(WEEKDAY(PB6,12)&gt;=6,0,SUMIFS(tblProjectSchedule[[Skilled]:[Skilled]],tblProjectSchedule[[Start]:[Start]],"&lt;="&amp;PB6,tblProjectSchedule[[Finish]:[Finish]],"&gt;="&amp;PB6)+SUMIFS(tblProjectSchedule[[Helpers]:[Helpers]],tblProjectSchedule[[Start]:[Start]],"&lt;="&amp;PB6,tblProjectSchedule[[Finish]:[Finish]],"&gt;="&amp;PB6))</f>
        <v>0</v>
      </c>
      <c r="PC4" s="172">
        <f>IF(WEEKDAY(PC6,12)&gt;=6,0,SUMIFS(tblProjectSchedule[[Skilled]:[Skilled]],tblProjectSchedule[[Start]:[Start]],"&lt;="&amp;PC6,tblProjectSchedule[[Finish]:[Finish]],"&gt;="&amp;PC6)+SUMIFS(tblProjectSchedule[[Helpers]:[Helpers]],tblProjectSchedule[[Start]:[Start]],"&lt;="&amp;PC6,tblProjectSchedule[[Finish]:[Finish]],"&gt;="&amp;PC6))</f>
        <v>0</v>
      </c>
      <c r="PD4" s="172">
        <f>IF(WEEKDAY(PD6,12)&gt;=6,0,SUMIFS(tblProjectSchedule[[Skilled]:[Skilled]],tblProjectSchedule[[Start]:[Start]],"&lt;="&amp;PD6,tblProjectSchedule[[Finish]:[Finish]],"&gt;="&amp;PD6)+SUMIFS(tblProjectSchedule[[Helpers]:[Helpers]],tblProjectSchedule[[Start]:[Start]],"&lt;="&amp;PD6,tblProjectSchedule[[Finish]:[Finish]],"&gt;="&amp;PD6))</f>
        <v>0</v>
      </c>
      <c r="PE4" s="172">
        <f>IF(WEEKDAY(PE6,12)&gt;=6,0,SUMIFS(tblProjectSchedule[[Skilled]:[Skilled]],tblProjectSchedule[[Start]:[Start]],"&lt;="&amp;PE6,tblProjectSchedule[[Finish]:[Finish]],"&gt;="&amp;PE6)+SUMIFS(tblProjectSchedule[[Helpers]:[Helpers]],tblProjectSchedule[[Start]:[Start]],"&lt;="&amp;PE6,tblProjectSchedule[[Finish]:[Finish]],"&gt;="&amp;PE6))</f>
        <v>0</v>
      </c>
      <c r="PF4" s="172">
        <f>IF(WEEKDAY(PF6,12)&gt;=6,0,SUMIFS(tblProjectSchedule[[Skilled]:[Skilled]],tblProjectSchedule[[Start]:[Start]],"&lt;="&amp;PF6,tblProjectSchedule[[Finish]:[Finish]],"&gt;="&amp;PF6)+SUMIFS(tblProjectSchedule[[Helpers]:[Helpers]],tblProjectSchedule[[Start]:[Start]],"&lt;="&amp;PF6,tblProjectSchedule[[Finish]:[Finish]],"&gt;="&amp;PF6))</f>
        <v>0</v>
      </c>
      <c r="PG4" s="174">
        <f>IF(WEEKDAY(PG6,12)&gt;=6,0,SUMIFS(tblProjectSchedule[[Skilled]:[Skilled]],tblProjectSchedule[[Start]:[Start]],"&lt;="&amp;PG6,tblProjectSchedule[[Finish]:[Finish]],"&gt;="&amp;PG6)+SUMIFS(tblProjectSchedule[[Helpers]:[Helpers]],tblProjectSchedule[[Start]:[Start]],"&lt;="&amp;PG6,tblProjectSchedule[[Finish]:[Finish]],"&gt;="&amp;PG6))</f>
        <v>0</v>
      </c>
      <c r="PH4" s="173">
        <f>IF(WEEKDAY(PH6,12)&gt;=6,0,SUMIFS(tblProjectSchedule[[Skilled]:[Skilled]],tblProjectSchedule[[Start]:[Start]],"&lt;="&amp;PH6,tblProjectSchedule[[Finish]:[Finish]],"&gt;="&amp;PH6)+SUMIFS(tblProjectSchedule[[Helpers]:[Helpers]],tblProjectSchedule[[Start]:[Start]],"&lt;="&amp;PH6,tblProjectSchedule[[Finish]:[Finish]],"&gt;="&amp;PH6))</f>
        <v>0</v>
      </c>
      <c r="PI4" s="172">
        <f>IF(WEEKDAY(PI6,12)&gt;=6,0,SUMIFS(tblProjectSchedule[[Skilled]:[Skilled]],tblProjectSchedule[[Start]:[Start]],"&lt;="&amp;PI6,tblProjectSchedule[[Finish]:[Finish]],"&gt;="&amp;PI6)+SUMIFS(tblProjectSchedule[[Helpers]:[Helpers]],tblProjectSchedule[[Start]:[Start]],"&lt;="&amp;PI6,tblProjectSchedule[[Finish]:[Finish]],"&gt;="&amp;PI6))</f>
        <v>0</v>
      </c>
      <c r="PJ4" s="172">
        <f>IF(WEEKDAY(PJ6,12)&gt;=6,0,SUMIFS(tblProjectSchedule[[Skilled]:[Skilled]],tblProjectSchedule[[Start]:[Start]],"&lt;="&amp;PJ6,tblProjectSchedule[[Finish]:[Finish]],"&gt;="&amp;PJ6)+SUMIFS(tblProjectSchedule[[Helpers]:[Helpers]],tblProjectSchedule[[Start]:[Start]],"&lt;="&amp;PJ6,tblProjectSchedule[[Finish]:[Finish]],"&gt;="&amp;PJ6))</f>
        <v>0</v>
      </c>
      <c r="PK4" s="172">
        <f>IF(WEEKDAY(PK6,12)&gt;=6,0,SUMIFS(tblProjectSchedule[[Skilled]:[Skilled]],tblProjectSchedule[[Start]:[Start]],"&lt;="&amp;PK6,tblProjectSchedule[[Finish]:[Finish]],"&gt;="&amp;PK6)+SUMIFS(tblProjectSchedule[[Helpers]:[Helpers]],tblProjectSchedule[[Start]:[Start]],"&lt;="&amp;PK6,tblProjectSchedule[[Finish]:[Finish]],"&gt;="&amp;PK6))</f>
        <v>0</v>
      </c>
      <c r="PL4" s="172">
        <f>IF(WEEKDAY(PL6,12)&gt;=6,0,SUMIFS(tblProjectSchedule[[Skilled]:[Skilled]],tblProjectSchedule[[Start]:[Start]],"&lt;="&amp;PL6,tblProjectSchedule[[Finish]:[Finish]],"&gt;="&amp;PL6)+SUMIFS(tblProjectSchedule[[Helpers]:[Helpers]],tblProjectSchedule[[Start]:[Start]],"&lt;="&amp;PL6,tblProjectSchedule[[Finish]:[Finish]],"&gt;="&amp;PL6))</f>
        <v>0</v>
      </c>
      <c r="PM4" s="172">
        <f>IF(WEEKDAY(PM6,12)&gt;=6,0,SUMIFS(tblProjectSchedule[[Skilled]:[Skilled]],tblProjectSchedule[[Start]:[Start]],"&lt;="&amp;PM6,tblProjectSchedule[[Finish]:[Finish]],"&gt;="&amp;PM6)+SUMIFS(tblProjectSchedule[[Helpers]:[Helpers]],tblProjectSchedule[[Start]:[Start]],"&lt;="&amp;PM6,tblProjectSchedule[[Finish]:[Finish]],"&gt;="&amp;PM6))</f>
        <v>0</v>
      </c>
      <c r="PN4" s="174">
        <f>IF(WEEKDAY(PN6,12)&gt;=6,0,SUMIFS(tblProjectSchedule[[Skilled]:[Skilled]],tblProjectSchedule[[Start]:[Start]],"&lt;="&amp;PN6,tblProjectSchedule[[Finish]:[Finish]],"&gt;="&amp;PN6)+SUMIFS(tblProjectSchedule[[Helpers]:[Helpers]],tblProjectSchedule[[Start]:[Start]],"&lt;="&amp;PN6,tblProjectSchedule[[Finish]:[Finish]],"&gt;="&amp;PN6))</f>
        <v>0</v>
      </c>
      <c r="PO4" s="173">
        <f>IF(WEEKDAY(PO6,12)&gt;=6,0,SUMIFS(tblProjectSchedule[[Skilled]:[Skilled]],tblProjectSchedule[[Start]:[Start]],"&lt;="&amp;PO6,tblProjectSchedule[[Finish]:[Finish]],"&gt;="&amp;PO6)+SUMIFS(tblProjectSchedule[[Helpers]:[Helpers]],tblProjectSchedule[[Start]:[Start]],"&lt;="&amp;PO6,tblProjectSchedule[[Finish]:[Finish]],"&gt;="&amp;PO6))</f>
        <v>0</v>
      </c>
      <c r="PP4" s="172">
        <f>IF(WEEKDAY(PP6,12)&gt;=6,0,SUMIFS(tblProjectSchedule[[Skilled]:[Skilled]],tblProjectSchedule[[Start]:[Start]],"&lt;="&amp;PP6,tblProjectSchedule[[Finish]:[Finish]],"&gt;="&amp;PP6)+SUMIFS(tblProjectSchedule[[Helpers]:[Helpers]],tblProjectSchedule[[Start]:[Start]],"&lt;="&amp;PP6,tblProjectSchedule[[Finish]:[Finish]],"&gt;="&amp;PP6))</f>
        <v>0</v>
      </c>
      <c r="PQ4" s="172">
        <f>IF(WEEKDAY(PQ6,12)&gt;=6,0,SUMIFS(tblProjectSchedule[[Skilled]:[Skilled]],tblProjectSchedule[[Start]:[Start]],"&lt;="&amp;PQ6,tblProjectSchedule[[Finish]:[Finish]],"&gt;="&amp;PQ6)+SUMIFS(tblProjectSchedule[[Helpers]:[Helpers]],tblProjectSchedule[[Start]:[Start]],"&lt;="&amp;PQ6,tblProjectSchedule[[Finish]:[Finish]],"&gt;="&amp;PQ6))</f>
        <v>0</v>
      </c>
      <c r="PR4" s="172">
        <f>IF(WEEKDAY(PR6,12)&gt;=6,0,SUMIFS(tblProjectSchedule[[Skilled]:[Skilled]],tblProjectSchedule[[Start]:[Start]],"&lt;="&amp;PR6,tblProjectSchedule[[Finish]:[Finish]],"&gt;="&amp;PR6)+SUMIFS(tblProjectSchedule[[Helpers]:[Helpers]],tblProjectSchedule[[Start]:[Start]],"&lt;="&amp;PR6,tblProjectSchedule[[Finish]:[Finish]],"&gt;="&amp;PR6))</f>
        <v>0</v>
      </c>
      <c r="PS4" s="172">
        <f>IF(WEEKDAY(PS6,12)&gt;=6,0,SUMIFS(tblProjectSchedule[[Skilled]:[Skilled]],tblProjectSchedule[[Start]:[Start]],"&lt;="&amp;PS6,tblProjectSchedule[[Finish]:[Finish]],"&gt;="&amp;PS6)+SUMIFS(tblProjectSchedule[[Helpers]:[Helpers]],tblProjectSchedule[[Start]:[Start]],"&lt;="&amp;PS6,tblProjectSchedule[[Finish]:[Finish]],"&gt;="&amp;PS6))</f>
        <v>0</v>
      </c>
      <c r="PT4" s="172">
        <f>IF(WEEKDAY(PT6,12)&gt;=6,0,SUMIFS(tblProjectSchedule[[Skilled]:[Skilled]],tblProjectSchedule[[Start]:[Start]],"&lt;="&amp;PT6,tblProjectSchedule[[Finish]:[Finish]],"&gt;="&amp;PT6)+SUMIFS(tblProjectSchedule[[Helpers]:[Helpers]],tblProjectSchedule[[Start]:[Start]],"&lt;="&amp;PT6,tblProjectSchedule[[Finish]:[Finish]],"&gt;="&amp;PT6))</f>
        <v>0</v>
      </c>
      <c r="PU4" s="174">
        <f>IF(WEEKDAY(PU6,12)&gt;=6,0,SUMIFS(tblProjectSchedule[[Skilled]:[Skilled]],tblProjectSchedule[[Start]:[Start]],"&lt;="&amp;PU6,tblProjectSchedule[[Finish]:[Finish]],"&gt;="&amp;PU6)+SUMIFS(tblProjectSchedule[[Helpers]:[Helpers]],tblProjectSchedule[[Start]:[Start]],"&lt;="&amp;PU6,tblProjectSchedule[[Finish]:[Finish]],"&gt;="&amp;PU6))</f>
        <v>0</v>
      </c>
      <c r="PV4" s="173">
        <f>IF(WEEKDAY(PV6,12)&gt;=6,0,SUMIFS(tblProjectSchedule[[Skilled]:[Skilled]],tblProjectSchedule[[Start]:[Start]],"&lt;="&amp;PV6,tblProjectSchedule[[Finish]:[Finish]],"&gt;="&amp;PV6)+SUMIFS(tblProjectSchedule[[Helpers]:[Helpers]],tblProjectSchedule[[Start]:[Start]],"&lt;="&amp;PV6,tblProjectSchedule[[Finish]:[Finish]],"&gt;="&amp;PV6))</f>
        <v>0</v>
      </c>
      <c r="PW4" s="172">
        <f>IF(WEEKDAY(PW6,12)&gt;=6,0,SUMIFS(tblProjectSchedule[[Skilled]:[Skilled]],tblProjectSchedule[[Start]:[Start]],"&lt;="&amp;PW6,tblProjectSchedule[[Finish]:[Finish]],"&gt;="&amp;PW6)+SUMIFS(tblProjectSchedule[[Helpers]:[Helpers]],tblProjectSchedule[[Start]:[Start]],"&lt;="&amp;PW6,tblProjectSchedule[[Finish]:[Finish]],"&gt;="&amp;PW6))</f>
        <v>0</v>
      </c>
      <c r="PX4" s="172">
        <f>IF(WEEKDAY(PX6,12)&gt;=6,0,SUMIFS(tblProjectSchedule[[Skilled]:[Skilled]],tblProjectSchedule[[Start]:[Start]],"&lt;="&amp;PX6,tblProjectSchedule[[Finish]:[Finish]],"&gt;="&amp;PX6)+SUMIFS(tblProjectSchedule[[Helpers]:[Helpers]],tblProjectSchedule[[Start]:[Start]],"&lt;="&amp;PX6,tblProjectSchedule[[Finish]:[Finish]],"&gt;="&amp;PX6))</f>
        <v>0</v>
      </c>
      <c r="PY4" s="172">
        <f>IF(WEEKDAY(PY6,12)&gt;=6,0,SUMIFS(tblProjectSchedule[[Skilled]:[Skilled]],tblProjectSchedule[[Start]:[Start]],"&lt;="&amp;PY6,tblProjectSchedule[[Finish]:[Finish]],"&gt;="&amp;PY6)+SUMIFS(tblProjectSchedule[[Helpers]:[Helpers]],tblProjectSchedule[[Start]:[Start]],"&lt;="&amp;PY6,tblProjectSchedule[[Finish]:[Finish]],"&gt;="&amp;PY6))</f>
        <v>0</v>
      </c>
      <c r="PZ4" s="172">
        <f>IF(WEEKDAY(PZ6,12)&gt;=6,0,SUMIFS(tblProjectSchedule[[Skilled]:[Skilled]],tblProjectSchedule[[Start]:[Start]],"&lt;="&amp;PZ6,tblProjectSchedule[[Finish]:[Finish]],"&gt;="&amp;PZ6)+SUMIFS(tblProjectSchedule[[Helpers]:[Helpers]],tblProjectSchedule[[Start]:[Start]],"&lt;="&amp;PZ6,tblProjectSchedule[[Finish]:[Finish]],"&gt;="&amp;PZ6))</f>
        <v>0</v>
      </c>
      <c r="QA4" s="172">
        <f>IF(WEEKDAY(QA6,12)&gt;=6,0,SUMIFS(tblProjectSchedule[[Skilled]:[Skilled]],tblProjectSchedule[[Start]:[Start]],"&lt;="&amp;QA6,tblProjectSchedule[[Finish]:[Finish]],"&gt;="&amp;QA6)+SUMIFS(tblProjectSchedule[[Helpers]:[Helpers]],tblProjectSchedule[[Start]:[Start]],"&lt;="&amp;QA6,tblProjectSchedule[[Finish]:[Finish]],"&gt;="&amp;QA6))</f>
        <v>0</v>
      </c>
      <c r="QB4" s="174">
        <f>IF(WEEKDAY(QB6,12)&gt;=6,0,SUMIFS(tblProjectSchedule[[Skilled]:[Skilled]],tblProjectSchedule[[Start]:[Start]],"&lt;="&amp;QB6,tblProjectSchedule[[Finish]:[Finish]],"&gt;="&amp;QB6)+SUMIFS(tblProjectSchedule[[Helpers]:[Helpers]],tblProjectSchedule[[Start]:[Start]],"&lt;="&amp;QB6,tblProjectSchedule[[Finish]:[Finish]],"&gt;="&amp;QB6))</f>
        <v>0</v>
      </c>
      <c r="QC4" s="173">
        <f>IF(WEEKDAY(QC6,12)&gt;=6,0,SUMIFS(tblProjectSchedule[[Skilled]:[Skilled]],tblProjectSchedule[[Start]:[Start]],"&lt;="&amp;QC6,tblProjectSchedule[[Finish]:[Finish]],"&gt;="&amp;QC6)+SUMIFS(tblProjectSchedule[[Helpers]:[Helpers]],tblProjectSchedule[[Start]:[Start]],"&lt;="&amp;QC6,tblProjectSchedule[[Finish]:[Finish]],"&gt;="&amp;QC6))</f>
        <v>0</v>
      </c>
      <c r="QD4" s="172">
        <f>IF(WEEKDAY(QD6,12)&gt;=6,0,SUMIFS(tblProjectSchedule[[Skilled]:[Skilled]],tblProjectSchedule[[Start]:[Start]],"&lt;="&amp;QD6,tblProjectSchedule[[Finish]:[Finish]],"&gt;="&amp;QD6)+SUMIFS(tblProjectSchedule[[Helpers]:[Helpers]],tblProjectSchedule[[Start]:[Start]],"&lt;="&amp;QD6,tblProjectSchedule[[Finish]:[Finish]],"&gt;="&amp;QD6))</f>
        <v>0</v>
      </c>
      <c r="QE4" s="172">
        <f>IF(WEEKDAY(QE6,12)&gt;=6,0,SUMIFS(tblProjectSchedule[[Skilled]:[Skilled]],tblProjectSchedule[[Start]:[Start]],"&lt;="&amp;QE6,tblProjectSchedule[[Finish]:[Finish]],"&gt;="&amp;QE6)+SUMIFS(tblProjectSchedule[[Helpers]:[Helpers]],tblProjectSchedule[[Start]:[Start]],"&lt;="&amp;QE6,tblProjectSchedule[[Finish]:[Finish]],"&gt;="&amp;QE6))</f>
        <v>0</v>
      </c>
      <c r="QF4" s="172">
        <f>IF(WEEKDAY(QF6,12)&gt;=6,0,SUMIFS(tblProjectSchedule[[Skilled]:[Skilled]],tblProjectSchedule[[Start]:[Start]],"&lt;="&amp;QF6,tblProjectSchedule[[Finish]:[Finish]],"&gt;="&amp;QF6)+SUMIFS(tblProjectSchedule[[Helpers]:[Helpers]],tblProjectSchedule[[Start]:[Start]],"&lt;="&amp;QF6,tblProjectSchedule[[Finish]:[Finish]],"&gt;="&amp;QF6))</f>
        <v>0</v>
      </c>
      <c r="QG4" s="172">
        <f>IF(WEEKDAY(QG6,12)&gt;=6,0,SUMIFS(tblProjectSchedule[[Skilled]:[Skilled]],tblProjectSchedule[[Start]:[Start]],"&lt;="&amp;QG6,tblProjectSchedule[[Finish]:[Finish]],"&gt;="&amp;QG6)+SUMIFS(tblProjectSchedule[[Helpers]:[Helpers]],tblProjectSchedule[[Start]:[Start]],"&lt;="&amp;QG6,tblProjectSchedule[[Finish]:[Finish]],"&gt;="&amp;QG6))</f>
        <v>0</v>
      </c>
      <c r="QH4" s="172">
        <f>IF(WEEKDAY(QH6,12)&gt;=6,0,SUMIFS(tblProjectSchedule[[Skilled]:[Skilled]],tblProjectSchedule[[Start]:[Start]],"&lt;="&amp;QH6,tblProjectSchedule[[Finish]:[Finish]],"&gt;="&amp;QH6)+SUMIFS(tblProjectSchedule[[Helpers]:[Helpers]],tblProjectSchedule[[Start]:[Start]],"&lt;="&amp;QH6,tblProjectSchedule[[Finish]:[Finish]],"&gt;="&amp;QH6))</f>
        <v>0</v>
      </c>
      <c r="QI4" s="174">
        <f>IF(WEEKDAY(QI6,12)&gt;=6,0,SUMIFS(tblProjectSchedule[[Skilled]:[Skilled]],tblProjectSchedule[[Start]:[Start]],"&lt;="&amp;QI6,tblProjectSchedule[[Finish]:[Finish]],"&gt;="&amp;QI6)+SUMIFS(tblProjectSchedule[[Helpers]:[Helpers]],tblProjectSchedule[[Start]:[Start]],"&lt;="&amp;QI6,tblProjectSchedule[[Finish]:[Finish]],"&gt;="&amp;QI6))</f>
        <v>0</v>
      </c>
      <c r="QJ4" s="173">
        <f>IF(WEEKDAY(QJ6,12)&gt;=6,0,SUMIFS(tblProjectSchedule[[Skilled]:[Skilled]],tblProjectSchedule[[Start]:[Start]],"&lt;="&amp;QJ6,tblProjectSchedule[[Finish]:[Finish]],"&gt;="&amp;QJ6)+SUMIFS(tblProjectSchedule[[Helpers]:[Helpers]],tblProjectSchedule[[Start]:[Start]],"&lt;="&amp;QJ6,tblProjectSchedule[[Finish]:[Finish]],"&gt;="&amp;QJ6))</f>
        <v>0</v>
      </c>
      <c r="QK4" s="172">
        <f>IF(WEEKDAY(QK6,12)&gt;=6,0,SUMIFS(tblProjectSchedule[[Skilled]:[Skilled]],tblProjectSchedule[[Start]:[Start]],"&lt;="&amp;QK6,tblProjectSchedule[[Finish]:[Finish]],"&gt;="&amp;QK6)+SUMIFS(tblProjectSchedule[[Helpers]:[Helpers]],tblProjectSchedule[[Start]:[Start]],"&lt;="&amp;QK6,tblProjectSchedule[[Finish]:[Finish]],"&gt;="&amp;QK6))</f>
        <v>0</v>
      </c>
      <c r="QL4" s="172">
        <f>IF(WEEKDAY(QL6,12)&gt;=6,0,SUMIFS(tblProjectSchedule[[Skilled]:[Skilled]],tblProjectSchedule[[Start]:[Start]],"&lt;="&amp;QL6,tblProjectSchedule[[Finish]:[Finish]],"&gt;="&amp;QL6)+SUMIFS(tblProjectSchedule[[Helpers]:[Helpers]],tblProjectSchedule[[Start]:[Start]],"&lt;="&amp;QL6,tblProjectSchedule[[Finish]:[Finish]],"&gt;="&amp;QL6))</f>
        <v>0</v>
      </c>
      <c r="QM4" s="172">
        <f>IF(WEEKDAY(QM6,12)&gt;=6,0,SUMIFS(tblProjectSchedule[[Skilled]:[Skilled]],tblProjectSchedule[[Start]:[Start]],"&lt;="&amp;QM6,tblProjectSchedule[[Finish]:[Finish]],"&gt;="&amp;QM6)+SUMIFS(tblProjectSchedule[[Helpers]:[Helpers]],tblProjectSchedule[[Start]:[Start]],"&lt;="&amp;QM6,tblProjectSchedule[[Finish]:[Finish]],"&gt;="&amp;QM6))</f>
        <v>0</v>
      </c>
      <c r="QN4" s="172">
        <f>IF(WEEKDAY(QN6,12)&gt;=6,0,SUMIFS(tblProjectSchedule[[Skilled]:[Skilled]],tblProjectSchedule[[Start]:[Start]],"&lt;="&amp;QN6,tblProjectSchedule[[Finish]:[Finish]],"&gt;="&amp;QN6)+SUMIFS(tblProjectSchedule[[Helpers]:[Helpers]],tblProjectSchedule[[Start]:[Start]],"&lt;="&amp;QN6,tblProjectSchedule[[Finish]:[Finish]],"&gt;="&amp;QN6))</f>
        <v>0</v>
      </c>
      <c r="QO4" s="172">
        <f>IF(WEEKDAY(QO6,12)&gt;=6,0,SUMIFS(tblProjectSchedule[[Skilled]:[Skilled]],tblProjectSchedule[[Start]:[Start]],"&lt;="&amp;QO6,tblProjectSchedule[[Finish]:[Finish]],"&gt;="&amp;QO6)+SUMIFS(tblProjectSchedule[[Helpers]:[Helpers]],tblProjectSchedule[[Start]:[Start]],"&lt;="&amp;QO6,tblProjectSchedule[[Finish]:[Finish]],"&gt;="&amp;QO6))</f>
        <v>0</v>
      </c>
      <c r="QP4" s="174">
        <f>IF(WEEKDAY(QP6,12)&gt;=6,0,SUMIFS(tblProjectSchedule[[Skilled]:[Skilled]],tblProjectSchedule[[Start]:[Start]],"&lt;="&amp;QP6,tblProjectSchedule[[Finish]:[Finish]],"&gt;="&amp;QP6)+SUMIFS(tblProjectSchedule[[Helpers]:[Helpers]],tblProjectSchedule[[Start]:[Start]],"&lt;="&amp;QP6,tblProjectSchedule[[Finish]:[Finish]],"&gt;="&amp;QP6))</f>
        <v>0</v>
      </c>
      <c r="QQ4" s="173">
        <f>IF(WEEKDAY(QQ6,12)&gt;=6,0,SUMIFS(tblProjectSchedule[[Skilled]:[Skilled]],tblProjectSchedule[[Start]:[Start]],"&lt;="&amp;QQ6,tblProjectSchedule[[Finish]:[Finish]],"&gt;="&amp;QQ6)+SUMIFS(tblProjectSchedule[[Helpers]:[Helpers]],tblProjectSchedule[[Start]:[Start]],"&lt;="&amp;QQ6,tblProjectSchedule[[Finish]:[Finish]],"&gt;="&amp;QQ6))</f>
        <v>0</v>
      </c>
      <c r="QR4" s="172">
        <f>IF(WEEKDAY(QR6,12)&gt;=6,0,SUMIFS(tblProjectSchedule[[Skilled]:[Skilled]],tblProjectSchedule[[Start]:[Start]],"&lt;="&amp;QR6,tblProjectSchedule[[Finish]:[Finish]],"&gt;="&amp;QR6)+SUMIFS(tblProjectSchedule[[Helpers]:[Helpers]],tblProjectSchedule[[Start]:[Start]],"&lt;="&amp;QR6,tblProjectSchedule[[Finish]:[Finish]],"&gt;="&amp;QR6))</f>
        <v>0</v>
      </c>
      <c r="QS4" s="172">
        <f>IF(WEEKDAY(QS6,12)&gt;=6,0,SUMIFS(tblProjectSchedule[[Skilled]:[Skilled]],tblProjectSchedule[[Start]:[Start]],"&lt;="&amp;QS6,tblProjectSchedule[[Finish]:[Finish]],"&gt;="&amp;QS6)+SUMIFS(tblProjectSchedule[[Helpers]:[Helpers]],tblProjectSchedule[[Start]:[Start]],"&lt;="&amp;QS6,tblProjectSchedule[[Finish]:[Finish]],"&gt;="&amp;QS6))</f>
        <v>0</v>
      </c>
      <c r="QT4" s="172">
        <f>IF(WEEKDAY(QT6,12)&gt;=6,0,SUMIFS(tblProjectSchedule[[Skilled]:[Skilled]],tblProjectSchedule[[Start]:[Start]],"&lt;="&amp;QT6,tblProjectSchedule[[Finish]:[Finish]],"&gt;="&amp;QT6)+SUMIFS(tblProjectSchedule[[Helpers]:[Helpers]],tblProjectSchedule[[Start]:[Start]],"&lt;="&amp;QT6,tblProjectSchedule[[Finish]:[Finish]],"&gt;="&amp;QT6))</f>
        <v>0</v>
      </c>
      <c r="QU4" s="172">
        <f>IF(WEEKDAY(QU6,12)&gt;=6,0,SUMIFS(tblProjectSchedule[[Skilled]:[Skilled]],tblProjectSchedule[[Start]:[Start]],"&lt;="&amp;QU6,tblProjectSchedule[[Finish]:[Finish]],"&gt;="&amp;QU6)+SUMIFS(tblProjectSchedule[[Helpers]:[Helpers]],tblProjectSchedule[[Start]:[Start]],"&lt;="&amp;QU6,tblProjectSchedule[[Finish]:[Finish]],"&gt;="&amp;QU6))</f>
        <v>0</v>
      </c>
      <c r="QV4" s="172">
        <f>IF(WEEKDAY(QV6,12)&gt;=6,0,SUMIFS(tblProjectSchedule[[Skilled]:[Skilled]],tblProjectSchedule[[Start]:[Start]],"&lt;="&amp;QV6,tblProjectSchedule[[Finish]:[Finish]],"&gt;="&amp;QV6)+SUMIFS(tblProjectSchedule[[Helpers]:[Helpers]],tblProjectSchedule[[Start]:[Start]],"&lt;="&amp;QV6,tblProjectSchedule[[Finish]:[Finish]],"&gt;="&amp;QV6))</f>
        <v>0</v>
      </c>
      <c r="QW4" s="174">
        <f>IF(WEEKDAY(QW6,12)&gt;=6,0,SUMIFS(tblProjectSchedule[[Skilled]:[Skilled]],tblProjectSchedule[[Start]:[Start]],"&lt;="&amp;QW6,tblProjectSchedule[[Finish]:[Finish]],"&gt;="&amp;QW6)+SUMIFS(tblProjectSchedule[[Helpers]:[Helpers]],tblProjectSchedule[[Start]:[Start]],"&lt;="&amp;QW6,tblProjectSchedule[[Finish]:[Finish]],"&gt;="&amp;QW6))</f>
        <v>0</v>
      </c>
      <c r="QX4" s="173">
        <f>IF(WEEKDAY(QX6,12)&gt;=6,0,SUMIFS(tblProjectSchedule[[Skilled]:[Skilled]],tblProjectSchedule[[Start]:[Start]],"&lt;="&amp;QX6,tblProjectSchedule[[Finish]:[Finish]],"&gt;="&amp;QX6)+SUMIFS(tblProjectSchedule[[Helpers]:[Helpers]],tblProjectSchedule[[Start]:[Start]],"&lt;="&amp;QX6,tblProjectSchedule[[Finish]:[Finish]],"&gt;="&amp;QX6))</f>
        <v>0</v>
      </c>
      <c r="QY4" s="172">
        <f>IF(WEEKDAY(QY6,12)&gt;=6,0,SUMIFS(tblProjectSchedule[[Skilled]:[Skilled]],tblProjectSchedule[[Start]:[Start]],"&lt;="&amp;QY6,tblProjectSchedule[[Finish]:[Finish]],"&gt;="&amp;QY6)+SUMIFS(tblProjectSchedule[[Helpers]:[Helpers]],tblProjectSchedule[[Start]:[Start]],"&lt;="&amp;QY6,tblProjectSchedule[[Finish]:[Finish]],"&gt;="&amp;QY6))</f>
        <v>0</v>
      </c>
      <c r="QZ4" s="172">
        <f>IF(WEEKDAY(QZ6,12)&gt;=6,0,SUMIFS(tblProjectSchedule[[Skilled]:[Skilled]],tblProjectSchedule[[Start]:[Start]],"&lt;="&amp;QZ6,tblProjectSchedule[[Finish]:[Finish]],"&gt;="&amp;QZ6)+SUMIFS(tblProjectSchedule[[Helpers]:[Helpers]],tblProjectSchedule[[Start]:[Start]],"&lt;="&amp;QZ6,tblProjectSchedule[[Finish]:[Finish]],"&gt;="&amp;QZ6))</f>
        <v>0</v>
      </c>
      <c r="RA4" s="172">
        <f>IF(WEEKDAY(RA6,12)&gt;=6,0,SUMIFS(tblProjectSchedule[[Skilled]:[Skilled]],tblProjectSchedule[[Start]:[Start]],"&lt;="&amp;RA6,tblProjectSchedule[[Finish]:[Finish]],"&gt;="&amp;RA6)+SUMIFS(tblProjectSchedule[[Helpers]:[Helpers]],tblProjectSchedule[[Start]:[Start]],"&lt;="&amp;RA6,tblProjectSchedule[[Finish]:[Finish]],"&gt;="&amp;RA6))</f>
        <v>0</v>
      </c>
      <c r="RB4" s="172">
        <f>IF(WEEKDAY(RB6,12)&gt;=6,0,SUMIFS(tblProjectSchedule[[Skilled]:[Skilled]],tblProjectSchedule[[Start]:[Start]],"&lt;="&amp;RB6,tblProjectSchedule[[Finish]:[Finish]],"&gt;="&amp;RB6)+SUMIFS(tblProjectSchedule[[Helpers]:[Helpers]],tblProjectSchedule[[Start]:[Start]],"&lt;="&amp;RB6,tblProjectSchedule[[Finish]:[Finish]],"&gt;="&amp;RB6))</f>
        <v>0</v>
      </c>
      <c r="RC4" s="172">
        <f>IF(WEEKDAY(RC6,12)&gt;=6,0,SUMIFS(tblProjectSchedule[[Skilled]:[Skilled]],tblProjectSchedule[[Start]:[Start]],"&lt;="&amp;RC6,tblProjectSchedule[[Finish]:[Finish]],"&gt;="&amp;RC6)+SUMIFS(tblProjectSchedule[[Helpers]:[Helpers]],tblProjectSchedule[[Start]:[Start]],"&lt;="&amp;RC6,tblProjectSchedule[[Finish]:[Finish]],"&gt;="&amp;RC6))</f>
        <v>0</v>
      </c>
      <c r="RD4" s="174">
        <f>IF(WEEKDAY(RD6,12)&gt;=6,0,SUMIFS(tblProjectSchedule[[Skilled]:[Skilled]],tblProjectSchedule[[Start]:[Start]],"&lt;="&amp;RD6,tblProjectSchedule[[Finish]:[Finish]],"&gt;="&amp;RD6)+SUMIFS(tblProjectSchedule[[Helpers]:[Helpers]],tblProjectSchedule[[Start]:[Start]],"&lt;="&amp;RD6,tblProjectSchedule[[Finish]:[Finish]],"&gt;="&amp;RD6))</f>
        <v>0</v>
      </c>
      <c r="RE4" s="173">
        <f>IF(WEEKDAY(RE6,12)&gt;=6,0,SUMIFS(tblProjectSchedule[[Skilled]:[Skilled]],tblProjectSchedule[[Start]:[Start]],"&lt;="&amp;RE6,tblProjectSchedule[[Finish]:[Finish]],"&gt;="&amp;RE6)+SUMIFS(tblProjectSchedule[[Helpers]:[Helpers]],tblProjectSchedule[[Start]:[Start]],"&lt;="&amp;RE6,tblProjectSchedule[[Finish]:[Finish]],"&gt;="&amp;RE6))</f>
        <v>0</v>
      </c>
      <c r="RF4" s="172">
        <f>IF(WEEKDAY(RF6,12)&gt;=6,0,SUMIFS(tblProjectSchedule[[Skilled]:[Skilled]],tblProjectSchedule[[Start]:[Start]],"&lt;="&amp;RF6,tblProjectSchedule[[Finish]:[Finish]],"&gt;="&amp;RF6)+SUMIFS(tblProjectSchedule[[Helpers]:[Helpers]],tblProjectSchedule[[Start]:[Start]],"&lt;="&amp;RF6,tblProjectSchedule[[Finish]:[Finish]],"&gt;="&amp;RF6))</f>
        <v>0</v>
      </c>
      <c r="RG4" s="172">
        <f>IF(WEEKDAY(RG6,12)&gt;=6,0,SUMIFS(tblProjectSchedule[[Skilled]:[Skilled]],tblProjectSchedule[[Start]:[Start]],"&lt;="&amp;RG6,tblProjectSchedule[[Finish]:[Finish]],"&gt;="&amp;RG6)+SUMIFS(tblProjectSchedule[[Helpers]:[Helpers]],tblProjectSchedule[[Start]:[Start]],"&lt;="&amp;RG6,tblProjectSchedule[[Finish]:[Finish]],"&gt;="&amp;RG6))</f>
        <v>0</v>
      </c>
      <c r="RH4" s="172">
        <f>IF(WEEKDAY(RH6,12)&gt;=6,0,SUMIFS(tblProjectSchedule[[Skilled]:[Skilled]],tblProjectSchedule[[Start]:[Start]],"&lt;="&amp;RH6,tblProjectSchedule[[Finish]:[Finish]],"&gt;="&amp;RH6)+SUMIFS(tblProjectSchedule[[Helpers]:[Helpers]],tblProjectSchedule[[Start]:[Start]],"&lt;="&amp;RH6,tblProjectSchedule[[Finish]:[Finish]],"&gt;="&amp;RH6))</f>
        <v>0</v>
      </c>
      <c r="RI4" s="172">
        <f>IF(WEEKDAY(RI6,12)&gt;=6,0,SUMIFS(tblProjectSchedule[[Skilled]:[Skilled]],tblProjectSchedule[[Start]:[Start]],"&lt;="&amp;RI6,tblProjectSchedule[[Finish]:[Finish]],"&gt;="&amp;RI6)+SUMIFS(tblProjectSchedule[[Helpers]:[Helpers]],tblProjectSchedule[[Start]:[Start]],"&lt;="&amp;RI6,tblProjectSchedule[[Finish]:[Finish]],"&gt;="&amp;RI6))</f>
        <v>0</v>
      </c>
      <c r="RJ4" s="172">
        <f>IF(WEEKDAY(RJ6,12)&gt;=6,0,SUMIFS(tblProjectSchedule[[Skilled]:[Skilled]],tblProjectSchedule[[Start]:[Start]],"&lt;="&amp;RJ6,tblProjectSchedule[[Finish]:[Finish]],"&gt;="&amp;RJ6)+SUMIFS(tblProjectSchedule[[Helpers]:[Helpers]],tblProjectSchedule[[Start]:[Start]],"&lt;="&amp;RJ6,tblProjectSchedule[[Finish]:[Finish]],"&gt;="&amp;RJ6))</f>
        <v>0</v>
      </c>
      <c r="RK4" s="174">
        <f>IF(WEEKDAY(RK6,12)&gt;=6,0,SUMIFS(tblProjectSchedule[[Skilled]:[Skilled]],tblProjectSchedule[[Start]:[Start]],"&lt;="&amp;RK6,tblProjectSchedule[[Finish]:[Finish]],"&gt;="&amp;RK6)+SUMIFS(tblProjectSchedule[[Helpers]:[Helpers]],tblProjectSchedule[[Start]:[Start]],"&lt;="&amp;RK6,tblProjectSchedule[[Finish]:[Finish]],"&gt;="&amp;RK6))</f>
        <v>0</v>
      </c>
      <c r="RL4" s="173">
        <f>IF(WEEKDAY(RL6,12)&gt;=6,0,SUMIFS(tblProjectSchedule[[Skilled]:[Skilled]],tblProjectSchedule[[Start]:[Start]],"&lt;="&amp;RL6,tblProjectSchedule[[Finish]:[Finish]],"&gt;="&amp;RL6)+SUMIFS(tblProjectSchedule[[Helpers]:[Helpers]],tblProjectSchedule[[Start]:[Start]],"&lt;="&amp;RL6,tblProjectSchedule[[Finish]:[Finish]],"&gt;="&amp;RL6))</f>
        <v>0</v>
      </c>
      <c r="RM4" s="172">
        <f>IF(WEEKDAY(RM6,12)&gt;=6,0,SUMIFS(tblProjectSchedule[[Skilled]:[Skilled]],tblProjectSchedule[[Start]:[Start]],"&lt;="&amp;RM6,tblProjectSchedule[[Finish]:[Finish]],"&gt;="&amp;RM6)+SUMIFS(tblProjectSchedule[[Helpers]:[Helpers]],tblProjectSchedule[[Start]:[Start]],"&lt;="&amp;RM6,tblProjectSchedule[[Finish]:[Finish]],"&gt;="&amp;RM6))</f>
        <v>0</v>
      </c>
      <c r="RN4" s="172">
        <f>IF(WEEKDAY(RN6,12)&gt;=6,0,SUMIFS(tblProjectSchedule[[Skilled]:[Skilled]],tblProjectSchedule[[Start]:[Start]],"&lt;="&amp;RN6,tblProjectSchedule[[Finish]:[Finish]],"&gt;="&amp;RN6)+SUMIFS(tblProjectSchedule[[Helpers]:[Helpers]],tblProjectSchedule[[Start]:[Start]],"&lt;="&amp;RN6,tblProjectSchedule[[Finish]:[Finish]],"&gt;="&amp;RN6))</f>
        <v>0</v>
      </c>
      <c r="RO4" s="172">
        <f>IF(WEEKDAY(RO6,12)&gt;=6,0,SUMIFS(tblProjectSchedule[[Skilled]:[Skilled]],tblProjectSchedule[[Start]:[Start]],"&lt;="&amp;RO6,tblProjectSchedule[[Finish]:[Finish]],"&gt;="&amp;RO6)+SUMIFS(tblProjectSchedule[[Helpers]:[Helpers]],tblProjectSchedule[[Start]:[Start]],"&lt;="&amp;RO6,tblProjectSchedule[[Finish]:[Finish]],"&gt;="&amp;RO6))</f>
        <v>0</v>
      </c>
      <c r="RP4" s="172">
        <f>IF(WEEKDAY(RP6,12)&gt;=6,0,SUMIFS(tblProjectSchedule[[Skilled]:[Skilled]],tblProjectSchedule[[Start]:[Start]],"&lt;="&amp;RP6,tblProjectSchedule[[Finish]:[Finish]],"&gt;="&amp;RP6)+SUMIFS(tblProjectSchedule[[Helpers]:[Helpers]],tblProjectSchedule[[Start]:[Start]],"&lt;="&amp;RP6,tblProjectSchedule[[Finish]:[Finish]],"&gt;="&amp;RP6))</f>
        <v>0</v>
      </c>
      <c r="RQ4" s="172">
        <f>IF(WEEKDAY(RQ6,12)&gt;=6,0,SUMIFS(tblProjectSchedule[[Skilled]:[Skilled]],tblProjectSchedule[[Start]:[Start]],"&lt;="&amp;RQ6,tblProjectSchedule[[Finish]:[Finish]],"&gt;="&amp;RQ6)+SUMIFS(tblProjectSchedule[[Helpers]:[Helpers]],tblProjectSchedule[[Start]:[Start]],"&lt;="&amp;RQ6,tblProjectSchedule[[Finish]:[Finish]],"&gt;="&amp;RQ6))</f>
        <v>0</v>
      </c>
      <c r="RR4" s="174">
        <f>IF(WEEKDAY(RR6,12)&gt;=6,0,SUMIFS(tblProjectSchedule[[Skilled]:[Skilled]],tblProjectSchedule[[Start]:[Start]],"&lt;="&amp;RR6,tblProjectSchedule[[Finish]:[Finish]],"&gt;="&amp;RR6)+SUMIFS(tblProjectSchedule[[Helpers]:[Helpers]],tblProjectSchedule[[Start]:[Start]],"&lt;="&amp;RR6,tblProjectSchedule[[Finish]:[Finish]],"&gt;="&amp;RR6))</f>
        <v>0</v>
      </c>
      <c r="RS4" s="173">
        <f>IF(WEEKDAY(RS6,12)&gt;=6,0,SUMIFS(tblProjectSchedule[[Skilled]:[Skilled]],tblProjectSchedule[[Start]:[Start]],"&lt;="&amp;RS6,tblProjectSchedule[[Finish]:[Finish]],"&gt;="&amp;RS6)+SUMIFS(tblProjectSchedule[[Helpers]:[Helpers]],tblProjectSchedule[[Start]:[Start]],"&lt;="&amp;RS6,tblProjectSchedule[[Finish]:[Finish]],"&gt;="&amp;RS6))</f>
        <v>0</v>
      </c>
      <c r="RT4" s="172">
        <f>IF(WEEKDAY(RT6,12)&gt;=6,0,SUMIFS(tblProjectSchedule[[Skilled]:[Skilled]],tblProjectSchedule[[Start]:[Start]],"&lt;="&amp;RT6,tblProjectSchedule[[Finish]:[Finish]],"&gt;="&amp;RT6)+SUMIFS(tblProjectSchedule[[Helpers]:[Helpers]],tblProjectSchedule[[Start]:[Start]],"&lt;="&amp;RT6,tblProjectSchedule[[Finish]:[Finish]],"&gt;="&amp;RT6))</f>
        <v>0</v>
      </c>
      <c r="RU4" s="172">
        <f>IF(WEEKDAY(RU6,12)&gt;=6,0,SUMIFS(tblProjectSchedule[[Skilled]:[Skilled]],tblProjectSchedule[[Start]:[Start]],"&lt;="&amp;RU6,tblProjectSchedule[[Finish]:[Finish]],"&gt;="&amp;RU6)+SUMIFS(tblProjectSchedule[[Helpers]:[Helpers]],tblProjectSchedule[[Start]:[Start]],"&lt;="&amp;RU6,tblProjectSchedule[[Finish]:[Finish]],"&gt;="&amp;RU6))</f>
        <v>0</v>
      </c>
      <c r="RV4" s="172">
        <f>IF(WEEKDAY(RV6,12)&gt;=6,0,SUMIFS(tblProjectSchedule[[Skilled]:[Skilled]],tblProjectSchedule[[Start]:[Start]],"&lt;="&amp;RV6,tblProjectSchedule[[Finish]:[Finish]],"&gt;="&amp;RV6)+SUMIFS(tblProjectSchedule[[Helpers]:[Helpers]],tblProjectSchedule[[Start]:[Start]],"&lt;="&amp;RV6,tblProjectSchedule[[Finish]:[Finish]],"&gt;="&amp;RV6))</f>
        <v>0</v>
      </c>
      <c r="RW4" s="172">
        <f>IF(WEEKDAY(RW6,12)&gt;=6,0,SUMIFS(tblProjectSchedule[[Skilled]:[Skilled]],tblProjectSchedule[[Start]:[Start]],"&lt;="&amp;RW6,tblProjectSchedule[[Finish]:[Finish]],"&gt;="&amp;RW6)+SUMIFS(tblProjectSchedule[[Helpers]:[Helpers]],tblProjectSchedule[[Start]:[Start]],"&lt;="&amp;RW6,tblProjectSchedule[[Finish]:[Finish]],"&gt;="&amp;RW6))</f>
        <v>0</v>
      </c>
      <c r="RX4" s="172">
        <f>IF(WEEKDAY(RX6,12)&gt;=6,0,SUMIFS(tblProjectSchedule[[Skilled]:[Skilled]],tblProjectSchedule[[Start]:[Start]],"&lt;="&amp;RX6,tblProjectSchedule[[Finish]:[Finish]],"&gt;="&amp;RX6)+SUMIFS(tblProjectSchedule[[Helpers]:[Helpers]],tblProjectSchedule[[Start]:[Start]],"&lt;="&amp;RX6,tblProjectSchedule[[Finish]:[Finish]],"&gt;="&amp;RX6))</f>
        <v>0</v>
      </c>
      <c r="RY4" s="174">
        <f>IF(WEEKDAY(RY6,12)&gt;=6,0,SUMIFS(tblProjectSchedule[[Skilled]:[Skilled]],tblProjectSchedule[[Start]:[Start]],"&lt;="&amp;RY6,tblProjectSchedule[[Finish]:[Finish]],"&gt;="&amp;RY6)+SUMIFS(tblProjectSchedule[[Helpers]:[Helpers]],tblProjectSchedule[[Start]:[Start]],"&lt;="&amp;RY6,tblProjectSchedule[[Finish]:[Finish]],"&gt;="&amp;RY6))</f>
        <v>0</v>
      </c>
      <c r="RZ4" s="173">
        <f>IF(WEEKDAY(RZ6,12)&gt;=6,0,SUMIFS(tblProjectSchedule[[Skilled]:[Skilled]],tblProjectSchedule[[Start]:[Start]],"&lt;="&amp;RZ6,tblProjectSchedule[[Finish]:[Finish]],"&gt;="&amp;RZ6)+SUMIFS(tblProjectSchedule[[Helpers]:[Helpers]],tblProjectSchedule[[Start]:[Start]],"&lt;="&amp;RZ6,tblProjectSchedule[[Finish]:[Finish]],"&gt;="&amp;RZ6))</f>
        <v>0</v>
      </c>
      <c r="SA4" s="172">
        <f>IF(WEEKDAY(SA6,12)&gt;=6,0,SUMIFS(tblProjectSchedule[[Skilled]:[Skilled]],tblProjectSchedule[[Start]:[Start]],"&lt;="&amp;SA6,tblProjectSchedule[[Finish]:[Finish]],"&gt;="&amp;SA6)+SUMIFS(tblProjectSchedule[[Helpers]:[Helpers]],tblProjectSchedule[[Start]:[Start]],"&lt;="&amp;SA6,tblProjectSchedule[[Finish]:[Finish]],"&gt;="&amp;SA6))</f>
        <v>0</v>
      </c>
      <c r="SB4" s="172">
        <f>IF(WEEKDAY(SB6,12)&gt;=6,0,SUMIFS(tblProjectSchedule[[Skilled]:[Skilled]],tblProjectSchedule[[Start]:[Start]],"&lt;="&amp;SB6,tblProjectSchedule[[Finish]:[Finish]],"&gt;="&amp;SB6)+SUMIFS(tblProjectSchedule[[Helpers]:[Helpers]],tblProjectSchedule[[Start]:[Start]],"&lt;="&amp;SB6,tblProjectSchedule[[Finish]:[Finish]],"&gt;="&amp;SB6))</f>
        <v>0</v>
      </c>
      <c r="SC4" s="172">
        <f>IF(WEEKDAY(SC6,12)&gt;=6,0,SUMIFS(tblProjectSchedule[[Skilled]:[Skilled]],tblProjectSchedule[[Start]:[Start]],"&lt;="&amp;SC6,tblProjectSchedule[[Finish]:[Finish]],"&gt;="&amp;SC6)+SUMIFS(tblProjectSchedule[[Helpers]:[Helpers]],tblProjectSchedule[[Start]:[Start]],"&lt;="&amp;SC6,tblProjectSchedule[[Finish]:[Finish]],"&gt;="&amp;SC6))</f>
        <v>0</v>
      </c>
      <c r="SD4" s="172">
        <f>IF(WEEKDAY(SD6,12)&gt;=6,0,SUMIFS(tblProjectSchedule[[Skilled]:[Skilled]],tblProjectSchedule[[Start]:[Start]],"&lt;="&amp;SD6,tblProjectSchedule[[Finish]:[Finish]],"&gt;="&amp;SD6)+SUMIFS(tblProjectSchedule[[Helpers]:[Helpers]],tblProjectSchedule[[Start]:[Start]],"&lt;="&amp;SD6,tblProjectSchedule[[Finish]:[Finish]],"&gt;="&amp;SD6))</f>
        <v>0</v>
      </c>
      <c r="SE4" s="172">
        <f>IF(WEEKDAY(SE6,12)&gt;=6,0,SUMIFS(tblProjectSchedule[[Skilled]:[Skilled]],tblProjectSchedule[[Start]:[Start]],"&lt;="&amp;SE6,tblProjectSchedule[[Finish]:[Finish]],"&gt;="&amp;SE6)+SUMIFS(tblProjectSchedule[[Helpers]:[Helpers]],tblProjectSchedule[[Start]:[Start]],"&lt;="&amp;SE6,tblProjectSchedule[[Finish]:[Finish]],"&gt;="&amp;SE6))</f>
        <v>0</v>
      </c>
      <c r="SF4" s="174">
        <f>IF(WEEKDAY(SF6,12)&gt;=6,0,SUMIFS(tblProjectSchedule[[Skilled]:[Skilled]],tblProjectSchedule[[Start]:[Start]],"&lt;="&amp;SF6,tblProjectSchedule[[Finish]:[Finish]],"&gt;="&amp;SF6)+SUMIFS(tblProjectSchedule[[Helpers]:[Helpers]],tblProjectSchedule[[Start]:[Start]],"&lt;="&amp;SF6,tblProjectSchedule[[Finish]:[Finish]],"&gt;="&amp;SF6))</f>
        <v>0</v>
      </c>
      <c r="SG4" s="173">
        <f>IF(WEEKDAY(SG6,12)&gt;=6,0,SUMIFS(tblProjectSchedule[[Skilled]:[Skilled]],tblProjectSchedule[[Start]:[Start]],"&lt;="&amp;SG6,tblProjectSchedule[[Finish]:[Finish]],"&gt;="&amp;SG6)+SUMIFS(tblProjectSchedule[[Helpers]:[Helpers]],tblProjectSchedule[[Start]:[Start]],"&lt;="&amp;SG6,tblProjectSchedule[[Finish]:[Finish]],"&gt;="&amp;SG6))</f>
        <v>0</v>
      </c>
      <c r="SH4" s="172">
        <f>IF(WEEKDAY(SH6,12)&gt;=6,0,SUMIFS(tblProjectSchedule[[Skilled]:[Skilled]],tblProjectSchedule[[Start]:[Start]],"&lt;="&amp;SH6,tblProjectSchedule[[Finish]:[Finish]],"&gt;="&amp;SH6)+SUMIFS(tblProjectSchedule[[Helpers]:[Helpers]],tblProjectSchedule[[Start]:[Start]],"&lt;="&amp;SH6,tblProjectSchedule[[Finish]:[Finish]],"&gt;="&amp;SH6))</f>
        <v>0</v>
      </c>
      <c r="SI4" s="172">
        <f>IF(WEEKDAY(SI6,12)&gt;=6,0,SUMIFS(tblProjectSchedule[[Skilled]:[Skilled]],tblProjectSchedule[[Start]:[Start]],"&lt;="&amp;SI6,tblProjectSchedule[[Finish]:[Finish]],"&gt;="&amp;SI6)+SUMIFS(tblProjectSchedule[[Helpers]:[Helpers]],tblProjectSchedule[[Start]:[Start]],"&lt;="&amp;SI6,tblProjectSchedule[[Finish]:[Finish]],"&gt;="&amp;SI6))</f>
        <v>0</v>
      </c>
      <c r="SJ4" s="172">
        <f>IF(WEEKDAY(SJ6,12)&gt;=6,0,SUMIFS(tblProjectSchedule[[Skilled]:[Skilled]],tblProjectSchedule[[Start]:[Start]],"&lt;="&amp;SJ6,tblProjectSchedule[[Finish]:[Finish]],"&gt;="&amp;SJ6)+SUMIFS(tblProjectSchedule[[Helpers]:[Helpers]],tblProjectSchedule[[Start]:[Start]],"&lt;="&amp;SJ6,tblProjectSchedule[[Finish]:[Finish]],"&gt;="&amp;SJ6))</f>
        <v>0</v>
      </c>
      <c r="SK4" s="172">
        <f>IF(WEEKDAY(SK6,12)&gt;=6,0,SUMIFS(tblProjectSchedule[[Skilled]:[Skilled]],tblProjectSchedule[[Start]:[Start]],"&lt;="&amp;SK6,tblProjectSchedule[[Finish]:[Finish]],"&gt;="&amp;SK6)+SUMIFS(tblProjectSchedule[[Helpers]:[Helpers]],tblProjectSchedule[[Start]:[Start]],"&lt;="&amp;SK6,tblProjectSchedule[[Finish]:[Finish]],"&gt;="&amp;SK6))</f>
        <v>0</v>
      </c>
      <c r="SL4" s="172">
        <f>IF(WEEKDAY(SL6,12)&gt;=6,0,SUMIFS(tblProjectSchedule[[Skilled]:[Skilled]],tblProjectSchedule[[Start]:[Start]],"&lt;="&amp;SL6,tblProjectSchedule[[Finish]:[Finish]],"&gt;="&amp;SL6)+SUMIFS(tblProjectSchedule[[Helpers]:[Helpers]],tblProjectSchedule[[Start]:[Start]],"&lt;="&amp;SL6,tblProjectSchedule[[Finish]:[Finish]],"&gt;="&amp;SL6))</f>
        <v>0</v>
      </c>
      <c r="SM4" s="174">
        <f>IF(WEEKDAY(SM6,12)&gt;=6,0,SUMIFS(tblProjectSchedule[[Skilled]:[Skilled]],tblProjectSchedule[[Start]:[Start]],"&lt;="&amp;SM6,tblProjectSchedule[[Finish]:[Finish]],"&gt;="&amp;SM6)+SUMIFS(tblProjectSchedule[[Helpers]:[Helpers]],tblProjectSchedule[[Start]:[Start]],"&lt;="&amp;SM6,tblProjectSchedule[[Finish]:[Finish]],"&gt;="&amp;SM6))</f>
        <v>0</v>
      </c>
      <c r="SN4" s="173">
        <f>IF(WEEKDAY(SN6,12)&gt;=6,0,SUMIFS(tblProjectSchedule[[Skilled]:[Skilled]],tblProjectSchedule[[Start]:[Start]],"&lt;="&amp;SN6,tblProjectSchedule[[Finish]:[Finish]],"&gt;="&amp;SN6)+SUMIFS(tblProjectSchedule[[Helpers]:[Helpers]],tblProjectSchedule[[Start]:[Start]],"&lt;="&amp;SN6,tblProjectSchedule[[Finish]:[Finish]],"&gt;="&amp;SN6))</f>
        <v>0</v>
      </c>
      <c r="SO4" s="172">
        <f>IF(WEEKDAY(SO6,12)&gt;=6,0,SUMIFS(tblProjectSchedule[[Skilled]:[Skilled]],tblProjectSchedule[[Start]:[Start]],"&lt;="&amp;SO6,tblProjectSchedule[[Finish]:[Finish]],"&gt;="&amp;SO6)+SUMIFS(tblProjectSchedule[[Helpers]:[Helpers]],tblProjectSchedule[[Start]:[Start]],"&lt;="&amp;SO6,tblProjectSchedule[[Finish]:[Finish]],"&gt;="&amp;SO6))</f>
        <v>0</v>
      </c>
      <c r="SP4" s="172">
        <f>IF(WEEKDAY(SP6,12)&gt;=6,0,SUMIFS(tblProjectSchedule[[Skilled]:[Skilled]],tblProjectSchedule[[Start]:[Start]],"&lt;="&amp;SP6,tblProjectSchedule[[Finish]:[Finish]],"&gt;="&amp;SP6)+SUMIFS(tblProjectSchedule[[Helpers]:[Helpers]],tblProjectSchedule[[Start]:[Start]],"&lt;="&amp;SP6,tblProjectSchedule[[Finish]:[Finish]],"&gt;="&amp;SP6))</f>
        <v>0</v>
      </c>
      <c r="SQ4" s="172">
        <f>IF(WEEKDAY(SQ6,12)&gt;=6,0,SUMIFS(tblProjectSchedule[[Skilled]:[Skilled]],tblProjectSchedule[[Start]:[Start]],"&lt;="&amp;SQ6,tblProjectSchedule[[Finish]:[Finish]],"&gt;="&amp;SQ6)+SUMIFS(tblProjectSchedule[[Helpers]:[Helpers]],tblProjectSchedule[[Start]:[Start]],"&lt;="&amp;SQ6,tblProjectSchedule[[Finish]:[Finish]],"&gt;="&amp;SQ6))</f>
        <v>0</v>
      </c>
      <c r="SR4" s="172">
        <f>IF(WEEKDAY(SR6,12)&gt;=6,0,SUMIFS(tblProjectSchedule[[Skilled]:[Skilled]],tblProjectSchedule[[Start]:[Start]],"&lt;="&amp;SR6,tblProjectSchedule[[Finish]:[Finish]],"&gt;="&amp;SR6)+SUMIFS(tblProjectSchedule[[Helpers]:[Helpers]],tblProjectSchedule[[Start]:[Start]],"&lt;="&amp;SR6,tblProjectSchedule[[Finish]:[Finish]],"&gt;="&amp;SR6))</f>
        <v>0</v>
      </c>
      <c r="SS4" s="172">
        <f>IF(WEEKDAY(SS6,12)&gt;=6,0,SUMIFS(tblProjectSchedule[[Skilled]:[Skilled]],tblProjectSchedule[[Start]:[Start]],"&lt;="&amp;SS6,tblProjectSchedule[[Finish]:[Finish]],"&gt;="&amp;SS6)+SUMIFS(tblProjectSchedule[[Helpers]:[Helpers]],tblProjectSchedule[[Start]:[Start]],"&lt;="&amp;SS6,tblProjectSchedule[[Finish]:[Finish]],"&gt;="&amp;SS6))</f>
        <v>0</v>
      </c>
      <c r="ST4" s="174">
        <f>IF(WEEKDAY(ST6,12)&gt;=6,0,SUMIFS(tblProjectSchedule[[Skilled]:[Skilled]],tblProjectSchedule[[Start]:[Start]],"&lt;="&amp;ST6,tblProjectSchedule[[Finish]:[Finish]],"&gt;="&amp;ST6)+SUMIFS(tblProjectSchedule[[Helpers]:[Helpers]],tblProjectSchedule[[Start]:[Start]],"&lt;="&amp;ST6,tblProjectSchedule[[Finish]:[Finish]],"&gt;="&amp;ST6))</f>
        <v>0</v>
      </c>
      <c r="SU4" s="173">
        <f>IF(WEEKDAY(SU6,12)&gt;=6,0,SUMIFS(tblProjectSchedule[[Skilled]:[Skilled]],tblProjectSchedule[[Start]:[Start]],"&lt;="&amp;SU6,tblProjectSchedule[[Finish]:[Finish]],"&gt;="&amp;SU6)+SUMIFS(tblProjectSchedule[[Helpers]:[Helpers]],tblProjectSchedule[[Start]:[Start]],"&lt;="&amp;SU6,tblProjectSchedule[[Finish]:[Finish]],"&gt;="&amp;SU6))</f>
        <v>0</v>
      </c>
      <c r="SV4" s="172">
        <f>IF(WEEKDAY(SV6,12)&gt;=6,0,SUMIFS(tblProjectSchedule[[Skilled]:[Skilled]],tblProjectSchedule[[Start]:[Start]],"&lt;="&amp;SV6,tblProjectSchedule[[Finish]:[Finish]],"&gt;="&amp;SV6)+SUMIFS(tblProjectSchedule[[Helpers]:[Helpers]],tblProjectSchedule[[Start]:[Start]],"&lt;="&amp;SV6,tblProjectSchedule[[Finish]:[Finish]],"&gt;="&amp;SV6))</f>
        <v>0</v>
      </c>
      <c r="SW4" s="172">
        <f>IF(WEEKDAY(SW6,12)&gt;=6,0,SUMIFS(tblProjectSchedule[[Skilled]:[Skilled]],tblProjectSchedule[[Start]:[Start]],"&lt;="&amp;SW6,tblProjectSchedule[[Finish]:[Finish]],"&gt;="&amp;SW6)+SUMIFS(tblProjectSchedule[[Helpers]:[Helpers]],tblProjectSchedule[[Start]:[Start]],"&lt;="&amp;SW6,tblProjectSchedule[[Finish]:[Finish]],"&gt;="&amp;SW6))</f>
        <v>0</v>
      </c>
      <c r="SX4" s="172">
        <f>IF(WEEKDAY(SX6,12)&gt;=6,0,SUMIFS(tblProjectSchedule[[Skilled]:[Skilled]],tblProjectSchedule[[Start]:[Start]],"&lt;="&amp;SX6,tblProjectSchedule[[Finish]:[Finish]],"&gt;="&amp;SX6)+SUMIFS(tblProjectSchedule[[Helpers]:[Helpers]],tblProjectSchedule[[Start]:[Start]],"&lt;="&amp;SX6,tblProjectSchedule[[Finish]:[Finish]],"&gt;="&amp;SX6))</f>
        <v>0</v>
      </c>
      <c r="SY4" s="172">
        <f>IF(WEEKDAY(SY6,12)&gt;=6,0,SUMIFS(tblProjectSchedule[[Skilled]:[Skilled]],tblProjectSchedule[[Start]:[Start]],"&lt;="&amp;SY6,tblProjectSchedule[[Finish]:[Finish]],"&gt;="&amp;SY6)+SUMIFS(tblProjectSchedule[[Helpers]:[Helpers]],tblProjectSchedule[[Start]:[Start]],"&lt;="&amp;SY6,tblProjectSchedule[[Finish]:[Finish]],"&gt;="&amp;SY6))</f>
        <v>0</v>
      </c>
      <c r="SZ4" s="172">
        <f>IF(WEEKDAY(SZ6,12)&gt;=6,0,SUMIFS(tblProjectSchedule[[Skilled]:[Skilled]],tblProjectSchedule[[Start]:[Start]],"&lt;="&amp;SZ6,tblProjectSchedule[[Finish]:[Finish]],"&gt;="&amp;SZ6)+SUMIFS(tblProjectSchedule[[Helpers]:[Helpers]],tblProjectSchedule[[Start]:[Start]],"&lt;="&amp;SZ6,tblProjectSchedule[[Finish]:[Finish]],"&gt;="&amp;SZ6))</f>
        <v>0</v>
      </c>
      <c r="TA4" s="174">
        <f>IF(WEEKDAY(TA6,12)&gt;=6,0,SUMIFS(tblProjectSchedule[[Skilled]:[Skilled]],tblProjectSchedule[[Start]:[Start]],"&lt;="&amp;TA6,tblProjectSchedule[[Finish]:[Finish]],"&gt;="&amp;TA6)+SUMIFS(tblProjectSchedule[[Helpers]:[Helpers]],tblProjectSchedule[[Start]:[Start]],"&lt;="&amp;TA6,tblProjectSchedule[[Finish]:[Finish]],"&gt;="&amp;TA6))</f>
        <v>0</v>
      </c>
      <c r="TB4" s="173">
        <f>IF(WEEKDAY(TB6,12)&gt;=6,0,SUMIFS(tblProjectSchedule[[Skilled]:[Skilled]],tblProjectSchedule[[Start]:[Start]],"&lt;="&amp;TB6,tblProjectSchedule[[Finish]:[Finish]],"&gt;="&amp;TB6)+SUMIFS(tblProjectSchedule[[Helpers]:[Helpers]],tblProjectSchedule[[Start]:[Start]],"&lt;="&amp;TB6,tblProjectSchedule[[Finish]:[Finish]],"&gt;="&amp;TB6))</f>
        <v>0</v>
      </c>
      <c r="TC4" s="172">
        <f>IF(WEEKDAY(TC6,12)&gt;=6,0,SUMIFS(tblProjectSchedule[[Skilled]:[Skilled]],tblProjectSchedule[[Start]:[Start]],"&lt;="&amp;TC6,tblProjectSchedule[[Finish]:[Finish]],"&gt;="&amp;TC6)+SUMIFS(tblProjectSchedule[[Helpers]:[Helpers]],tblProjectSchedule[[Start]:[Start]],"&lt;="&amp;TC6,tblProjectSchedule[[Finish]:[Finish]],"&gt;="&amp;TC6))</f>
        <v>0</v>
      </c>
      <c r="TD4" s="172">
        <f>IF(WEEKDAY(TD6,12)&gt;=6,0,SUMIFS(tblProjectSchedule[[Skilled]:[Skilled]],tblProjectSchedule[[Start]:[Start]],"&lt;="&amp;TD6,tblProjectSchedule[[Finish]:[Finish]],"&gt;="&amp;TD6)+SUMIFS(tblProjectSchedule[[Helpers]:[Helpers]],tblProjectSchedule[[Start]:[Start]],"&lt;="&amp;TD6,tblProjectSchedule[[Finish]:[Finish]],"&gt;="&amp;TD6))</f>
        <v>0</v>
      </c>
      <c r="TE4" s="172">
        <f>IF(WEEKDAY(TE6,12)&gt;=6,0,SUMIFS(tblProjectSchedule[[Skilled]:[Skilled]],tblProjectSchedule[[Start]:[Start]],"&lt;="&amp;TE6,tblProjectSchedule[[Finish]:[Finish]],"&gt;="&amp;TE6)+SUMIFS(tblProjectSchedule[[Helpers]:[Helpers]],tblProjectSchedule[[Start]:[Start]],"&lt;="&amp;TE6,tblProjectSchedule[[Finish]:[Finish]],"&gt;="&amp;TE6))</f>
        <v>0</v>
      </c>
      <c r="TF4" s="172">
        <f>IF(WEEKDAY(TF6,12)&gt;=6,0,SUMIFS(tblProjectSchedule[[Skilled]:[Skilled]],tblProjectSchedule[[Start]:[Start]],"&lt;="&amp;TF6,tblProjectSchedule[[Finish]:[Finish]],"&gt;="&amp;TF6)+SUMIFS(tblProjectSchedule[[Helpers]:[Helpers]],tblProjectSchedule[[Start]:[Start]],"&lt;="&amp;TF6,tblProjectSchedule[[Finish]:[Finish]],"&gt;="&amp;TF6))</f>
        <v>0</v>
      </c>
      <c r="TG4" s="172">
        <f>IF(WEEKDAY(TG6,12)&gt;=6,0,SUMIFS(tblProjectSchedule[[Skilled]:[Skilled]],tblProjectSchedule[[Start]:[Start]],"&lt;="&amp;TG6,tblProjectSchedule[[Finish]:[Finish]],"&gt;="&amp;TG6)+SUMIFS(tblProjectSchedule[[Helpers]:[Helpers]],tblProjectSchedule[[Start]:[Start]],"&lt;="&amp;TG6,tblProjectSchedule[[Finish]:[Finish]],"&gt;="&amp;TG6))</f>
        <v>0</v>
      </c>
      <c r="TH4" s="174">
        <f>IF(WEEKDAY(TH6,12)&gt;=6,0,SUMIFS(tblProjectSchedule[[Skilled]:[Skilled]],tblProjectSchedule[[Start]:[Start]],"&lt;="&amp;TH6,tblProjectSchedule[[Finish]:[Finish]],"&gt;="&amp;TH6)+SUMIFS(tblProjectSchedule[[Helpers]:[Helpers]],tblProjectSchedule[[Start]:[Start]],"&lt;="&amp;TH6,tblProjectSchedule[[Finish]:[Finish]],"&gt;="&amp;TH6))</f>
        <v>0</v>
      </c>
      <c r="TI4" s="173">
        <f>IF(WEEKDAY(TI6,12)&gt;=6,0,SUMIFS(tblProjectSchedule[[Skilled]:[Skilled]],tblProjectSchedule[[Start]:[Start]],"&lt;="&amp;TI6,tblProjectSchedule[[Finish]:[Finish]],"&gt;="&amp;TI6)+SUMIFS(tblProjectSchedule[[Helpers]:[Helpers]],tblProjectSchedule[[Start]:[Start]],"&lt;="&amp;TI6,tblProjectSchedule[[Finish]:[Finish]],"&gt;="&amp;TI6))</f>
        <v>0</v>
      </c>
      <c r="TJ4" s="172">
        <f>IF(WEEKDAY(TJ6,12)&gt;=6,0,SUMIFS(tblProjectSchedule[[Skilled]:[Skilled]],tblProjectSchedule[[Start]:[Start]],"&lt;="&amp;TJ6,tblProjectSchedule[[Finish]:[Finish]],"&gt;="&amp;TJ6)+SUMIFS(tblProjectSchedule[[Helpers]:[Helpers]],tblProjectSchedule[[Start]:[Start]],"&lt;="&amp;TJ6,tblProjectSchedule[[Finish]:[Finish]],"&gt;="&amp;TJ6))</f>
        <v>0</v>
      </c>
      <c r="TK4" s="172">
        <f>IF(WEEKDAY(TK6,12)&gt;=6,0,SUMIFS(tblProjectSchedule[[Skilled]:[Skilled]],tblProjectSchedule[[Start]:[Start]],"&lt;="&amp;TK6,tblProjectSchedule[[Finish]:[Finish]],"&gt;="&amp;TK6)+SUMIFS(tblProjectSchedule[[Helpers]:[Helpers]],tblProjectSchedule[[Start]:[Start]],"&lt;="&amp;TK6,tblProjectSchedule[[Finish]:[Finish]],"&gt;="&amp;TK6))</f>
        <v>0</v>
      </c>
      <c r="TL4" s="172">
        <f>IF(WEEKDAY(TL6,12)&gt;=6,0,SUMIFS(tblProjectSchedule[[Skilled]:[Skilled]],tblProjectSchedule[[Start]:[Start]],"&lt;="&amp;TL6,tblProjectSchedule[[Finish]:[Finish]],"&gt;="&amp;TL6)+SUMIFS(tblProjectSchedule[[Helpers]:[Helpers]],tblProjectSchedule[[Start]:[Start]],"&lt;="&amp;TL6,tblProjectSchedule[[Finish]:[Finish]],"&gt;="&amp;TL6))</f>
        <v>0</v>
      </c>
      <c r="TM4" s="172">
        <f>IF(WEEKDAY(TM6,12)&gt;=6,0,SUMIFS(tblProjectSchedule[[Skilled]:[Skilled]],tblProjectSchedule[[Start]:[Start]],"&lt;="&amp;TM6,tblProjectSchedule[[Finish]:[Finish]],"&gt;="&amp;TM6)+SUMIFS(tblProjectSchedule[[Helpers]:[Helpers]],tblProjectSchedule[[Start]:[Start]],"&lt;="&amp;TM6,tblProjectSchedule[[Finish]:[Finish]],"&gt;="&amp;TM6))</f>
        <v>0</v>
      </c>
      <c r="TN4" s="172">
        <f>IF(WEEKDAY(TN6,12)&gt;=6,0,SUMIFS(tblProjectSchedule[[Skilled]:[Skilled]],tblProjectSchedule[[Start]:[Start]],"&lt;="&amp;TN6,tblProjectSchedule[[Finish]:[Finish]],"&gt;="&amp;TN6)+SUMIFS(tblProjectSchedule[[Helpers]:[Helpers]],tblProjectSchedule[[Start]:[Start]],"&lt;="&amp;TN6,tblProjectSchedule[[Finish]:[Finish]],"&gt;="&amp;TN6))</f>
        <v>0</v>
      </c>
      <c r="TO4" s="174">
        <f>IF(WEEKDAY(TO6,12)&gt;=6,0,SUMIFS(tblProjectSchedule[[Skilled]:[Skilled]],tblProjectSchedule[[Start]:[Start]],"&lt;="&amp;TO6,tblProjectSchedule[[Finish]:[Finish]],"&gt;="&amp;TO6)+SUMIFS(tblProjectSchedule[[Helpers]:[Helpers]],tblProjectSchedule[[Start]:[Start]],"&lt;="&amp;TO6,tblProjectSchedule[[Finish]:[Finish]],"&gt;="&amp;TO6))</f>
        <v>0</v>
      </c>
      <c r="TP4" s="173">
        <f>IF(WEEKDAY(TP6,12)&gt;=6,0,SUMIFS(tblProjectSchedule[[Skilled]:[Skilled]],tblProjectSchedule[[Start]:[Start]],"&lt;="&amp;TP6,tblProjectSchedule[[Finish]:[Finish]],"&gt;="&amp;TP6)+SUMIFS(tblProjectSchedule[[Helpers]:[Helpers]],tblProjectSchedule[[Start]:[Start]],"&lt;="&amp;TP6,tblProjectSchedule[[Finish]:[Finish]],"&gt;="&amp;TP6))</f>
        <v>0</v>
      </c>
      <c r="TQ4" s="172">
        <f>IF(WEEKDAY(TQ6,12)&gt;=6,0,SUMIFS(tblProjectSchedule[[Skilled]:[Skilled]],tblProjectSchedule[[Start]:[Start]],"&lt;="&amp;TQ6,tblProjectSchedule[[Finish]:[Finish]],"&gt;="&amp;TQ6)+SUMIFS(tblProjectSchedule[[Helpers]:[Helpers]],tblProjectSchedule[[Start]:[Start]],"&lt;="&amp;TQ6,tblProjectSchedule[[Finish]:[Finish]],"&gt;="&amp;TQ6))</f>
        <v>0</v>
      </c>
      <c r="TR4" s="172">
        <f>IF(WEEKDAY(TR6,12)&gt;=6,0,SUMIFS(tblProjectSchedule[[Skilled]:[Skilled]],tblProjectSchedule[[Start]:[Start]],"&lt;="&amp;TR6,tblProjectSchedule[[Finish]:[Finish]],"&gt;="&amp;TR6)+SUMIFS(tblProjectSchedule[[Helpers]:[Helpers]],tblProjectSchedule[[Start]:[Start]],"&lt;="&amp;TR6,tblProjectSchedule[[Finish]:[Finish]],"&gt;="&amp;TR6))</f>
        <v>0</v>
      </c>
      <c r="TS4" s="172">
        <f>IF(WEEKDAY(TS6,12)&gt;=6,0,SUMIFS(tblProjectSchedule[[Skilled]:[Skilled]],tblProjectSchedule[[Start]:[Start]],"&lt;="&amp;TS6,tblProjectSchedule[[Finish]:[Finish]],"&gt;="&amp;TS6)+SUMIFS(tblProjectSchedule[[Helpers]:[Helpers]],tblProjectSchedule[[Start]:[Start]],"&lt;="&amp;TS6,tblProjectSchedule[[Finish]:[Finish]],"&gt;="&amp;TS6))</f>
        <v>0</v>
      </c>
      <c r="TT4" s="172">
        <f>IF(WEEKDAY(TT6,12)&gt;=6,0,SUMIFS(tblProjectSchedule[[Skilled]:[Skilled]],tblProjectSchedule[[Start]:[Start]],"&lt;="&amp;TT6,tblProjectSchedule[[Finish]:[Finish]],"&gt;="&amp;TT6)+SUMIFS(tblProjectSchedule[[Helpers]:[Helpers]],tblProjectSchedule[[Start]:[Start]],"&lt;="&amp;TT6,tblProjectSchedule[[Finish]:[Finish]],"&gt;="&amp;TT6))</f>
        <v>0</v>
      </c>
      <c r="TU4" s="172">
        <f>IF(WEEKDAY(TU6,12)&gt;=6,0,SUMIFS(tblProjectSchedule[[Skilled]:[Skilled]],tblProjectSchedule[[Start]:[Start]],"&lt;="&amp;TU6,tblProjectSchedule[[Finish]:[Finish]],"&gt;="&amp;TU6)+SUMIFS(tblProjectSchedule[[Helpers]:[Helpers]],tblProjectSchedule[[Start]:[Start]],"&lt;="&amp;TU6,tblProjectSchedule[[Finish]:[Finish]],"&gt;="&amp;TU6))</f>
        <v>0</v>
      </c>
      <c r="TV4" s="174">
        <f>IF(WEEKDAY(TV6,12)&gt;=6,0,SUMIFS(tblProjectSchedule[[Skilled]:[Skilled]],tblProjectSchedule[[Start]:[Start]],"&lt;="&amp;TV6,tblProjectSchedule[[Finish]:[Finish]],"&gt;="&amp;TV6)+SUMIFS(tblProjectSchedule[[Helpers]:[Helpers]],tblProjectSchedule[[Start]:[Start]],"&lt;="&amp;TV6,tblProjectSchedule[[Finish]:[Finish]],"&gt;="&amp;TV6))</f>
        <v>0</v>
      </c>
      <c r="TW4" s="173">
        <f>IF(WEEKDAY(TW6,12)&gt;=6,0,SUMIFS(tblProjectSchedule[[Skilled]:[Skilled]],tblProjectSchedule[[Start]:[Start]],"&lt;="&amp;TW6,tblProjectSchedule[[Finish]:[Finish]],"&gt;="&amp;TW6)+SUMIFS(tblProjectSchedule[[Helpers]:[Helpers]],tblProjectSchedule[[Start]:[Start]],"&lt;="&amp;TW6,tblProjectSchedule[[Finish]:[Finish]],"&gt;="&amp;TW6))</f>
        <v>0</v>
      </c>
      <c r="TX4" s="172">
        <f>IF(WEEKDAY(TX6,12)&gt;=6,0,SUMIFS(tblProjectSchedule[[Skilled]:[Skilled]],tblProjectSchedule[[Start]:[Start]],"&lt;="&amp;TX6,tblProjectSchedule[[Finish]:[Finish]],"&gt;="&amp;TX6)+SUMIFS(tblProjectSchedule[[Helpers]:[Helpers]],tblProjectSchedule[[Start]:[Start]],"&lt;="&amp;TX6,tblProjectSchedule[[Finish]:[Finish]],"&gt;="&amp;TX6))</f>
        <v>0</v>
      </c>
      <c r="TY4" s="172">
        <f>IF(WEEKDAY(TY6,12)&gt;=6,0,SUMIFS(tblProjectSchedule[[Skilled]:[Skilled]],tblProjectSchedule[[Start]:[Start]],"&lt;="&amp;TY6,tblProjectSchedule[[Finish]:[Finish]],"&gt;="&amp;TY6)+SUMIFS(tblProjectSchedule[[Helpers]:[Helpers]],tblProjectSchedule[[Start]:[Start]],"&lt;="&amp;TY6,tblProjectSchedule[[Finish]:[Finish]],"&gt;="&amp;TY6))</f>
        <v>0</v>
      </c>
      <c r="TZ4" s="172">
        <f>IF(WEEKDAY(TZ6,12)&gt;=6,0,SUMIFS(tblProjectSchedule[[Skilled]:[Skilled]],tblProjectSchedule[[Start]:[Start]],"&lt;="&amp;TZ6,tblProjectSchedule[[Finish]:[Finish]],"&gt;="&amp;TZ6)+SUMIFS(tblProjectSchedule[[Helpers]:[Helpers]],tblProjectSchedule[[Start]:[Start]],"&lt;="&amp;TZ6,tblProjectSchedule[[Finish]:[Finish]],"&gt;="&amp;TZ6))</f>
        <v>0</v>
      </c>
      <c r="UA4" s="172">
        <f>IF(WEEKDAY(UA6,12)&gt;=6,0,SUMIFS(tblProjectSchedule[[Skilled]:[Skilled]],tblProjectSchedule[[Start]:[Start]],"&lt;="&amp;UA6,tblProjectSchedule[[Finish]:[Finish]],"&gt;="&amp;UA6)+SUMIFS(tblProjectSchedule[[Helpers]:[Helpers]],tblProjectSchedule[[Start]:[Start]],"&lt;="&amp;UA6,tblProjectSchedule[[Finish]:[Finish]],"&gt;="&amp;UA6))</f>
        <v>0</v>
      </c>
      <c r="UB4" s="172">
        <f>IF(WEEKDAY(UB6,12)&gt;=6,0,SUMIFS(tblProjectSchedule[[Skilled]:[Skilled]],tblProjectSchedule[[Start]:[Start]],"&lt;="&amp;UB6,tblProjectSchedule[[Finish]:[Finish]],"&gt;="&amp;UB6)+SUMIFS(tblProjectSchedule[[Helpers]:[Helpers]],tblProjectSchedule[[Start]:[Start]],"&lt;="&amp;UB6,tblProjectSchedule[[Finish]:[Finish]],"&gt;="&amp;UB6))</f>
        <v>0</v>
      </c>
      <c r="UC4" s="174">
        <f>IF(WEEKDAY(UC6,12)&gt;=6,0,SUMIFS(tblProjectSchedule[[Skilled]:[Skilled]],tblProjectSchedule[[Start]:[Start]],"&lt;="&amp;UC6,tblProjectSchedule[[Finish]:[Finish]],"&gt;="&amp;UC6)+SUMIFS(tblProjectSchedule[[Helpers]:[Helpers]],tblProjectSchedule[[Start]:[Start]],"&lt;="&amp;UC6,tblProjectSchedule[[Finish]:[Finish]],"&gt;="&amp;UC6))</f>
        <v>0</v>
      </c>
      <c r="UD4" s="173">
        <f>IF(WEEKDAY(UD6,12)&gt;=6,0,SUMIFS(tblProjectSchedule[[Skilled]:[Skilled]],tblProjectSchedule[[Start]:[Start]],"&lt;="&amp;UD6,tblProjectSchedule[[Finish]:[Finish]],"&gt;="&amp;UD6)+SUMIFS(tblProjectSchedule[[Helpers]:[Helpers]],tblProjectSchedule[[Start]:[Start]],"&lt;="&amp;UD6,tblProjectSchedule[[Finish]:[Finish]],"&gt;="&amp;UD6))</f>
        <v>0</v>
      </c>
      <c r="UE4" s="172">
        <f>IF(WEEKDAY(UE6,12)&gt;=6,0,SUMIFS(tblProjectSchedule[[Skilled]:[Skilled]],tblProjectSchedule[[Start]:[Start]],"&lt;="&amp;UE6,tblProjectSchedule[[Finish]:[Finish]],"&gt;="&amp;UE6)+SUMIFS(tblProjectSchedule[[Helpers]:[Helpers]],tblProjectSchedule[[Start]:[Start]],"&lt;="&amp;UE6,tblProjectSchedule[[Finish]:[Finish]],"&gt;="&amp;UE6))</f>
        <v>0</v>
      </c>
      <c r="UF4" s="172">
        <f>IF(WEEKDAY(UF6,12)&gt;=6,0,SUMIFS(tblProjectSchedule[[Skilled]:[Skilled]],tblProjectSchedule[[Start]:[Start]],"&lt;="&amp;UF6,tblProjectSchedule[[Finish]:[Finish]],"&gt;="&amp;UF6)+SUMIFS(tblProjectSchedule[[Helpers]:[Helpers]],tblProjectSchedule[[Start]:[Start]],"&lt;="&amp;UF6,tblProjectSchedule[[Finish]:[Finish]],"&gt;="&amp;UF6))</f>
        <v>0</v>
      </c>
      <c r="UG4" s="172">
        <f>IF(WEEKDAY(UG6,12)&gt;=6,0,SUMIFS(tblProjectSchedule[[Skilled]:[Skilled]],tblProjectSchedule[[Start]:[Start]],"&lt;="&amp;UG6,tblProjectSchedule[[Finish]:[Finish]],"&gt;="&amp;UG6)+SUMIFS(tblProjectSchedule[[Helpers]:[Helpers]],tblProjectSchedule[[Start]:[Start]],"&lt;="&amp;UG6,tblProjectSchedule[[Finish]:[Finish]],"&gt;="&amp;UG6))</f>
        <v>0</v>
      </c>
      <c r="UH4" s="172">
        <f>IF(WEEKDAY(UH6,12)&gt;=6,0,SUMIFS(tblProjectSchedule[[Skilled]:[Skilled]],tblProjectSchedule[[Start]:[Start]],"&lt;="&amp;UH6,tblProjectSchedule[[Finish]:[Finish]],"&gt;="&amp;UH6)+SUMIFS(tblProjectSchedule[[Helpers]:[Helpers]],tblProjectSchedule[[Start]:[Start]],"&lt;="&amp;UH6,tblProjectSchedule[[Finish]:[Finish]],"&gt;="&amp;UH6))</f>
        <v>0</v>
      </c>
      <c r="UI4" s="172">
        <f>IF(WEEKDAY(UI6,12)&gt;=6,0,SUMIFS(tblProjectSchedule[[Skilled]:[Skilled]],tblProjectSchedule[[Start]:[Start]],"&lt;="&amp;UI6,tblProjectSchedule[[Finish]:[Finish]],"&gt;="&amp;UI6)+SUMIFS(tblProjectSchedule[[Helpers]:[Helpers]],tblProjectSchedule[[Start]:[Start]],"&lt;="&amp;UI6,tblProjectSchedule[[Finish]:[Finish]],"&gt;="&amp;UI6))</f>
        <v>0</v>
      </c>
      <c r="UJ4" s="174">
        <f>IF(WEEKDAY(UJ6,12)&gt;=6,0,SUMIFS(tblProjectSchedule[[Skilled]:[Skilled]],tblProjectSchedule[[Start]:[Start]],"&lt;="&amp;UJ6,tblProjectSchedule[[Finish]:[Finish]],"&gt;="&amp;UJ6)+SUMIFS(tblProjectSchedule[[Helpers]:[Helpers]],tblProjectSchedule[[Start]:[Start]],"&lt;="&amp;UJ6,tblProjectSchedule[[Finish]:[Finish]],"&gt;="&amp;UJ6))</f>
        <v>0</v>
      </c>
      <c r="UK4" s="173">
        <f>IF(WEEKDAY(UK6,12)&gt;=6,0,SUMIFS(tblProjectSchedule[[Skilled]:[Skilled]],tblProjectSchedule[[Start]:[Start]],"&lt;="&amp;UK6,tblProjectSchedule[[Finish]:[Finish]],"&gt;="&amp;UK6)+SUMIFS(tblProjectSchedule[[Helpers]:[Helpers]],tblProjectSchedule[[Start]:[Start]],"&lt;="&amp;UK6,tblProjectSchedule[[Finish]:[Finish]],"&gt;="&amp;UK6))</f>
        <v>0</v>
      </c>
      <c r="UL4" s="172">
        <f>IF(WEEKDAY(UL6,12)&gt;=6,0,SUMIFS(tblProjectSchedule[[Skilled]:[Skilled]],tblProjectSchedule[[Start]:[Start]],"&lt;="&amp;UL6,tblProjectSchedule[[Finish]:[Finish]],"&gt;="&amp;UL6)+SUMIFS(tblProjectSchedule[[Helpers]:[Helpers]],tblProjectSchedule[[Start]:[Start]],"&lt;="&amp;UL6,tblProjectSchedule[[Finish]:[Finish]],"&gt;="&amp;UL6))</f>
        <v>0</v>
      </c>
      <c r="UM4" s="172">
        <f>IF(WEEKDAY(UM6,12)&gt;=6,0,SUMIFS(tblProjectSchedule[[Skilled]:[Skilled]],tblProjectSchedule[[Start]:[Start]],"&lt;="&amp;UM6,tblProjectSchedule[[Finish]:[Finish]],"&gt;="&amp;UM6)+SUMIFS(tblProjectSchedule[[Helpers]:[Helpers]],tblProjectSchedule[[Start]:[Start]],"&lt;="&amp;UM6,tblProjectSchedule[[Finish]:[Finish]],"&gt;="&amp;UM6))</f>
        <v>0</v>
      </c>
      <c r="UN4" s="172">
        <f>IF(WEEKDAY(UN6,12)&gt;=6,0,SUMIFS(tblProjectSchedule[[Skilled]:[Skilled]],tblProjectSchedule[[Start]:[Start]],"&lt;="&amp;UN6,tblProjectSchedule[[Finish]:[Finish]],"&gt;="&amp;UN6)+SUMIFS(tblProjectSchedule[[Helpers]:[Helpers]],tblProjectSchedule[[Start]:[Start]],"&lt;="&amp;UN6,tblProjectSchedule[[Finish]:[Finish]],"&gt;="&amp;UN6))</f>
        <v>0</v>
      </c>
      <c r="UO4" s="172">
        <f>IF(WEEKDAY(UO6,12)&gt;=6,0,SUMIFS(tblProjectSchedule[[Skilled]:[Skilled]],tblProjectSchedule[[Start]:[Start]],"&lt;="&amp;UO6,tblProjectSchedule[[Finish]:[Finish]],"&gt;="&amp;UO6)+SUMIFS(tblProjectSchedule[[Helpers]:[Helpers]],tblProjectSchedule[[Start]:[Start]],"&lt;="&amp;UO6,tblProjectSchedule[[Finish]:[Finish]],"&gt;="&amp;UO6))</f>
        <v>0</v>
      </c>
      <c r="UP4" s="172">
        <f>IF(WEEKDAY(UP6,12)&gt;=6,0,SUMIFS(tblProjectSchedule[[Skilled]:[Skilled]],tblProjectSchedule[[Start]:[Start]],"&lt;="&amp;UP6,tblProjectSchedule[[Finish]:[Finish]],"&gt;="&amp;UP6)+SUMIFS(tblProjectSchedule[[Helpers]:[Helpers]],tblProjectSchedule[[Start]:[Start]],"&lt;="&amp;UP6,tblProjectSchedule[[Finish]:[Finish]],"&gt;="&amp;UP6))</f>
        <v>0</v>
      </c>
      <c r="UQ4" s="174">
        <f>IF(WEEKDAY(UQ6,12)&gt;=6,0,SUMIFS(tblProjectSchedule[[Skilled]:[Skilled]],tblProjectSchedule[[Start]:[Start]],"&lt;="&amp;UQ6,tblProjectSchedule[[Finish]:[Finish]],"&gt;="&amp;UQ6)+SUMIFS(tblProjectSchedule[[Helpers]:[Helpers]],tblProjectSchedule[[Start]:[Start]],"&lt;="&amp;UQ6,tblProjectSchedule[[Finish]:[Finish]],"&gt;="&amp;UQ6))</f>
        <v>0</v>
      </c>
      <c r="UR4" s="173">
        <f>IF(WEEKDAY(UR6,12)&gt;=6,0,SUMIFS(tblProjectSchedule[[Skilled]:[Skilled]],tblProjectSchedule[[Start]:[Start]],"&lt;="&amp;UR6,tblProjectSchedule[[Finish]:[Finish]],"&gt;="&amp;UR6)+SUMIFS(tblProjectSchedule[[Helpers]:[Helpers]],tblProjectSchedule[[Start]:[Start]],"&lt;="&amp;UR6,tblProjectSchedule[[Finish]:[Finish]],"&gt;="&amp;UR6))</f>
        <v>0</v>
      </c>
      <c r="US4" s="172">
        <f>IF(WEEKDAY(US6,12)&gt;=6,0,SUMIFS(tblProjectSchedule[[Skilled]:[Skilled]],tblProjectSchedule[[Start]:[Start]],"&lt;="&amp;US6,tblProjectSchedule[[Finish]:[Finish]],"&gt;="&amp;US6)+SUMIFS(tblProjectSchedule[[Helpers]:[Helpers]],tblProjectSchedule[[Start]:[Start]],"&lt;="&amp;US6,tblProjectSchedule[[Finish]:[Finish]],"&gt;="&amp;US6))</f>
        <v>0</v>
      </c>
      <c r="UT4" s="172">
        <f>IF(WEEKDAY(UT6,12)&gt;=6,0,SUMIFS(tblProjectSchedule[[Skilled]:[Skilled]],tblProjectSchedule[[Start]:[Start]],"&lt;="&amp;UT6,tblProjectSchedule[[Finish]:[Finish]],"&gt;="&amp;UT6)+SUMIFS(tblProjectSchedule[[Helpers]:[Helpers]],tblProjectSchedule[[Start]:[Start]],"&lt;="&amp;UT6,tblProjectSchedule[[Finish]:[Finish]],"&gt;="&amp;UT6))</f>
        <v>0</v>
      </c>
      <c r="UU4" s="172">
        <f>IF(WEEKDAY(UU6,12)&gt;=6,0,SUMIFS(tblProjectSchedule[[Skilled]:[Skilled]],tblProjectSchedule[[Start]:[Start]],"&lt;="&amp;UU6,tblProjectSchedule[[Finish]:[Finish]],"&gt;="&amp;UU6)+SUMIFS(tblProjectSchedule[[Helpers]:[Helpers]],tblProjectSchedule[[Start]:[Start]],"&lt;="&amp;UU6,tblProjectSchedule[[Finish]:[Finish]],"&gt;="&amp;UU6))</f>
        <v>0</v>
      </c>
      <c r="UV4" s="172">
        <f>IF(WEEKDAY(UV6,12)&gt;=6,0,SUMIFS(tblProjectSchedule[[Skilled]:[Skilled]],tblProjectSchedule[[Start]:[Start]],"&lt;="&amp;UV6,tblProjectSchedule[[Finish]:[Finish]],"&gt;="&amp;UV6)+SUMIFS(tblProjectSchedule[[Helpers]:[Helpers]],tblProjectSchedule[[Start]:[Start]],"&lt;="&amp;UV6,tblProjectSchedule[[Finish]:[Finish]],"&gt;="&amp;UV6))</f>
        <v>0</v>
      </c>
      <c r="UW4" s="172">
        <f>IF(WEEKDAY(UW6,12)&gt;=6,0,SUMIFS(tblProjectSchedule[[Skilled]:[Skilled]],tblProjectSchedule[[Start]:[Start]],"&lt;="&amp;UW6,tblProjectSchedule[[Finish]:[Finish]],"&gt;="&amp;UW6)+SUMIFS(tblProjectSchedule[[Helpers]:[Helpers]],tblProjectSchedule[[Start]:[Start]],"&lt;="&amp;UW6,tblProjectSchedule[[Finish]:[Finish]],"&gt;="&amp;UW6))</f>
        <v>0</v>
      </c>
      <c r="UX4" s="174">
        <f>IF(WEEKDAY(UX6,12)&gt;=6,0,SUMIFS(tblProjectSchedule[[Skilled]:[Skilled]],tblProjectSchedule[[Start]:[Start]],"&lt;="&amp;UX6,tblProjectSchedule[[Finish]:[Finish]],"&gt;="&amp;UX6)+SUMIFS(tblProjectSchedule[[Helpers]:[Helpers]],tblProjectSchedule[[Start]:[Start]],"&lt;="&amp;UX6,tblProjectSchedule[[Finish]:[Finish]],"&gt;="&amp;UX6))</f>
        <v>0</v>
      </c>
      <c r="UY4" s="173">
        <f>IF(WEEKDAY(UY6,12)&gt;=6,0,SUMIFS(tblProjectSchedule[[Skilled]:[Skilled]],tblProjectSchedule[[Start]:[Start]],"&lt;="&amp;UY6,tblProjectSchedule[[Finish]:[Finish]],"&gt;="&amp;UY6)+SUMIFS(tblProjectSchedule[[Helpers]:[Helpers]],tblProjectSchedule[[Start]:[Start]],"&lt;="&amp;UY6,tblProjectSchedule[[Finish]:[Finish]],"&gt;="&amp;UY6))</f>
        <v>0</v>
      </c>
      <c r="UZ4" s="172">
        <f>IF(WEEKDAY(UZ6,12)&gt;=6,0,SUMIFS(tblProjectSchedule[[Skilled]:[Skilled]],tblProjectSchedule[[Start]:[Start]],"&lt;="&amp;UZ6,tblProjectSchedule[[Finish]:[Finish]],"&gt;="&amp;UZ6)+SUMIFS(tblProjectSchedule[[Helpers]:[Helpers]],tblProjectSchedule[[Start]:[Start]],"&lt;="&amp;UZ6,tblProjectSchedule[[Finish]:[Finish]],"&gt;="&amp;UZ6))</f>
        <v>0</v>
      </c>
      <c r="VA4" s="172">
        <f>IF(WEEKDAY(VA6,12)&gt;=6,0,SUMIFS(tblProjectSchedule[[Skilled]:[Skilled]],tblProjectSchedule[[Start]:[Start]],"&lt;="&amp;VA6,tblProjectSchedule[[Finish]:[Finish]],"&gt;="&amp;VA6)+SUMIFS(tblProjectSchedule[[Helpers]:[Helpers]],tblProjectSchedule[[Start]:[Start]],"&lt;="&amp;VA6,tblProjectSchedule[[Finish]:[Finish]],"&gt;="&amp;VA6))</f>
        <v>0</v>
      </c>
      <c r="VB4" s="172">
        <f>IF(WEEKDAY(VB6,12)&gt;=6,0,SUMIFS(tblProjectSchedule[[Skilled]:[Skilled]],tblProjectSchedule[[Start]:[Start]],"&lt;="&amp;VB6,tblProjectSchedule[[Finish]:[Finish]],"&gt;="&amp;VB6)+SUMIFS(tblProjectSchedule[[Helpers]:[Helpers]],tblProjectSchedule[[Start]:[Start]],"&lt;="&amp;VB6,tblProjectSchedule[[Finish]:[Finish]],"&gt;="&amp;VB6))</f>
        <v>0</v>
      </c>
      <c r="VC4" s="172">
        <f>IF(WEEKDAY(VC6,12)&gt;=6,0,SUMIFS(tblProjectSchedule[[Skilled]:[Skilled]],tblProjectSchedule[[Start]:[Start]],"&lt;="&amp;VC6,tblProjectSchedule[[Finish]:[Finish]],"&gt;="&amp;VC6)+SUMIFS(tblProjectSchedule[[Helpers]:[Helpers]],tblProjectSchedule[[Start]:[Start]],"&lt;="&amp;VC6,tblProjectSchedule[[Finish]:[Finish]],"&gt;="&amp;VC6))</f>
        <v>0</v>
      </c>
      <c r="VD4" s="172">
        <f>IF(WEEKDAY(VD6,12)&gt;=6,0,SUMIFS(tblProjectSchedule[[Skilled]:[Skilled]],tblProjectSchedule[[Start]:[Start]],"&lt;="&amp;VD6,tblProjectSchedule[[Finish]:[Finish]],"&gt;="&amp;VD6)+SUMIFS(tblProjectSchedule[[Helpers]:[Helpers]],tblProjectSchedule[[Start]:[Start]],"&lt;="&amp;VD6,tblProjectSchedule[[Finish]:[Finish]],"&gt;="&amp;VD6))</f>
        <v>0</v>
      </c>
      <c r="VE4" s="174">
        <f>IF(WEEKDAY(VE6,12)&gt;=6,0,SUMIFS(tblProjectSchedule[[Skilled]:[Skilled]],tblProjectSchedule[[Start]:[Start]],"&lt;="&amp;VE6,tblProjectSchedule[[Finish]:[Finish]],"&gt;="&amp;VE6)+SUMIFS(tblProjectSchedule[[Helpers]:[Helpers]],tblProjectSchedule[[Start]:[Start]],"&lt;="&amp;VE6,tblProjectSchedule[[Finish]:[Finish]],"&gt;="&amp;VE6))</f>
        <v>0</v>
      </c>
      <c r="VF4" s="173">
        <f>IF(WEEKDAY(VF6,12)&gt;=6,0,SUMIFS(tblProjectSchedule[[Skilled]:[Skilled]],tblProjectSchedule[[Start]:[Start]],"&lt;="&amp;VF6,tblProjectSchedule[[Finish]:[Finish]],"&gt;="&amp;VF6)+SUMIFS(tblProjectSchedule[[Helpers]:[Helpers]],tblProjectSchedule[[Start]:[Start]],"&lt;="&amp;VF6,tblProjectSchedule[[Finish]:[Finish]],"&gt;="&amp;VF6))</f>
        <v>0</v>
      </c>
      <c r="VG4" s="172">
        <f>IF(WEEKDAY(VG6,12)&gt;=6,0,SUMIFS(tblProjectSchedule[[Skilled]:[Skilled]],tblProjectSchedule[[Start]:[Start]],"&lt;="&amp;VG6,tblProjectSchedule[[Finish]:[Finish]],"&gt;="&amp;VG6)+SUMIFS(tblProjectSchedule[[Helpers]:[Helpers]],tblProjectSchedule[[Start]:[Start]],"&lt;="&amp;VG6,tblProjectSchedule[[Finish]:[Finish]],"&gt;="&amp;VG6))</f>
        <v>0</v>
      </c>
      <c r="VH4" s="172">
        <f>IF(WEEKDAY(VH6,12)&gt;=6,0,SUMIFS(tblProjectSchedule[[Skilled]:[Skilled]],tblProjectSchedule[[Start]:[Start]],"&lt;="&amp;VH6,tblProjectSchedule[[Finish]:[Finish]],"&gt;="&amp;VH6)+SUMIFS(tblProjectSchedule[[Helpers]:[Helpers]],tblProjectSchedule[[Start]:[Start]],"&lt;="&amp;VH6,tblProjectSchedule[[Finish]:[Finish]],"&gt;="&amp;VH6))</f>
        <v>0</v>
      </c>
      <c r="VI4" s="172">
        <f>IF(WEEKDAY(VI6,12)&gt;=6,0,SUMIFS(tblProjectSchedule[[Skilled]:[Skilled]],tblProjectSchedule[[Start]:[Start]],"&lt;="&amp;VI6,tblProjectSchedule[[Finish]:[Finish]],"&gt;="&amp;VI6)+SUMIFS(tblProjectSchedule[[Helpers]:[Helpers]],tblProjectSchedule[[Start]:[Start]],"&lt;="&amp;VI6,tblProjectSchedule[[Finish]:[Finish]],"&gt;="&amp;VI6))</f>
        <v>0</v>
      </c>
      <c r="VJ4" s="172">
        <f>IF(WEEKDAY(VJ6,12)&gt;=6,0,SUMIFS(tblProjectSchedule[[Skilled]:[Skilled]],tblProjectSchedule[[Start]:[Start]],"&lt;="&amp;VJ6,tblProjectSchedule[[Finish]:[Finish]],"&gt;="&amp;VJ6)+SUMIFS(tblProjectSchedule[[Helpers]:[Helpers]],tblProjectSchedule[[Start]:[Start]],"&lt;="&amp;VJ6,tblProjectSchedule[[Finish]:[Finish]],"&gt;="&amp;VJ6))</f>
        <v>0</v>
      </c>
      <c r="VK4" s="172">
        <f>IF(WEEKDAY(VK6,12)&gt;=6,0,SUMIFS(tblProjectSchedule[[Skilled]:[Skilled]],tblProjectSchedule[[Start]:[Start]],"&lt;="&amp;VK6,tblProjectSchedule[[Finish]:[Finish]],"&gt;="&amp;VK6)+SUMIFS(tblProjectSchedule[[Helpers]:[Helpers]],tblProjectSchedule[[Start]:[Start]],"&lt;="&amp;VK6,tblProjectSchedule[[Finish]:[Finish]],"&gt;="&amp;VK6))</f>
        <v>0</v>
      </c>
      <c r="VL4" s="174">
        <f>IF(WEEKDAY(VL6,12)&gt;=6,0,SUMIFS(tblProjectSchedule[[Skilled]:[Skilled]],tblProjectSchedule[[Start]:[Start]],"&lt;="&amp;VL6,tblProjectSchedule[[Finish]:[Finish]],"&gt;="&amp;VL6)+SUMIFS(tblProjectSchedule[[Helpers]:[Helpers]],tblProjectSchedule[[Start]:[Start]],"&lt;="&amp;VL6,tblProjectSchedule[[Finish]:[Finish]],"&gt;="&amp;VL6))</f>
        <v>0</v>
      </c>
      <c r="VM4" s="173">
        <f>IF(WEEKDAY(VM6,12)&gt;=6,0,SUMIFS(tblProjectSchedule[[Skilled]:[Skilled]],tblProjectSchedule[[Start]:[Start]],"&lt;="&amp;VM6,tblProjectSchedule[[Finish]:[Finish]],"&gt;="&amp;VM6)+SUMIFS(tblProjectSchedule[[Helpers]:[Helpers]],tblProjectSchedule[[Start]:[Start]],"&lt;="&amp;VM6,tblProjectSchedule[[Finish]:[Finish]],"&gt;="&amp;VM6))</f>
        <v>0</v>
      </c>
      <c r="VN4" s="172">
        <f>IF(WEEKDAY(VN6,12)&gt;=6,0,SUMIFS(tblProjectSchedule[[Skilled]:[Skilled]],tblProjectSchedule[[Start]:[Start]],"&lt;="&amp;VN6,tblProjectSchedule[[Finish]:[Finish]],"&gt;="&amp;VN6)+SUMIFS(tblProjectSchedule[[Helpers]:[Helpers]],tblProjectSchedule[[Start]:[Start]],"&lt;="&amp;VN6,tblProjectSchedule[[Finish]:[Finish]],"&gt;="&amp;VN6))</f>
        <v>0</v>
      </c>
      <c r="VO4" s="172">
        <f>IF(WEEKDAY(VO6,12)&gt;=6,0,SUMIFS(tblProjectSchedule[[Skilled]:[Skilled]],tblProjectSchedule[[Start]:[Start]],"&lt;="&amp;VO6,tblProjectSchedule[[Finish]:[Finish]],"&gt;="&amp;VO6)+SUMIFS(tblProjectSchedule[[Helpers]:[Helpers]],tblProjectSchedule[[Start]:[Start]],"&lt;="&amp;VO6,tblProjectSchedule[[Finish]:[Finish]],"&gt;="&amp;VO6))</f>
        <v>0</v>
      </c>
      <c r="VP4" s="172">
        <f>IF(WEEKDAY(VP6,12)&gt;=6,0,SUMIFS(tblProjectSchedule[[Skilled]:[Skilled]],tblProjectSchedule[[Start]:[Start]],"&lt;="&amp;VP6,tblProjectSchedule[[Finish]:[Finish]],"&gt;="&amp;VP6)+SUMIFS(tblProjectSchedule[[Helpers]:[Helpers]],tblProjectSchedule[[Start]:[Start]],"&lt;="&amp;VP6,tblProjectSchedule[[Finish]:[Finish]],"&gt;="&amp;VP6))</f>
        <v>0</v>
      </c>
      <c r="VQ4" s="172">
        <f>IF(WEEKDAY(VQ6,12)&gt;=6,0,SUMIFS(tblProjectSchedule[[Skilled]:[Skilled]],tblProjectSchedule[[Start]:[Start]],"&lt;="&amp;VQ6,tblProjectSchedule[[Finish]:[Finish]],"&gt;="&amp;VQ6)+SUMIFS(tblProjectSchedule[[Helpers]:[Helpers]],tblProjectSchedule[[Start]:[Start]],"&lt;="&amp;VQ6,tblProjectSchedule[[Finish]:[Finish]],"&gt;="&amp;VQ6))</f>
        <v>0</v>
      </c>
      <c r="VR4" s="172">
        <f>IF(WEEKDAY(VR6,12)&gt;=6,0,SUMIFS(tblProjectSchedule[[Skilled]:[Skilled]],tblProjectSchedule[[Start]:[Start]],"&lt;="&amp;VR6,tblProjectSchedule[[Finish]:[Finish]],"&gt;="&amp;VR6)+SUMIFS(tblProjectSchedule[[Helpers]:[Helpers]],tblProjectSchedule[[Start]:[Start]],"&lt;="&amp;VR6,tblProjectSchedule[[Finish]:[Finish]],"&gt;="&amp;VR6))</f>
        <v>0</v>
      </c>
      <c r="VS4" s="174">
        <f>IF(WEEKDAY(VS6,12)&gt;=6,0,SUMIFS(tblProjectSchedule[[Skilled]:[Skilled]],tblProjectSchedule[[Start]:[Start]],"&lt;="&amp;VS6,tblProjectSchedule[[Finish]:[Finish]],"&gt;="&amp;VS6)+SUMIFS(tblProjectSchedule[[Helpers]:[Helpers]],tblProjectSchedule[[Start]:[Start]],"&lt;="&amp;VS6,tblProjectSchedule[[Finish]:[Finish]],"&gt;="&amp;VS6))</f>
        <v>0</v>
      </c>
      <c r="VT4" s="173">
        <f>IF(WEEKDAY(VT6,12)&gt;=6,0,SUMIFS(tblProjectSchedule[[Skilled]:[Skilled]],tblProjectSchedule[[Start]:[Start]],"&lt;="&amp;VT6,tblProjectSchedule[[Finish]:[Finish]],"&gt;="&amp;VT6)+SUMIFS(tblProjectSchedule[[Helpers]:[Helpers]],tblProjectSchedule[[Start]:[Start]],"&lt;="&amp;VT6,tblProjectSchedule[[Finish]:[Finish]],"&gt;="&amp;VT6))</f>
        <v>0</v>
      </c>
      <c r="VU4" s="172">
        <f>IF(WEEKDAY(VU6,12)&gt;=6,0,SUMIFS(tblProjectSchedule[[Skilled]:[Skilled]],tblProjectSchedule[[Start]:[Start]],"&lt;="&amp;VU6,tblProjectSchedule[[Finish]:[Finish]],"&gt;="&amp;VU6)+SUMIFS(tblProjectSchedule[[Helpers]:[Helpers]],tblProjectSchedule[[Start]:[Start]],"&lt;="&amp;VU6,tblProjectSchedule[[Finish]:[Finish]],"&gt;="&amp;VU6))</f>
        <v>0</v>
      </c>
      <c r="VV4" s="172">
        <f>IF(WEEKDAY(VV6,12)&gt;=6,0,SUMIFS(tblProjectSchedule[[Skilled]:[Skilled]],tblProjectSchedule[[Start]:[Start]],"&lt;="&amp;VV6,tblProjectSchedule[[Finish]:[Finish]],"&gt;="&amp;VV6)+SUMIFS(tblProjectSchedule[[Helpers]:[Helpers]],tblProjectSchedule[[Start]:[Start]],"&lt;="&amp;VV6,tblProjectSchedule[[Finish]:[Finish]],"&gt;="&amp;VV6))</f>
        <v>0</v>
      </c>
      <c r="VW4" s="172">
        <f>IF(WEEKDAY(VW6,12)&gt;=6,0,SUMIFS(tblProjectSchedule[[Skilled]:[Skilled]],tblProjectSchedule[[Start]:[Start]],"&lt;="&amp;VW6,tblProjectSchedule[[Finish]:[Finish]],"&gt;="&amp;VW6)+SUMIFS(tblProjectSchedule[[Helpers]:[Helpers]],tblProjectSchedule[[Start]:[Start]],"&lt;="&amp;VW6,tblProjectSchedule[[Finish]:[Finish]],"&gt;="&amp;VW6))</f>
        <v>0</v>
      </c>
      <c r="VX4" s="172">
        <f>IF(WEEKDAY(VX6,12)&gt;=6,0,SUMIFS(tblProjectSchedule[[Skilled]:[Skilled]],tblProjectSchedule[[Start]:[Start]],"&lt;="&amp;VX6,tblProjectSchedule[[Finish]:[Finish]],"&gt;="&amp;VX6)+SUMIFS(tblProjectSchedule[[Helpers]:[Helpers]],tblProjectSchedule[[Start]:[Start]],"&lt;="&amp;VX6,tblProjectSchedule[[Finish]:[Finish]],"&gt;="&amp;VX6))</f>
        <v>0</v>
      </c>
      <c r="VY4" s="172">
        <f>IF(WEEKDAY(VY6,12)&gt;=6,0,SUMIFS(tblProjectSchedule[[Skilled]:[Skilled]],tblProjectSchedule[[Start]:[Start]],"&lt;="&amp;VY6,tblProjectSchedule[[Finish]:[Finish]],"&gt;="&amp;VY6)+SUMIFS(tblProjectSchedule[[Helpers]:[Helpers]],tblProjectSchedule[[Start]:[Start]],"&lt;="&amp;VY6,tblProjectSchedule[[Finish]:[Finish]],"&gt;="&amp;VY6))</f>
        <v>0</v>
      </c>
      <c r="VZ4" s="174">
        <f>IF(WEEKDAY(VZ6,12)&gt;=6,0,SUMIFS(tblProjectSchedule[[Skilled]:[Skilled]],tblProjectSchedule[[Start]:[Start]],"&lt;="&amp;VZ6,tblProjectSchedule[[Finish]:[Finish]],"&gt;="&amp;VZ6)+SUMIFS(tblProjectSchedule[[Helpers]:[Helpers]],tblProjectSchedule[[Start]:[Start]],"&lt;="&amp;VZ6,tblProjectSchedule[[Finish]:[Finish]],"&gt;="&amp;VZ6))</f>
        <v>0</v>
      </c>
      <c r="WA4" s="173">
        <f>IF(WEEKDAY(WA6,12)&gt;=6,0,SUMIFS(tblProjectSchedule[[Skilled]:[Skilled]],tblProjectSchedule[[Start]:[Start]],"&lt;="&amp;WA6,tblProjectSchedule[[Finish]:[Finish]],"&gt;="&amp;WA6)+SUMIFS(tblProjectSchedule[[Helpers]:[Helpers]],tblProjectSchedule[[Start]:[Start]],"&lt;="&amp;WA6,tblProjectSchedule[[Finish]:[Finish]],"&gt;="&amp;WA6))</f>
        <v>0</v>
      </c>
      <c r="WB4" s="172">
        <f>IF(WEEKDAY(WB6,12)&gt;=6,0,SUMIFS(tblProjectSchedule[[Skilled]:[Skilled]],tblProjectSchedule[[Start]:[Start]],"&lt;="&amp;WB6,tblProjectSchedule[[Finish]:[Finish]],"&gt;="&amp;WB6)+SUMIFS(tblProjectSchedule[[Helpers]:[Helpers]],tblProjectSchedule[[Start]:[Start]],"&lt;="&amp;WB6,tblProjectSchedule[[Finish]:[Finish]],"&gt;="&amp;WB6))</f>
        <v>0</v>
      </c>
      <c r="WC4" s="172">
        <f>IF(WEEKDAY(WC6,12)&gt;=6,0,SUMIFS(tblProjectSchedule[[Skilled]:[Skilled]],tblProjectSchedule[[Start]:[Start]],"&lt;="&amp;WC6,tblProjectSchedule[[Finish]:[Finish]],"&gt;="&amp;WC6)+SUMIFS(tblProjectSchedule[[Helpers]:[Helpers]],tblProjectSchedule[[Start]:[Start]],"&lt;="&amp;WC6,tblProjectSchedule[[Finish]:[Finish]],"&gt;="&amp;WC6))</f>
        <v>0</v>
      </c>
      <c r="WD4" s="172">
        <f>IF(WEEKDAY(WD6,12)&gt;=6,0,SUMIFS(tblProjectSchedule[[Skilled]:[Skilled]],tblProjectSchedule[[Start]:[Start]],"&lt;="&amp;WD6,tblProjectSchedule[[Finish]:[Finish]],"&gt;="&amp;WD6)+SUMIFS(tblProjectSchedule[[Helpers]:[Helpers]],tblProjectSchedule[[Start]:[Start]],"&lt;="&amp;WD6,tblProjectSchedule[[Finish]:[Finish]],"&gt;="&amp;WD6))</f>
        <v>0</v>
      </c>
      <c r="WE4" s="172">
        <f>IF(WEEKDAY(WE6,12)&gt;=6,0,SUMIFS(tblProjectSchedule[[Skilled]:[Skilled]],tblProjectSchedule[[Start]:[Start]],"&lt;="&amp;WE6,tblProjectSchedule[[Finish]:[Finish]],"&gt;="&amp;WE6)+SUMIFS(tblProjectSchedule[[Helpers]:[Helpers]],tblProjectSchedule[[Start]:[Start]],"&lt;="&amp;WE6,tblProjectSchedule[[Finish]:[Finish]],"&gt;="&amp;WE6))</f>
        <v>0</v>
      </c>
      <c r="WF4" s="172">
        <f>IF(WEEKDAY(WF6,12)&gt;=6,0,SUMIFS(tblProjectSchedule[[Skilled]:[Skilled]],tblProjectSchedule[[Start]:[Start]],"&lt;="&amp;WF6,tblProjectSchedule[[Finish]:[Finish]],"&gt;="&amp;WF6)+SUMIFS(tblProjectSchedule[[Helpers]:[Helpers]],tblProjectSchedule[[Start]:[Start]],"&lt;="&amp;WF6,tblProjectSchedule[[Finish]:[Finish]],"&gt;="&amp;WF6))</f>
        <v>0</v>
      </c>
      <c r="WG4" s="174">
        <f>IF(WEEKDAY(WG6,12)&gt;=6,0,SUMIFS(tblProjectSchedule[[Skilled]:[Skilled]],tblProjectSchedule[[Start]:[Start]],"&lt;="&amp;WG6,tblProjectSchedule[[Finish]:[Finish]],"&gt;="&amp;WG6)+SUMIFS(tblProjectSchedule[[Helpers]:[Helpers]],tblProjectSchedule[[Start]:[Start]],"&lt;="&amp;WG6,tblProjectSchedule[[Finish]:[Finish]],"&gt;="&amp;WG6))</f>
        <v>0</v>
      </c>
      <c r="WH4" s="173">
        <f>IF(WEEKDAY(WH6,12)&gt;=6,0,SUMIFS(tblProjectSchedule[[Skilled]:[Skilled]],tblProjectSchedule[[Start]:[Start]],"&lt;="&amp;WH6,tblProjectSchedule[[Finish]:[Finish]],"&gt;="&amp;WH6)+SUMIFS(tblProjectSchedule[[Helpers]:[Helpers]],tblProjectSchedule[[Start]:[Start]],"&lt;="&amp;WH6,tblProjectSchedule[[Finish]:[Finish]],"&gt;="&amp;WH6))</f>
        <v>0</v>
      </c>
      <c r="WI4" s="172">
        <f>IF(WEEKDAY(WI6,12)&gt;=6,0,SUMIFS(tblProjectSchedule[[Skilled]:[Skilled]],tblProjectSchedule[[Start]:[Start]],"&lt;="&amp;WI6,tblProjectSchedule[[Finish]:[Finish]],"&gt;="&amp;WI6)+SUMIFS(tblProjectSchedule[[Helpers]:[Helpers]],tblProjectSchedule[[Start]:[Start]],"&lt;="&amp;WI6,tblProjectSchedule[[Finish]:[Finish]],"&gt;="&amp;WI6))</f>
        <v>0</v>
      </c>
      <c r="WJ4" s="172">
        <f>IF(WEEKDAY(WJ6,12)&gt;=6,0,SUMIFS(tblProjectSchedule[[Skilled]:[Skilled]],tblProjectSchedule[[Start]:[Start]],"&lt;="&amp;WJ6,tblProjectSchedule[[Finish]:[Finish]],"&gt;="&amp;WJ6)+SUMIFS(tblProjectSchedule[[Helpers]:[Helpers]],tblProjectSchedule[[Start]:[Start]],"&lt;="&amp;WJ6,tblProjectSchedule[[Finish]:[Finish]],"&gt;="&amp;WJ6))</f>
        <v>0</v>
      </c>
      <c r="WK4" s="172">
        <f>IF(WEEKDAY(WK6,12)&gt;=6,0,SUMIFS(tblProjectSchedule[[Skilled]:[Skilled]],tblProjectSchedule[[Start]:[Start]],"&lt;="&amp;WK6,tblProjectSchedule[[Finish]:[Finish]],"&gt;="&amp;WK6)+SUMIFS(tblProjectSchedule[[Helpers]:[Helpers]],tblProjectSchedule[[Start]:[Start]],"&lt;="&amp;WK6,tblProjectSchedule[[Finish]:[Finish]],"&gt;="&amp;WK6))</f>
        <v>0</v>
      </c>
      <c r="WL4" s="172">
        <f>IF(WEEKDAY(WL6,12)&gt;=6,0,SUMIFS(tblProjectSchedule[[Skilled]:[Skilled]],tblProjectSchedule[[Start]:[Start]],"&lt;="&amp;WL6,tblProjectSchedule[[Finish]:[Finish]],"&gt;="&amp;WL6)+SUMIFS(tblProjectSchedule[[Helpers]:[Helpers]],tblProjectSchedule[[Start]:[Start]],"&lt;="&amp;WL6,tblProjectSchedule[[Finish]:[Finish]],"&gt;="&amp;WL6))</f>
        <v>0</v>
      </c>
      <c r="WM4" s="172">
        <f>IF(WEEKDAY(WM6,12)&gt;=6,0,SUMIFS(tblProjectSchedule[[Skilled]:[Skilled]],tblProjectSchedule[[Start]:[Start]],"&lt;="&amp;WM6,tblProjectSchedule[[Finish]:[Finish]],"&gt;="&amp;WM6)+SUMIFS(tblProjectSchedule[[Helpers]:[Helpers]],tblProjectSchedule[[Start]:[Start]],"&lt;="&amp;WM6,tblProjectSchedule[[Finish]:[Finish]],"&gt;="&amp;WM6))</f>
        <v>0</v>
      </c>
      <c r="WN4" s="174">
        <f>IF(WEEKDAY(WN6,12)&gt;=6,0,SUMIFS(tblProjectSchedule[[Skilled]:[Skilled]],tblProjectSchedule[[Start]:[Start]],"&lt;="&amp;WN6,tblProjectSchedule[[Finish]:[Finish]],"&gt;="&amp;WN6)+SUMIFS(tblProjectSchedule[[Helpers]:[Helpers]],tblProjectSchedule[[Start]:[Start]],"&lt;="&amp;WN6,tblProjectSchedule[[Finish]:[Finish]],"&gt;="&amp;WN6))</f>
        <v>0</v>
      </c>
      <c r="WO4" s="173">
        <f>IF(WEEKDAY(WO6,12)&gt;=6,0,SUMIFS(tblProjectSchedule[[Skilled]:[Skilled]],tblProjectSchedule[[Start]:[Start]],"&lt;="&amp;WO6,tblProjectSchedule[[Finish]:[Finish]],"&gt;="&amp;WO6)+SUMIFS(tblProjectSchedule[[Helpers]:[Helpers]],tblProjectSchedule[[Start]:[Start]],"&lt;="&amp;WO6,tblProjectSchedule[[Finish]:[Finish]],"&gt;="&amp;WO6))</f>
        <v>0</v>
      </c>
      <c r="WP4" s="172">
        <f>IF(WEEKDAY(WP6,12)&gt;=6,0,SUMIFS(tblProjectSchedule[[Skilled]:[Skilled]],tblProjectSchedule[[Start]:[Start]],"&lt;="&amp;WP6,tblProjectSchedule[[Finish]:[Finish]],"&gt;="&amp;WP6)+SUMIFS(tblProjectSchedule[[Helpers]:[Helpers]],tblProjectSchedule[[Start]:[Start]],"&lt;="&amp;WP6,tblProjectSchedule[[Finish]:[Finish]],"&gt;="&amp;WP6))</f>
        <v>0</v>
      </c>
      <c r="WQ4" s="172">
        <f>IF(WEEKDAY(WQ6,12)&gt;=6,0,SUMIFS(tblProjectSchedule[[Skilled]:[Skilled]],tblProjectSchedule[[Start]:[Start]],"&lt;="&amp;WQ6,tblProjectSchedule[[Finish]:[Finish]],"&gt;="&amp;WQ6)+SUMIFS(tblProjectSchedule[[Helpers]:[Helpers]],tblProjectSchedule[[Start]:[Start]],"&lt;="&amp;WQ6,tblProjectSchedule[[Finish]:[Finish]],"&gt;="&amp;WQ6))</f>
        <v>0</v>
      </c>
      <c r="WR4" s="172">
        <f>IF(WEEKDAY(WR6,12)&gt;=6,0,SUMIFS(tblProjectSchedule[[Skilled]:[Skilled]],tblProjectSchedule[[Start]:[Start]],"&lt;="&amp;WR6,tblProjectSchedule[[Finish]:[Finish]],"&gt;="&amp;WR6)+SUMIFS(tblProjectSchedule[[Helpers]:[Helpers]],tblProjectSchedule[[Start]:[Start]],"&lt;="&amp;WR6,tblProjectSchedule[[Finish]:[Finish]],"&gt;="&amp;WR6))</f>
        <v>0</v>
      </c>
      <c r="WS4" s="172">
        <f>IF(WEEKDAY(WS6,12)&gt;=6,0,SUMIFS(tblProjectSchedule[[Skilled]:[Skilled]],tblProjectSchedule[[Start]:[Start]],"&lt;="&amp;WS6,tblProjectSchedule[[Finish]:[Finish]],"&gt;="&amp;WS6)+SUMIFS(tblProjectSchedule[[Helpers]:[Helpers]],tblProjectSchedule[[Start]:[Start]],"&lt;="&amp;WS6,tblProjectSchedule[[Finish]:[Finish]],"&gt;="&amp;WS6))</f>
        <v>0</v>
      </c>
      <c r="WT4" s="172">
        <f>IF(WEEKDAY(WT6,12)&gt;=6,0,SUMIFS(tblProjectSchedule[[Skilled]:[Skilled]],tblProjectSchedule[[Start]:[Start]],"&lt;="&amp;WT6,tblProjectSchedule[[Finish]:[Finish]],"&gt;="&amp;WT6)+SUMIFS(tblProjectSchedule[[Helpers]:[Helpers]],tblProjectSchedule[[Start]:[Start]],"&lt;="&amp;WT6,tblProjectSchedule[[Finish]:[Finish]],"&gt;="&amp;WT6))</f>
        <v>0</v>
      </c>
      <c r="WU4" s="174">
        <f>IF(WEEKDAY(WU6,12)&gt;=6,0,SUMIFS(tblProjectSchedule[[Skilled]:[Skilled]],tblProjectSchedule[[Start]:[Start]],"&lt;="&amp;WU6,tblProjectSchedule[[Finish]:[Finish]],"&gt;="&amp;WU6)+SUMIFS(tblProjectSchedule[[Helpers]:[Helpers]],tblProjectSchedule[[Start]:[Start]],"&lt;="&amp;WU6,tblProjectSchedule[[Finish]:[Finish]],"&gt;="&amp;WU6))</f>
        <v>0</v>
      </c>
      <c r="WV4" s="173">
        <f>IF(WEEKDAY(WV6,12)&gt;=6,0,SUMIFS(tblProjectSchedule[[Skilled]:[Skilled]],tblProjectSchedule[[Start]:[Start]],"&lt;="&amp;WV6,tblProjectSchedule[[Finish]:[Finish]],"&gt;="&amp;WV6)+SUMIFS(tblProjectSchedule[[Helpers]:[Helpers]],tblProjectSchedule[[Start]:[Start]],"&lt;="&amp;WV6,tblProjectSchedule[[Finish]:[Finish]],"&gt;="&amp;WV6))</f>
        <v>0</v>
      </c>
      <c r="WW4" s="172">
        <f>IF(WEEKDAY(WW6,12)&gt;=6,0,SUMIFS(tblProjectSchedule[[Skilled]:[Skilled]],tblProjectSchedule[[Start]:[Start]],"&lt;="&amp;WW6,tblProjectSchedule[[Finish]:[Finish]],"&gt;="&amp;WW6)+SUMIFS(tblProjectSchedule[[Helpers]:[Helpers]],tblProjectSchedule[[Start]:[Start]],"&lt;="&amp;WW6,tblProjectSchedule[[Finish]:[Finish]],"&gt;="&amp;WW6))</f>
        <v>0</v>
      </c>
      <c r="WX4" s="172">
        <f>IF(WEEKDAY(WX6,12)&gt;=6,0,SUMIFS(tblProjectSchedule[[Skilled]:[Skilled]],tblProjectSchedule[[Start]:[Start]],"&lt;="&amp;WX6,tblProjectSchedule[[Finish]:[Finish]],"&gt;="&amp;WX6)+SUMIFS(tblProjectSchedule[[Helpers]:[Helpers]],tblProjectSchedule[[Start]:[Start]],"&lt;="&amp;WX6,tblProjectSchedule[[Finish]:[Finish]],"&gt;="&amp;WX6))</f>
        <v>0</v>
      </c>
      <c r="WY4" s="172">
        <f>IF(WEEKDAY(WY6,12)&gt;=6,0,SUMIFS(tblProjectSchedule[[Skilled]:[Skilled]],tblProjectSchedule[[Start]:[Start]],"&lt;="&amp;WY6,tblProjectSchedule[[Finish]:[Finish]],"&gt;="&amp;WY6)+SUMIFS(tblProjectSchedule[[Helpers]:[Helpers]],tblProjectSchedule[[Start]:[Start]],"&lt;="&amp;WY6,tblProjectSchedule[[Finish]:[Finish]],"&gt;="&amp;WY6))</f>
        <v>0</v>
      </c>
      <c r="WZ4" s="172">
        <f>IF(WEEKDAY(WZ6,12)&gt;=6,0,SUMIFS(tblProjectSchedule[[Skilled]:[Skilled]],tblProjectSchedule[[Start]:[Start]],"&lt;="&amp;WZ6,tblProjectSchedule[[Finish]:[Finish]],"&gt;="&amp;WZ6)+SUMIFS(tblProjectSchedule[[Helpers]:[Helpers]],tblProjectSchedule[[Start]:[Start]],"&lt;="&amp;WZ6,tblProjectSchedule[[Finish]:[Finish]],"&gt;="&amp;WZ6))</f>
        <v>0</v>
      </c>
      <c r="XA4" s="172">
        <f>IF(WEEKDAY(XA6,12)&gt;=6,0,SUMIFS(tblProjectSchedule[[Skilled]:[Skilled]],tblProjectSchedule[[Start]:[Start]],"&lt;="&amp;XA6,tblProjectSchedule[[Finish]:[Finish]],"&gt;="&amp;XA6)+SUMIFS(tblProjectSchedule[[Helpers]:[Helpers]],tblProjectSchedule[[Start]:[Start]],"&lt;="&amp;XA6,tblProjectSchedule[[Finish]:[Finish]],"&gt;="&amp;XA6))</f>
        <v>0</v>
      </c>
      <c r="XB4" s="174">
        <f>IF(WEEKDAY(XB6,12)&gt;=6,0,SUMIFS(tblProjectSchedule[[Skilled]:[Skilled]],tblProjectSchedule[[Start]:[Start]],"&lt;="&amp;XB6,tblProjectSchedule[[Finish]:[Finish]],"&gt;="&amp;XB6)+SUMIFS(tblProjectSchedule[[Helpers]:[Helpers]],tblProjectSchedule[[Start]:[Start]],"&lt;="&amp;XB6,tblProjectSchedule[[Finish]:[Finish]],"&gt;="&amp;XB6))</f>
        <v>0</v>
      </c>
      <c r="XC4" s="173">
        <f>IF(WEEKDAY(XC6,12)&gt;=6,0,SUMIFS(tblProjectSchedule[[Skilled]:[Skilled]],tblProjectSchedule[[Start]:[Start]],"&lt;="&amp;XC6,tblProjectSchedule[[Finish]:[Finish]],"&gt;="&amp;XC6)+SUMIFS(tblProjectSchedule[[Helpers]:[Helpers]],tblProjectSchedule[[Start]:[Start]],"&lt;="&amp;XC6,tblProjectSchedule[[Finish]:[Finish]],"&gt;="&amp;XC6))</f>
        <v>0</v>
      </c>
      <c r="XD4" s="172">
        <f>IF(WEEKDAY(XD6,12)&gt;=6,0,SUMIFS(tblProjectSchedule[[Skilled]:[Skilled]],tblProjectSchedule[[Start]:[Start]],"&lt;="&amp;XD6,tblProjectSchedule[[Finish]:[Finish]],"&gt;="&amp;XD6)+SUMIFS(tblProjectSchedule[[Helpers]:[Helpers]],tblProjectSchedule[[Start]:[Start]],"&lt;="&amp;XD6,tblProjectSchedule[[Finish]:[Finish]],"&gt;="&amp;XD6))</f>
        <v>0</v>
      </c>
      <c r="XE4" s="172">
        <f>IF(WEEKDAY(XE6,12)&gt;=6,0,SUMIFS(tblProjectSchedule[[Skilled]:[Skilled]],tblProjectSchedule[[Start]:[Start]],"&lt;="&amp;XE6,tblProjectSchedule[[Finish]:[Finish]],"&gt;="&amp;XE6)+SUMIFS(tblProjectSchedule[[Helpers]:[Helpers]],tblProjectSchedule[[Start]:[Start]],"&lt;="&amp;XE6,tblProjectSchedule[[Finish]:[Finish]],"&gt;="&amp;XE6))</f>
        <v>0</v>
      </c>
      <c r="XF4" s="172">
        <f>IF(WEEKDAY(XF6,12)&gt;=6,0,SUMIFS(tblProjectSchedule[[Skilled]:[Skilled]],tblProjectSchedule[[Start]:[Start]],"&lt;="&amp;XF6,tblProjectSchedule[[Finish]:[Finish]],"&gt;="&amp;XF6)+SUMIFS(tblProjectSchedule[[Helpers]:[Helpers]],tblProjectSchedule[[Start]:[Start]],"&lt;="&amp;XF6,tblProjectSchedule[[Finish]:[Finish]],"&gt;="&amp;XF6))</f>
        <v>0</v>
      </c>
      <c r="XG4" s="172">
        <f>IF(WEEKDAY(XG6,12)&gt;=6,0,SUMIFS(tblProjectSchedule[[Skilled]:[Skilled]],tblProjectSchedule[[Start]:[Start]],"&lt;="&amp;XG6,tblProjectSchedule[[Finish]:[Finish]],"&gt;="&amp;XG6)+SUMIFS(tblProjectSchedule[[Helpers]:[Helpers]],tblProjectSchedule[[Start]:[Start]],"&lt;="&amp;XG6,tblProjectSchedule[[Finish]:[Finish]],"&gt;="&amp;XG6))</f>
        <v>0</v>
      </c>
      <c r="XH4" s="172">
        <f>IF(WEEKDAY(XH6,12)&gt;=6,0,SUMIFS(tblProjectSchedule[[Skilled]:[Skilled]],tblProjectSchedule[[Start]:[Start]],"&lt;="&amp;XH6,tblProjectSchedule[[Finish]:[Finish]],"&gt;="&amp;XH6)+SUMIFS(tblProjectSchedule[[Helpers]:[Helpers]],tblProjectSchedule[[Start]:[Start]],"&lt;="&amp;XH6,tblProjectSchedule[[Finish]:[Finish]],"&gt;="&amp;XH6))</f>
        <v>0</v>
      </c>
      <c r="XI4" s="174">
        <f>IF(WEEKDAY(XI6,12)&gt;=6,0,SUMIFS(tblProjectSchedule[[Skilled]:[Skilled]],tblProjectSchedule[[Start]:[Start]],"&lt;="&amp;XI6,tblProjectSchedule[[Finish]:[Finish]],"&gt;="&amp;XI6)+SUMIFS(tblProjectSchedule[[Helpers]:[Helpers]],tblProjectSchedule[[Start]:[Start]],"&lt;="&amp;XI6,tblProjectSchedule[[Finish]:[Finish]],"&gt;="&amp;XI6))</f>
        <v>0</v>
      </c>
      <c r="XJ4" s="173">
        <f>IF(WEEKDAY(XJ6,12)&gt;=6,0,SUMIFS(tblProjectSchedule[[Skilled]:[Skilled]],tblProjectSchedule[[Start]:[Start]],"&lt;="&amp;XJ6,tblProjectSchedule[[Finish]:[Finish]],"&gt;="&amp;XJ6)+SUMIFS(tblProjectSchedule[[Helpers]:[Helpers]],tblProjectSchedule[[Start]:[Start]],"&lt;="&amp;XJ6,tblProjectSchedule[[Finish]:[Finish]],"&gt;="&amp;XJ6))</f>
        <v>0</v>
      </c>
      <c r="XK4" s="172">
        <f>IF(WEEKDAY(XK6,12)&gt;=6,0,SUMIFS(tblProjectSchedule[[Skilled]:[Skilled]],tblProjectSchedule[[Start]:[Start]],"&lt;="&amp;XK6,tblProjectSchedule[[Finish]:[Finish]],"&gt;="&amp;XK6)+SUMIFS(tblProjectSchedule[[Helpers]:[Helpers]],tblProjectSchedule[[Start]:[Start]],"&lt;="&amp;XK6,tblProjectSchedule[[Finish]:[Finish]],"&gt;="&amp;XK6))</f>
        <v>0</v>
      </c>
      <c r="XL4" s="172">
        <f>IF(WEEKDAY(XL6,12)&gt;=6,0,SUMIFS(tblProjectSchedule[[Skilled]:[Skilled]],tblProjectSchedule[[Start]:[Start]],"&lt;="&amp;XL6,tblProjectSchedule[[Finish]:[Finish]],"&gt;="&amp;XL6)+SUMIFS(tblProjectSchedule[[Helpers]:[Helpers]],tblProjectSchedule[[Start]:[Start]],"&lt;="&amp;XL6,tblProjectSchedule[[Finish]:[Finish]],"&gt;="&amp;XL6))</f>
        <v>0</v>
      </c>
      <c r="XM4" s="172">
        <f>IF(WEEKDAY(XM6,12)&gt;=6,0,SUMIFS(tblProjectSchedule[[Skilled]:[Skilled]],tblProjectSchedule[[Start]:[Start]],"&lt;="&amp;XM6,tblProjectSchedule[[Finish]:[Finish]],"&gt;="&amp;XM6)+SUMIFS(tblProjectSchedule[[Helpers]:[Helpers]],tblProjectSchedule[[Start]:[Start]],"&lt;="&amp;XM6,tblProjectSchedule[[Finish]:[Finish]],"&gt;="&amp;XM6))</f>
        <v>0</v>
      </c>
      <c r="XN4" s="172">
        <f>IF(WEEKDAY(XN6,12)&gt;=6,0,SUMIFS(tblProjectSchedule[[Skilled]:[Skilled]],tblProjectSchedule[[Start]:[Start]],"&lt;="&amp;XN6,tblProjectSchedule[[Finish]:[Finish]],"&gt;="&amp;XN6)+SUMIFS(tblProjectSchedule[[Helpers]:[Helpers]],tblProjectSchedule[[Start]:[Start]],"&lt;="&amp;XN6,tblProjectSchedule[[Finish]:[Finish]],"&gt;="&amp;XN6))</f>
        <v>0</v>
      </c>
      <c r="XO4" s="172">
        <f>IF(WEEKDAY(XO6,12)&gt;=6,0,SUMIFS(tblProjectSchedule[[Skilled]:[Skilled]],tblProjectSchedule[[Start]:[Start]],"&lt;="&amp;XO6,tblProjectSchedule[[Finish]:[Finish]],"&gt;="&amp;XO6)+SUMIFS(tblProjectSchedule[[Helpers]:[Helpers]],tblProjectSchedule[[Start]:[Start]],"&lt;="&amp;XO6,tblProjectSchedule[[Finish]:[Finish]],"&gt;="&amp;XO6))</f>
        <v>0</v>
      </c>
      <c r="XP4" s="174">
        <f>IF(WEEKDAY(XP6,12)&gt;=6,0,SUMIFS(tblProjectSchedule[[Skilled]:[Skilled]],tblProjectSchedule[[Start]:[Start]],"&lt;="&amp;XP6,tblProjectSchedule[[Finish]:[Finish]],"&gt;="&amp;XP6)+SUMIFS(tblProjectSchedule[[Helpers]:[Helpers]],tblProjectSchedule[[Start]:[Start]],"&lt;="&amp;XP6,tblProjectSchedule[[Finish]:[Finish]],"&gt;="&amp;XP6))</f>
        <v>0</v>
      </c>
      <c r="XQ4" s="173">
        <f>IF(WEEKDAY(XQ6,12)&gt;=6,0,SUMIFS(tblProjectSchedule[[Skilled]:[Skilled]],tblProjectSchedule[[Start]:[Start]],"&lt;="&amp;XQ6,tblProjectSchedule[[Finish]:[Finish]],"&gt;="&amp;XQ6)+SUMIFS(tblProjectSchedule[[Helpers]:[Helpers]],tblProjectSchedule[[Start]:[Start]],"&lt;="&amp;XQ6,tblProjectSchedule[[Finish]:[Finish]],"&gt;="&amp;XQ6))</f>
        <v>0</v>
      </c>
      <c r="XR4" s="172">
        <f>IF(WEEKDAY(XR6,12)&gt;=6,0,SUMIFS(tblProjectSchedule[[Skilled]:[Skilled]],tblProjectSchedule[[Start]:[Start]],"&lt;="&amp;XR6,tblProjectSchedule[[Finish]:[Finish]],"&gt;="&amp;XR6)+SUMIFS(tblProjectSchedule[[Helpers]:[Helpers]],tblProjectSchedule[[Start]:[Start]],"&lt;="&amp;XR6,tblProjectSchedule[[Finish]:[Finish]],"&gt;="&amp;XR6))</f>
        <v>0</v>
      </c>
      <c r="XS4" s="172">
        <f>IF(WEEKDAY(XS6,12)&gt;=6,0,SUMIFS(tblProjectSchedule[[Skilled]:[Skilled]],tblProjectSchedule[[Start]:[Start]],"&lt;="&amp;XS6,tblProjectSchedule[[Finish]:[Finish]],"&gt;="&amp;XS6)+SUMIFS(tblProjectSchedule[[Helpers]:[Helpers]],tblProjectSchedule[[Start]:[Start]],"&lt;="&amp;XS6,tblProjectSchedule[[Finish]:[Finish]],"&gt;="&amp;XS6))</f>
        <v>0</v>
      </c>
      <c r="XT4" s="172">
        <f>IF(WEEKDAY(XT6,12)&gt;=6,0,SUMIFS(tblProjectSchedule[[Skilled]:[Skilled]],tblProjectSchedule[[Start]:[Start]],"&lt;="&amp;XT6,tblProjectSchedule[[Finish]:[Finish]],"&gt;="&amp;XT6)+SUMIFS(tblProjectSchedule[[Helpers]:[Helpers]],tblProjectSchedule[[Start]:[Start]],"&lt;="&amp;XT6,tblProjectSchedule[[Finish]:[Finish]],"&gt;="&amp;XT6))</f>
        <v>0</v>
      </c>
      <c r="XU4" s="172">
        <f>IF(WEEKDAY(XU6,12)&gt;=6,0,SUMIFS(tblProjectSchedule[[Skilled]:[Skilled]],tblProjectSchedule[[Start]:[Start]],"&lt;="&amp;XU6,tblProjectSchedule[[Finish]:[Finish]],"&gt;="&amp;XU6)+SUMIFS(tblProjectSchedule[[Helpers]:[Helpers]],tblProjectSchedule[[Start]:[Start]],"&lt;="&amp;XU6,tblProjectSchedule[[Finish]:[Finish]],"&gt;="&amp;XU6))</f>
        <v>0</v>
      </c>
      <c r="XV4" s="172">
        <f>IF(WEEKDAY(XV6,12)&gt;=6,0,SUMIFS(tblProjectSchedule[[Skilled]:[Skilled]],tblProjectSchedule[[Start]:[Start]],"&lt;="&amp;XV6,tblProjectSchedule[[Finish]:[Finish]],"&gt;="&amp;XV6)+SUMIFS(tblProjectSchedule[[Helpers]:[Helpers]],tblProjectSchedule[[Start]:[Start]],"&lt;="&amp;XV6,tblProjectSchedule[[Finish]:[Finish]],"&gt;="&amp;XV6))</f>
        <v>0</v>
      </c>
      <c r="XW4" s="174">
        <f>IF(WEEKDAY(XW6,12)&gt;=6,0,SUMIFS(tblProjectSchedule[[Skilled]:[Skilled]],tblProjectSchedule[[Start]:[Start]],"&lt;="&amp;XW6,tblProjectSchedule[[Finish]:[Finish]],"&gt;="&amp;XW6)+SUMIFS(tblProjectSchedule[[Helpers]:[Helpers]],tblProjectSchedule[[Start]:[Start]],"&lt;="&amp;XW6,tblProjectSchedule[[Finish]:[Finish]],"&gt;="&amp;XW6))</f>
        <v>0</v>
      </c>
      <c r="XX4" s="173">
        <f>IF(WEEKDAY(XX6,12)&gt;=6,0,SUMIFS(tblProjectSchedule[[Skilled]:[Skilled]],tblProjectSchedule[[Start]:[Start]],"&lt;="&amp;XX6,tblProjectSchedule[[Finish]:[Finish]],"&gt;="&amp;XX6)+SUMIFS(tblProjectSchedule[[Helpers]:[Helpers]],tblProjectSchedule[[Start]:[Start]],"&lt;="&amp;XX6,tblProjectSchedule[[Finish]:[Finish]],"&gt;="&amp;XX6))</f>
        <v>0</v>
      </c>
      <c r="XY4" s="172">
        <f>IF(WEEKDAY(XY6,12)&gt;=6,0,SUMIFS(tblProjectSchedule[[Skilled]:[Skilled]],tblProjectSchedule[[Start]:[Start]],"&lt;="&amp;XY6,tblProjectSchedule[[Finish]:[Finish]],"&gt;="&amp;XY6)+SUMIFS(tblProjectSchedule[[Helpers]:[Helpers]],tblProjectSchedule[[Start]:[Start]],"&lt;="&amp;XY6,tblProjectSchedule[[Finish]:[Finish]],"&gt;="&amp;XY6))</f>
        <v>0</v>
      </c>
      <c r="XZ4" s="172">
        <f>IF(WEEKDAY(XZ6,12)&gt;=6,0,SUMIFS(tblProjectSchedule[[Skilled]:[Skilled]],tblProjectSchedule[[Start]:[Start]],"&lt;="&amp;XZ6,tblProjectSchedule[[Finish]:[Finish]],"&gt;="&amp;XZ6)+SUMIFS(tblProjectSchedule[[Helpers]:[Helpers]],tblProjectSchedule[[Start]:[Start]],"&lt;="&amp;XZ6,tblProjectSchedule[[Finish]:[Finish]],"&gt;="&amp;XZ6))</f>
        <v>0</v>
      </c>
      <c r="YA4" s="172">
        <f>IF(WEEKDAY(YA6,12)&gt;=6,0,SUMIFS(tblProjectSchedule[[Skilled]:[Skilled]],tblProjectSchedule[[Start]:[Start]],"&lt;="&amp;YA6,tblProjectSchedule[[Finish]:[Finish]],"&gt;="&amp;YA6)+SUMIFS(tblProjectSchedule[[Helpers]:[Helpers]],tblProjectSchedule[[Start]:[Start]],"&lt;="&amp;YA6,tblProjectSchedule[[Finish]:[Finish]],"&gt;="&amp;YA6))</f>
        <v>0</v>
      </c>
      <c r="YB4" s="172">
        <f>IF(WEEKDAY(YB6,12)&gt;=6,0,SUMIFS(tblProjectSchedule[[Skilled]:[Skilled]],tblProjectSchedule[[Start]:[Start]],"&lt;="&amp;YB6,tblProjectSchedule[[Finish]:[Finish]],"&gt;="&amp;YB6)+SUMIFS(tblProjectSchedule[[Helpers]:[Helpers]],tblProjectSchedule[[Start]:[Start]],"&lt;="&amp;YB6,tblProjectSchedule[[Finish]:[Finish]],"&gt;="&amp;YB6))</f>
        <v>0</v>
      </c>
      <c r="YC4" s="172">
        <f>IF(WEEKDAY(YC6,12)&gt;=6,0,SUMIFS(tblProjectSchedule[[Skilled]:[Skilled]],tblProjectSchedule[[Start]:[Start]],"&lt;="&amp;YC6,tblProjectSchedule[[Finish]:[Finish]],"&gt;="&amp;YC6)+SUMIFS(tblProjectSchedule[[Helpers]:[Helpers]],tblProjectSchedule[[Start]:[Start]],"&lt;="&amp;YC6,tblProjectSchedule[[Finish]:[Finish]],"&gt;="&amp;YC6))</f>
        <v>0</v>
      </c>
      <c r="YD4" s="174">
        <f>IF(WEEKDAY(YD6,12)&gt;=6,0,SUMIFS(tblProjectSchedule[[Skilled]:[Skilled]],tblProjectSchedule[[Start]:[Start]],"&lt;="&amp;YD6,tblProjectSchedule[[Finish]:[Finish]],"&gt;="&amp;YD6)+SUMIFS(tblProjectSchedule[[Helpers]:[Helpers]],tblProjectSchedule[[Start]:[Start]],"&lt;="&amp;YD6,tblProjectSchedule[[Finish]:[Finish]],"&gt;="&amp;YD6))</f>
        <v>0</v>
      </c>
      <c r="YE4" s="173">
        <f>IF(WEEKDAY(YE6,12)&gt;=6,0,SUMIFS(tblProjectSchedule[[Skilled]:[Skilled]],tblProjectSchedule[[Start]:[Start]],"&lt;="&amp;YE6,tblProjectSchedule[[Finish]:[Finish]],"&gt;="&amp;YE6)+SUMIFS(tblProjectSchedule[[Helpers]:[Helpers]],tblProjectSchedule[[Start]:[Start]],"&lt;="&amp;YE6,tblProjectSchedule[[Finish]:[Finish]],"&gt;="&amp;YE6))</f>
        <v>0</v>
      </c>
      <c r="YF4" s="172">
        <f>IF(WEEKDAY(YF6,12)&gt;=6,0,SUMIFS(tblProjectSchedule[[Skilled]:[Skilled]],tblProjectSchedule[[Start]:[Start]],"&lt;="&amp;YF6,tblProjectSchedule[[Finish]:[Finish]],"&gt;="&amp;YF6)+SUMIFS(tblProjectSchedule[[Helpers]:[Helpers]],tblProjectSchedule[[Start]:[Start]],"&lt;="&amp;YF6,tblProjectSchedule[[Finish]:[Finish]],"&gt;="&amp;YF6))</f>
        <v>0</v>
      </c>
      <c r="YG4" s="172">
        <f>IF(WEEKDAY(YG6,12)&gt;=6,0,SUMIFS(tblProjectSchedule[[Skilled]:[Skilled]],tblProjectSchedule[[Start]:[Start]],"&lt;="&amp;YG6,tblProjectSchedule[[Finish]:[Finish]],"&gt;="&amp;YG6)+SUMIFS(tblProjectSchedule[[Helpers]:[Helpers]],tblProjectSchedule[[Start]:[Start]],"&lt;="&amp;YG6,tblProjectSchedule[[Finish]:[Finish]],"&gt;="&amp;YG6))</f>
        <v>0</v>
      </c>
      <c r="YH4" s="172">
        <f>IF(WEEKDAY(YH6,12)&gt;=6,0,SUMIFS(tblProjectSchedule[[Skilled]:[Skilled]],tblProjectSchedule[[Start]:[Start]],"&lt;="&amp;YH6,tblProjectSchedule[[Finish]:[Finish]],"&gt;="&amp;YH6)+SUMIFS(tblProjectSchedule[[Helpers]:[Helpers]],tblProjectSchedule[[Start]:[Start]],"&lt;="&amp;YH6,tblProjectSchedule[[Finish]:[Finish]],"&gt;="&amp;YH6))</f>
        <v>0</v>
      </c>
      <c r="YI4" s="172">
        <f>IF(WEEKDAY(YI6,12)&gt;=6,0,SUMIFS(tblProjectSchedule[[Skilled]:[Skilled]],tblProjectSchedule[[Start]:[Start]],"&lt;="&amp;YI6,tblProjectSchedule[[Finish]:[Finish]],"&gt;="&amp;YI6)+SUMIFS(tblProjectSchedule[[Helpers]:[Helpers]],tblProjectSchedule[[Start]:[Start]],"&lt;="&amp;YI6,tblProjectSchedule[[Finish]:[Finish]],"&gt;="&amp;YI6))</f>
        <v>0</v>
      </c>
      <c r="YJ4" s="172">
        <f>IF(WEEKDAY(YJ6,12)&gt;=6,0,SUMIFS(tblProjectSchedule[[Skilled]:[Skilled]],tblProjectSchedule[[Start]:[Start]],"&lt;="&amp;YJ6,tblProjectSchedule[[Finish]:[Finish]],"&gt;="&amp;YJ6)+SUMIFS(tblProjectSchedule[[Helpers]:[Helpers]],tblProjectSchedule[[Start]:[Start]],"&lt;="&amp;YJ6,tblProjectSchedule[[Finish]:[Finish]],"&gt;="&amp;YJ6))</f>
        <v>0</v>
      </c>
      <c r="YK4" s="174">
        <f>IF(WEEKDAY(YK6,12)&gt;=6,0,SUMIFS(tblProjectSchedule[[Skilled]:[Skilled]],tblProjectSchedule[[Start]:[Start]],"&lt;="&amp;YK6,tblProjectSchedule[[Finish]:[Finish]],"&gt;="&amp;YK6)+SUMIFS(tblProjectSchedule[[Helpers]:[Helpers]],tblProjectSchedule[[Start]:[Start]],"&lt;="&amp;YK6,tblProjectSchedule[[Finish]:[Finish]],"&gt;="&amp;YK6))</f>
        <v>0</v>
      </c>
      <c r="YL4" s="173">
        <f>IF(WEEKDAY(YL6,12)&gt;=6,0,SUMIFS(tblProjectSchedule[[Skilled]:[Skilled]],tblProjectSchedule[[Start]:[Start]],"&lt;="&amp;YL6,tblProjectSchedule[[Finish]:[Finish]],"&gt;="&amp;YL6)+SUMIFS(tblProjectSchedule[[Helpers]:[Helpers]],tblProjectSchedule[[Start]:[Start]],"&lt;="&amp;YL6,tblProjectSchedule[[Finish]:[Finish]],"&gt;="&amp;YL6))</f>
        <v>0</v>
      </c>
      <c r="YM4" s="172">
        <f>IF(WEEKDAY(YM6,12)&gt;=6,0,SUMIFS(tblProjectSchedule[[Skilled]:[Skilled]],tblProjectSchedule[[Start]:[Start]],"&lt;="&amp;YM6,tblProjectSchedule[[Finish]:[Finish]],"&gt;="&amp;YM6)+SUMIFS(tblProjectSchedule[[Helpers]:[Helpers]],tblProjectSchedule[[Start]:[Start]],"&lt;="&amp;YM6,tblProjectSchedule[[Finish]:[Finish]],"&gt;="&amp;YM6))</f>
        <v>0</v>
      </c>
      <c r="YN4" s="172">
        <f>IF(WEEKDAY(YN6,12)&gt;=6,0,SUMIFS(tblProjectSchedule[[Skilled]:[Skilled]],tblProjectSchedule[[Start]:[Start]],"&lt;="&amp;YN6,tblProjectSchedule[[Finish]:[Finish]],"&gt;="&amp;YN6)+SUMIFS(tblProjectSchedule[[Helpers]:[Helpers]],tblProjectSchedule[[Start]:[Start]],"&lt;="&amp;YN6,tblProjectSchedule[[Finish]:[Finish]],"&gt;="&amp;YN6))</f>
        <v>0</v>
      </c>
      <c r="YO4" s="172">
        <f>IF(WEEKDAY(YO6,12)&gt;=6,0,SUMIFS(tblProjectSchedule[[Skilled]:[Skilled]],tblProjectSchedule[[Start]:[Start]],"&lt;="&amp;YO6,tblProjectSchedule[[Finish]:[Finish]],"&gt;="&amp;YO6)+SUMIFS(tblProjectSchedule[[Helpers]:[Helpers]],tblProjectSchedule[[Start]:[Start]],"&lt;="&amp;YO6,tblProjectSchedule[[Finish]:[Finish]],"&gt;="&amp;YO6))</f>
        <v>0</v>
      </c>
      <c r="YP4" s="172">
        <f>IF(WEEKDAY(YP6,12)&gt;=6,0,SUMIFS(tblProjectSchedule[[Skilled]:[Skilled]],tblProjectSchedule[[Start]:[Start]],"&lt;="&amp;YP6,tblProjectSchedule[[Finish]:[Finish]],"&gt;="&amp;YP6)+SUMIFS(tblProjectSchedule[[Helpers]:[Helpers]],tblProjectSchedule[[Start]:[Start]],"&lt;="&amp;YP6,tblProjectSchedule[[Finish]:[Finish]],"&gt;="&amp;YP6))</f>
        <v>0</v>
      </c>
      <c r="YQ4" s="172">
        <f>IF(WEEKDAY(YQ6,12)&gt;=6,0,SUMIFS(tblProjectSchedule[[Skilled]:[Skilled]],tblProjectSchedule[[Start]:[Start]],"&lt;="&amp;YQ6,tblProjectSchedule[[Finish]:[Finish]],"&gt;="&amp;YQ6)+SUMIFS(tblProjectSchedule[[Helpers]:[Helpers]],tblProjectSchedule[[Start]:[Start]],"&lt;="&amp;YQ6,tblProjectSchedule[[Finish]:[Finish]],"&gt;="&amp;YQ6))</f>
        <v>0</v>
      </c>
      <c r="YR4" s="174">
        <f>IF(WEEKDAY(YR6,12)&gt;=6,0,SUMIFS(tblProjectSchedule[[Skilled]:[Skilled]],tblProjectSchedule[[Start]:[Start]],"&lt;="&amp;YR6,tblProjectSchedule[[Finish]:[Finish]],"&gt;="&amp;YR6)+SUMIFS(tblProjectSchedule[[Helpers]:[Helpers]],tblProjectSchedule[[Start]:[Start]],"&lt;="&amp;YR6,tblProjectSchedule[[Finish]:[Finish]],"&gt;="&amp;YR6))</f>
        <v>0</v>
      </c>
      <c r="YS4" s="173">
        <f>IF(WEEKDAY(YS6,12)&gt;=6,0,SUMIFS(tblProjectSchedule[[Skilled]:[Skilled]],tblProjectSchedule[[Start]:[Start]],"&lt;="&amp;YS6,tblProjectSchedule[[Finish]:[Finish]],"&gt;="&amp;YS6)+SUMIFS(tblProjectSchedule[[Helpers]:[Helpers]],tblProjectSchedule[[Start]:[Start]],"&lt;="&amp;YS6,tblProjectSchedule[[Finish]:[Finish]],"&gt;="&amp;YS6))</f>
        <v>0</v>
      </c>
      <c r="YT4" s="172">
        <f>IF(WEEKDAY(YT6,12)&gt;=6,0,SUMIFS(tblProjectSchedule[[Skilled]:[Skilled]],tblProjectSchedule[[Start]:[Start]],"&lt;="&amp;YT6,tblProjectSchedule[[Finish]:[Finish]],"&gt;="&amp;YT6)+SUMIFS(tblProjectSchedule[[Helpers]:[Helpers]],tblProjectSchedule[[Start]:[Start]],"&lt;="&amp;YT6,tblProjectSchedule[[Finish]:[Finish]],"&gt;="&amp;YT6))</f>
        <v>0</v>
      </c>
      <c r="YU4" s="172">
        <f>IF(WEEKDAY(YU6,12)&gt;=6,0,SUMIFS(tblProjectSchedule[[Skilled]:[Skilled]],tblProjectSchedule[[Start]:[Start]],"&lt;="&amp;YU6,tblProjectSchedule[[Finish]:[Finish]],"&gt;="&amp;YU6)+SUMIFS(tblProjectSchedule[[Helpers]:[Helpers]],tblProjectSchedule[[Start]:[Start]],"&lt;="&amp;YU6,tblProjectSchedule[[Finish]:[Finish]],"&gt;="&amp;YU6))</f>
        <v>0</v>
      </c>
      <c r="YV4" s="172">
        <f>IF(WEEKDAY(YV6,12)&gt;=6,0,SUMIFS(tblProjectSchedule[[Skilled]:[Skilled]],tblProjectSchedule[[Start]:[Start]],"&lt;="&amp;YV6,tblProjectSchedule[[Finish]:[Finish]],"&gt;="&amp;YV6)+SUMIFS(tblProjectSchedule[[Helpers]:[Helpers]],tblProjectSchedule[[Start]:[Start]],"&lt;="&amp;YV6,tblProjectSchedule[[Finish]:[Finish]],"&gt;="&amp;YV6))</f>
        <v>0</v>
      </c>
      <c r="YW4" s="172">
        <f>IF(WEEKDAY(YW6,12)&gt;=6,0,SUMIFS(tblProjectSchedule[[Skilled]:[Skilled]],tblProjectSchedule[[Start]:[Start]],"&lt;="&amp;YW6,tblProjectSchedule[[Finish]:[Finish]],"&gt;="&amp;YW6)+SUMIFS(tblProjectSchedule[[Helpers]:[Helpers]],tblProjectSchedule[[Start]:[Start]],"&lt;="&amp;YW6,tblProjectSchedule[[Finish]:[Finish]],"&gt;="&amp;YW6))</f>
        <v>0</v>
      </c>
      <c r="YX4" s="172">
        <f>IF(WEEKDAY(YX6,12)&gt;=6,0,SUMIFS(tblProjectSchedule[[Skilled]:[Skilled]],tblProjectSchedule[[Start]:[Start]],"&lt;="&amp;YX6,tblProjectSchedule[[Finish]:[Finish]],"&gt;="&amp;YX6)+SUMIFS(tblProjectSchedule[[Helpers]:[Helpers]],tblProjectSchedule[[Start]:[Start]],"&lt;="&amp;YX6,tblProjectSchedule[[Finish]:[Finish]],"&gt;="&amp;YX6))</f>
        <v>0</v>
      </c>
      <c r="YY4" s="174">
        <f>IF(WEEKDAY(YY6,12)&gt;=6,0,SUMIFS(tblProjectSchedule[[Skilled]:[Skilled]],tblProjectSchedule[[Start]:[Start]],"&lt;="&amp;YY6,tblProjectSchedule[[Finish]:[Finish]],"&gt;="&amp;YY6)+SUMIFS(tblProjectSchedule[[Helpers]:[Helpers]],tblProjectSchedule[[Start]:[Start]],"&lt;="&amp;YY6,tblProjectSchedule[[Finish]:[Finish]],"&gt;="&amp;YY6))</f>
        <v>0</v>
      </c>
      <c r="YZ4" s="173">
        <f>IF(WEEKDAY(YZ6,12)&gt;=6,0,SUMIFS(tblProjectSchedule[[Skilled]:[Skilled]],tblProjectSchedule[[Start]:[Start]],"&lt;="&amp;YZ6,tblProjectSchedule[[Finish]:[Finish]],"&gt;="&amp;YZ6)+SUMIFS(tblProjectSchedule[[Helpers]:[Helpers]],tblProjectSchedule[[Start]:[Start]],"&lt;="&amp;YZ6,tblProjectSchedule[[Finish]:[Finish]],"&gt;="&amp;YZ6))</f>
        <v>0</v>
      </c>
      <c r="ZA4" s="172">
        <f>IF(WEEKDAY(ZA6,12)&gt;=6,0,SUMIFS(tblProjectSchedule[[Skilled]:[Skilled]],tblProjectSchedule[[Start]:[Start]],"&lt;="&amp;ZA6,tblProjectSchedule[[Finish]:[Finish]],"&gt;="&amp;ZA6)+SUMIFS(tblProjectSchedule[[Helpers]:[Helpers]],tblProjectSchedule[[Start]:[Start]],"&lt;="&amp;ZA6,tblProjectSchedule[[Finish]:[Finish]],"&gt;="&amp;ZA6))</f>
        <v>0</v>
      </c>
      <c r="ZB4" s="172">
        <f>IF(WEEKDAY(ZB6,12)&gt;=6,0,SUMIFS(tblProjectSchedule[[Skilled]:[Skilled]],tblProjectSchedule[[Start]:[Start]],"&lt;="&amp;ZB6,tblProjectSchedule[[Finish]:[Finish]],"&gt;="&amp;ZB6)+SUMIFS(tblProjectSchedule[[Helpers]:[Helpers]],tblProjectSchedule[[Start]:[Start]],"&lt;="&amp;ZB6,tblProjectSchedule[[Finish]:[Finish]],"&gt;="&amp;ZB6))</f>
        <v>0</v>
      </c>
      <c r="ZC4" s="172">
        <f>IF(WEEKDAY(ZC6,12)&gt;=6,0,SUMIFS(tblProjectSchedule[[Skilled]:[Skilled]],tblProjectSchedule[[Start]:[Start]],"&lt;="&amp;ZC6,tblProjectSchedule[[Finish]:[Finish]],"&gt;="&amp;ZC6)+SUMIFS(tblProjectSchedule[[Helpers]:[Helpers]],tblProjectSchedule[[Start]:[Start]],"&lt;="&amp;ZC6,tblProjectSchedule[[Finish]:[Finish]],"&gt;="&amp;ZC6))</f>
        <v>0</v>
      </c>
      <c r="ZD4" s="172">
        <f>IF(WEEKDAY(ZD6,12)&gt;=6,0,SUMIFS(tblProjectSchedule[[Skilled]:[Skilled]],tblProjectSchedule[[Start]:[Start]],"&lt;="&amp;ZD6,tblProjectSchedule[[Finish]:[Finish]],"&gt;="&amp;ZD6)+SUMIFS(tblProjectSchedule[[Helpers]:[Helpers]],tblProjectSchedule[[Start]:[Start]],"&lt;="&amp;ZD6,tblProjectSchedule[[Finish]:[Finish]],"&gt;="&amp;ZD6))</f>
        <v>0</v>
      </c>
      <c r="ZE4" s="172">
        <f>IF(WEEKDAY(ZE6,12)&gt;=6,0,SUMIFS(tblProjectSchedule[[Skilled]:[Skilled]],tblProjectSchedule[[Start]:[Start]],"&lt;="&amp;ZE6,tblProjectSchedule[[Finish]:[Finish]],"&gt;="&amp;ZE6)+SUMIFS(tblProjectSchedule[[Helpers]:[Helpers]],tblProjectSchedule[[Start]:[Start]],"&lt;="&amp;ZE6,tblProjectSchedule[[Finish]:[Finish]],"&gt;="&amp;ZE6))</f>
        <v>0</v>
      </c>
      <c r="ZF4" s="174">
        <f>IF(WEEKDAY(ZF6,12)&gt;=6,0,SUMIFS(tblProjectSchedule[[Skilled]:[Skilled]],tblProjectSchedule[[Start]:[Start]],"&lt;="&amp;ZF6,tblProjectSchedule[[Finish]:[Finish]],"&gt;="&amp;ZF6)+SUMIFS(tblProjectSchedule[[Helpers]:[Helpers]],tblProjectSchedule[[Start]:[Start]],"&lt;="&amp;ZF6,tblProjectSchedule[[Finish]:[Finish]],"&gt;="&amp;ZF6))</f>
        <v>0</v>
      </c>
      <c r="ZG4" s="173">
        <f>IF(WEEKDAY(ZG6,12)&gt;=6,0,SUMIFS(tblProjectSchedule[[Skilled]:[Skilled]],tblProjectSchedule[[Start]:[Start]],"&lt;="&amp;ZG6,tblProjectSchedule[[Finish]:[Finish]],"&gt;="&amp;ZG6)+SUMIFS(tblProjectSchedule[[Helpers]:[Helpers]],tblProjectSchedule[[Start]:[Start]],"&lt;="&amp;ZG6,tblProjectSchedule[[Finish]:[Finish]],"&gt;="&amp;ZG6))</f>
        <v>0</v>
      </c>
      <c r="ZH4" s="172">
        <f>IF(WEEKDAY(ZH6,12)&gt;=6,0,SUMIFS(tblProjectSchedule[[Skilled]:[Skilled]],tblProjectSchedule[[Start]:[Start]],"&lt;="&amp;ZH6,tblProjectSchedule[[Finish]:[Finish]],"&gt;="&amp;ZH6)+SUMIFS(tblProjectSchedule[[Helpers]:[Helpers]],tblProjectSchedule[[Start]:[Start]],"&lt;="&amp;ZH6,tblProjectSchedule[[Finish]:[Finish]],"&gt;="&amp;ZH6))</f>
        <v>0</v>
      </c>
      <c r="ZI4" s="172">
        <f>IF(WEEKDAY(ZI6,12)&gt;=6,0,SUMIFS(tblProjectSchedule[[Skilled]:[Skilled]],tblProjectSchedule[[Start]:[Start]],"&lt;="&amp;ZI6,tblProjectSchedule[[Finish]:[Finish]],"&gt;="&amp;ZI6)+SUMIFS(tblProjectSchedule[[Helpers]:[Helpers]],tblProjectSchedule[[Start]:[Start]],"&lt;="&amp;ZI6,tblProjectSchedule[[Finish]:[Finish]],"&gt;="&amp;ZI6))</f>
        <v>0</v>
      </c>
      <c r="ZJ4" s="172">
        <f>IF(WEEKDAY(ZJ6,12)&gt;=6,0,SUMIFS(tblProjectSchedule[[Skilled]:[Skilled]],tblProjectSchedule[[Start]:[Start]],"&lt;="&amp;ZJ6,tblProjectSchedule[[Finish]:[Finish]],"&gt;="&amp;ZJ6)+SUMIFS(tblProjectSchedule[[Helpers]:[Helpers]],tblProjectSchedule[[Start]:[Start]],"&lt;="&amp;ZJ6,tblProjectSchedule[[Finish]:[Finish]],"&gt;="&amp;ZJ6))</f>
        <v>0</v>
      </c>
      <c r="ZK4" s="172">
        <f>IF(WEEKDAY(ZK6,12)&gt;=6,0,SUMIFS(tblProjectSchedule[[Skilled]:[Skilled]],tblProjectSchedule[[Start]:[Start]],"&lt;="&amp;ZK6,tblProjectSchedule[[Finish]:[Finish]],"&gt;="&amp;ZK6)+SUMIFS(tblProjectSchedule[[Helpers]:[Helpers]],tblProjectSchedule[[Start]:[Start]],"&lt;="&amp;ZK6,tblProjectSchedule[[Finish]:[Finish]],"&gt;="&amp;ZK6))</f>
        <v>0</v>
      </c>
      <c r="ZL4" s="172">
        <f>IF(WEEKDAY(ZL6,12)&gt;=6,0,SUMIFS(tblProjectSchedule[[Skilled]:[Skilled]],tblProjectSchedule[[Start]:[Start]],"&lt;="&amp;ZL6,tblProjectSchedule[[Finish]:[Finish]],"&gt;="&amp;ZL6)+SUMIFS(tblProjectSchedule[[Helpers]:[Helpers]],tblProjectSchedule[[Start]:[Start]],"&lt;="&amp;ZL6,tblProjectSchedule[[Finish]:[Finish]],"&gt;="&amp;ZL6))</f>
        <v>0</v>
      </c>
      <c r="ZM4" s="174">
        <f>IF(WEEKDAY(ZM6,12)&gt;=6,0,SUMIFS(tblProjectSchedule[[Skilled]:[Skilled]],tblProjectSchedule[[Start]:[Start]],"&lt;="&amp;ZM6,tblProjectSchedule[[Finish]:[Finish]],"&gt;="&amp;ZM6)+SUMIFS(tblProjectSchedule[[Helpers]:[Helpers]],tblProjectSchedule[[Start]:[Start]],"&lt;="&amp;ZM6,tblProjectSchedule[[Finish]:[Finish]],"&gt;="&amp;ZM6))</f>
        <v>0</v>
      </c>
      <c r="ZN4" s="173">
        <f>IF(WEEKDAY(ZN6,12)&gt;=6,0,SUMIFS(tblProjectSchedule[[Skilled]:[Skilled]],tblProjectSchedule[[Start]:[Start]],"&lt;="&amp;ZN6,tblProjectSchedule[[Finish]:[Finish]],"&gt;="&amp;ZN6)+SUMIFS(tblProjectSchedule[[Helpers]:[Helpers]],tblProjectSchedule[[Start]:[Start]],"&lt;="&amp;ZN6,tblProjectSchedule[[Finish]:[Finish]],"&gt;="&amp;ZN6))</f>
        <v>0</v>
      </c>
      <c r="ZO4" s="172">
        <f>IF(WEEKDAY(ZO6,12)&gt;=6,0,SUMIFS(tblProjectSchedule[[Skilled]:[Skilled]],tblProjectSchedule[[Start]:[Start]],"&lt;="&amp;ZO6,tblProjectSchedule[[Finish]:[Finish]],"&gt;="&amp;ZO6)+SUMIFS(tblProjectSchedule[[Helpers]:[Helpers]],tblProjectSchedule[[Start]:[Start]],"&lt;="&amp;ZO6,tblProjectSchedule[[Finish]:[Finish]],"&gt;="&amp;ZO6))</f>
        <v>0</v>
      </c>
      <c r="ZP4" s="172">
        <f>IF(WEEKDAY(ZP6,12)&gt;=6,0,SUMIFS(tblProjectSchedule[[Skilled]:[Skilled]],tblProjectSchedule[[Start]:[Start]],"&lt;="&amp;ZP6,tblProjectSchedule[[Finish]:[Finish]],"&gt;="&amp;ZP6)+SUMIFS(tblProjectSchedule[[Helpers]:[Helpers]],tblProjectSchedule[[Start]:[Start]],"&lt;="&amp;ZP6,tblProjectSchedule[[Finish]:[Finish]],"&gt;="&amp;ZP6))</f>
        <v>0</v>
      </c>
      <c r="ZQ4" s="172">
        <f>IF(WEEKDAY(ZQ6,12)&gt;=6,0,SUMIFS(tblProjectSchedule[[Skilled]:[Skilled]],tblProjectSchedule[[Start]:[Start]],"&lt;="&amp;ZQ6,tblProjectSchedule[[Finish]:[Finish]],"&gt;="&amp;ZQ6)+SUMIFS(tblProjectSchedule[[Helpers]:[Helpers]],tblProjectSchedule[[Start]:[Start]],"&lt;="&amp;ZQ6,tblProjectSchedule[[Finish]:[Finish]],"&gt;="&amp;ZQ6))</f>
        <v>0</v>
      </c>
      <c r="ZR4" s="172">
        <f>IF(WEEKDAY(ZR6,12)&gt;=6,0,SUMIFS(tblProjectSchedule[[Skilled]:[Skilled]],tblProjectSchedule[[Start]:[Start]],"&lt;="&amp;ZR6,tblProjectSchedule[[Finish]:[Finish]],"&gt;="&amp;ZR6)+SUMIFS(tblProjectSchedule[[Helpers]:[Helpers]],tblProjectSchedule[[Start]:[Start]],"&lt;="&amp;ZR6,tblProjectSchedule[[Finish]:[Finish]],"&gt;="&amp;ZR6))</f>
        <v>0</v>
      </c>
      <c r="ZS4" s="172">
        <f>IF(WEEKDAY(ZS6,12)&gt;=6,0,SUMIFS(tblProjectSchedule[[Skilled]:[Skilled]],tblProjectSchedule[[Start]:[Start]],"&lt;="&amp;ZS6,tblProjectSchedule[[Finish]:[Finish]],"&gt;="&amp;ZS6)+SUMIFS(tblProjectSchedule[[Helpers]:[Helpers]],tblProjectSchedule[[Start]:[Start]],"&lt;="&amp;ZS6,tblProjectSchedule[[Finish]:[Finish]],"&gt;="&amp;ZS6))</f>
        <v>0</v>
      </c>
      <c r="ZT4" s="174">
        <f>IF(WEEKDAY(ZT6,12)&gt;=6,0,SUMIFS(tblProjectSchedule[[Skilled]:[Skilled]],tblProjectSchedule[[Start]:[Start]],"&lt;="&amp;ZT6,tblProjectSchedule[[Finish]:[Finish]],"&gt;="&amp;ZT6)+SUMIFS(tblProjectSchedule[[Helpers]:[Helpers]],tblProjectSchedule[[Start]:[Start]],"&lt;="&amp;ZT6,tblProjectSchedule[[Finish]:[Finish]],"&gt;="&amp;ZT6))</f>
        <v>0</v>
      </c>
      <c r="ZU4" s="173">
        <f>IF(WEEKDAY(ZU6,12)&gt;=6,0,SUMIFS(tblProjectSchedule[[Skilled]:[Skilled]],tblProjectSchedule[[Start]:[Start]],"&lt;="&amp;ZU6,tblProjectSchedule[[Finish]:[Finish]],"&gt;="&amp;ZU6)+SUMIFS(tblProjectSchedule[[Helpers]:[Helpers]],tblProjectSchedule[[Start]:[Start]],"&lt;="&amp;ZU6,tblProjectSchedule[[Finish]:[Finish]],"&gt;="&amp;ZU6))</f>
        <v>0</v>
      </c>
      <c r="ZV4" s="172">
        <f>IF(WEEKDAY(ZV6,12)&gt;=6,0,SUMIFS(tblProjectSchedule[[Skilled]:[Skilled]],tblProjectSchedule[[Start]:[Start]],"&lt;="&amp;ZV6,tblProjectSchedule[[Finish]:[Finish]],"&gt;="&amp;ZV6)+SUMIFS(tblProjectSchedule[[Helpers]:[Helpers]],tblProjectSchedule[[Start]:[Start]],"&lt;="&amp;ZV6,tblProjectSchedule[[Finish]:[Finish]],"&gt;="&amp;ZV6))</f>
        <v>0</v>
      </c>
      <c r="ZW4" s="172">
        <f>IF(WEEKDAY(ZW6,12)&gt;=6,0,SUMIFS(tblProjectSchedule[[Skilled]:[Skilled]],tblProjectSchedule[[Start]:[Start]],"&lt;="&amp;ZW6,tblProjectSchedule[[Finish]:[Finish]],"&gt;="&amp;ZW6)+SUMIFS(tblProjectSchedule[[Helpers]:[Helpers]],tblProjectSchedule[[Start]:[Start]],"&lt;="&amp;ZW6,tblProjectSchedule[[Finish]:[Finish]],"&gt;="&amp;ZW6))</f>
        <v>0</v>
      </c>
      <c r="ZX4" s="172">
        <f>IF(WEEKDAY(ZX6,12)&gt;=6,0,SUMIFS(tblProjectSchedule[[Skilled]:[Skilled]],tblProjectSchedule[[Start]:[Start]],"&lt;="&amp;ZX6,tblProjectSchedule[[Finish]:[Finish]],"&gt;="&amp;ZX6)+SUMIFS(tblProjectSchedule[[Helpers]:[Helpers]],tblProjectSchedule[[Start]:[Start]],"&lt;="&amp;ZX6,tblProjectSchedule[[Finish]:[Finish]],"&gt;="&amp;ZX6))</f>
        <v>0</v>
      </c>
      <c r="ZY4" s="172">
        <f>IF(WEEKDAY(ZY6,12)&gt;=6,0,SUMIFS(tblProjectSchedule[[Skilled]:[Skilled]],tblProjectSchedule[[Start]:[Start]],"&lt;="&amp;ZY6,tblProjectSchedule[[Finish]:[Finish]],"&gt;="&amp;ZY6)+SUMIFS(tblProjectSchedule[[Helpers]:[Helpers]],tblProjectSchedule[[Start]:[Start]],"&lt;="&amp;ZY6,tblProjectSchedule[[Finish]:[Finish]],"&gt;="&amp;ZY6))</f>
        <v>0</v>
      </c>
      <c r="ZZ4" s="172">
        <f>IF(WEEKDAY(ZZ6,12)&gt;=6,0,SUMIFS(tblProjectSchedule[[Skilled]:[Skilled]],tblProjectSchedule[[Start]:[Start]],"&lt;="&amp;ZZ6,tblProjectSchedule[[Finish]:[Finish]],"&gt;="&amp;ZZ6)+SUMIFS(tblProjectSchedule[[Helpers]:[Helpers]],tblProjectSchedule[[Start]:[Start]],"&lt;="&amp;ZZ6,tblProjectSchedule[[Finish]:[Finish]],"&gt;="&amp;ZZ6))</f>
        <v>0</v>
      </c>
      <c r="AAA4" s="174">
        <f>IF(WEEKDAY(AAA6,12)&gt;=6,0,SUMIFS(tblProjectSchedule[[Skilled]:[Skilled]],tblProjectSchedule[[Start]:[Start]],"&lt;="&amp;AAA6,tblProjectSchedule[[Finish]:[Finish]],"&gt;="&amp;AAA6)+SUMIFS(tblProjectSchedule[[Helpers]:[Helpers]],tblProjectSchedule[[Start]:[Start]],"&lt;="&amp;AAA6,tblProjectSchedule[[Finish]:[Finish]],"&gt;="&amp;AAA6))</f>
        <v>0</v>
      </c>
      <c r="AAB4" s="173">
        <f>IF(WEEKDAY(AAB6,12)&gt;=6,0,SUMIFS(tblProjectSchedule[[Skilled]:[Skilled]],tblProjectSchedule[[Start]:[Start]],"&lt;="&amp;AAB6,tblProjectSchedule[[Finish]:[Finish]],"&gt;="&amp;AAB6)+SUMIFS(tblProjectSchedule[[Helpers]:[Helpers]],tblProjectSchedule[[Start]:[Start]],"&lt;="&amp;AAB6,tblProjectSchedule[[Finish]:[Finish]],"&gt;="&amp;AAB6))</f>
        <v>0</v>
      </c>
      <c r="AAC4" s="172">
        <f>IF(WEEKDAY(AAC6,12)&gt;=6,0,SUMIFS(tblProjectSchedule[[Skilled]:[Skilled]],tblProjectSchedule[[Start]:[Start]],"&lt;="&amp;AAC6,tblProjectSchedule[[Finish]:[Finish]],"&gt;="&amp;AAC6)+SUMIFS(tblProjectSchedule[[Helpers]:[Helpers]],tblProjectSchedule[[Start]:[Start]],"&lt;="&amp;AAC6,tblProjectSchedule[[Finish]:[Finish]],"&gt;="&amp;AAC6))</f>
        <v>0</v>
      </c>
      <c r="AAD4" s="172">
        <f>IF(WEEKDAY(AAD6,12)&gt;=6,0,SUMIFS(tblProjectSchedule[[Skilled]:[Skilled]],tblProjectSchedule[[Start]:[Start]],"&lt;="&amp;AAD6,tblProjectSchedule[[Finish]:[Finish]],"&gt;="&amp;AAD6)+SUMIFS(tblProjectSchedule[[Helpers]:[Helpers]],tblProjectSchedule[[Start]:[Start]],"&lt;="&amp;AAD6,tblProjectSchedule[[Finish]:[Finish]],"&gt;="&amp;AAD6))</f>
        <v>0</v>
      </c>
      <c r="AAE4" s="172">
        <f>IF(WEEKDAY(AAE6,12)&gt;=6,0,SUMIFS(tblProjectSchedule[[Skilled]:[Skilled]],tblProjectSchedule[[Start]:[Start]],"&lt;="&amp;AAE6,tblProjectSchedule[[Finish]:[Finish]],"&gt;="&amp;AAE6)+SUMIFS(tblProjectSchedule[[Helpers]:[Helpers]],tblProjectSchedule[[Start]:[Start]],"&lt;="&amp;AAE6,tblProjectSchedule[[Finish]:[Finish]],"&gt;="&amp;AAE6))</f>
        <v>0</v>
      </c>
      <c r="AAF4" s="172">
        <f>IF(WEEKDAY(AAF6,12)&gt;=6,0,SUMIFS(tblProjectSchedule[[Skilled]:[Skilled]],tblProjectSchedule[[Start]:[Start]],"&lt;="&amp;AAF6,tblProjectSchedule[[Finish]:[Finish]],"&gt;="&amp;AAF6)+SUMIFS(tblProjectSchedule[[Helpers]:[Helpers]],tblProjectSchedule[[Start]:[Start]],"&lt;="&amp;AAF6,tblProjectSchedule[[Finish]:[Finish]],"&gt;="&amp;AAF6))</f>
        <v>0</v>
      </c>
      <c r="AAG4" s="172">
        <f>IF(WEEKDAY(AAG6,12)&gt;=6,0,SUMIFS(tblProjectSchedule[[Skilled]:[Skilled]],tblProjectSchedule[[Start]:[Start]],"&lt;="&amp;AAG6,tblProjectSchedule[[Finish]:[Finish]],"&gt;="&amp;AAG6)+SUMIFS(tblProjectSchedule[[Helpers]:[Helpers]],tblProjectSchedule[[Start]:[Start]],"&lt;="&amp;AAG6,tblProjectSchedule[[Finish]:[Finish]],"&gt;="&amp;AAG6))</f>
        <v>0</v>
      </c>
      <c r="AAH4" s="174">
        <f>IF(WEEKDAY(AAH6,12)&gt;=6,0,SUMIFS(tblProjectSchedule[[Skilled]:[Skilled]],tblProjectSchedule[[Start]:[Start]],"&lt;="&amp;AAH6,tblProjectSchedule[[Finish]:[Finish]],"&gt;="&amp;AAH6)+SUMIFS(tblProjectSchedule[[Helpers]:[Helpers]],tblProjectSchedule[[Start]:[Start]],"&lt;="&amp;AAH6,tblProjectSchedule[[Finish]:[Finish]],"&gt;="&amp;AAH6))</f>
        <v>0</v>
      </c>
      <c r="AAI4" s="173">
        <f>IF(WEEKDAY(AAI6,12)&gt;=6,0,SUMIFS(tblProjectSchedule[[Skilled]:[Skilled]],tblProjectSchedule[[Start]:[Start]],"&lt;="&amp;AAI6,tblProjectSchedule[[Finish]:[Finish]],"&gt;="&amp;AAI6)+SUMIFS(tblProjectSchedule[[Helpers]:[Helpers]],tblProjectSchedule[[Start]:[Start]],"&lt;="&amp;AAI6,tblProjectSchedule[[Finish]:[Finish]],"&gt;="&amp;AAI6))</f>
        <v>0</v>
      </c>
      <c r="AAJ4" s="172">
        <f>IF(WEEKDAY(AAJ6,12)&gt;=6,0,SUMIFS(tblProjectSchedule[[Skilled]:[Skilled]],tblProjectSchedule[[Start]:[Start]],"&lt;="&amp;AAJ6,tblProjectSchedule[[Finish]:[Finish]],"&gt;="&amp;AAJ6)+SUMIFS(tblProjectSchedule[[Helpers]:[Helpers]],tblProjectSchedule[[Start]:[Start]],"&lt;="&amp;AAJ6,tblProjectSchedule[[Finish]:[Finish]],"&gt;="&amp;AAJ6))</f>
        <v>0</v>
      </c>
      <c r="AAK4" s="172">
        <f>IF(WEEKDAY(AAK6,12)&gt;=6,0,SUMIFS(tblProjectSchedule[[Skilled]:[Skilled]],tblProjectSchedule[[Start]:[Start]],"&lt;="&amp;AAK6,tblProjectSchedule[[Finish]:[Finish]],"&gt;="&amp;AAK6)+SUMIFS(tblProjectSchedule[[Helpers]:[Helpers]],tblProjectSchedule[[Start]:[Start]],"&lt;="&amp;AAK6,tblProjectSchedule[[Finish]:[Finish]],"&gt;="&amp;AAK6))</f>
        <v>0</v>
      </c>
      <c r="AAL4" s="172">
        <f>IF(WEEKDAY(AAL6,12)&gt;=6,0,SUMIFS(tblProjectSchedule[[Skilled]:[Skilled]],tblProjectSchedule[[Start]:[Start]],"&lt;="&amp;AAL6,tblProjectSchedule[[Finish]:[Finish]],"&gt;="&amp;AAL6)+SUMIFS(tblProjectSchedule[[Helpers]:[Helpers]],tblProjectSchedule[[Start]:[Start]],"&lt;="&amp;AAL6,tblProjectSchedule[[Finish]:[Finish]],"&gt;="&amp;AAL6))</f>
        <v>0</v>
      </c>
      <c r="AAM4" s="172">
        <f>IF(WEEKDAY(AAM6,12)&gt;=6,0,SUMIFS(tblProjectSchedule[[Skilled]:[Skilled]],tblProjectSchedule[[Start]:[Start]],"&lt;="&amp;AAM6,tblProjectSchedule[[Finish]:[Finish]],"&gt;="&amp;AAM6)+SUMIFS(tblProjectSchedule[[Helpers]:[Helpers]],tblProjectSchedule[[Start]:[Start]],"&lt;="&amp;AAM6,tblProjectSchedule[[Finish]:[Finish]],"&gt;="&amp;AAM6))</f>
        <v>0</v>
      </c>
      <c r="AAN4" s="172">
        <f>IF(WEEKDAY(AAN6,12)&gt;=6,0,SUMIFS(tblProjectSchedule[[Skilled]:[Skilled]],tblProjectSchedule[[Start]:[Start]],"&lt;="&amp;AAN6,tblProjectSchedule[[Finish]:[Finish]],"&gt;="&amp;AAN6)+SUMIFS(tblProjectSchedule[[Helpers]:[Helpers]],tblProjectSchedule[[Start]:[Start]],"&lt;="&amp;AAN6,tblProjectSchedule[[Finish]:[Finish]],"&gt;="&amp;AAN6))</f>
        <v>0</v>
      </c>
      <c r="AAO4" s="174">
        <f>IF(WEEKDAY(AAO6,12)&gt;=6,0,SUMIFS(tblProjectSchedule[[Skilled]:[Skilled]],tblProjectSchedule[[Start]:[Start]],"&lt;="&amp;AAO6,tblProjectSchedule[[Finish]:[Finish]],"&gt;="&amp;AAO6)+SUMIFS(tblProjectSchedule[[Helpers]:[Helpers]],tblProjectSchedule[[Start]:[Start]],"&lt;="&amp;AAO6,tblProjectSchedule[[Finish]:[Finish]],"&gt;="&amp;AAO6))</f>
        <v>0</v>
      </c>
      <c r="AAP4" s="173">
        <f>IF(WEEKDAY(AAP6,12)&gt;=6,0,SUMIFS(tblProjectSchedule[[Skilled]:[Skilled]],tblProjectSchedule[[Start]:[Start]],"&lt;="&amp;AAP6,tblProjectSchedule[[Finish]:[Finish]],"&gt;="&amp;AAP6)+SUMIFS(tblProjectSchedule[[Helpers]:[Helpers]],tblProjectSchedule[[Start]:[Start]],"&lt;="&amp;AAP6,tblProjectSchedule[[Finish]:[Finish]],"&gt;="&amp;AAP6))</f>
        <v>0</v>
      </c>
      <c r="AAQ4" s="172">
        <f>IF(WEEKDAY(AAQ6,12)&gt;=6,0,SUMIFS(tblProjectSchedule[[Skilled]:[Skilled]],tblProjectSchedule[[Start]:[Start]],"&lt;="&amp;AAQ6,tblProjectSchedule[[Finish]:[Finish]],"&gt;="&amp;AAQ6)+SUMIFS(tblProjectSchedule[[Helpers]:[Helpers]],tblProjectSchedule[[Start]:[Start]],"&lt;="&amp;AAQ6,tblProjectSchedule[[Finish]:[Finish]],"&gt;="&amp;AAQ6))</f>
        <v>0</v>
      </c>
      <c r="AAR4" s="172">
        <f>IF(WEEKDAY(AAR6,12)&gt;=6,0,SUMIFS(tblProjectSchedule[[Skilled]:[Skilled]],tblProjectSchedule[[Start]:[Start]],"&lt;="&amp;AAR6,tblProjectSchedule[[Finish]:[Finish]],"&gt;="&amp;AAR6)+SUMIFS(tblProjectSchedule[[Helpers]:[Helpers]],tblProjectSchedule[[Start]:[Start]],"&lt;="&amp;AAR6,tblProjectSchedule[[Finish]:[Finish]],"&gt;="&amp;AAR6))</f>
        <v>0</v>
      </c>
      <c r="AAS4" s="172">
        <f>IF(WEEKDAY(AAS6,12)&gt;=6,0,SUMIFS(tblProjectSchedule[[Skilled]:[Skilled]],tblProjectSchedule[[Start]:[Start]],"&lt;="&amp;AAS6,tblProjectSchedule[[Finish]:[Finish]],"&gt;="&amp;AAS6)+SUMIFS(tblProjectSchedule[[Helpers]:[Helpers]],tblProjectSchedule[[Start]:[Start]],"&lt;="&amp;AAS6,tblProjectSchedule[[Finish]:[Finish]],"&gt;="&amp;AAS6))</f>
        <v>0</v>
      </c>
      <c r="AAT4" s="172">
        <f>IF(WEEKDAY(AAT6,12)&gt;=6,0,SUMIFS(tblProjectSchedule[[Skilled]:[Skilled]],tblProjectSchedule[[Start]:[Start]],"&lt;="&amp;AAT6,tblProjectSchedule[[Finish]:[Finish]],"&gt;="&amp;AAT6)+SUMIFS(tblProjectSchedule[[Helpers]:[Helpers]],tblProjectSchedule[[Start]:[Start]],"&lt;="&amp;AAT6,tblProjectSchedule[[Finish]:[Finish]],"&gt;="&amp;AAT6))</f>
        <v>0</v>
      </c>
      <c r="AAU4" s="172">
        <f>IF(WEEKDAY(AAU6,12)&gt;=6,0,SUMIFS(tblProjectSchedule[[Skilled]:[Skilled]],tblProjectSchedule[[Start]:[Start]],"&lt;="&amp;AAU6,tblProjectSchedule[[Finish]:[Finish]],"&gt;="&amp;AAU6)+SUMIFS(tblProjectSchedule[[Helpers]:[Helpers]],tblProjectSchedule[[Start]:[Start]],"&lt;="&amp;AAU6,tblProjectSchedule[[Finish]:[Finish]],"&gt;="&amp;AAU6))</f>
        <v>0</v>
      </c>
      <c r="AAV4" s="174">
        <f>IF(WEEKDAY(AAV6,12)&gt;=6,0,SUMIFS(tblProjectSchedule[[Skilled]:[Skilled]],tblProjectSchedule[[Start]:[Start]],"&lt;="&amp;AAV6,tblProjectSchedule[[Finish]:[Finish]],"&gt;="&amp;AAV6)+SUMIFS(tblProjectSchedule[[Helpers]:[Helpers]],tblProjectSchedule[[Start]:[Start]],"&lt;="&amp;AAV6,tblProjectSchedule[[Finish]:[Finish]],"&gt;="&amp;AAV6))</f>
        <v>0</v>
      </c>
      <c r="AAW4" s="173">
        <f>IF(WEEKDAY(AAW6,12)&gt;=6,0,SUMIFS(tblProjectSchedule[[Skilled]:[Skilled]],tblProjectSchedule[[Start]:[Start]],"&lt;="&amp;AAW6,tblProjectSchedule[[Finish]:[Finish]],"&gt;="&amp;AAW6)+SUMIFS(tblProjectSchedule[[Helpers]:[Helpers]],tblProjectSchedule[[Start]:[Start]],"&lt;="&amp;AAW6,tblProjectSchedule[[Finish]:[Finish]],"&gt;="&amp;AAW6))</f>
        <v>0</v>
      </c>
      <c r="AAX4" s="172">
        <f>IF(WEEKDAY(AAX6,12)&gt;=6,0,SUMIFS(tblProjectSchedule[[Skilled]:[Skilled]],tblProjectSchedule[[Start]:[Start]],"&lt;="&amp;AAX6,tblProjectSchedule[[Finish]:[Finish]],"&gt;="&amp;AAX6)+SUMIFS(tblProjectSchedule[[Helpers]:[Helpers]],tblProjectSchedule[[Start]:[Start]],"&lt;="&amp;AAX6,tblProjectSchedule[[Finish]:[Finish]],"&gt;="&amp;AAX6))</f>
        <v>0</v>
      </c>
      <c r="AAY4" s="172">
        <f>IF(WEEKDAY(AAY6,12)&gt;=6,0,SUMIFS(tblProjectSchedule[[Skilled]:[Skilled]],tblProjectSchedule[[Start]:[Start]],"&lt;="&amp;AAY6,tblProjectSchedule[[Finish]:[Finish]],"&gt;="&amp;AAY6)+SUMIFS(tblProjectSchedule[[Helpers]:[Helpers]],tblProjectSchedule[[Start]:[Start]],"&lt;="&amp;AAY6,tblProjectSchedule[[Finish]:[Finish]],"&gt;="&amp;AAY6))</f>
        <v>0</v>
      </c>
      <c r="AAZ4" s="172">
        <f>IF(WEEKDAY(AAZ6,12)&gt;=6,0,SUMIFS(tblProjectSchedule[[Skilled]:[Skilled]],tblProjectSchedule[[Start]:[Start]],"&lt;="&amp;AAZ6,tblProjectSchedule[[Finish]:[Finish]],"&gt;="&amp;AAZ6)+SUMIFS(tblProjectSchedule[[Helpers]:[Helpers]],tblProjectSchedule[[Start]:[Start]],"&lt;="&amp;AAZ6,tblProjectSchedule[[Finish]:[Finish]],"&gt;="&amp;AAZ6))</f>
        <v>0</v>
      </c>
      <c r="ABA4" s="172">
        <f>IF(WEEKDAY(ABA6,12)&gt;=6,0,SUMIFS(tblProjectSchedule[[Skilled]:[Skilled]],tblProjectSchedule[[Start]:[Start]],"&lt;="&amp;ABA6,tblProjectSchedule[[Finish]:[Finish]],"&gt;="&amp;ABA6)+SUMIFS(tblProjectSchedule[[Helpers]:[Helpers]],tblProjectSchedule[[Start]:[Start]],"&lt;="&amp;ABA6,tblProjectSchedule[[Finish]:[Finish]],"&gt;="&amp;ABA6))</f>
        <v>0</v>
      </c>
      <c r="ABB4" s="172">
        <f>IF(WEEKDAY(ABB6,12)&gt;=6,0,SUMIFS(tblProjectSchedule[[Skilled]:[Skilled]],tblProjectSchedule[[Start]:[Start]],"&lt;="&amp;ABB6,tblProjectSchedule[[Finish]:[Finish]],"&gt;="&amp;ABB6)+SUMIFS(tblProjectSchedule[[Helpers]:[Helpers]],tblProjectSchedule[[Start]:[Start]],"&lt;="&amp;ABB6,tblProjectSchedule[[Finish]:[Finish]],"&gt;="&amp;ABB6))</f>
        <v>0</v>
      </c>
      <c r="ABC4" s="174">
        <f>IF(WEEKDAY(ABC6,12)&gt;=6,0,SUMIFS(tblProjectSchedule[[Skilled]:[Skilled]],tblProjectSchedule[[Start]:[Start]],"&lt;="&amp;ABC6,tblProjectSchedule[[Finish]:[Finish]],"&gt;="&amp;ABC6)+SUMIFS(tblProjectSchedule[[Helpers]:[Helpers]],tblProjectSchedule[[Start]:[Start]],"&lt;="&amp;ABC6,tblProjectSchedule[[Finish]:[Finish]],"&gt;="&amp;ABC6))</f>
        <v>0</v>
      </c>
      <c r="ABD4" s="173">
        <f>IF(WEEKDAY(ABD6,12)&gt;=6,0,SUMIFS(tblProjectSchedule[[Skilled]:[Skilled]],tblProjectSchedule[[Start]:[Start]],"&lt;="&amp;ABD6,tblProjectSchedule[[Finish]:[Finish]],"&gt;="&amp;ABD6)+SUMIFS(tblProjectSchedule[[Helpers]:[Helpers]],tblProjectSchedule[[Start]:[Start]],"&lt;="&amp;ABD6,tblProjectSchedule[[Finish]:[Finish]],"&gt;="&amp;ABD6))</f>
        <v>0</v>
      </c>
      <c r="ABE4" s="172">
        <f>IF(WEEKDAY(ABE6,12)&gt;=6,0,SUMIFS(tblProjectSchedule[[Skilled]:[Skilled]],tblProjectSchedule[[Start]:[Start]],"&lt;="&amp;ABE6,tblProjectSchedule[[Finish]:[Finish]],"&gt;="&amp;ABE6)+SUMIFS(tblProjectSchedule[[Helpers]:[Helpers]],tblProjectSchedule[[Start]:[Start]],"&lt;="&amp;ABE6,tblProjectSchedule[[Finish]:[Finish]],"&gt;="&amp;ABE6))</f>
        <v>0</v>
      </c>
      <c r="ABF4" s="172">
        <f>IF(WEEKDAY(ABF6,12)&gt;=6,0,SUMIFS(tblProjectSchedule[[Skilled]:[Skilled]],tblProjectSchedule[[Start]:[Start]],"&lt;="&amp;ABF6,tblProjectSchedule[[Finish]:[Finish]],"&gt;="&amp;ABF6)+SUMIFS(tblProjectSchedule[[Helpers]:[Helpers]],tblProjectSchedule[[Start]:[Start]],"&lt;="&amp;ABF6,tblProjectSchedule[[Finish]:[Finish]],"&gt;="&amp;ABF6))</f>
        <v>0</v>
      </c>
      <c r="ABG4" s="172">
        <f>IF(WEEKDAY(ABG6,12)&gt;=6,0,SUMIFS(tblProjectSchedule[[Skilled]:[Skilled]],tblProjectSchedule[[Start]:[Start]],"&lt;="&amp;ABG6,tblProjectSchedule[[Finish]:[Finish]],"&gt;="&amp;ABG6)+SUMIFS(tblProjectSchedule[[Helpers]:[Helpers]],tblProjectSchedule[[Start]:[Start]],"&lt;="&amp;ABG6,tblProjectSchedule[[Finish]:[Finish]],"&gt;="&amp;ABG6))</f>
        <v>0</v>
      </c>
      <c r="ABH4" s="172">
        <f>IF(WEEKDAY(ABH6,12)&gt;=6,0,SUMIFS(tblProjectSchedule[[Skilled]:[Skilled]],tblProjectSchedule[[Start]:[Start]],"&lt;="&amp;ABH6,tblProjectSchedule[[Finish]:[Finish]],"&gt;="&amp;ABH6)+SUMIFS(tblProjectSchedule[[Helpers]:[Helpers]],tblProjectSchedule[[Start]:[Start]],"&lt;="&amp;ABH6,tblProjectSchedule[[Finish]:[Finish]],"&gt;="&amp;ABH6))</f>
        <v>0</v>
      </c>
      <c r="ABI4" s="172">
        <f>IF(WEEKDAY(ABI6,12)&gt;=6,0,SUMIFS(tblProjectSchedule[[Skilled]:[Skilled]],tblProjectSchedule[[Start]:[Start]],"&lt;="&amp;ABI6,tblProjectSchedule[[Finish]:[Finish]],"&gt;="&amp;ABI6)+SUMIFS(tblProjectSchedule[[Helpers]:[Helpers]],tblProjectSchedule[[Start]:[Start]],"&lt;="&amp;ABI6,tblProjectSchedule[[Finish]:[Finish]],"&gt;="&amp;ABI6))</f>
        <v>0</v>
      </c>
      <c r="ABJ4" s="174">
        <f>IF(WEEKDAY(ABJ6,12)&gt;=6,0,SUMIFS(tblProjectSchedule[[Skilled]:[Skilled]],tblProjectSchedule[[Start]:[Start]],"&lt;="&amp;ABJ6,tblProjectSchedule[[Finish]:[Finish]],"&gt;="&amp;ABJ6)+SUMIFS(tblProjectSchedule[[Helpers]:[Helpers]],tblProjectSchedule[[Start]:[Start]],"&lt;="&amp;ABJ6,tblProjectSchedule[[Finish]:[Finish]],"&gt;="&amp;ABJ6))</f>
        <v>0</v>
      </c>
      <c r="ABK4" s="173">
        <f>IF(WEEKDAY(ABK6,12)&gt;=6,0,SUMIFS(tblProjectSchedule[[Skilled]:[Skilled]],tblProjectSchedule[[Start]:[Start]],"&lt;="&amp;ABK6,tblProjectSchedule[[Finish]:[Finish]],"&gt;="&amp;ABK6)+SUMIFS(tblProjectSchedule[[Helpers]:[Helpers]],tblProjectSchedule[[Start]:[Start]],"&lt;="&amp;ABK6,tblProjectSchedule[[Finish]:[Finish]],"&gt;="&amp;ABK6))</f>
        <v>0</v>
      </c>
      <c r="ABL4" s="172">
        <f>IF(WEEKDAY(ABL6,12)&gt;=6,0,SUMIFS(tblProjectSchedule[[Skilled]:[Skilled]],tblProjectSchedule[[Start]:[Start]],"&lt;="&amp;ABL6,tblProjectSchedule[[Finish]:[Finish]],"&gt;="&amp;ABL6)+SUMIFS(tblProjectSchedule[[Helpers]:[Helpers]],tblProjectSchedule[[Start]:[Start]],"&lt;="&amp;ABL6,tblProjectSchedule[[Finish]:[Finish]],"&gt;="&amp;ABL6))</f>
        <v>0</v>
      </c>
      <c r="ABM4" s="172">
        <f>IF(WEEKDAY(ABM6,12)&gt;=6,0,SUMIFS(tblProjectSchedule[[Skilled]:[Skilled]],tblProjectSchedule[[Start]:[Start]],"&lt;="&amp;ABM6,tblProjectSchedule[[Finish]:[Finish]],"&gt;="&amp;ABM6)+SUMIFS(tblProjectSchedule[[Helpers]:[Helpers]],tblProjectSchedule[[Start]:[Start]],"&lt;="&amp;ABM6,tblProjectSchedule[[Finish]:[Finish]],"&gt;="&amp;ABM6))</f>
        <v>0</v>
      </c>
      <c r="ABN4" s="172">
        <f>IF(WEEKDAY(ABN6,12)&gt;=6,0,SUMIFS(tblProjectSchedule[[Skilled]:[Skilled]],tblProjectSchedule[[Start]:[Start]],"&lt;="&amp;ABN6,tblProjectSchedule[[Finish]:[Finish]],"&gt;="&amp;ABN6)+SUMIFS(tblProjectSchedule[[Helpers]:[Helpers]],tblProjectSchedule[[Start]:[Start]],"&lt;="&amp;ABN6,tblProjectSchedule[[Finish]:[Finish]],"&gt;="&amp;ABN6))</f>
        <v>0</v>
      </c>
      <c r="ABO4" s="172">
        <f>IF(WEEKDAY(ABO6,12)&gt;=6,0,SUMIFS(tblProjectSchedule[[Skilled]:[Skilled]],tblProjectSchedule[[Start]:[Start]],"&lt;="&amp;ABO6,tblProjectSchedule[[Finish]:[Finish]],"&gt;="&amp;ABO6)+SUMIFS(tblProjectSchedule[[Helpers]:[Helpers]],tblProjectSchedule[[Start]:[Start]],"&lt;="&amp;ABO6,tblProjectSchedule[[Finish]:[Finish]],"&gt;="&amp;ABO6))</f>
        <v>0</v>
      </c>
      <c r="ABP4" s="172">
        <f>IF(WEEKDAY(ABP6,12)&gt;=6,0,SUMIFS(tblProjectSchedule[[Skilled]:[Skilled]],tblProjectSchedule[[Start]:[Start]],"&lt;="&amp;ABP6,tblProjectSchedule[[Finish]:[Finish]],"&gt;="&amp;ABP6)+SUMIFS(tblProjectSchedule[[Helpers]:[Helpers]],tblProjectSchedule[[Start]:[Start]],"&lt;="&amp;ABP6,tblProjectSchedule[[Finish]:[Finish]],"&gt;="&amp;ABP6))</f>
        <v>0</v>
      </c>
      <c r="ABQ4" s="174">
        <f>IF(WEEKDAY(ABQ6,12)&gt;=6,0,SUMIFS(tblProjectSchedule[[Skilled]:[Skilled]],tblProjectSchedule[[Start]:[Start]],"&lt;="&amp;ABQ6,tblProjectSchedule[[Finish]:[Finish]],"&gt;="&amp;ABQ6)+SUMIFS(tblProjectSchedule[[Helpers]:[Helpers]],tblProjectSchedule[[Start]:[Start]],"&lt;="&amp;ABQ6,tblProjectSchedule[[Finish]:[Finish]],"&gt;="&amp;ABQ6))</f>
        <v>0</v>
      </c>
      <c r="ABR4" s="173">
        <f>IF(WEEKDAY(ABR6,12)&gt;=6,0,SUMIFS(tblProjectSchedule[[Skilled]:[Skilled]],tblProjectSchedule[[Start]:[Start]],"&lt;="&amp;ABR6,tblProjectSchedule[[Finish]:[Finish]],"&gt;="&amp;ABR6)+SUMIFS(tblProjectSchedule[[Helpers]:[Helpers]],tblProjectSchedule[[Start]:[Start]],"&lt;="&amp;ABR6,tblProjectSchedule[[Finish]:[Finish]],"&gt;="&amp;ABR6))</f>
        <v>0</v>
      </c>
      <c r="ABS4" s="172">
        <f>IF(WEEKDAY(ABS6,12)&gt;=6,0,SUMIFS(tblProjectSchedule[[Skilled]:[Skilled]],tblProjectSchedule[[Start]:[Start]],"&lt;="&amp;ABS6,tblProjectSchedule[[Finish]:[Finish]],"&gt;="&amp;ABS6)+SUMIFS(tblProjectSchedule[[Helpers]:[Helpers]],tblProjectSchedule[[Start]:[Start]],"&lt;="&amp;ABS6,tblProjectSchedule[[Finish]:[Finish]],"&gt;="&amp;ABS6))</f>
        <v>0</v>
      </c>
      <c r="ABT4" s="172">
        <f>IF(WEEKDAY(ABT6,12)&gt;=6,0,SUMIFS(tblProjectSchedule[[Skilled]:[Skilled]],tblProjectSchedule[[Start]:[Start]],"&lt;="&amp;ABT6,tblProjectSchedule[[Finish]:[Finish]],"&gt;="&amp;ABT6)+SUMIFS(tblProjectSchedule[[Helpers]:[Helpers]],tblProjectSchedule[[Start]:[Start]],"&lt;="&amp;ABT6,tblProjectSchedule[[Finish]:[Finish]],"&gt;="&amp;ABT6))</f>
        <v>0</v>
      </c>
      <c r="ABU4" s="172">
        <f>IF(WEEKDAY(ABU6,12)&gt;=6,0,SUMIFS(tblProjectSchedule[[Skilled]:[Skilled]],tblProjectSchedule[[Start]:[Start]],"&lt;="&amp;ABU6,tblProjectSchedule[[Finish]:[Finish]],"&gt;="&amp;ABU6)+SUMIFS(tblProjectSchedule[[Helpers]:[Helpers]],tblProjectSchedule[[Start]:[Start]],"&lt;="&amp;ABU6,tblProjectSchedule[[Finish]:[Finish]],"&gt;="&amp;ABU6))</f>
        <v>0</v>
      </c>
      <c r="ABV4" s="172">
        <f>IF(WEEKDAY(ABV6,12)&gt;=6,0,SUMIFS(tblProjectSchedule[[Skilled]:[Skilled]],tblProjectSchedule[[Start]:[Start]],"&lt;="&amp;ABV6,tblProjectSchedule[[Finish]:[Finish]],"&gt;="&amp;ABV6)+SUMIFS(tblProjectSchedule[[Helpers]:[Helpers]],tblProjectSchedule[[Start]:[Start]],"&lt;="&amp;ABV6,tblProjectSchedule[[Finish]:[Finish]],"&gt;="&amp;ABV6))</f>
        <v>0</v>
      </c>
      <c r="ABW4" s="172">
        <f>IF(WEEKDAY(ABW6,12)&gt;=6,0,SUMIFS(tblProjectSchedule[[Skilled]:[Skilled]],tblProjectSchedule[[Start]:[Start]],"&lt;="&amp;ABW6,tblProjectSchedule[[Finish]:[Finish]],"&gt;="&amp;ABW6)+SUMIFS(tblProjectSchedule[[Helpers]:[Helpers]],tblProjectSchedule[[Start]:[Start]],"&lt;="&amp;ABW6,tblProjectSchedule[[Finish]:[Finish]],"&gt;="&amp;ABW6))</f>
        <v>0</v>
      </c>
      <c r="ABX4" s="174">
        <f>IF(WEEKDAY(ABX6,12)&gt;=6,0,SUMIFS(tblProjectSchedule[[Skilled]:[Skilled]],tblProjectSchedule[[Start]:[Start]],"&lt;="&amp;ABX6,tblProjectSchedule[[Finish]:[Finish]],"&gt;="&amp;ABX6)+SUMIFS(tblProjectSchedule[[Helpers]:[Helpers]],tblProjectSchedule[[Start]:[Start]],"&lt;="&amp;ABX6,tblProjectSchedule[[Finish]:[Finish]],"&gt;="&amp;ABX6))</f>
        <v>0</v>
      </c>
      <c r="ABY4" s="173">
        <f>IF(WEEKDAY(ABY6,12)&gt;=6,0,SUMIFS(tblProjectSchedule[[Skilled]:[Skilled]],tblProjectSchedule[[Start]:[Start]],"&lt;="&amp;ABY6,tblProjectSchedule[[Finish]:[Finish]],"&gt;="&amp;ABY6)+SUMIFS(tblProjectSchedule[[Helpers]:[Helpers]],tblProjectSchedule[[Start]:[Start]],"&lt;="&amp;ABY6,tblProjectSchedule[[Finish]:[Finish]],"&gt;="&amp;ABY6))</f>
        <v>0</v>
      </c>
      <c r="ABZ4" s="172">
        <f>IF(WEEKDAY(ABZ6,12)&gt;=6,0,SUMIFS(tblProjectSchedule[[Skilled]:[Skilled]],tblProjectSchedule[[Start]:[Start]],"&lt;="&amp;ABZ6,tblProjectSchedule[[Finish]:[Finish]],"&gt;="&amp;ABZ6)+SUMIFS(tblProjectSchedule[[Helpers]:[Helpers]],tblProjectSchedule[[Start]:[Start]],"&lt;="&amp;ABZ6,tblProjectSchedule[[Finish]:[Finish]],"&gt;="&amp;ABZ6))</f>
        <v>0</v>
      </c>
      <c r="ACA4" s="172">
        <f>IF(WEEKDAY(ACA6,12)&gt;=6,0,SUMIFS(tblProjectSchedule[[Skilled]:[Skilled]],tblProjectSchedule[[Start]:[Start]],"&lt;="&amp;ACA6,tblProjectSchedule[[Finish]:[Finish]],"&gt;="&amp;ACA6)+SUMIFS(tblProjectSchedule[[Helpers]:[Helpers]],tblProjectSchedule[[Start]:[Start]],"&lt;="&amp;ACA6,tblProjectSchedule[[Finish]:[Finish]],"&gt;="&amp;ACA6))</f>
        <v>0</v>
      </c>
      <c r="ACB4" s="172">
        <f>IF(WEEKDAY(ACB6,12)&gt;=6,0,SUMIFS(tblProjectSchedule[[Skilled]:[Skilled]],tblProjectSchedule[[Start]:[Start]],"&lt;="&amp;ACB6,tblProjectSchedule[[Finish]:[Finish]],"&gt;="&amp;ACB6)+SUMIFS(tblProjectSchedule[[Helpers]:[Helpers]],tblProjectSchedule[[Start]:[Start]],"&lt;="&amp;ACB6,tblProjectSchedule[[Finish]:[Finish]],"&gt;="&amp;ACB6))</f>
        <v>0</v>
      </c>
      <c r="ACC4" s="172">
        <f>IF(WEEKDAY(ACC6,12)&gt;=6,0,SUMIFS(tblProjectSchedule[[Skilled]:[Skilled]],tblProjectSchedule[[Start]:[Start]],"&lt;="&amp;ACC6,tblProjectSchedule[[Finish]:[Finish]],"&gt;="&amp;ACC6)+SUMIFS(tblProjectSchedule[[Helpers]:[Helpers]],tblProjectSchedule[[Start]:[Start]],"&lt;="&amp;ACC6,tblProjectSchedule[[Finish]:[Finish]],"&gt;="&amp;ACC6))</f>
        <v>0</v>
      </c>
      <c r="ACD4" s="172">
        <f>IF(WEEKDAY(ACD6,12)&gt;=6,0,SUMIFS(tblProjectSchedule[[Skilled]:[Skilled]],tblProjectSchedule[[Start]:[Start]],"&lt;="&amp;ACD6,tblProjectSchedule[[Finish]:[Finish]],"&gt;="&amp;ACD6)+SUMIFS(tblProjectSchedule[[Helpers]:[Helpers]],tblProjectSchedule[[Start]:[Start]],"&lt;="&amp;ACD6,tblProjectSchedule[[Finish]:[Finish]],"&gt;="&amp;ACD6))</f>
        <v>0</v>
      </c>
      <c r="ACE4" s="174">
        <f>IF(WEEKDAY(ACE6,12)&gt;=6,0,SUMIFS(tblProjectSchedule[[Skilled]:[Skilled]],tblProjectSchedule[[Start]:[Start]],"&lt;="&amp;ACE6,tblProjectSchedule[[Finish]:[Finish]],"&gt;="&amp;ACE6)+SUMIFS(tblProjectSchedule[[Helpers]:[Helpers]],tblProjectSchedule[[Start]:[Start]],"&lt;="&amp;ACE6,tblProjectSchedule[[Finish]:[Finish]],"&gt;="&amp;ACE6))</f>
        <v>0</v>
      </c>
      <c r="ACF4" s="173">
        <f>IF(WEEKDAY(ACF6,12)&gt;=6,0,SUMIFS(tblProjectSchedule[[Skilled]:[Skilled]],tblProjectSchedule[[Start]:[Start]],"&lt;="&amp;ACF6,tblProjectSchedule[[Finish]:[Finish]],"&gt;="&amp;ACF6)+SUMIFS(tblProjectSchedule[[Helpers]:[Helpers]],tblProjectSchedule[[Start]:[Start]],"&lt;="&amp;ACF6,tblProjectSchedule[[Finish]:[Finish]],"&gt;="&amp;ACF6))</f>
        <v>0</v>
      </c>
      <c r="ACG4" s="172">
        <f>IF(WEEKDAY(ACG6,12)&gt;=6,0,SUMIFS(tblProjectSchedule[[Skilled]:[Skilled]],tblProjectSchedule[[Start]:[Start]],"&lt;="&amp;ACG6,tblProjectSchedule[[Finish]:[Finish]],"&gt;="&amp;ACG6)+SUMIFS(tblProjectSchedule[[Helpers]:[Helpers]],tblProjectSchedule[[Start]:[Start]],"&lt;="&amp;ACG6,tblProjectSchedule[[Finish]:[Finish]],"&gt;="&amp;ACG6))</f>
        <v>0</v>
      </c>
      <c r="ACH4" s="172">
        <f>IF(WEEKDAY(ACH6,12)&gt;=6,0,SUMIFS(tblProjectSchedule[[Skilled]:[Skilled]],tblProjectSchedule[[Start]:[Start]],"&lt;="&amp;ACH6,tblProjectSchedule[[Finish]:[Finish]],"&gt;="&amp;ACH6)+SUMIFS(tblProjectSchedule[[Helpers]:[Helpers]],tblProjectSchedule[[Start]:[Start]],"&lt;="&amp;ACH6,tblProjectSchedule[[Finish]:[Finish]],"&gt;="&amp;ACH6))</f>
        <v>0</v>
      </c>
      <c r="ACI4" s="172">
        <f>IF(WEEKDAY(ACI6,12)&gt;=6,0,SUMIFS(tblProjectSchedule[[Skilled]:[Skilled]],tblProjectSchedule[[Start]:[Start]],"&lt;="&amp;ACI6,tblProjectSchedule[[Finish]:[Finish]],"&gt;="&amp;ACI6)+SUMIFS(tblProjectSchedule[[Helpers]:[Helpers]],tblProjectSchedule[[Start]:[Start]],"&lt;="&amp;ACI6,tblProjectSchedule[[Finish]:[Finish]],"&gt;="&amp;ACI6))</f>
        <v>0</v>
      </c>
      <c r="ACJ4" s="172">
        <f>IF(WEEKDAY(ACJ6,12)&gt;=6,0,SUMIFS(tblProjectSchedule[[Skilled]:[Skilled]],tblProjectSchedule[[Start]:[Start]],"&lt;="&amp;ACJ6,tblProjectSchedule[[Finish]:[Finish]],"&gt;="&amp;ACJ6)+SUMIFS(tblProjectSchedule[[Helpers]:[Helpers]],tblProjectSchedule[[Start]:[Start]],"&lt;="&amp;ACJ6,tblProjectSchedule[[Finish]:[Finish]],"&gt;="&amp;ACJ6))</f>
        <v>0</v>
      </c>
      <c r="ACK4" s="172">
        <f>IF(WEEKDAY(ACK6,12)&gt;=6,0,SUMIFS(tblProjectSchedule[[Skilled]:[Skilled]],tblProjectSchedule[[Start]:[Start]],"&lt;="&amp;ACK6,tblProjectSchedule[[Finish]:[Finish]],"&gt;="&amp;ACK6)+SUMIFS(tblProjectSchedule[[Helpers]:[Helpers]],tblProjectSchedule[[Start]:[Start]],"&lt;="&amp;ACK6,tblProjectSchedule[[Finish]:[Finish]],"&gt;="&amp;ACK6))</f>
        <v>0</v>
      </c>
      <c r="ACL4" s="174">
        <f>IF(WEEKDAY(ACL6,12)&gt;=6,0,SUMIFS(tblProjectSchedule[[Skilled]:[Skilled]],tblProjectSchedule[[Start]:[Start]],"&lt;="&amp;ACL6,tblProjectSchedule[[Finish]:[Finish]],"&gt;="&amp;ACL6)+SUMIFS(tblProjectSchedule[[Helpers]:[Helpers]],tblProjectSchedule[[Start]:[Start]],"&lt;="&amp;ACL6,tblProjectSchedule[[Finish]:[Finish]],"&gt;="&amp;ACL6))</f>
        <v>0</v>
      </c>
      <c r="ACM4" s="173">
        <f>IF(WEEKDAY(ACM6,12)&gt;=6,0,SUMIFS(tblProjectSchedule[[Skilled]:[Skilled]],tblProjectSchedule[[Start]:[Start]],"&lt;="&amp;ACM6,tblProjectSchedule[[Finish]:[Finish]],"&gt;="&amp;ACM6)+SUMIFS(tblProjectSchedule[[Helpers]:[Helpers]],tblProjectSchedule[[Start]:[Start]],"&lt;="&amp;ACM6,tblProjectSchedule[[Finish]:[Finish]],"&gt;="&amp;ACM6))</f>
        <v>0</v>
      </c>
      <c r="ACN4" s="172">
        <f>IF(WEEKDAY(ACN6,12)&gt;=6,0,SUMIFS(tblProjectSchedule[[Skilled]:[Skilled]],tblProjectSchedule[[Start]:[Start]],"&lt;="&amp;ACN6,tblProjectSchedule[[Finish]:[Finish]],"&gt;="&amp;ACN6)+SUMIFS(tblProjectSchedule[[Helpers]:[Helpers]],tblProjectSchedule[[Start]:[Start]],"&lt;="&amp;ACN6,tblProjectSchedule[[Finish]:[Finish]],"&gt;="&amp;ACN6))</f>
        <v>0</v>
      </c>
      <c r="ACO4" s="172">
        <f>IF(WEEKDAY(ACO6,12)&gt;=6,0,SUMIFS(tblProjectSchedule[[Skilled]:[Skilled]],tblProjectSchedule[[Start]:[Start]],"&lt;="&amp;ACO6,tblProjectSchedule[[Finish]:[Finish]],"&gt;="&amp;ACO6)+SUMIFS(tblProjectSchedule[[Helpers]:[Helpers]],tblProjectSchedule[[Start]:[Start]],"&lt;="&amp;ACO6,tblProjectSchedule[[Finish]:[Finish]],"&gt;="&amp;ACO6))</f>
        <v>0</v>
      </c>
      <c r="ACP4" s="172">
        <f>IF(WEEKDAY(ACP6,12)&gt;=6,0,SUMIFS(tblProjectSchedule[[Skilled]:[Skilled]],tblProjectSchedule[[Start]:[Start]],"&lt;="&amp;ACP6,tblProjectSchedule[[Finish]:[Finish]],"&gt;="&amp;ACP6)+SUMIFS(tblProjectSchedule[[Helpers]:[Helpers]],tblProjectSchedule[[Start]:[Start]],"&lt;="&amp;ACP6,tblProjectSchedule[[Finish]:[Finish]],"&gt;="&amp;ACP6))</f>
        <v>0</v>
      </c>
      <c r="ACQ4" s="172">
        <f>IF(WEEKDAY(ACQ6,12)&gt;=6,0,SUMIFS(tblProjectSchedule[[Skilled]:[Skilled]],tblProjectSchedule[[Start]:[Start]],"&lt;="&amp;ACQ6,tblProjectSchedule[[Finish]:[Finish]],"&gt;="&amp;ACQ6)+SUMIFS(tblProjectSchedule[[Helpers]:[Helpers]],tblProjectSchedule[[Start]:[Start]],"&lt;="&amp;ACQ6,tblProjectSchedule[[Finish]:[Finish]],"&gt;="&amp;ACQ6))</f>
        <v>0</v>
      </c>
      <c r="ACR4" s="172">
        <f>IF(WEEKDAY(ACR6,12)&gt;=6,0,SUMIFS(tblProjectSchedule[[Skilled]:[Skilled]],tblProjectSchedule[[Start]:[Start]],"&lt;="&amp;ACR6,tblProjectSchedule[[Finish]:[Finish]],"&gt;="&amp;ACR6)+SUMIFS(tblProjectSchedule[[Helpers]:[Helpers]],tblProjectSchedule[[Start]:[Start]],"&lt;="&amp;ACR6,tblProjectSchedule[[Finish]:[Finish]],"&gt;="&amp;ACR6))</f>
        <v>0</v>
      </c>
      <c r="ACS4" s="174">
        <f>IF(WEEKDAY(ACS6,12)&gt;=6,0,SUMIFS(tblProjectSchedule[[Skilled]:[Skilled]],tblProjectSchedule[[Start]:[Start]],"&lt;="&amp;ACS6,tblProjectSchedule[[Finish]:[Finish]],"&gt;="&amp;ACS6)+SUMIFS(tblProjectSchedule[[Helpers]:[Helpers]],tblProjectSchedule[[Start]:[Start]],"&lt;="&amp;ACS6,tblProjectSchedule[[Finish]:[Finish]],"&gt;="&amp;ACS6))</f>
        <v>0</v>
      </c>
      <c r="ACT4" s="173">
        <f>IF(WEEKDAY(ACT6,12)&gt;=6,0,SUMIFS(tblProjectSchedule[[Skilled]:[Skilled]],tblProjectSchedule[[Start]:[Start]],"&lt;="&amp;ACT6,tblProjectSchedule[[Finish]:[Finish]],"&gt;="&amp;ACT6)+SUMIFS(tblProjectSchedule[[Helpers]:[Helpers]],tblProjectSchedule[[Start]:[Start]],"&lt;="&amp;ACT6,tblProjectSchedule[[Finish]:[Finish]],"&gt;="&amp;ACT6))</f>
        <v>0</v>
      </c>
      <c r="ACU4" s="172">
        <f>IF(WEEKDAY(ACU6,12)&gt;=6,0,SUMIFS(tblProjectSchedule[[Skilled]:[Skilled]],tblProjectSchedule[[Start]:[Start]],"&lt;="&amp;ACU6,tblProjectSchedule[[Finish]:[Finish]],"&gt;="&amp;ACU6)+SUMIFS(tblProjectSchedule[[Helpers]:[Helpers]],tblProjectSchedule[[Start]:[Start]],"&lt;="&amp;ACU6,tblProjectSchedule[[Finish]:[Finish]],"&gt;="&amp;ACU6))</f>
        <v>0</v>
      </c>
      <c r="ACV4" s="172">
        <f>IF(WEEKDAY(ACV6,12)&gt;=6,0,SUMIFS(tblProjectSchedule[[Skilled]:[Skilled]],tblProjectSchedule[[Start]:[Start]],"&lt;="&amp;ACV6,tblProjectSchedule[[Finish]:[Finish]],"&gt;="&amp;ACV6)+SUMIFS(tblProjectSchedule[[Helpers]:[Helpers]],tblProjectSchedule[[Start]:[Start]],"&lt;="&amp;ACV6,tblProjectSchedule[[Finish]:[Finish]],"&gt;="&amp;ACV6))</f>
        <v>0</v>
      </c>
      <c r="ACW4" s="172">
        <f>IF(WEEKDAY(ACW6,12)&gt;=6,0,SUMIFS(tblProjectSchedule[[Skilled]:[Skilled]],tblProjectSchedule[[Start]:[Start]],"&lt;="&amp;ACW6,tblProjectSchedule[[Finish]:[Finish]],"&gt;="&amp;ACW6)+SUMIFS(tblProjectSchedule[[Helpers]:[Helpers]],tblProjectSchedule[[Start]:[Start]],"&lt;="&amp;ACW6,tblProjectSchedule[[Finish]:[Finish]],"&gt;="&amp;ACW6))</f>
        <v>0</v>
      </c>
      <c r="ACX4" s="172">
        <f>IF(WEEKDAY(ACX6,12)&gt;=6,0,SUMIFS(tblProjectSchedule[[Skilled]:[Skilled]],tblProjectSchedule[[Start]:[Start]],"&lt;="&amp;ACX6,tblProjectSchedule[[Finish]:[Finish]],"&gt;="&amp;ACX6)+SUMIFS(tblProjectSchedule[[Helpers]:[Helpers]],tblProjectSchedule[[Start]:[Start]],"&lt;="&amp;ACX6,tblProjectSchedule[[Finish]:[Finish]],"&gt;="&amp;ACX6))</f>
        <v>0</v>
      </c>
      <c r="ACY4" s="172">
        <f>IF(WEEKDAY(ACY6,12)&gt;=6,0,SUMIFS(tblProjectSchedule[[Skilled]:[Skilled]],tblProjectSchedule[[Start]:[Start]],"&lt;="&amp;ACY6,tblProjectSchedule[[Finish]:[Finish]],"&gt;="&amp;ACY6)+SUMIFS(tblProjectSchedule[[Helpers]:[Helpers]],tblProjectSchedule[[Start]:[Start]],"&lt;="&amp;ACY6,tblProjectSchedule[[Finish]:[Finish]],"&gt;="&amp;ACY6))</f>
        <v>0</v>
      </c>
      <c r="ACZ4" s="174">
        <f>IF(WEEKDAY(ACZ6,12)&gt;=6,0,SUMIFS(tblProjectSchedule[[Skilled]:[Skilled]],tblProjectSchedule[[Start]:[Start]],"&lt;="&amp;ACZ6,tblProjectSchedule[[Finish]:[Finish]],"&gt;="&amp;ACZ6)+SUMIFS(tblProjectSchedule[[Helpers]:[Helpers]],tblProjectSchedule[[Start]:[Start]],"&lt;="&amp;ACZ6,tblProjectSchedule[[Finish]:[Finish]],"&gt;="&amp;ACZ6))</f>
        <v>0</v>
      </c>
      <c r="ADA4" s="173">
        <f>IF(WEEKDAY(ADA6,12)&gt;=6,0,SUMIFS(tblProjectSchedule[[Skilled]:[Skilled]],tblProjectSchedule[[Start]:[Start]],"&lt;="&amp;ADA6,tblProjectSchedule[[Finish]:[Finish]],"&gt;="&amp;ADA6)+SUMIFS(tblProjectSchedule[[Helpers]:[Helpers]],tblProjectSchedule[[Start]:[Start]],"&lt;="&amp;ADA6,tblProjectSchedule[[Finish]:[Finish]],"&gt;="&amp;ADA6))</f>
        <v>0</v>
      </c>
      <c r="ADB4" s="172">
        <f>IF(WEEKDAY(ADB6,12)&gt;=6,0,SUMIFS(tblProjectSchedule[[Skilled]:[Skilled]],tblProjectSchedule[[Start]:[Start]],"&lt;="&amp;ADB6,tblProjectSchedule[[Finish]:[Finish]],"&gt;="&amp;ADB6)+SUMIFS(tblProjectSchedule[[Helpers]:[Helpers]],tblProjectSchedule[[Start]:[Start]],"&lt;="&amp;ADB6,tblProjectSchedule[[Finish]:[Finish]],"&gt;="&amp;ADB6))</f>
        <v>0</v>
      </c>
      <c r="ADC4" s="172">
        <f>IF(WEEKDAY(ADC6,12)&gt;=6,0,SUMIFS(tblProjectSchedule[[Skilled]:[Skilled]],tblProjectSchedule[[Start]:[Start]],"&lt;="&amp;ADC6,tblProjectSchedule[[Finish]:[Finish]],"&gt;="&amp;ADC6)+SUMIFS(tblProjectSchedule[[Helpers]:[Helpers]],tblProjectSchedule[[Start]:[Start]],"&lt;="&amp;ADC6,tblProjectSchedule[[Finish]:[Finish]],"&gt;="&amp;ADC6))</f>
        <v>0</v>
      </c>
      <c r="ADD4" s="172">
        <f>IF(WEEKDAY(ADD6,12)&gt;=6,0,SUMIFS(tblProjectSchedule[[Skilled]:[Skilled]],tblProjectSchedule[[Start]:[Start]],"&lt;="&amp;ADD6,tblProjectSchedule[[Finish]:[Finish]],"&gt;="&amp;ADD6)+SUMIFS(tblProjectSchedule[[Helpers]:[Helpers]],tblProjectSchedule[[Start]:[Start]],"&lt;="&amp;ADD6,tblProjectSchedule[[Finish]:[Finish]],"&gt;="&amp;ADD6))</f>
        <v>0</v>
      </c>
      <c r="ADE4" s="172">
        <f>IF(WEEKDAY(ADE6,12)&gt;=6,0,SUMIFS(tblProjectSchedule[[Skilled]:[Skilled]],tblProjectSchedule[[Start]:[Start]],"&lt;="&amp;ADE6,tblProjectSchedule[[Finish]:[Finish]],"&gt;="&amp;ADE6)+SUMIFS(tblProjectSchedule[[Helpers]:[Helpers]],tblProjectSchedule[[Start]:[Start]],"&lt;="&amp;ADE6,tblProjectSchedule[[Finish]:[Finish]],"&gt;="&amp;ADE6))</f>
        <v>0</v>
      </c>
      <c r="ADF4" s="172">
        <f>IF(WEEKDAY(ADF6,12)&gt;=6,0,SUMIFS(tblProjectSchedule[[Skilled]:[Skilled]],tblProjectSchedule[[Start]:[Start]],"&lt;="&amp;ADF6,tblProjectSchedule[[Finish]:[Finish]],"&gt;="&amp;ADF6)+SUMIFS(tblProjectSchedule[[Helpers]:[Helpers]],tblProjectSchedule[[Start]:[Start]],"&lt;="&amp;ADF6,tblProjectSchedule[[Finish]:[Finish]],"&gt;="&amp;ADF6))</f>
        <v>0</v>
      </c>
      <c r="ADG4" s="174">
        <f>IF(WEEKDAY(ADG6,12)&gt;=6,0,SUMIFS(tblProjectSchedule[[Skilled]:[Skilled]],tblProjectSchedule[[Start]:[Start]],"&lt;="&amp;ADG6,tblProjectSchedule[[Finish]:[Finish]],"&gt;="&amp;ADG6)+SUMIFS(tblProjectSchedule[[Helpers]:[Helpers]],tblProjectSchedule[[Start]:[Start]],"&lt;="&amp;ADG6,tblProjectSchedule[[Finish]:[Finish]],"&gt;="&amp;ADG6))</f>
        <v>0</v>
      </c>
      <c r="ADH4" s="173">
        <f>IF(WEEKDAY(ADH6,12)&gt;=6,0,SUMIFS(tblProjectSchedule[[Skilled]:[Skilled]],tblProjectSchedule[[Start]:[Start]],"&lt;="&amp;ADH6,tblProjectSchedule[[Finish]:[Finish]],"&gt;="&amp;ADH6)+SUMIFS(tblProjectSchedule[[Helpers]:[Helpers]],tblProjectSchedule[[Start]:[Start]],"&lt;="&amp;ADH6,tblProjectSchedule[[Finish]:[Finish]],"&gt;="&amp;ADH6))</f>
        <v>0</v>
      </c>
      <c r="ADI4" s="172">
        <f>IF(WEEKDAY(ADI6,12)&gt;=6,0,SUMIFS(tblProjectSchedule[[Skilled]:[Skilled]],tblProjectSchedule[[Start]:[Start]],"&lt;="&amp;ADI6,tblProjectSchedule[[Finish]:[Finish]],"&gt;="&amp;ADI6)+SUMIFS(tblProjectSchedule[[Helpers]:[Helpers]],tblProjectSchedule[[Start]:[Start]],"&lt;="&amp;ADI6,tblProjectSchedule[[Finish]:[Finish]],"&gt;="&amp;ADI6))</f>
        <v>0</v>
      </c>
      <c r="ADJ4" s="172">
        <f>IF(WEEKDAY(ADJ6,12)&gt;=6,0,SUMIFS(tblProjectSchedule[[Skilled]:[Skilled]],tblProjectSchedule[[Start]:[Start]],"&lt;="&amp;ADJ6,tblProjectSchedule[[Finish]:[Finish]],"&gt;="&amp;ADJ6)+SUMIFS(tblProjectSchedule[[Helpers]:[Helpers]],tblProjectSchedule[[Start]:[Start]],"&lt;="&amp;ADJ6,tblProjectSchedule[[Finish]:[Finish]],"&gt;="&amp;ADJ6))</f>
        <v>0</v>
      </c>
      <c r="ADK4" s="172">
        <f>IF(WEEKDAY(ADK6,12)&gt;=6,0,SUMIFS(tblProjectSchedule[[Skilled]:[Skilled]],tblProjectSchedule[[Start]:[Start]],"&lt;="&amp;ADK6,tblProjectSchedule[[Finish]:[Finish]],"&gt;="&amp;ADK6)+SUMIFS(tblProjectSchedule[[Helpers]:[Helpers]],tblProjectSchedule[[Start]:[Start]],"&lt;="&amp;ADK6,tblProjectSchedule[[Finish]:[Finish]],"&gt;="&amp;ADK6))</f>
        <v>0</v>
      </c>
      <c r="ADL4" s="172">
        <f>IF(WEEKDAY(ADL6,12)&gt;=6,0,SUMIFS(tblProjectSchedule[[Skilled]:[Skilled]],tblProjectSchedule[[Start]:[Start]],"&lt;="&amp;ADL6,tblProjectSchedule[[Finish]:[Finish]],"&gt;="&amp;ADL6)+SUMIFS(tblProjectSchedule[[Helpers]:[Helpers]],tblProjectSchedule[[Start]:[Start]],"&lt;="&amp;ADL6,tblProjectSchedule[[Finish]:[Finish]],"&gt;="&amp;ADL6))</f>
        <v>0</v>
      </c>
      <c r="ADM4" s="172">
        <f>IF(WEEKDAY(ADM6,12)&gt;=6,0,SUMIFS(tblProjectSchedule[[Skilled]:[Skilled]],tblProjectSchedule[[Start]:[Start]],"&lt;="&amp;ADM6,tblProjectSchedule[[Finish]:[Finish]],"&gt;="&amp;ADM6)+SUMIFS(tblProjectSchedule[[Helpers]:[Helpers]],tblProjectSchedule[[Start]:[Start]],"&lt;="&amp;ADM6,tblProjectSchedule[[Finish]:[Finish]],"&gt;="&amp;ADM6))</f>
        <v>0</v>
      </c>
      <c r="ADN4" s="174">
        <f>IF(WEEKDAY(ADN6,12)&gt;=6,0,SUMIFS(tblProjectSchedule[[Skilled]:[Skilled]],tblProjectSchedule[[Start]:[Start]],"&lt;="&amp;ADN6,tblProjectSchedule[[Finish]:[Finish]],"&gt;="&amp;ADN6)+SUMIFS(tblProjectSchedule[[Helpers]:[Helpers]],tblProjectSchedule[[Start]:[Start]],"&lt;="&amp;ADN6,tblProjectSchedule[[Finish]:[Finish]],"&gt;="&amp;ADN6))</f>
        <v>0</v>
      </c>
      <c r="ADO4" s="173">
        <f>IF(WEEKDAY(ADO6,12)&gt;=6,0,SUMIFS(tblProjectSchedule[[Skilled]:[Skilled]],tblProjectSchedule[[Start]:[Start]],"&lt;="&amp;ADO6,tblProjectSchedule[[Finish]:[Finish]],"&gt;="&amp;ADO6)+SUMIFS(tblProjectSchedule[[Helpers]:[Helpers]],tblProjectSchedule[[Start]:[Start]],"&lt;="&amp;ADO6,tblProjectSchedule[[Finish]:[Finish]],"&gt;="&amp;ADO6))</f>
        <v>0</v>
      </c>
      <c r="ADP4" s="172">
        <f>IF(WEEKDAY(ADP6,12)&gt;=6,0,SUMIFS(tblProjectSchedule[[Skilled]:[Skilled]],tblProjectSchedule[[Start]:[Start]],"&lt;="&amp;ADP6,tblProjectSchedule[[Finish]:[Finish]],"&gt;="&amp;ADP6)+SUMIFS(tblProjectSchedule[[Helpers]:[Helpers]],tblProjectSchedule[[Start]:[Start]],"&lt;="&amp;ADP6,tblProjectSchedule[[Finish]:[Finish]],"&gt;="&amp;ADP6))</f>
        <v>0</v>
      </c>
      <c r="ADQ4" s="172">
        <f>IF(WEEKDAY(ADQ6,12)&gt;=6,0,SUMIFS(tblProjectSchedule[[Skilled]:[Skilled]],tblProjectSchedule[[Start]:[Start]],"&lt;="&amp;ADQ6,tblProjectSchedule[[Finish]:[Finish]],"&gt;="&amp;ADQ6)+SUMIFS(tblProjectSchedule[[Helpers]:[Helpers]],tblProjectSchedule[[Start]:[Start]],"&lt;="&amp;ADQ6,tblProjectSchedule[[Finish]:[Finish]],"&gt;="&amp;ADQ6))</f>
        <v>0</v>
      </c>
      <c r="ADR4" s="172">
        <f>IF(WEEKDAY(ADR6,12)&gt;=6,0,SUMIFS(tblProjectSchedule[[Skilled]:[Skilled]],tblProjectSchedule[[Start]:[Start]],"&lt;="&amp;ADR6,tblProjectSchedule[[Finish]:[Finish]],"&gt;="&amp;ADR6)+SUMIFS(tblProjectSchedule[[Helpers]:[Helpers]],tblProjectSchedule[[Start]:[Start]],"&lt;="&amp;ADR6,tblProjectSchedule[[Finish]:[Finish]],"&gt;="&amp;ADR6))</f>
        <v>0</v>
      </c>
      <c r="ADS4" s="172">
        <f>IF(WEEKDAY(ADS6,12)&gt;=6,0,SUMIFS(tblProjectSchedule[[Skilled]:[Skilled]],tblProjectSchedule[[Start]:[Start]],"&lt;="&amp;ADS6,tblProjectSchedule[[Finish]:[Finish]],"&gt;="&amp;ADS6)+SUMIFS(tblProjectSchedule[[Helpers]:[Helpers]],tblProjectSchedule[[Start]:[Start]],"&lt;="&amp;ADS6,tblProjectSchedule[[Finish]:[Finish]],"&gt;="&amp;ADS6))</f>
        <v>0</v>
      </c>
      <c r="ADT4" s="172">
        <f>IF(WEEKDAY(ADT6,12)&gt;=6,0,SUMIFS(tblProjectSchedule[[Skilled]:[Skilled]],tblProjectSchedule[[Start]:[Start]],"&lt;="&amp;ADT6,tblProjectSchedule[[Finish]:[Finish]],"&gt;="&amp;ADT6)+SUMIFS(tblProjectSchedule[[Helpers]:[Helpers]],tblProjectSchedule[[Start]:[Start]],"&lt;="&amp;ADT6,tblProjectSchedule[[Finish]:[Finish]],"&gt;="&amp;ADT6))</f>
        <v>0</v>
      </c>
      <c r="ADU4" s="174">
        <f>IF(WEEKDAY(ADU6,12)&gt;=6,0,SUMIFS(tblProjectSchedule[[Skilled]:[Skilled]],tblProjectSchedule[[Start]:[Start]],"&lt;="&amp;ADU6,tblProjectSchedule[[Finish]:[Finish]],"&gt;="&amp;ADU6)+SUMIFS(tblProjectSchedule[[Helpers]:[Helpers]],tblProjectSchedule[[Start]:[Start]],"&lt;="&amp;ADU6,tblProjectSchedule[[Finish]:[Finish]],"&gt;="&amp;ADU6))</f>
        <v>0</v>
      </c>
      <c r="ADV4" s="173">
        <f>IF(WEEKDAY(ADV6,12)&gt;=6,0,SUMIFS(tblProjectSchedule[[Skilled]:[Skilled]],tblProjectSchedule[[Start]:[Start]],"&lt;="&amp;ADV6,tblProjectSchedule[[Finish]:[Finish]],"&gt;="&amp;ADV6)+SUMIFS(tblProjectSchedule[[Helpers]:[Helpers]],tblProjectSchedule[[Start]:[Start]],"&lt;="&amp;ADV6,tblProjectSchedule[[Finish]:[Finish]],"&gt;="&amp;ADV6))</f>
        <v>0</v>
      </c>
      <c r="ADW4" s="172">
        <f>IF(WEEKDAY(ADW6,12)&gt;=6,0,SUMIFS(tblProjectSchedule[[Skilled]:[Skilled]],tblProjectSchedule[[Start]:[Start]],"&lt;="&amp;ADW6,tblProjectSchedule[[Finish]:[Finish]],"&gt;="&amp;ADW6)+SUMIFS(tblProjectSchedule[[Helpers]:[Helpers]],tblProjectSchedule[[Start]:[Start]],"&lt;="&amp;ADW6,tblProjectSchedule[[Finish]:[Finish]],"&gt;="&amp;ADW6))</f>
        <v>0</v>
      </c>
      <c r="ADX4" s="172">
        <f>IF(WEEKDAY(ADX6,12)&gt;=6,0,SUMIFS(tblProjectSchedule[[Skilled]:[Skilled]],tblProjectSchedule[[Start]:[Start]],"&lt;="&amp;ADX6,tblProjectSchedule[[Finish]:[Finish]],"&gt;="&amp;ADX6)+SUMIFS(tblProjectSchedule[[Helpers]:[Helpers]],tblProjectSchedule[[Start]:[Start]],"&lt;="&amp;ADX6,tblProjectSchedule[[Finish]:[Finish]],"&gt;="&amp;ADX6))</f>
        <v>0</v>
      </c>
      <c r="ADY4" s="172">
        <f>IF(WEEKDAY(ADY6,12)&gt;=6,0,SUMIFS(tblProjectSchedule[[Skilled]:[Skilled]],tblProjectSchedule[[Start]:[Start]],"&lt;="&amp;ADY6,tblProjectSchedule[[Finish]:[Finish]],"&gt;="&amp;ADY6)+SUMIFS(tblProjectSchedule[[Helpers]:[Helpers]],tblProjectSchedule[[Start]:[Start]],"&lt;="&amp;ADY6,tblProjectSchedule[[Finish]:[Finish]],"&gt;="&amp;ADY6))</f>
        <v>0</v>
      </c>
      <c r="ADZ4" s="172">
        <f>IF(WEEKDAY(ADZ6,12)&gt;=6,0,SUMIFS(tblProjectSchedule[[Skilled]:[Skilled]],tblProjectSchedule[[Start]:[Start]],"&lt;="&amp;ADZ6,tblProjectSchedule[[Finish]:[Finish]],"&gt;="&amp;ADZ6)+SUMIFS(tblProjectSchedule[[Helpers]:[Helpers]],tblProjectSchedule[[Start]:[Start]],"&lt;="&amp;ADZ6,tblProjectSchedule[[Finish]:[Finish]],"&gt;="&amp;ADZ6))</f>
        <v>0</v>
      </c>
      <c r="AEA4" s="172">
        <f>IF(WEEKDAY(AEA6,12)&gt;=6,0,SUMIFS(tblProjectSchedule[[Skilled]:[Skilled]],tblProjectSchedule[[Start]:[Start]],"&lt;="&amp;AEA6,tblProjectSchedule[[Finish]:[Finish]],"&gt;="&amp;AEA6)+SUMIFS(tblProjectSchedule[[Helpers]:[Helpers]],tblProjectSchedule[[Start]:[Start]],"&lt;="&amp;AEA6,tblProjectSchedule[[Finish]:[Finish]],"&gt;="&amp;AEA6))</f>
        <v>0</v>
      </c>
      <c r="AEB4" s="174">
        <f>IF(WEEKDAY(AEB6,12)&gt;=6,0,SUMIFS(tblProjectSchedule[[Skilled]:[Skilled]],tblProjectSchedule[[Start]:[Start]],"&lt;="&amp;AEB6,tblProjectSchedule[[Finish]:[Finish]],"&gt;="&amp;AEB6)+SUMIFS(tblProjectSchedule[[Helpers]:[Helpers]],tblProjectSchedule[[Start]:[Start]],"&lt;="&amp;AEB6,tblProjectSchedule[[Finish]:[Finish]],"&gt;="&amp;AEB6))</f>
        <v>0</v>
      </c>
      <c r="AEC4" s="173">
        <f>IF(WEEKDAY(AEC6,12)&gt;=6,0,SUMIFS(tblProjectSchedule[[Skilled]:[Skilled]],tblProjectSchedule[[Start]:[Start]],"&lt;="&amp;AEC6,tblProjectSchedule[[Finish]:[Finish]],"&gt;="&amp;AEC6)+SUMIFS(tblProjectSchedule[[Helpers]:[Helpers]],tblProjectSchedule[[Start]:[Start]],"&lt;="&amp;AEC6,tblProjectSchedule[[Finish]:[Finish]],"&gt;="&amp;AEC6))</f>
        <v>0</v>
      </c>
      <c r="AED4" s="172">
        <f>IF(WEEKDAY(AED6,12)&gt;=6,0,SUMIFS(tblProjectSchedule[[Skilled]:[Skilled]],tblProjectSchedule[[Start]:[Start]],"&lt;="&amp;AED6,tblProjectSchedule[[Finish]:[Finish]],"&gt;="&amp;AED6)+SUMIFS(tblProjectSchedule[[Helpers]:[Helpers]],tblProjectSchedule[[Start]:[Start]],"&lt;="&amp;AED6,tblProjectSchedule[[Finish]:[Finish]],"&gt;="&amp;AED6))</f>
        <v>0</v>
      </c>
      <c r="AEE4" s="172">
        <f>IF(WEEKDAY(AEE6,12)&gt;=6,0,SUMIFS(tblProjectSchedule[[Skilled]:[Skilled]],tblProjectSchedule[[Start]:[Start]],"&lt;="&amp;AEE6,tblProjectSchedule[[Finish]:[Finish]],"&gt;="&amp;AEE6)+SUMIFS(tblProjectSchedule[[Helpers]:[Helpers]],tblProjectSchedule[[Start]:[Start]],"&lt;="&amp;AEE6,tblProjectSchedule[[Finish]:[Finish]],"&gt;="&amp;AEE6))</f>
        <v>0</v>
      </c>
      <c r="AEF4" s="172">
        <f>IF(WEEKDAY(AEF6,12)&gt;=6,0,SUMIFS(tblProjectSchedule[[Skilled]:[Skilled]],tblProjectSchedule[[Start]:[Start]],"&lt;="&amp;AEF6,tblProjectSchedule[[Finish]:[Finish]],"&gt;="&amp;AEF6)+SUMIFS(tblProjectSchedule[[Helpers]:[Helpers]],tblProjectSchedule[[Start]:[Start]],"&lt;="&amp;AEF6,tblProjectSchedule[[Finish]:[Finish]],"&gt;="&amp;AEF6))</f>
        <v>0</v>
      </c>
      <c r="AEG4" s="172">
        <f>IF(WEEKDAY(AEG6,12)&gt;=6,0,SUMIFS(tblProjectSchedule[[Skilled]:[Skilled]],tblProjectSchedule[[Start]:[Start]],"&lt;="&amp;AEG6,tblProjectSchedule[[Finish]:[Finish]],"&gt;="&amp;AEG6)+SUMIFS(tblProjectSchedule[[Helpers]:[Helpers]],tblProjectSchedule[[Start]:[Start]],"&lt;="&amp;AEG6,tblProjectSchedule[[Finish]:[Finish]],"&gt;="&amp;AEG6))</f>
        <v>0</v>
      </c>
      <c r="AEH4" s="172">
        <f>IF(WEEKDAY(AEH6,12)&gt;=6,0,SUMIFS(tblProjectSchedule[[Skilled]:[Skilled]],tblProjectSchedule[[Start]:[Start]],"&lt;="&amp;AEH6,tblProjectSchedule[[Finish]:[Finish]],"&gt;="&amp;AEH6)+SUMIFS(tblProjectSchedule[[Helpers]:[Helpers]],tblProjectSchedule[[Start]:[Start]],"&lt;="&amp;AEH6,tblProjectSchedule[[Finish]:[Finish]],"&gt;="&amp;AEH6))</f>
        <v>0</v>
      </c>
      <c r="AEI4" s="174">
        <f>IF(WEEKDAY(AEI6,12)&gt;=6,0,SUMIFS(tblProjectSchedule[[Skilled]:[Skilled]],tblProjectSchedule[[Start]:[Start]],"&lt;="&amp;AEI6,tblProjectSchedule[[Finish]:[Finish]],"&gt;="&amp;AEI6)+SUMIFS(tblProjectSchedule[[Helpers]:[Helpers]],tblProjectSchedule[[Start]:[Start]],"&lt;="&amp;AEI6,tblProjectSchedule[[Finish]:[Finish]],"&gt;="&amp;AEI6))</f>
        <v>0</v>
      </c>
      <c r="AEJ4" s="173">
        <f>IF(WEEKDAY(AEJ6,12)&gt;=6,0,SUMIFS(tblProjectSchedule[[Skilled]:[Skilled]],tblProjectSchedule[[Start]:[Start]],"&lt;="&amp;AEJ6,tblProjectSchedule[[Finish]:[Finish]],"&gt;="&amp;AEJ6)+SUMIFS(tblProjectSchedule[[Helpers]:[Helpers]],tblProjectSchedule[[Start]:[Start]],"&lt;="&amp;AEJ6,tblProjectSchedule[[Finish]:[Finish]],"&gt;="&amp;AEJ6))</f>
        <v>0</v>
      </c>
      <c r="AEK4" s="172">
        <f>IF(WEEKDAY(AEK6,12)&gt;=6,0,SUMIFS(tblProjectSchedule[[Skilled]:[Skilled]],tblProjectSchedule[[Start]:[Start]],"&lt;="&amp;AEK6,tblProjectSchedule[[Finish]:[Finish]],"&gt;="&amp;AEK6)+SUMIFS(tblProjectSchedule[[Helpers]:[Helpers]],tblProjectSchedule[[Start]:[Start]],"&lt;="&amp;AEK6,tblProjectSchedule[[Finish]:[Finish]],"&gt;="&amp;AEK6))</f>
        <v>0</v>
      </c>
      <c r="AEL4" s="172">
        <f>IF(WEEKDAY(AEL6,12)&gt;=6,0,SUMIFS(tblProjectSchedule[[Skilled]:[Skilled]],tblProjectSchedule[[Start]:[Start]],"&lt;="&amp;AEL6,tblProjectSchedule[[Finish]:[Finish]],"&gt;="&amp;AEL6)+SUMIFS(tblProjectSchedule[[Helpers]:[Helpers]],tblProjectSchedule[[Start]:[Start]],"&lt;="&amp;AEL6,tblProjectSchedule[[Finish]:[Finish]],"&gt;="&amp;AEL6))</f>
        <v>0</v>
      </c>
      <c r="AEM4" s="172">
        <f>IF(WEEKDAY(AEM6,12)&gt;=6,0,SUMIFS(tblProjectSchedule[[Skilled]:[Skilled]],tblProjectSchedule[[Start]:[Start]],"&lt;="&amp;AEM6,tblProjectSchedule[[Finish]:[Finish]],"&gt;="&amp;AEM6)+SUMIFS(tblProjectSchedule[[Helpers]:[Helpers]],tblProjectSchedule[[Start]:[Start]],"&lt;="&amp;AEM6,tblProjectSchedule[[Finish]:[Finish]],"&gt;="&amp;AEM6))</f>
        <v>0</v>
      </c>
      <c r="AEN4" s="172">
        <f>IF(WEEKDAY(AEN6,12)&gt;=6,0,SUMIFS(tblProjectSchedule[[Skilled]:[Skilled]],tblProjectSchedule[[Start]:[Start]],"&lt;="&amp;AEN6,tblProjectSchedule[[Finish]:[Finish]],"&gt;="&amp;AEN6)+SUMIFS(tblProjectSchedule[[Helpers]:[Helpers]],tblProjectSchedule[[Start]:[Start]],"&lt;="&amp;AEN6,tblProjectSchedule[[Finish]:[Finish]],"&gt;="&amp;AEN6))</f>
        <v>0</v>
      </c>
      <c r="AEO4" s="172">
        <f>IF(WEEKDAY(AEO6,12)&gt;=6,0,SUMIFS(tblProjectSchedule[[Skilled]:[Skilled]],tblProjectSchedule[[Start]:[Start]],"&lt;="&amp;AEO6,tblProjectSchedule[[Finish]:[Finish]],"&gt;="&amp;AEO6)+SUMIFS(tblProjectSchedule[[Helpers]:[Helpers]],tblProjectSchedule[[Start]:[Start]],"&lt;="&amp;AEO6,tblProjectSchedule[[Finish]:[Finish]],"&gt;="&amp;AEO6))</f>
        <v>0</v>
      </c>
      <c r="AEP4" s="174">
        <f>IF(WEEKDAY(AEP6,12)&gt;=6,0,SUMIFS(tblProjectSchedule[[Skilled]:[Skilled]],tblProjectSchedule[[Start]:[Start]],"&lt;="&amp;AEP6,tblProjectSchedule[[Finish]:[Finish]],"&gt;="&amp;AEP6)+SUMIFS(tblProjectSchedule[[Helpers]:[Helpers]],tblProjectSchedule[[Start]:[Start]],"&lt;="&amp;AEP6,tblProjectSchedule[[Finish]:[Finish]],"&gt;="&amp;AEP6))</f>
        <v>0</v>
      </c>
      <c r="AEQ4" s="173">
        <f>IF(WEEKDAY(AEQ6,12)&gt;=6,0,SUMIFS(tblProjectSchedule[[Skilled]:[Skilled]],tblProjectSchedule[[Start]:[Start]],"&lt;="&amp;AEQ6,tblProjectSchedule[[Finish]:[Finish]],"&gt;="&amp;AEQ6)+SUMIFS(tblProjectSchedule[[Helpers]:[Helpers]],tblProjectSchedule[[Start]:[Start]],"&lt;="&amp;AEQ6,tblProjectSchedule[[Finish]:[Finish]],"&gt;="&amp;AEQ6))</f>
        <v>0</v>
      </c>
      <c r="AER4" s="172">
        <f>IF(WEEKDAY(AER6,12)&gt;=6,0,SUMIFS(tblProjectSchedule[[Skilled]:[Skilled]],tblProjectSchedule[[Start]:[Start]],"&lt;="&amp;AER6,tblProjectSchedule[[Finish]:[Finish]],"&gt;="&amp;AER6)+SUMIFS(tblProjectSchedule[[Helpers]:[Helpers]],tblProjectSchedule[[Start]:[Start]],"&lt;="&amp;AER6,tblProjectSchedule[[Finish]:[Finish]],"&gt;="&amp;AER6))</f>
        <v>0</v>
      </c>
      <c r="AES4" s="172">
        <f>IF(WEEKDAY(AES6,12)&gt;=6,0,SUMIFS(tblProjectSchedule[[Skilled]:[Skilled]],tblProjectSchedule[[Start]:[Start]],"&lt;="&amp;AES6,tblProjectSchedule[[Finish]:[Finish]],"&gt;="&amp;AES6)+SUMIFS(tblProjectSchedule[[Helpers]:[Helpers]],tblProjectSchedule[[Start]:[Start]],"&lt;="&amp;AES6,tblProjectSchedule[[Finish]:[Finish]],"&gt;="&amp;AES6))</f>
        <v>0</v>
      </c>
      <c r="AET4" s="172">
        <f>IF(WEEKDAY(AET6,12)&gt;=6,0,SUMIFS(tblProjectSchedule[[Skilled]:[Skilled]],tblProjectSchedule[[Start]:[Start]],"&lt;="&amp;AET6,tblProjectSchedule[[Finish]:[Finish]],"&gt;="&amp;AET6)+SUMIFS(tblProjectSchedule[[Helpers]:[Helpers]],tblProjectSchedule[[Start]:[Start]],"&lt;="&amp;AET6,tblProjectSchedule[[Finish]:[Finish]],"&gt;="&amp;AET6))</f>
        <v>0</v>
      </c>
      <c r="AEU4" s="172">
        <f>IF(WEEKDAY(AEU6,12)&gt;=6,0,SUMIFS(tblProjectSchedule[[Skilled]:[Skilled]],tblProjectSchedule[[Start]:[Start]],"&lt;="&amp;AEU6,tblProjectSchedule[[Finish]:[Finish]],"&gt;="&amp;AEU6)+SUMIFS(tblProjectSchedule[[Helpers]:[Helpers]],tblProjectSchedule[[Start]:[Start]],"&lt;="&amp;AEU6,tblProjectSchedule[[Finish]:[Finish]],"&gt;="&amp;AEU6))</f>
        <v>0</v>
      </c>
      <c r="AEV4" s="172">
        <f>IF(WEEKDAY(AEV6,12)&gt;=6,0,SUMIFS(tblProjectSchedule[[Skilled]:[Skilled]],tblProjectSchedule[[Start]:[Start]],"&lt;="&amp;AEV6,tblProjectSchedule[[Finish]:[Finish]],"&gt;="&amp;AEV6)+SUMIFS(tblProjectSchedule[[Helpers]:[Helpers]],tblProjectSchedule[[Start]:[Start]],"&lt;="&amp;AEV6,tblProjectSchedule[[Finish]:[Finish]],"&gt;="&amp;AEV6))</f>
        <v>0</v>
      </c>
      <c r="AEW4" s="174">
        <f>IF(WEEKDAY(AEW6,12)&gt;=6,0,SUMIFS(tblProjectSchedule[[Skilled]:[Skilled]],tblProjectSchedule[[Start]:[Start]],"&lt;="&amp;AEW6,tblProjectSchedule[[Finish]:[Finish]],"&gt;="&amp;AEW6)+SUMIFS(tblProjectSchedule[[Helpers]:[Helpers]],tblProjectSchedule[[Start]:[Start]],"&lt;="&amp;AEW6,tblProjectSchedule[[Finish]:[Finish]],"&gt;="&amp;AEW6))</f>
        <v>0</v>
      </c>
      <c r="AEX4" s="173">
        <f>IF(WEEKDAY(AEX6,12)&gt;=6,0,SUMIFS(tblProjectSchedule[[Skilled]:[Skilled]],tblProjectSchedule[[Start]:[Start]],"&lt;="&amp;AEX6,tblProjectSchedule[[Finish]:[Finish]],"&gt;="&amp;AEX6)+SUMIFS(tblProjectSchedule[[Helpers]:[Helpers]],tblProjectSchedule[[Start]:[Start]],"&lt;="&amp;AEX6,tblProjectSchedule[[Finish]:[Finish]],"&gt;="&amp;AEX6))</f>
        <v>0</v>
      </c>
      <c r="AEY4" s="172">
        <f>IF(WEEKDAY(AEY6,12)&gt;=6,0,SUMIFS(tblProjectSchedule[[Skilled]:[Skilled]],tblProjectSchedule[[Start]:[Start]],"&lt;="&amp;AEY6,tblProjectSchedule[[Finish]:[Finish]],"&gt;="&amp;AEY6)+SUMIFS(tblProjectSchedule[[Helpers]:[Helpers]],tblProjectSchedule[[Start]:[Start]],"&lt;="&amp;AEY6,tblProjectSchedule[[Finish]:[Finish]],"&gt;="&amp;AEY6))</f>
        <v>0</v>
      </c>
      <c r="AEZ4" s="172">
        <f>IF(WEEKDAY(AEZ6,12)&gt;=6,0,SUMIFS(tblProjectSchedule[[Skilled]:[Skilled]],tblProjectSchedule[[Start]:[Start]],"&lt;="&amp;AEZ6,tblProjectSchedule[[Finish]:[Finish]],"&gt;="&amp;AEZ6)+SUMIFS(tblProjectSchedule[[Helpers]:[Helpers]],tblProjectSchedule[[Start]:[Start]],"&lt;="&amp;AEZ6,tblProjectSchedule[[Finish]:[Finish]],"&gt;="&amp;AEZ6))</f>
        <v>0</v>
      </c>
      <c r="AFA4" s="172">
        <f>IF(WEEKDAY(AFA6,12)&gt;=6,0,SUMIFS(tblProjectSchedule[[Skilled]:[Skilled]],tblProjectSchedule[[Start]:[Start]],"&lt;="&amp;AFA6,tblProjectSchedule[[Finish]:[Finish]],"&gt;="&amp;AFA6)+SUMIFS(tblProjectSchedule[[Helpers]:[Helpers]],tblProjectSchedule[[Start]:[Start]],"&lt;="&amp;AFA6,tblProjectSchedule[[Finish]:[Finish]],"&gt;="&amp;AFA6))</f>
        <v>0</v>
      </c>
      <c r="AFB4" s="172">
        <f>IF(WEEKDAY(AFB6,12)&gt;=6,0,SUMIFS(tblProjectSchedule[[Skilled]:[Skilled]],tblProjectSchedule[[Start]:[Start]],"&lt;="&amp;AFB6,tblProjectSchedule[[Finish]:[Finish]],"&gt;="&amp;AFB6)+SUMIFS(tblProjectSchedule[[Helpers]:[Helpers]],tblProjectSchedule[[Start]:[Start]],"&lt;="&amp;AFB6,tblProjectSchedule[[Finish]:[Finish]],"&gt;="&amp;AFB6))</f>
        <v>0</v>
      </c>
      <c r="AFC4" s="172">
        <f>IF(WEEKDAY(AFC6,12)&gt;=6,0,SUMIFS(tblProjectSchedule[[Skilled]:[Skilled]],tblProjectSchedule[[Start]:[Start]],"&lt;="&amp;AFC6,tblProjectSchedule[[Finish]:[Finish]],"&gt;="&amp;AFC6)+SUMIFS(tblProjectSchedule[[Helpers]:[Helpers]],tblProjectSchedule[[Start]:[Start]],"&lt;="&amp;AFC6,tblProjectSchedule[[Finish]:[Finish]],"&gt;="&amp;AFC6))</f>
        <v>0</v>
      </c>
      <c r="AFD4" s="174">
        <f>IF(WEEKDAY(AFD6,12)&gt;=6,0,SUMIFS(tblProjectSchedule[[Skilled]:[Skilled]],tblProjectSchedule[[Start]:[Start]],"&lt;="&amp;AFD6,tblProjectSchedule[[Finish]:[Finish]],"&gt;="&amp;AFD6)+SUMIFS(tblProjectSchedule[[Helpers]:[Helpers]],tblProjectSchedule[[Start]:[Start]],"&lt;="&amp;AFD6,tblProjectSchedule[[Finish]:[Finish]],"&gt;="&amp;AFD6))</f>
        <v>0</v>
      </c>
      <c r="AFE4" s="173">
        <f>IF(WEEKDAY(AFE6,12)&gt;=6,0,SUMIFS(tblProjectSchedule[[Skilled]:[Skilled]],tblProjectSchedule[[Start]:[Start]],"&lt;="&amp;AFE6,tblProjectSchedule[[Finish]:[Finish]],"&gt;="&amp;AFE6)+SUMIFS(tblProjectSchedule[[Helpers]:[Helpers]],tblProjectSchedule[[Start]:[Start]],"&lt;="&amp;AFE6,tblProjectSchedule[[Finish]:[Finish]],"&gt;="&amp;AFE6))</f>
        <v>0</v>
      </c>
      <c r="AFF4" s="172">
        <f>IF(WEEKDAY(AFF6,12)&gt;=6,0,SUMIFS(tblProjectSchedule[[Skilled]:[Skilled]],tblProjectSchedule[[Start]:[Start]],"&lt;="&amp;AFF6,tblProjectSchedule[[Finish]:[Finish]],"&gt;="&amp;AFF6)+SUMIFS(tblProjectSchedule[[Helpers]:[Helpers]],tblProjectSchedule[[Start]:[Start]],"&lt;="&amp;AFF6,tblProjectSchedule[[Finish]:[Finish]],"&gt;="&amp;AFF6))</f>
        <v>0</v>
      </c>
      <c r="AFG4" s="172">
        <f>IF(WEEKDAY(AFG6,12)&gt;=6,0,SUMIFS(tblProjectSchedule[[Skilled]:[Skilled]],tblProjectSchedule[[Start]:[Start]],"&lt;="&amp;AFG6,tblProjectSchedule[[Finish]:[Finish]],"&gt;="&amp;AFG6)+SUMIFS(tblProjectSchedule[[Helpers]:[Helpers]],tblProjectSchedule[[Start]:[Start]],"&lt;="&amp;AFG6,tblProjectSchedule[[Finish]:[Finish]],"&gt;="&amp;AFG6))</f>
        <v>0</v>
      </c>
      <c r="AFH4" s="172">
        <f>IF(WEEKDAY(AFH6,12)&gt;=6,0,SUMIFS(tblProjectSchedule[[Skilled]:[Skilled]],tblProjectSchedule[[Start]:[Start]],"&lt;="&amp;AFH6,tblProjectSchedule[[Finish]:[Finish]],"&gt;="&amp;AFH6)+SUMIFS(tblProjectSchedule[[Helpers]:[Helpers]],tblProjectSchedule[[Start]:[Start]],"&lt;="&amp;AFH6,tblProjectSchedule[[Finish]:[Finish]],"&gt;="&amp;AFH6))</f>
        <v>0</v>
      </c>
      <c r="AFI4" s="172">
        <f>IF(WEEKDAY(AFI6,12)&gt;=6,0,SUMIFS(tblProjectSchedule[[Skilled]:[Skilled]],tblProjectSchedule[[Start]:[Start]],"&lt;="&amp;AFI6,tblProjectSchedule[[Finish]:[Finish]],"&gt;="&amp;AFI6)+SUMIFS(tblProjectSchedule[[Helpers]:[Helpers]],tblProjectSchedule[[Start]:[Start]],"&lt;="&amp;AFI6,tblProjectSchedule[[Finish]:[Finish]],"&gt;="&amp;AFI6))</f>
        <v>0</v>
      </c>
      <c r="AFJ4" s="172">
        <f>IF(WEEKDAY(AFJ6,12)&gt;=6,0,SUMIFS(tblProjectSchedule[[Skilled]:[Skilled]],tblProjectSchedule[[Start]:[Start]],"&lt;="&amp;AFJ6,tblProjectSchedule[[Finish]:[Finish]],"&gt;="&amp;AFJ6)+SUMIFS(tblProjectSchedule[[Helpers]:[Helpers]],tblProjectSchedule[[Start]:[Start]],"&lt;="&amp;AFJ6,tblProjectSchedule[[Finish]:[Finish]],"&gt;="&amp;AFJ6))</f>
        <v>0</v>
      </c>
      <c r="AFK4" s="174">
        <f>IF(WEEKDAY(AFK6,12)&gt;=6,0,SUMIFS(tblProjectSchedule[[Skilled]:[Skilled]],tblProjectSchedule[[Start]:[Start]],"&lt;="&amp;AFK6,tblProjectSchedule[[Finish]:[Finish]],"&gt;="&amp;AFK6)+SUMIFS(tblProjectSchedule[[Helpers]:[Helpers]],tblProjectSchedule[[Start]:[Start]],"&lt;="&amp;AFK6,tblProjectSchedule[[Finish]:[Finish]],"&gt;="&amp;AFK6))</f>
        <v>0</v>
      </c>
      <c r="AFL4" s="173">
        <f>IF(WEEKDAY(AFL6,12)&gt;=6,0,SUMIFS(tblProjectSchedule[[Skilled]:[Skilled]],tblProjectSchedule[[Start]:[Start]],"&lt;="&amp;AFL6,tblProjectSchedule[[Finish]:[Finish]],"&gt;="&amp;AFL6)+SUMIFS(tblProjectSchedule[[Helpers]:[Helpers]],tblProjectSchedule[[Start]:[Start]],"&lt;="&amp;AFL6,tblProjectSchedule[[Finish]:[Finish]],"&gt;="&amp;AFL6))</f>
        <v>0</v>
      </c>
      <c r="AFM4" s="172">
        <f>IF(WEEKDAY(AFM6,12)&gt;=6,0,SUMIFS(tblProjectSchedule[[Skilled]:[Skilled]],tblProjectSchedule[[Start]:[Start]],"&lt;="&amp;AFM6,tblProjectSchedule[[Finish]:[Finish]],"&gt;="&amp;AFM6)+SUMIFS(tblProjectSchedule[[Helpers]:[Helpers]],tblProjectSchedule[[Start]:[Start]],"&lt;="&amp;AFM6,tblProjectSchedule[[Finish]:[Finish]],"&gt;="&amp;AFM6))</f>
        <v>0</v>
      </c>
      <c r="AFN4" s="172">
        <f>IF(WEEKDAY(AFN6,12)&gt;=6,0,SUMIFS(tblProjectSchedule[[Skilled]:[Skilled]],tblProjectSchedule[[Start]:[Start]],"&lt;="&amp;AFN6,tblProjectSchedule[[Finish]:[Finish]],"&gt;="&amp;AFN6)+SUMIFS(tblProjectSchedule[[Helpers]:[Helpers]],tblProjectSchedule[[Start]:[Start]],"&lt;="&amp;AFN6,tblProjectSchedule[[Finish]:[Finish]],"&gt;="&amp;AFN6))</f>
        <v>0</v>
      </c>
      <c r="AFO4" s="172">
        <f>IF(WEEKDAY(AFO6,12)&gt;=6,0,SUMIFS(tblProjectSchedule[[Skilled]:[Skilled]],tblProjectSchedule[[Start]:[Start]],"&lt;="&amp;AFO6,tblProjectSchedule[[Finish]:[Finish]],"&gt;="&amp;AFO6)+SUMIFS(tblProjectSchedule[[Helpers]:[Helpers]],tblProjectSchedule[[Start]:[Start]],"&lt;="&amp;AFO6,tblProjectSchedule[[Finish]:[Finish]],"&gt;="&amp;AFO6))</f>
        <v>0</v>
      </c>
      <c r="AFP4" s="172">
        <f>IF(WEEKDAY(AFP6,12)&gt;=6,0,SUMIFS(tblProjectSchedule[[Skilled]:[Skilled]],tblProjectSchedule[[Start]:[Start]],"&lt;="&amp;AFP6,tblProjectSchedule[[Finish]:[Finish]],"&gt;="&amp;AFP6)+SUMIFS(tblProjectSchedule[[Helpers]:[Helpers]],tblProjectSchedule[[Start]:[Start]],"&lt;="&amp;AFP6,tblProjectSchedule[[Finish]:[Finish]],"&gt;="&amp;AFP6))</f>
        <v>0</v>
      </c>
      <c r="AFQ4" s="172">
        <f>IF(WEEKDAY(AFQ6,12)&gt;=6,0,SUMIFS(tblProjectSchedule[[Skilled]:[Skilled]],tblProjectSchedule[[Start]:[Start]],"&lt;="&amp;AFQ6,tblProjectSchedule[[Finish]:[Finish]],"&gt;="&amp;AFQ6)+SUMIFS(tblProjectSchedule[[Helpers]:[Helpers]],tblProjectSchedule[[Start]:[Start]],"&lt;="&amp;AFQ6,tblProjectSchedule[[Finish]:[Finish]],"&gt;="&amp;AFQ6))</f>
        <v>0</v>
      </c>
      <c r="AFR4" s="174">
        <f>IF(WEEKDAY(AFR6,12)&gt;=6,0,SUMIFS(tblProjectSchedule[[Skilled]:[Skilled]],tblProjectSchedule[[Start]:[Start]],"&lt;="&amp;AFR6,tblProjectSchedule[[Finish]:[Finish]],"&gt;="&amp;AFR6)+SUMIFS(tblProjectSchedule[[Helpers]:[Helpers]],tblProjectSchedule[[Start]:[Start]],"&lt;="&amp;AFR6,tblProjectSchedule[[Finish]:[Finish]],"&gt;="&amp;AFR6))</f>
        <v>0</v>
      </c>
      <c r="AFS4" s="173">
        <f>IF(WEEKDAY(AFS6,12)&gt;=6,0,SUMIFS(tblProjectSchedule[[Skilled]:[Skilled]],tblProjectSchedule[[Start]:[Start]],"&lt;="&amp;AFS6,tblProjectSchedule[[Finish]:[Finish]],"&gt;="&amp;AFS6)+SUMIFS(tblProjectSchedule[[Helpers]:[Helpers]],tblProjectSchedule[[Start]:[Start]],"&lt;="&amp;AFS6,tblProjectSchedule[[Finish]:[Finish]],"&gt;="&amp;AFS6))</f>
        <v>0</v>
      </c>
      <c r="AFT4" s="172">
        <f>IF(WEEKDAY(AFT6,12)&gt;=6,0,SUMIFS(tblProjectSchedule[[Skilled]:[Skilled]],tblProjectSchedule[[Start]:[Start]],"&lt;="&amp;AFT6,tblProjectSchedule[[Finish]:[Finish]],"&gt;="&amp;AFT6)+SUMIFS(tblProjectSchedule[[Helpers]:[Helpers]],tblProjectSchedule[[Start]:[Start]],"&lt;="&amp;AFT6,tblProjectSchedule[[Finish]:[Finish]],"&gt;="&amp;AFT6))</f>
        <v>0</v>
      </c>
      <c r="AFU4" s="172">
        <f>IF(WEEKDAY(AFU6,12)&gt;=6,0,SUMIFS(tblProjectSchedule[[Skilled]:[Skilled]],tblProjectSchedule[[Start]:[Start]],"&lt;="&amp;AFU6,tblProjectSchedule[[Finish]:[Finish]],"&gt;="&amp;AFU6)+SUMIFS(tblProjectSchedule[[Helpers]:[Helpers]],tblProjectSchedule[[Start]:[Start]],"&lt;="&amp;AFU6,tblProjectSchedule[[Finish]:[Finish]],"&gt;="&amp;AFU6))</f>
        <v>0</v>
      </c>
      <c r="AFV4" s="172">
        <f>IF(WEEKDAY(AFV6,12)&gt;=6,0,SUMIFS(tblProjectSchedule[[Skilled]:[Skilled]],tblProjectSchedule[[Start]:[Start]],"&lt;="&amp;AFV6,tblProjectSchedule[[Finish]:[Finish]],"&gt;="&amp;AFV6)+SUMIFS(tblProjectSchedule[[Helpers]:[Helpers]],tblProjectSchedule[[Start]:[Start]],"&lt;="&amp;AFV6,tblProjectSchedule[[Finish]:[Finish]],"&gt;="&amp;AFV6))</f>
        <v>0</v>
      </c>
      <c r="AFW4" s="172">
        <f>IF(WEEKDAY(AFW6,12)&gt;=6,0,SUMIFS(tblProjectSchedule[[Skilled]:[Skilled]],tblProjectSchedule[[Start]:[Start]],"&lt;="&amp;AFW6,tblProjectSchedule[[Finish]:[Finish]],"&gt;="&amp;AFW6)+SUMIFS(tblProjectSchedule[[Helpers]:[Helpers]],tblProjectSchedule[[Start]:[Start]],"&lt;="&amp;AFW6,tblProjectSchedule[[Finish]:[Finish]],"&gt;="&amp;AFW6))</f>
        <v>0</v>
      </c>
      <c r="AFX4" s="172">
        <f>IF(WEEKDAY(AFX6,12)&gt;=6,0,SUMIFS(tblProjectSchedule[[Skilled]:[Skilled]],tblProjectSchedule[[Start]:[Start]],"&lt;="&amp;AFX6,tblProjectSchedule[[Finish]:[Finish]],"&gt;="&amp;AFX6)+SUMIFS(tblProjectSchedule[[Helpers]:[Helpers]],tblProjectSchedule[[Start]:[Start]],"&lt;="&amp;AFX6,tblProjectSchedule[[Finish]:[Finish]],"&gt;="&amp;AFX6))</f>
        <v>0</v>
      </c>
      <c r="AFY4" s="174">
        <f>IF(WEEKDAY(AFY6,12)&gt;=6,0,SUMIFS(tblProjectSchedule[[Skilled]:[Skilled]],tblProjectSchedule[[Start]:[Start]],"&lt;="&amp;AFY6,tblProjectSchedule[[Finish]:[Finish]],"&gt;="&amp;AFY6)+SUMIFS(tblProjectSchedule[[Helpers]:[Helpers]],tblProjectSchedule[[Start]:[Start]],"&lt;="&amp;AFY6,tblProjectSchedule[[Finish]:[Finish]],"&gt;="&amp;AFY6))</f>
        <v>0</v>
      </c>
      <c r="AFZ4" s="173">
        <f>IF(WEEKDAY(AFZ6,12)&gt;=6,0,SUMIFS(tblProjectSchedule[[Skilled]:[Skilled]],tblProjectSchedule[[Start]:[Start]],"&lt;="&amp;AFZ6,tblProjectSchedule[[Finish]:[Finish]],"&gt;="&amp;AFZ6)+SUMIFS(tblProjectSchedule[[Helpers]:[Helpers]],tblProjectSchedule[[Start]:[Start]],"&lt;="&amp;AFZ6,tblProjectSchedule[[Finish]:[Finish]],"&gt;="&amp;AFZ6))</f>
        <v>0</v>
      </c>
      <c r="AGA4" s="172">
        <f>IF(WEEKDAY(AGA6,12)&gt;=6,0,SUMIFS(tblProjectSchedule[[Skilled]:[Skilled]],tblProjectSchedule[[Start]:[Start]],"&lt;="&amp;AGA6,tblProjectSchedule[[Finish]:[Finish]],"&gt;="&amp;AGA6)+SUMIFS(tblProjectSchedule[[Helpers]:[Helpers]],tblProjectSchedule[[Start]:[Start]],"&lt;="&amp;AGA6,tblProjectSchedule[[Finish]:[Finish]],"&gt;="&amp;AGA6))</f>
        <v>0</v>
      </c>
      <c r="AGB4" s="172">
        <f>IF(WEEKDAY(AGB6,12)&gt;=6,0,SUMIFS(tblProjectSchedule[[Skilled]:[Skilled]],tblProjectSchedule[[Start]:[Start]],"&lt;="&amp;AGB6,tblProjectSchedule[[Finish]:[Finish]],"&gt;="&amp;AGB6)+SUMIFS(tblProjectSchedule[[Helpers]:[Helpers]],tblProjectSchedule[[Start]:[Start]],"&lt;="&amp;AGB6,tblProjectSchedule[[Finish]:[Finish]],"&gt;="&amp;AGB6))</f>
        <v>0</v>
      </c>
      <c r="AGC4" s="172">
        <f>IF(WEEKDAY(AGC6,12)&gt;=6,0,SUMIFS(tblProjectSchedule[[Skilled]:[Skilled]],tblProjectSchedule[[Start]:[Start]],"&lt;="&amp;AGC6,tblProjectSchedule[[Finish]:[Finish]],"&gt;="&amp;AGC6)+SUMIFS(tblProjectSchedule[[Helpers]:[Helpers]],tblProjectSchedule[[Start]:[Start]],"&lt;="&amp;AGC6,tblProjectSchedule[[Finish]:[Finish]],"&gt;="&amp;AGC6))</f>
        <v>0</v>
      </c>
      <c r="AGD4" s="172">
        <f>IF(WEEKDAY(AGD6,12)&gt;=6,0,SUMIFS(tblProjectSchedule[[Skilled]:[Skilled]],tblProjectSchedule[[Start]:[Start]],"&lt;="&amp;AGD6,tblProjectSchedule[[Finish]:[Finish]],"&gt;="&amp;AGD6)+SUMIFS(tblProjectSchedule[[Helpers]:[Helpers]],tblProjectSchedule[[Start]:[Start]],"&lt;="&amp;AGD6,tblProjectSchedule[[Finish]:[Finish]],"&gt;="&amp;AGD6))</f>
        <v>0</v>
      </c>
      <c r="AGE4" s="172">
        <f>IF(WEEKDAY(AGE6,12)&gt;=6,0,SUMIFS(tblProjectSchedule[[Skilled]:[Skilled]],tblProjectSchedule[[Start]:[Start]],"&lt;="&amp;AGE6,tblProjectSchedule[[Finish]:[Finish]],"&gt;="&amp;AGE6)+SUMIFS(tblProjectSchedule[[Helpers]:[Helpers]],tblProjectSchedule[[Start]:[Start]],"&lt;="&amp;AGE6,tblProjectSchedule[[Finish]:[Finish]],"&gt;="&amp;AGE6))</f>
        <v>0</v>
      </c>
      <c r="AGF4" s="174">
        <f>IF(WEEKDAY(AGF6,12)&gt;=6,0,SUMIFS(tblProjectSchedule[[Skilled]:[Skilled]],tblProjectSchedule[[Start]:[Start]],"&lt;="&amp;AGF6,tblProjectSchedule[[Finish]:[Finish]],"&gt;="&amp;AGF6)+SUMIFS(tblProjectSchedule[[Helpers]:[Helpers]],tblProjectSchedule[[Start]:[Start]],"&lt;="&amp;AGF6,tblProjectSchedule[[Finish]:[Finish]],"&gt;="&amp;AGF6))</f>
        <v>0</v>
      </c>
      <c r="AGG4" s="173">
        <f>IF(WEEKDAY(AGG6,12)&gt;=6,0,SUMIFS(tblProjectSchedule[[Skilled]:[Skilled]],tblProjectSchedule[[Start]:[Start]],"&lt;="&amp;AGG6,tblProjectSchedule[[Finish]:[Finish]],"&gt;="&amp;AGG6)+SUMIFS(tblProjectSchedule[[Helpers]:[Helpers]],tblProjectSchedule[[Start]:[Start]],"&lt;="&amp;AGG6,tblProjectSchedule[[Finish]:[Finish]],"&gt;="&amp;AGG6))</f>
        <v>0</v>
      </c>
      <c r="AGH4" s="172">
        <f>IF(WEEKDAY(AGH6,12)&gt;=6,0,SUMIFS(tblProjectSchedule[[Skilled]:[Skilled]],tblProjectSchedule[[Start]:[Start]],"&lt;="&amp;AGH6,tblProjectSchedule[[Finish]:[Finish]],"&gt;="&amp;AGH6)+SUMIFS(tblProjectSchedule[[Helpers]:[Helpers]],tblProjectSchedule[[Start]:[Start]],"&lt;="&amp;AGH6,tblProjectSchedule[[Finish]:[Finish]],"&gt;="&amp;AGH6))</f>
        <v>0</v>
      </c>
      <c r="AGI4" s="172">
        <f>IF(WEEKDAY(AGI6,12)&gt;=6,0,SUMIFS(tblProjectSchedule[[Skilled]:[Skilled]],tblProjectSchedule[[Start]:[Start]],"&lt;="&amp;AGI6,tblProjectSchedule[[Finish]:[Finish]],"&gt;="&amp;AGI6)+SUMIFS(tblProjectSchedule[[Helpers]:[Helpers]],tblProjectSchedule[[Start]:[Start]],"&lt;="&amp;AGI6,tblProjectSchedule[[Finish]:[Finish]],"&gt;="&amp;AGI6))</f>
        <v>0</v>
      </c>
      <c r="AGJ4" s="172">
        <f>IF(WEEKDAY(AGJ6,12)&gt;=6,0,SUMIFS(tblProjectSchedule[[Skilled]:[Skilled]],tblProjectSchedule[[Start]:[Start]],"&lt;="&amp;AGJ6,tblProjectSchedule[[Finish]:[Finish]],"&gt;="&amp;AGJ6)+SUMIFS(tblProjectSchedule[[Helpers]:[Helpers]],tblProjectSchedule[[Start]:[Start]],"&lt;="&amp;AGJ6,tblProjectSchedule[[Finish]:[Finish]],"&gt;="&amp;AGJ6))</f>
        <v>0</v>
      </c>
      <c r="AGK4" s="172">
        <f>IF(WEEKDAY(AGK6,12)&gt;=6,0,SUMIFS(tblProjectSchedule[[Skilled]:[Skilled]],tblProjectSchedule[[Start]:[Start]],"&lt;="&amp;AGK6,tblProjectSchedule[[Finish]:[Finish]],"&gt;="&amp;AGK6)+SUMIFS(tblProjectSchedule[[Helpers]:[Helpers]],tblProjectSchedule[[Start]:[Start]],"&lt;="&amp;AGK6,tblProjectSchedule[[Finish]:[Finish]],"&gt;="&amp;AGK6))</f>
        <v>0</v>
      </c>
      <c r="AGL4" s="172">
        <f>IF(WEEKDAY(AGL6,12)&gt;=6,0,SUMIFS(tblProjectSchedule[[Skilled]:[Skilled]],tblProjectSchedule[[Start]:[Start]],"&lt;="&amp;AGL6,tblProjectSchedule[[Finish]:[Finish]],"&gt;="&amp;AGL6)+SUMIFS(tblProjectSchedule[[Helpers]:[Helpers]],tblProjectSchedule[[Start]:[Start]],"&lt;="&amp;AGL6,tblProjectSchedule[[Finish]:[Finish]],"&gt;="&amp;AGL6))</f>
        <v>0</v>
      </c>
      <c r="AGM4" s="174">
        <f>IF(WEEKDAY(AGM6,12)&gt;=6,0,SUMIFS(tblProjectSchedule[[Skilled]:[Skilled]],tblProjectSchedule[[Start]:[Start]],"&lt;="&amp;AGM6,tblProjectSchedule[[Finish]:[Finish]],"&gt;="&amp;AGM6)+SUMIFS(tblProjectSchedule[[Helpers]:[Helpers]],tblProjectSchedule[[Start]:[Start]],"&lt;="&amp;AGM6,tblProjectSchedule[[Finish]:[Finish]],"&gt;="&amp;AGM6))</f>
        <v>0</v>
      </c>
      <c r="AGN4" s="173">
        <f>IF(WEEKDAY(AGN6,12)&gt;=6,0,SUMIFS(tblProjectSchedule[[Skilled]:[Skilled]],tblProjectSchedule[[Start]:[Start]],"&lt;="&amp;AGN6,tblProjectSchedule[[Finish]:[Finish]],"&gt;="&amp;AGN6)+SUMIFS(tblProjectSchedule[[Helpers]:[Helpers]],tblProjectSchedule[[Start]:[Start]],"&lt;="&amp;AGN6,tblProjectSchedule[[Finish]:[Finish]],"&gt;="&amp;AGN6))</f>
        <v>0</v>
      </c>
      <c r="AGO4" s="172">
        <f>IF(WEEKDAY(AGO6,12)&gt;=6,0,SUMIFS(tblProjectSchedule[[Skilled]:[Skilled]],tblProjectSchedule[[Start]:[Start]],"&lt;="&amp;AGO6,tblProjectSchedule[[Finish]:[Finish]],"&gt;="&amp;AGO6)+SUMIFS(tblProjectSchedule[[Helpers]:[Helpers]],tblProjectSchedule[[Start]:[Start]],"&lt;="&amp;AGO6,tblProjectSchedule[[Finish]:[Finish]],"&gt;="&amp;AGO6))</f>
        <v>0</v>
      </c>
      <c r="AGP4" s="172">
        <f>IF(WEEKDAY(AGP6,12)&gt;=6,0,SUMIFS(tblProjectSchedule[[Skilled]:[Skilled]],tblProjectSchedule[[Start]:[Start]],"&lt;="&amp;AGP6,tblProjectSchedule[[Finish]:[Finish]],"&gt;="&amp;AGP6)+SUMIFS(tblProjectSchedule[[Helpers]:[Helpers]],tblProjectSchedule[[Start]:[Start]],"&lt;="&amp;AGP6,tblProjectSchedule[[Finish]:[Finish]],"&gt;="&amp;AGP6))</f>
        <v>0</v>
      </c>
      <c r="AGQ4" s="172">
        <f>IF(WEEKDAY(AGQ6,12)&gt;=6,0,SUMIFS(tblProjectSchedule[[Skilled]:[Skilled]],tblProjectSchedule[[Start]:[Start]],"&lt;="&amp;AGQ6,tblProjectSchedule[[Finish]:[Finish]],"&gt;="&amp;AGQ6)+SUMIFS(tblProjectSchedule[[Helpers]:[Helpers]],tblProjectSchedule[[Start]:[Start]],"&lt;="&amp;AGQ6,tblProjectSchedule[[Finish]:[Finish]],"&gt;="&amp;AGQ6))</f>
        <v>0</v>
      </c>
      <c r="AGR4" s="172">
        <f>IF(WEEKDAY(AGR6,12)&gt;=6,0,SUMIFS(tblProjectSchedule[[Skilled]:[Skilled]],tblProjectSchedule[[Start]:[Start]],"&lt;="&amp;AGR6,tblProjectSchedule[[Finish]:[Finish]],"&gt;="&amp;AGR6)+SUMIFS(tblProjectSchedule[[Helpers]:[Helpers]],tblProjectSchedule[[Start]:[Start]],"&lt;="&amp;AGR6,tblProjectSchedule[[Finish]:[Finish]],"&gt;="&amp;AGR6))</f>
        <v>0</v>
      </c>
      <c r="AGS4" s="172">
        <f>IF(WEEKDAY(AGS6,12)&gt;=6,0,SUMIFS(tblProjectSchedule[[Skilled]:[Skilled]],tblProjectSchedule[[Start]:[Start]],"&lt;="&amp;AGS6,tblProjectSchedule[[Finish]:[Finish]],"&gt;="&amp;AGS6)+SUMIFS(tblProjectSchedule[[Helpers]:[Helpers]],tblProjectSchedule[[Start]:[Start]],"&lt;="&amp;AGS6,tblProjectSchedule[[Finish]:[Finish]],"&gt;="&amp;AGS6))</f>
        <v>0</v>
      </c>
      <c r="AGT4" s="174">
        <f>IF(WEEKDAY(AGT6,12)&gt;=6,0,SUMIFS(tblProjectSchedule[[Skilled]:[Skilled]],tblProjectSchedule[[Start]:[Start]],"&lt;="&amp;AGT6,tblProjectSchedule[[Finish]:[Finish]],"&gt;="&amp;AGT6)+SUMIFS(tblProjectSchedule[[Helpers]:[Helpers]],tblProjectSchedule[[Start]:[Start]],"&lt;="&amp;AGT6,tblProjectSchedule[[Finish]:[Finish]],"&gt;="&amp;AGT6))</f>
        <v>0</v>
      </c>
      <c r="AGU4" s="173">
        <f>IF(WEEKDAY(AGU6,12)&gt;=6,0,SUMIFS(tblProjectSchedule[[Skilled]:[Skilled]],tblProjectSchedule[[Start]:[Start]],"&lt;="&amp;AGU6,tblProjectSchedule[[Finish]:[Finish]],"&gt;="&amp;AGU6)+SUMIFS(tblProjectSchedule[[Helpers]:[Helpers]],tblProjectSchedule[[Start]:[Start]],"&lt;="&amp;AGU6,tblProjectSchedule[[Finish]:[Finish]],"&gt;="&amp;AGU6))</f>
        <v>0</v>
      </c>
      <c r="AGV4" s="172">
        <f>IF(WEEKDAY(AGV6,12)&gt;=6,0,SUMIFS(tblProjectSchedule[[Skilled]:[Skilled]],tblProjectSchedule[[Start]:[Start]],"&lt;="&amp;AGV6,tblProjectSchedule[[Finish]:[Finish]],"&gt;="&amp;AGV6)+SUMIFS(tblProjectSchedule[[Helpers]:[Helpers]],tblProjectSchedule[[Start]:[Start]],"&lt;="&amp;AGV6,tblProjectSchedule[[Finish]:[Finish]],"&gt;="&amp;AGV6))</f>
        <v>0</v>
      </c>
      <c r="AGW4" s="172">
        <f>IF(WEEKDAY(AGW6,12)&gt;=6,0,SUMIFS(tblProjectSchedule[[Skilled]:[Skilled]],tblProjectSchedule[[Start]:[Start]],"&lt;="&amp;AGW6,tblProjectSchedule[[Finish]:[Finish]],"&gt;="&amp;AGW6)+SUMIFS(tblProjectSchedule[[Helpers]:[Helpers]],tblProjectSchedule[[Start]:[Start]],"&lt;="&amp;AGW6,tblProjectSchedule[[Finish]:[Finish]],"&gt;="&amp;AGW6))</f>
        <v>0</v>
      </c>
      <c r="AGX4" s="172">
        <f>IF(WEEKDAY(AGX6,12)&gt;=6,0,SUMIFS(tblProjectSchedule[[Skilled]:[Skilled]],tblProjectSchedule[[Start]:[Start]],"&lt;="&amp;AGX6,tblProjectSchedule[[Finish]:[Finish]],"&gt;="&amp;AGX6)+SUMIFS(tblProjectSchedule[[Helpers]:[Helpers]],tblProjectSchedule[[Start]:[Start]],"&lt;="&amp;AGX6,tblProjectSchedule[[Finish]:[Finish]],"&gt;="&amp;AGX6))</f>
        <v>0</v>
      </c>
      <c r="AGY4" s="172">
        <f>IF(WEEKDAY(AGY6,12)&gt;=6,0,SUMIFS(tblProjectSchedule[[Skilled]:[Skilled]],tblProjectSchedule[[Start]:[Start]],"&lt;="&amp;AGY6,tblProjectSchedule[[Finish]:[Finish]],"&gt;="&amp;AGY6)+SUMIFS(tblProjectSchedule[[Helpers]:[Helpers]],tblProjectSchedule[[Start]:[Start]],"&lt;="&amp;AGY6,tblProjectSchedule[[Finish]:[Finish]],"&gt;="&amp;AGY6))</f>
        <v>0</v>
      </c>
      <c r="AGZ4" s="172">
        <f>IF(WEEKDAY(AGZ6,12)&gt;=6,0,SUMIFS(tblProjectSchedule[[Skilled]:[Skilled]],tblProjectSchedule[[Start]:[Start]],"&lt;="&amp;AGZ6,tblProjectSchedule[[Finish]:[Finish]],"&gt;="&amp;AGZ6)+SUMIFS(tblProjectSchedule[[Helpers]:[Helpers]],tblProjectSchedule[[Start]:[Start]],"&lt;="&amp;AGZ6,tblProjectSchedule[[Finish]:[Finish]],"&gt;="&amp;AGZ6))</f>
        <v>0</v>
      </c>
      <c r="AHA4" s="174">
        <f>IF(WEEKDAY(AHA6,12)&gt;=6,0,SUMIFS(tblProjectSchedule[[Skilled]:[Skilled]],tblProjectSchedule[[Start]:[Start]],"&lt;="&amp;AHA6,tblProjectSchedule[[Finish]:[Finish]],"&gt;="&amp;AHA6)+SUMIFS(tblProjectSchedule[[Helpers]:[Helpers]],tblProjectSchedule[[Start]:[Start]],"&lt;="&amp;AHA6,tblProjectSchedule[[Finish]:[Finish]],"&gt;="&amp;AHA6))</f>
        <v>0</v>
      </c>
      <c r="AHB4" s="173">
        <f>IF(WEEKDAY(AHB6,12)&gt;=6,0,SUMIFS(tblProjectSchedule[[Skilled]:[Skilled]],tblProjectSchedule[[Start]:[Start]],"&lt;="&amp;AHB6,tblProjectSchedule[[Finish]:[Finish]],"&gt;="&amp;AHB6)+SUMIFS(tblProjectSchedule[[Helpers]:[Helpers]],tblProjectSchedule[[Start]:[Start]],"&lt;="&amp;AHB6,tblProjectSchedule[[Finish]:[Finish]],"&gt;="&amp;AHB6))</f>
        <v>0</v>
      </c>
      <c r="AHC4" s="172">
        <f>IF(WEEKDAY(AHC6,12)&gt;=6,0,SUMIFS(tblProjectSchedule[[Skilled]:[Skilled]],tblProjectSchedule[[Start]:[Start]],"&lt;="&amp;AHC6,tblProjectSchedule[[Finish]:[Finish]],"&gt;="&amp;AHC6)+SUMIFS(tblProjectSchedule[[Helpers]:[Helpers]],tblProjectSchedule[[Start]:[Start]],"&lt;="&amp;AHC6,tblProjectSchedule[[Finish]:[Finish]],"&gt;="&amp;AHC6))</f>
        <v>0</v>
      </c>
      <c r="AHD4" s="172">
        <f>IF(WEEKDAY(AHD6,12)&gt;=6,0,SUMIFS(tblProjectSchedule[[Skilled]:[Skilled]],tblProjectSchedule[[Start]:[Start]],"&lt;="&amp;AHD6,tblProjectSchedule[[Finish]:[Finish]],"&gt;="&amp;AHD6)+SUMIFS(tblProjectSchedule[[Helpers]:[Helpers]],tblProjectSchedule[[Start]:[Start]],"&lt;="&amp;AHD6,tblProjectSchedule[[Finish]:[Finish]],"&gt;="&amp;AHD6))</f>
        <v>0</v>
      </c>
      <c r="AHE4" s="172">
        <f>IF(WEEKDAY(AHE6,12)&gt;=6,0,SUMIFS(tblProjectSchedule[[Skilled]:[Skilled]],tblProjectSchedule[[Start]:[Start]],"&lt;="&amp;AHE6,tblProjectSchedule[[Finish]:[Finish]],"&gt;="&amp;AHE6)+SUMIFS(tblProjectSchedule[[Helpers]:[Helpers]],tblProjectSchedule[[Start]:[Start]],"&lt;="&amp;AHE6,tblProjectSchedule[[Finish]:[Finish]],"&gt;="&amp;AHE6))</f>
        <v>0</v>
      </c>
      <c r="AHF4" s="172">
        <f>IF(WEEKDAY(AHF6,12)&gt;=6,0,SUMIFS(tblProjectSchedule[[Skilled]:[Skilled]],tblProjectSchedule[[Start]:[Start]],"&lt;="&amp;AHF6,tblProjectSchedule[[Finish]:[Finish]],"&gt;="&amp;AHF6)+SUMIFS(tblProjectSchedule[[Helpers]:[Helpers]],tblProjectSchedule[[Start]:[Start]],"&lt;="&amp;AHF6,tblProjectSchedule[[Finish]:[Finish]],"&gt;="&amp;AHF6))</f>
        <v>0</v>
      </c>
      <c r="AHG4" s="172">
        <f>IF(WEEKDAY(AHG6,12)&gt;=6,0,SUMIFS(tblProjectSchedule[[Skilled]:[Skilled]],tblProjectSchedule[[Start]:[Start]],"&lt;="&amp;AHG6,tblProjectSchedule[[Finish]:[Finish]],"&gt;="&amp;AHG6)+SUMIFS(tblProjectSchedule[[Helpers]:[Helpers]],tblProjectSchedule[[Start]:[Start]],"&lt;="&amp;AHG6,tblProjectSchedule[[Finish]:[Finish]],"&gt;="&amp;AHG6))</f>
        <v>0</v>
      </c>
      <c r="AHH4" s="174">
        <f>IF(WEEKDAY(AHH6,12)&gt;=6,0,SUMIFS(tblProjectSchedule[[Skilled]:[Skilled]],tblProjectSchedule[[Start]:[Start]],"&lt;="&amp;AHH6,tblProjectSchedule[[Finish]:[Finish]],"&gt;="&amp;AHH6)+SUMIFS(tblProjectSchedule[[Helpers]:[Helpers]],tblProjectSchedule[[Start]:[Start]],"&lt;="&amp;AHH6,tblProjectSchedule[[Finish]:[Finish]],"&gt;="&amp;AHH6))</f>
        <v>0</v>
      </c>
      <c r="AHI4" s="173">
        <f>IF(WEEKDAY(AHI6,12)&gt;=6,0,SUMIFS(tblProjectSchedule[[Skilled]:[Skilled]],tblProjectSchedule[[Start]:[Start]],"&lt;="&amp;AHI6,tblProjectSchedule[[Finish]:[Finish]],"&gt;="&amp;AHI6)+SUMIFS(tblProjectSchedule[[Helpers]:[Helpers]],tblProjectSchedule[[Start]:[Start]],"&lt;="&amp;AHI6,tblProjectSchedule[[Finish]:[Finish]],"&gt;="&amp;AHI6))</f>
        <v>0</v>
      </c>
      <c r="AHJ4" s="172">
        <f>IF(WEEKDAY(AHJ6,12)&gt;=6,0,SUMIFS(tblProjectSchedule[[Skilled]:[Skilled]],tblProjectSchedule[[Start]:[Start]],"&lt;="&amp;AHJ6,tblProjectSchedule[[Finish]:[Finish]],"&gt;="&amp;AHJ6)+SUMIFS(tblProjectSchedule[[Helpers]:[Helpers]],tblProjectSchedule[[Start]:[Start]],"&lt;="&amp;AHJ6,tblProjectSchedule[[Finish]:[Finish]],"&gt;="&amp;AHJ6))</f>
        <v>0</v>
      </c>
      <c r="AHK4" s="172">
        <f>IF(WEEKDAY(AHK6,12)&gt;=6,0,SUMIFS(tblProjectSchedule[[Skilled]:[Skilled]],tblProjectSchedule[[Start]:[Start]],"&lt;="&amp;AHK6,tblProjectSchedule[[Finish]:[Finish]],"&gt;="&amp;AHK6)+SUMIFS(tblProjectSchedule[[Helpers]:[Helpers]],tblProjectSchedule[[Start]:[Start]],"&lt;="&amp;AHK6,tblProjectSchedule[[Finish]:[Finish]],"&gt;="&amp;AHK6))</f>
        <v>0</v>
      </c>
      <c r="AHL4" s="172">
        <f>IF(WEEKDAY(AHL6,12)&gt;=6,0,SUMIFS(tblProjectSchedule[[Skilled]:[Skilled]],tblProjectSchedule[[Start]:[Start]],"&lt;="&amp;AHL6,tblProjectSchedule[[Finish]:[Finish]],"&gt;="&amp;AHL6)+SUMIFS(tblProjectSchedule[[Helpers]:[Helpers]],tblProjectSchedule[[Start]:[Start]],"&lt;="&amp;AHL6,tblProjectSchedule[[Finish]:[Finish]],"&gt;="&amp;AHL6))</f>
        <v>0</v>
      </c>
      <c r="AHM4" s="172">
        <f>IF(WEEKDAY(AHM6,12)&gt;=6,0,SUMIFS(tblProjectSchedule[[Skilled]:[Skilled]],tblProjectSchedule[[Start]:[Start]],"&lt;="&amp;AHM6,tblProjectSchedule[[Finish]:[Finish]],"&gt;="&amp;AHM6)+SUMIFS(tblProjectSchedule[[Helpers]:[Helpers]],tblProjectSchedule[[Start]:[Start]],"&lt;="&amp;AHM6,tblProjectSchedule[[Finish]:[Finish]],"&gt;="&amp;AHM6))</f>
        <v>0</v>
      </c>
      <c r="AHN4" s="172">
        <f>IF(WEEKDAY(AHN6,12)&gt;=6,0,SUMIFS(tblProjectSchedule[[Skilled]:[Skilled]],tblProjectSchedule[[Start]:[Start]],"&lt;="&amp;AHN6,tblProjectSchedule[[Finish]:[Finish]],"&gt;="&amp;AHN6)+SUMIFS(tblProjectSchedule[[Helpers]:[Helpers]],tblProjectSchedule[[Start]:[Start]],"&lt;="&amp;AHN6,tblProjectSchedule[[Finish]:[Finish]],"&gt;="&amp;AHN6))</f>
        <v>0</v>
      </c>
      <c r="AHO4" s="174">
        <f>IF(WEEKDAY(AHO6,12)&gt;=6,0,SUMIFS(tblProjectSchedule[[Skilled]:[Skilled]],tblProjectSchedule[[Start]:[Start]],"&lt;="&amp;AHO6,tblProjectSchedule[[Finish]:[Finish]],"&gt;="&amp;AHO6)+SUMIFS(tblProjectSchedule[[Helpers]:[Helpers]],tblProjectSchedule[[Start]:[Start]],"&lt;="&amp;AHO6,tblProjectSchedule[[Finish]:[Finish]],"&gt;="&amp;AHO6))</f>
        <v>0</v>
      </c>
      <c r="AHP4" s="173">
        <f>IF(WEEKDAY(AHP6,12)&gt;=6,0,SUMIFS(tblProjectSchedule[[Skilled]:[Skilled]],tblProjectSchedule[[Start]:[Start]],"&lt;="&amp;AHP6,tblProjectSchedule[[Finish]:[Finish]],"&gt;="&amp;AHP6)+SUMIFS(tblProjectSchedule[[Helpers]:[Helpers]],tblProjectSchedule[[Start]:[Start]],"&lt;="&amp;AHP6,tblProjectSchedule[[Finish]:[Finish]],"&gt;="&amp;AHP6))</f>
        <v>0</v>
      </c>
      <c r="AHQ4" s="172">
        <f>IF(WEEKDAY(AHQ6,12)&gt;=6,0,SUMIFS(tblProjectSchedule[[Skilled]:[Skilled]],tblProjectSchedule[[Start]:[Start]],"&lt;="&amp;AHQ6,tblProjectSchedule[[Finish]:[Finish]],"&gt;="&amp;AHQ6)+SUMIFS(tblProjectSchedule[[Helpers]:[Helpers]],tblProjectSchedule[[Start]:[Start]],"&lt;="&amp;AHQ6,tblProjectSchedule[[Finish]:[Finish]],"&gt;="&amp;AHQ6))</f>
        <v>0</v>
      </c>
      <c r="AHR4" s="172">
        <f>IF(WEEKDAY(AHR6,12)&gt;=6,0,SUMIFS(tblProjectSchedule[[Skilled]:[Skilled]],tblProjectSchedule[[Start]:[Start]],"&lt;="&amp;AHR6,tblProjectSchedule[[Finish]:[Finish]],"&gt;="&amp;AHR6)+SUMIFS(tblProjectSchedule[[Helpers]:[Helpers]],tblProjectSchedule[[Start]:[Start]],"&lt;="&amp;AHR6,tblProjectSchedule[[Finish]:[Finish]],"&gt;="&amp;AHR6))</f>
        <v>0</v>
      </c>
      <c r="AHS4" s="172">
        <f>IF(WEEKDAY(AHS6,12)&gt;=6,0,SUMIFS(tblProjectSchedule[[Skilled]:[Skilled]],tblProjectSchedule[[Start]:[Start]],"&lt;="&amp;AHS6,tblProjectSchedule[[Finish]:[Finish]],"&gt;="&amp;AHS6)+SUMIFS(tblProjectSchedule[[Helpers]:[Helpers]],tblProjectSchedule[[Start]:[Start]],"&lt;="&amp;AHS6,tblProjectSchedule[[Finish]:[Finish]],"&gt;="&amp;AHS6))</f>
        <v>0</v>
      </c>
      <c r="AHT4" s="172">
        <f>IF(WEEKDAY(AHT6,12)&gt;=6,0,SUMIFS(tblProjectSchedule[[Skilled]:[Skilled]],tblProjectSchedule[[Start]:[Start]],"&lt;="&amp;AHT6,tblProjectSchedule[[Finish]:[Finish]],"&gt;="&amp;AHT6)+SUMIFS(tblProjectSchedule[[Helpers]:[Helpers]],tblProjectSchedule[[Start]:[Start]],"&lt;="&amp;AHT6,tblProjectSchedule[[Finish]:[Finish]],"&gt;="&amp;AHT6))</f>
        <v>0</v>
      </c>
      <c r="AHU4" s="172">
        <f>IF(WEEKDAY(AHU6,12)&gt;=6,0,SUMIFS(tblProjectSchedule[[Skilled]:[Skilled]],tblProjectSchedule[[Start]:[Start]],"&lt;="&amp;AHU6,tblProjectSchedule[[Finish]:[Finish]],"&gt;="&amp;AHU6)+SUMIFS(tblProjectSchedule[[Helpers]:[Helpers]],tblProjectSchedule[[Start]:[Start]],"&lt;="&amp;AHU6,tblProjectSchedule[[Finish]:[Finish]],"&gt;="&amp;AHU6))</f>
        <v>0</v>
      </c>
      <c r="AHV4" s="174">
        <f>IF(WEEKDAY(AHV6,12)&gt;=6,0,SUMIFS(tblProjectSchedule[[Skilled]:[Skilled]],tblProjectSchedule[[Start]:[Start]],"&lt;="&amp;AHV6,tblProjectSchedule[[Finish]:[Finish]],"&gt;="&amp;AHV6)+SUMIFS(tblProjectSchedule[[Helpers]:[Helpers]],tblProjectSchedule[[Start]:[Start]],"&lt;="&amp;AHV6,tblProjectSchedule[[Finish]:[Finish]],"&gt;="&amp;AHV6))</f>
        <v>0</v>
      </c>
      <c r="AHW4" s="173">
        <f>IF(WEEKDAY(AHW6,12)&gt;=6,0,SUMIFS(tblProjectSchedule[[Skilled]:[Skilled]],tblProjectSchedule[[Start]:[Start]],"&lt;="&amp;AHW6,tblProjectSchedule[[Finish]:[Finish]],"&gt;="&amp;AHW6)+SUMIFS(tblProjectSchedule[[Helpers]:[Helpers]],tblProjectSchedule[[Start]:[Start]],"&lt;="&amp;AHW6,tblProjectSchedule[[Finish]:[Finish]],"&gt;="&amp;AHW6))</f>
        <v>0</v>
      </c>
      <c r="AHX4" s="172">
        <f>IF(WEEKDAY(AHX6,12)&gt;=6,0,SUMIFS(tblProjectSchedule[[Skilled]:[Skilled]],tblProjectSchedule[[Start]:[Start]],"&lt;="&amp;AHX6,tblProjectSchedule[[Finish]:[Finish]],"&gt;="&amp;AHX6)+SUMIFS(tblProjectSchedule[[Helpers]:[Helpers]],tblProjectSchedule[[Start]:[Start]],"&lt;="&amp;AHX6,tblProjectSchedule[[Finish]:[Finish]],"&gt;="&amp;AHX6))</f>
        <v>0</v>
      </c>
      <c r="AHY4" s="172">
        <f>IF(WEEKDAY(AHY6,12)&gt;=6,0,SUMIFS(tblProjectSchedule[[Skilled]:[Skilled]],tblProjectSchedule[[Start]:[Start]],"&lt;="&amp;AHY6,tblProjectSchedule[[Finish]:[Finish]],"&gt;="&amp;AHY6)+SUMIFS(tblProjectSchedule[[Helpers]:[Helpers]],tblProjectSchedule[[Start]:[Start]],"&lt;="&amp;AHY6,tblProjectSchedule[[Finish]:[Finish]],"&gt;="&amp;AHY6))</f>
        <v>0</v>
      </c>
      <c r="AHZ4" s="172">
        <f>IF(WEEKDAY(AHZ6,12)&gt;=6,0,SUMIFS(tblProjectSchedule[[Skilled]:[Skilled]],tblProjectSchedule[[Start]:[Start]],"&lt;="&amp;AHZ6,tblProjectSchedule[[Finish]:[Finish]],"&gt;="&amp;AHZ6)+SUMIFS(tblProjectSchedule[[Helpers]:[Helpers]],tblProjectSchedule[[Start]:[Start]],"&lt;="&amp;AHZ6,tblProjectSchedule[[Finish]:[Finish]],"&gt;="&amp;AHZ6))</f>
        <v>0</v>
      </c>
      <c r="AIA4" s="172">
        <f>IF(WEEKDAY(AIA6,12)&gt;=6,0,SUMIFS(tblProjectSchedule[[Skilled]:[Skilled]],tblProjectSchedule[[Start]:[Start]],"&lt;="&amp;AIA6,tblProjectSchedule[[Finish]:[Finish]],"&gt;="&amp;AIA6)+SUMIFS(tblProjectSchedule[[Helpers]:[Helpers]],tblProjectSchedule[[Start]:[Start]],"&lt;="&amp;AIA6,tblProjectSchedule[[Finish]:[Finish]],"&gt;="&amp;AIA6))</f>
        <v>0</v>
      </c>
      <c r="AIB4" s="172">
        <f>IF(WEEKDAY(AIB6,12)&gt;=6,0,SUMIFS(tblProjectSchedule[[Skilled]:[Skilled]],tblProjectSchedule[[Start]:[Start]],"&lt;="&amp;AIB6,tblProjectSchedule[[Finish]:[Finish]],"&gt;="&amp;AIB6)+SUMIFS(tblProjectSchedule[[Helpers]:[Helpers]],tblProjectSchedule[[Start]:[Start]],"&lt;="&amp;AIB6,tblProjectSchedule[[Finish]:[Finish]],"&gt;="&amp;AIB6))</f>
        <v>0</v>
      </c>
      <c r="AIC4" s="174">
        <f>IF(WEEKDAY(AIC6,12)&gt;=6,0,SUMIFS(tblProjectSchedule[[Skilled]:[Skilled]],tblProjectSchedule[[Start]:[Start]],"&lt;="&amp;AIC6,tblProjectSchedule[[Finish]:[Finish]],"&gt;="&amp;AIC6)+SUMIFS(tblProjectSchedule[[Helpers]:[Helpers]],tblProjectSchedule[[Start]:[Start]],"&lt;="&amp;AIC6,tblProjectSchedule[[Finish]:[Finish]],"&gt;="&amp;AIC6))</f>
        <v>0</v>
      </c>
      <c r="AID4" s="173">
        <f>IF(WEEKDAY(AID6,12)&gt;=6,0,SUMIFS(tblProjectSchedule[[Skilled]:[Skilled]],tblProjectSchedule[[Start]:[Start]],"&lt;="&amp;AID6,tblProjectSchedule[[Finish]:[Finish]],"&gt;="&amp;AID6)+SUMIFS(tblProjectSchedule[[Helpers]:[Helpers]],tblProjectSchedule[[Start]:[Start]],"&lt;="&amp;AID6,tblProjectSchedule[[Finish]:[Finish]],"&gt;="&amp;AID6))</f>
        <v>0</v>
      </c>
      <c r="AIE4" s="172">
        <f>IF(WEEKDAY(AIE6,12)&gt;=6,0,SUMIFS(tblProjectSchedule[[Skilled]:[Skilled]],tblProjectSchedule[[Start]:[Start]],"&lt;="&amp;AIE6,tblProjectSchedule[[Finish]:[Finish]],"&gt;="&amp;AIE6)+SUMIFS(tblProjectSchedule[[Helpers]:[Helpers]],tblProjectSchedule[[Start]:[Start]],"&lt;="&amp;AIE6,tblProjectSchedule[[Finish]:[Finish]],"&gt;="&amp;AIE6))</f>
        <v>0</v>
      </c>
      <c r="AIF4" s="172">
        <f>IF(WEEKDAY(AIF6,12)&gt;=6,0,SUMIFS(tblProjectSchedule[[Skilled]:[Skilled]],tblProjectSchedule[[Start]:[Start]],"&lt;="&amp;AIF6,tblProjectSchedule[[Finish]:[Finish]],"&gt;="&amp;AIF6)+SUMIFS(tblProjectSchedule[[Helpers]:[Helpers]],tblProjectSchedule[[Start]:[Start]],"&lt;="&amp;AIF6,tblProjectSchedule[[Finish]:[Finish]],"&gt;="&amp;AIF6))</f>
        <v>0</v>
      </c>
      <c r="AIG4" s="172">
        <f>IF(WEEKDAY(AIG6,12)&gt;=6,0,SUMIFS(tblProjectSchedule[[Skilled]:[Skilled]],tblProjectSchedule[[Start]:[Start]],"&lt;="&amp;AIG6,tblProjectSchedule[[Finish]:[Finish]],"&gt;="&amp;AIG6)+SUMIFS(tblProjectSchedule[[Helpers]:[Helpers]],tblProjectSchedule[[Start]:[Start]],"&lt;="&amp;AIG6,tblProjectSchedule[[Finish]:[Finish]],"&gt;="&amp;AIG6))</f>
        <v>0</v>
      </c>
      <c r="AIH4" s="172">
        <f>IF(WEEKDAY(AIH6,12)&gt;=6,0,SUMIFS(tblProjectSchedule[[Skilled]:[Skilled]],tblProjectSchedule[[Start]:[Start]],"&lt;="&amp;AIH6,tblProjectSchedule[[Finish]:[Finish]],"&gt;="&amp;AIH6)+SUMIFS(tblProjectSchedule[[Helpers]:[Helpers]],tblProjectSchedule[[Start]:[Start]],"&lt;="&amp;AIH6,tblProjectSchedule[[Finish]:[Finish]],"&gt;="&amp;AIH6))</f>
        <v>0</v>
      </c>
      <c r="AII4" s="172">
        <f>IF(WEEKDAY(AII6,12)&gt;=6,0,SUMIFS(tblProjectSchedule[[Skilled]:[Skilled]],tblProjectSchedule[[Start]:[Start]],"&lt;="&amp;AII6,tblProjectSchedule[[Finish]:[Finish]],"&gt;="&amp;AII6)+SUMIFS(tblProjectSchedule[[Helpers]:[Helpers]],tblProjectSchedule[[Start]:[Start]],"&lt;="&amp;AII6,tblProjectSchedule[[Finish]:[Finish]],"&gt;="&amp;AII6))</f>
        <v>0</v>
      </c>
      <c r="AIJ4" s="174">
        <f>IF(WEEKDAY(AIJ6,12)&gt;=6,0,SUMIFS(tblProjectSchedule[[Skilled]:[Skilled]],tblProjectSchedule[[Start]:[Start]],"&lt;="&amp;AIJ6,tblProjectSchedule[[Finish]:[Finish]],"&gt;="&amp;AIJ6)+SUMIFS(tblProjectSchedule[[Helpers]:[Helpers]],tblProjectSchedule[[Start]:[Start]],"&lt;="&amp;AIJ6,tblProjectSchedule[[Finish]:[Finish]],"&gt;="&amp;AIJ6))</f>
        <v>0</v>
      </c>
      <c r="AIK4" s="173">
        <f>IF(WEEKDAY(AIK6,12)&gt;=6,0,SUMIFS(tblProjectSchedule[[Skilled]:[Skilled]],tblProjectSchedule[[Start]:[Start]],"&lt;="&amp;AIK6,tblProjectSchedule[[Finish]:[Finish]],"&gt;="&amp;AIK6)+SUMIFS(tblProjectSchedule[[Helpers]:[Helpers]],tblProjectSchedule[[Start]:[Start]],"&lt;="&amp;AIK6,tblProjectSchedule[[Finish]:[Finish]],"&gt;="&amp;AIK6))</f>
        <v>0</v>
      </c>
      <c r="AIL4" s="172">
        <f>IF(WEEKDAY(AIL6,12)&gt;=6,0,SUMIFS(tblProjectSchedule[[Skilled]:[Skilled]],tblProjectSchedule[[Start]:[Start]],"&lt;="&amp;AIL6,tblProjectSchedule[[Finish]:[Finish]],"&gt;="&amp;AIL6)+SUMIFS(tblProjectSchedule[[Helpers]:[Helpers]],tblProjectSchedule[[Start]:[Start]],"&lt;="&amp;AIL6,tblProjectSchedule[[Finish]:[Finish]],"&gt;="&amp;AIL6))</f>
        <v>0</v>
      </c>
      <c r="AIM4" s="172">
        <f>IF(WEEKDAY(AIM6,12)&gt;=6,0,SUMIFS(tblProjectSchedule[[Skilled]:[Skilled]],tblProjectSchedule[[Start]:[Start]],"&lt;="&amp;AIM6,tblProjectSchedule[[Finish]:[Finish]],"&gt;="&amp;AIM6)+SUMIFS(tblProjectSchedule[[Helpers]:[Helpers]],tblProjectSchedule[[Start]:[Start]],"&lt;="&amp;AIM6,tblProjectSchedule[[Finish]:[Finish]],"&gt;="&amp;AIM6))</f>
        <v>0</v>
      </c>
      <c r="AIN4" s="172">
        <f>IF(WEEKDAY(AIN6,12)&gt;=6,0,SUMIFS(tblProjectSchedule[[Skilled]:[Skilled]],tblProjectSchedule[[Start]:[Start]],"&lt;="&amp;AIN6,tblProjectSchedule[[Finish]:[Finish]],"&gt;="&amp;AIN6)+SUMIFS(tblProjectSchedule[[Helpers]:[Helpers]],tblProjectSchedule[[Start]:[Start]],"&lt;="&amp;AIN6,tblProjectSchedule[[Finish]:[Finish]],"&gt;="&amp;AIN6))</f>
        <v>0</v>
      </c>
      <c r="AIO4" s="172">
        <f>IF(WEEKDAY(AIO6,12)&gt;=6,0,SUMIFS(tblProjectSchedule[[Skilled]:[Skilled]],tblProjectSchedule[[Start]:[Start]],"&lt;="&amp;AIO6,tblProjectSchedule[[Finish]:[Finish]],"&gt;="&amp;AIO6)+SUMIFS(tblProjectSchedule[[Helpers]:[Helpers]],tblProjectSchedule[[Start]:[Start]],"&lt;="&amp;AIO6,tblProjectSchedule[[Finish]:[Finish]],"&gt;="&amp;AIO6))</f>
        <v>0</v>
      </c>
      <c r="AIP4" s="172">
        <f>IF(WEEKDAY(AIP6,12)&gt;=6,0,SUMIFS(tblProjectSchedule[[Skilled]:[Skilled]],tblProjectSchedule[[Start]:[Start]],"&lt;="&amp;AIP6,tblProjectSchedule[[Finish]:[Finish]],"&gt;="&amp;AIP6)+SUMIFS(tblProjectSchedule[[Helpers]:[Helpers]],tblProjectSchedule[[Start]:[Start]],"&lt;="&amp;AIP6,tblProjectSchedule[[Finish]:[Finish]],"&gt;="&amp;AIP6))</f>
        <v>0</v>
      </c>
      <c r="AIQ4" s="174">
        <f>IF(WEEKDAY(AIQ6,12)&gt;=6,0,SUMIFS(tblProjectSchedule[[Skilled]:[Skilled]],tblProjectSchedule[[Start]:[Start]],"&lt;="&amp;AIQ6,tblProjectSchedule[[Finish]:[Finish]],"&gt;="&amp;AIQ6)+SUMIFS(tblProjectSchedule[[Helpers]:[Helpers]],tblProjectSchedule[[Start]:[Start]],"&lt;="&amp;AIQ6,tblProjectSchedule[[Finish]:[Finish]],"&gt;="&amp;AIQ6))</f>
        <v>0</v>
      </c>
      <c r="AIR4" s="173">
        <f>IF(WEEKDAY(AIR6,12)&gt;=6,0,SUMIFS(tblProjectSchedule[[Skilled]:[Skilled]],tblProjectSchedule[[Start]:[Start]],"&lt;="&amp;AIR6,tblProjectSchedule[[Finish]:[Finish]],"&gt;="&amp;AIR6)+SUMIFS(tblProjectSchedule[[Helpers]:[Helpers]],tblProjectSchedule[[Start]:[Start]],"&lt;="&amp;AIR6,tblProjectSchedule[[Finish]:[Finish]],"&gt;="&amp;AIR6))</f>
        <v>0</v>
      </c>
      <c r="AIS4" s="172">
        <f>IF(WEEKDAY(AIS6,12)&gt;=6,0,SUMIFS(tblProjectSchedule[[Skilled]:[Skilled]],tblProjectSchedule[[Start]:[Start]],"&lt;="&amp;AIS6,tblProjectSchedule[[Finish]:[Finish]],"&gt;="&amp;AIS6)+SUMIFS(tblProjectSchedule[[Helpers]:[Helpers]],tblProjectSchedule[[Start]:[Start]],"&lt;="&amp;AIS6,tblProjectSchedule[[Finish]:[Finish]],"&gt;="&amp;AIS6))</f>
        <v>0</v>
      </c>
      <c r="AIT4" s="172">
        <f>IF(WEEKDAY(AIT6,12)&gt;=6,0,SUMIFS(tblProjectSchedule[[Skilled]:[Skilled]],tblProjectSchedule[[Start]:[Start]],"&lt;="&amp;AIT6,tblProjectSchedule[[Finish]:[Finish]],"&gt;="&amp;AIT6)+SUMIFS(tblProjectSchedule[[Helpers]:[Helpers]],tblProjectSchedule[[Start]:[Start]],"&lt;="&amp;AIT6,tblProjectSchedule[[Finish]:[Finish]],"&gt;="&amp;AIT6))</f>
        <v>0</v>
      </c>
      <c r="AIU4" s="172">
        <f>IF(WEEKDAY(AIU6,12)&gt;=6,0,SUMIFS(tblProjectSchedule[[Skilled]:[Skilled]],tblProjectSchedule[[Start]:[Start]],"&lt;="&amp;AIU6,tblProjectSchedule[[Finish]:[Finish]],"&gt;="&amp;AIU6)+SUMIFS(tblProjectSchedule[[Helpers]:[Helpers]],tblProjectSchedule[[Start]:[Start]],"&lt;="&amp;AIU6,tblProjectSchedule[[Finish]:[Finish]],"&gt;="&amp;AIU6))</f>
        <v>0</v>
      </c>
      <c r="AIV4" s="172">
        <f>IF(WEEKDAY(AIV6,12)&gt;=6,0,SUMIFS(tblProjectSchedule[[Skilled]:[Skilled]],tblProjectSchedule[[Start]:[Start]],"&lt;="&amp;AIV6,tblProjectSchedule[[Finish]:[Finish]],"&gt;="&amp;AIV6)+SUMIFS(tblProjectSchedule[[Helpers]:[Helpers]],tblProjectSchedule[[Start]:[Start]],"&lt;="&amp;AIV6,tblProjectSchedule[[Finish]:[Finish]],"&gt;="&amp;AIV6))</f>
        <v>0</v>
      </c>
      <c r="AIW4" s="172">
        <f>IF(WEEKDAY(AIW6,12)&gt;=6,0,SUMIFS(tblProjectSchedule[[Skilled]:[Skilled]],tblProjectSchedule[[Start]:[Start]],"&lt;="&amp;AIW6,tblProjectSchedule[[Finish]:[Finish]],"&gt;="&amp;AIW6)+SUMIFS(tblProjectSchedule[[Helpers]:[Helpers]],tblProjectSchedule[[Start]:[Start]],"&lt;="&amp;AIW6,tblProjectSchedule[[Finish]:[Finish]],"&gt;="&amp;AIW6))</f>
        <v>0</v>
      </c>
      <c r="AIX4" s="174">
        <f>IF(WEEKDAY(AIX6,12)&gt;=6,0,SUMIFS(tblProjectSchedule[[Skilled]:[Skilled]],tblProjectSchedule[[Start]:[Start]],"&lt;="&amp;AIX6,tblProjectSchedule[[Finish]:[Finish]],"&gt;="&amp;AIX6)+SUMIFS(tblProjectSchedule[[Helpers]:[Helpers]],tblProjectSchedule[[Start]:[Start]],"&lt;="&amp;AIX6,tblProjectSchedule[[Finish]:[Finish]],"&gt;="&amp;AIX6))</f>
        <v>0</v>
      </c>
      <c r="AIY4" s="173">
        <f>IF(WEEKDAY(AIY6,12)&gt;=6,0,SUMIFS(tblProjectSchedule[[Skilled]:[Skilled]],tblProjectSchedule[[Start]:[Start]],"&lt;="&amp;AIY6,tblProjectSchedule[[Finish]:[Finish]],"&gt;="&amp;AIY6)+SUMIFS(tblProjectSchedule[[Helpers]:[Helpers]],tblProjectSchedule[[Start]:[Start]],"&lt;="&amp;AIY6,tblProjectSchedule[[Finish]:[Finish]],"&gt;="&amp;AIY6))</f>
        <v>0</v>
      </c>
      <c r="AIZ4" s="172">
        <f>IF(WEEKDAY(AIZ6,12)&gt;=6,0,SUMIFS(tblProjectSchedule[[Skilled]:[Skilled]],tblProjectSchedule[[Start]:[Start]],"&lt;="&amp;AIZ6,tblProjectSchedule[[Finish]:[Finish]],"&gt;="&amp;AIZ6)+SUMIFS(tblProjectSchedule[[Helpers]:[Helpers]],tblProjectSchedule[[Start]:[Start]],"&lt;="&amp;AIZ6,tblProjectSchedule[[Finish]:[Finish]],"&gt;="&amp;AIZ6))</f>
        <v>0</v>
      </c>
      <c r="AJA4" s="172">
        <f>IF(WEEKDAY(AJA6,12)&gt;=6,0,SUMIFS(tblProjectSchedule[[Skilled]:[Skilled]],tblProjectSchedule[[Start]:[Start]],"&lt;="&amp;AJA6,tblProjectSchedule[[Finish]:[Finish]],"&gt;="&amp;AJA6)+SUMIFS(tblProjectSchedule[[Helpers]:[Helpers]],tblProjectSchedule[[Start]:[Start]],"&lt;="&amp;AJA6,tblProjectSchedule[[Finish]:[Finish]],"&gt;="&amp;AJA6))</f>
        <v>0</v>
      </c>
      <c r="AJB4" s="172">
        <f>IF(WEEKDAY(AJB6,12)&gt;=6,0,SUMIFS(tblProjectSchedule[[Skilled]:[Skilled]],tblProjectSchedule[[Start]:[Start]],"&lt;="&amp;AJB6,tblProjectSchedule[[Finish]:[Finish]],"&gt;="&amp;AJB6)+SUMIFS(tblProjectSchedule[[Helpers]:[Helpers]],tblProjectSchedule[[Start]:[Start]],"&lt;="&amp;AJB6,tblProjectSchedule[[Finish]:[Finish]],"&gt;="&amp;AJB6))</f>
        <v>0</v>
      </c>
      <c r="AJC4" s="172">
        <f>IF(WEEKDAY(AJC6,12)&gt;=6,0,SUMIFS(tblProjectSchedule[[Skilled]:[Skilled]],tblProjectSchedule[[Start]:[Start]],"&lt;="&amp;AJC6,tblProjectSchedule[[Finish]:[Finish]],"&gt;="&amp;AJC6)+SUMIFS(tblProjectSchedule[[Helpers]:[Helpers]],tblProjectSchedule[[Start]:[Start]],"&lt;="&amp;AJC6,tblProjectSchedule[[Finish]:[Finish]],"&gt;="&amp;AJC6))</f>
        <v>0</v>
      </c>
      <c r="AJD4" s="172">
        <f>IF(WEEKDAY(AJD6,12)&gt;=6,0,SUMIFS(tblProjectSchedule[[Skilled]:[Skilled]],tblProjectSchedule[[Start]:[Start]],"&lt;="&amp;AJD6,tblProjectSchedule[[Finish]:[Finish]],"&gt;="&amp;AJD6)+SUMIFS(tblProjectSchedule[[Helpers]:[Helpers]],tblProjectSchedule[[Start]:[Start]],"&lt;="&amp;AJD6,tblProjectSchedule[[Finish]:[Finish]],"&gt;="&amp;AJD6))</f>
        <v>0</v>
      </c>
      <c r="AJE4" s="174">
        <f>IF(WEEKDAY(AJE6,12)&gt;=6,0,SUMIFS(tblProjectSchedule[[Skilled]:[Skilled]],tblProjectSchedule[[Start]:[Start]],"&lt;="&amp;AJE6,tblProjectSchedule[[Finish]:[Finish]],"&gt;="&amp;AJE6)+SUMIFS(tblProjectSchedule[[Helpers]:[Helpers]],tblProjectSchedule[[Start]:[Start]],"&lt;="&amp;AJE6,tblProjectSchedule[[Finish]:[Finish]],"&gt;="&amp;AJE6))</f>
        <v>0</v>
      </c>
      <c r="AJF4" s="173">
        <f>IF(WEEKDAY(AJF6,12)&gt;=6,0,SUMIFS(tblProjectSchedule[[Skilled]:[Skilled]],tblProjectSchedule[[Start]:[Start]],"&lt;="&amp;AJF6,tblProjectSchedule[[Finish]:[Finish]],"&gt;="&amp;AJF6)+SUMIFS(tblProjectSchedule[[Helpers]:[Helpers]],tblProjectSchedule[[Start]:[Start]],"&lt;="&amp;AJF6,tblProjectSchedule[[Finish]:[Finish]],"&gt;="&amp;AJF6))</f>
        <v>0</v>
      </c>
      <c r="AJG4" s="172">
        <f>IF(WEEKDAY(AJG6,12)&gt;=6,0,SUMIFS(tblProjectSchedule[[Skilled]:[Skilled]],tblProjectSchedule[[Start]:[Start]],"&lt;="&amp;AJG6,tblProjectSchedule[[Finish]:[Finish]],"&gt;="&amp;AJG6)+SUMIFS(tblProjectSchedule[[Helpers]:[Helpers]],tblProjectSchedule[[Start]:[Start]],"&lt;="&amp;AJG6,tblProjectSchedule[[Finish]:[Finish]],"&gt;="&amp;AJG6))</f>
        <v>0</v>
      </c>
      <c r="AJH4" s="172">
        <f>IF(WEEKDAY(AJH6,12)&gt;=6,0,SUMIFS(tblProjectSchedule[[Skilled]:[Skilled]],tblProjectSchedule[[Start]:[Start]],"&lt;="&amp;AJH6,tblProjectSchedule[[Finish]:[Finish]],"&gt;="&amp;AJH6)+SUMIFS(tblProjectSchedule[[Helpers]:[Helpers]],tblProjectSchedule[[Start]:[Start]],"&lt;="&amp;AJH6,tblProjectSchedule[[Finish]:[Finish]],"&gt;="&amp;AJH6))</f>
        <v>0</v>
      </c>
      <c r="AJI4" s="172">
        <f>IF(WEEKDAY(AJI6,12)&gt;=6,0,SUMIFS(tblProjectSchedule[[Skilled]:[Skilled]],tblProjectSchedule[[Start]:[Start]],"&lt;="&amp;AJI6,tblProjectSchedule[[Finish]:[Finish]],"&gt;="&amp;AJI6)+SUMIFS(tblProjectSchedule[[Helpers]:[Helpers]],tblProjectSchedule[[Start]:[Start]],"&lt;="&amp;AJI6,tblProjectSchedule[[Finish]:[Finish]],"&gt;="&amp;AJI6))</f>
        <v>0</v>
      </c>
      <c r="AJJ4" s="172">
        <f>IF(WEEKDAY(AJJ6,12)&gt;=6,0,SUMIFS(tblProjectSchedule[[Skilled]:[Skilled]],tblProjectSchedule[[Start]:[Start]],"&lt;="&amp;AJJ6,tblProjectSchedule[[Finish]:[Finish]],"&gt;="&amp;AJJ6)+SUMIFS(tblProjectSchedule[[Helpers]:[Helpers]],tblProjectSchedule[[Start]:[Start]],"&lt;="&amp;AJJ6,tblProjectSchedule[[Finish]:[Finish]],"&gt;="&amp;AJJ6))</f>
        <v>0</v>
      </c>
      <c r="AJK4" s="172">
        <f>IF(WEEKDAY(AJK6,12)&gt;=6,0,SUMIFS(tblProjectSchedule[[Skilled]:[Skilled]],tblProjectSchedule[[Start]:[Start]],"&lt;="&amp;AJK6,tblProjectSchedule[[Finish]:[Finish]],"&gt;="&amp;AJK6)+SUMIFS(tblProjectSchedule[[Helpers]:[Helpers]],tblProjectSchedule[[Start]:[Start]],"&lt;="&amp;AJK6,tblProjectSchedule[[Finish]:[Finish]],"&gt;="&amp;AJK6))</f>
        <v>0</v>
      </c>
      <c r="AJL4" s="174">
        <f>IF(WEEKDAY(AJL6,12)&gt;=6,0,SUMIFS(tblProjectSchedule[[Skilled]:[Skilled]],tblProjectSchedule[[Start]:[Start]],"&lt;="&amp;AJL6,tblProjectSchedule[[Finish]:[Finish]],"&gt;="&amp;AJL6)+SUMIFS(tblProjectSchedule[[Helpers]:[Helpers]],tblProjectSchedule[[Start]:[Start]],"&lt;="&amp;AJL6,tblProjectSchedule[[Finish]:[Finish]],"&gt;="&amp;AJL6))</f>
        <v>0</v>
      </c>
      <c r="AJM4" s="173">
        <f>IF(WEEKDAY(AJM6,12)&gt;=6,0,SUMIFS(tblProjectSchedule[[Skilled]:[Skilled]],tblProjectSchedule[[Start]:[Start]],"&lt;="&amp;AJM6,tblProjectSchedule[[Finish]:[Finish]],"&gt;="&amp;AJM6)+SUMIFS(tblProjectSchedule[[Helpers]:[Helpers]],tblProjectSchedule[[Start]:[Start]],"&lt;="&amp;AJM6,tblProjectSchedule[[Finish]:[Finish]],"&gt;="&amp;AJM6))</f>
        <v>0</v>
      </c>
      <c r="AJN4" s="172">
        <f>IF(WEEKDAY(AJN6,12)&gt;=6,0,SUMIFS(tblProjectSchedule[[Skilled]:[Skilled]],tblProjectSchedule[[Start]:[Start]],"&lt;="&amp;AJN6,tblProjectSchedule[[Finish]:[Finish]],"&gt;="&amp;AJN6)+SUMIFS(tblProjectSchedule[[Helpers]:[Helpers]],tblProjectSchedule[[Start]:[Start]],"&lt;="&amp;AJN6,tblProjectSchedule[[Finish]:[Finish]],"&gt;="&amp;AJN6))</f>
        <v>0</v>
      </c>
      <c r="AJO4" s="172">
        <f>IF(WEEKDAY(AJO6,12)&gt;=6,0,SUMIFS(tblProjectSchedule[[Skilled]:[Skilled]],tblProjectSchedule[[Start]:[Start]],"&lt;="&amp;AJO6,tblProjectSchedule[[Finish]:[Finish]],"&gt;="&amp;AJO6)+SUMIFS(tblProjectSchedule[[Helpers]:[Helpers]],tblProjectSchedule[[Start]:[Start]],"&lt;="&amp;AJO6,tblProjectSchedule[[Finish]:[Finish]],"&gt;="&amp;AJO6))</f>
        <v>0</v>
      </c>
      <c r="AJP4" s="172">
        <f>IF(WEEKDAY(AJP6,12)&gt;=6,0,SUMIFS(tblProjectSchedule[[Skilled]:[Skilled]],tblProjectSchedule[[Start]:[Start]],"&lt;="&amp;AJP6,tblProjectSchedule[[Finish]:[Finish]],"&gt;="&amp;AJP6)+SUMIFS(tblProjectSchedule[[Helpers]:[Helpers]],tblProjectSchedule[[Start]:[Start]],"&lt;="&amp;AJP6,tblProjectSchedule[[Finish]:[Finish]],"&gt;="&amp;AJP6))</f>
        <v>0</v>
      </c>
      <c r="AJQ4" s="172">
        <f>IF(WEEKDAY(AJQ6,12)&gt;=6,0,SUMIFS(tblProjectSchedule[[Skilled]:[Skilled]],tblProjectSchedule[[Start]:[Start]],"&lt;="&amp;AJQ6,tblProjectSchedule[[Finish]:[Finish]],"&gt;="&amp;AJQ6)+SUMIFS(tblProjectSchedule[[Helpers]:[Helpers]],tblProjectSchedule[[Start]:[Start]],"&lt;="&amp;AJQ6,tblProjectSchedule[[Finish]:[Finish]],"&gt;="&amp;AJQ6))</f>
        <v>0</v>
      </c>
      <c r="AJR4" s="172">
        <f>IF(WEEKDAY(AJR6,12)&gt;=6,0,SUMIFS(tblProjectSchedule[[Skilled]:[Skilled]],tblProjectSchedule[[Start]:[Start]],"&lt;="&amp;AJR6,tblProjectSchedule[[Finish]:[Finish]],"&gt;="&amp;AJR6)+SUMIFS(tblProjectSchedule[[Helpers]:[Helpers]],tblProjectSchedule[[Start]:[Start]],"&lt;="&amp;AJR6,tblProjectSchedule[[Finish]:[Finish]],"&gt;="&amp;AJR6))</f>
        <v>0</v>
      </c>
      <c r="AJS4" s="174">
        <f>IF(WEEKDAY(AJS6,12)&gt;=6,0,SUMIFS(tblProjectSchedule[[Skilled]:[Skilled]],tblProjectSchedule[[Start]:[Start]],"&lt;="&amp;AJS6,tblProjectSchedule[[Finish]:[Finish]],"&gt;="&amp;AJS6)+SUMIFS(tblProjectSchedule[[Helpers]:[Helpers]],tblProjectSchedule[[Start]:[Start]],"&lt;="&amp;AJS6,tblProjectSchedule[[Finish]:[Finish]],"&gt;="&amp;AJS6))</f>
        <v>0</v>
      </c>
      <c r="AJT4" s="173">
        <f>IF(WEEKDAY(AJT6,12)&gt;=6,0,SUMIFS(tblProjectSchedule[[Skilled]:[Skilled]],tblProjectSchedule[[Start]:[Start]],"&lt;="&amp;AJT6,tblProjectSchedule[[Finish]:[Finish]],"&gt;="&amp;AJT6)+SUMIFS(tblProjectSchedule[[Helpers]:[Helpers]],tblProjectSchedule[[Start]:[Start]],"&lt;="&amp;AJT6,tblProjectSchedule[[Finish]:[Finish]],"&gt;="&amp;AJT6))</f>
        <v>0</v>
      </c>
      <c r="AJU4" s="172">
        <f>IF(WEEKDAY(AJU6,12)&gt;=6,0,SUMIFS(tblProjectSchedule[[Skilled]:[Skilled]],tblProjectSchedule[[Start]:[Start]],"&lt;="&amp;AJU6,tblProjectSchedule[[Finish]:[Finish]],"&gt;="&amp;AJU6)+SUMIFS(tblProjectSchedule[[Helpers]:[Helpers]],tblProjectSchedule[[Start]:[Start]],"&lt;="&amp;AJU6,tblProjectSchedule[[Finish]:[Finish]],"&gt;="&amp;AJU6))</f>
        <v>0</v>
      </c>
      <c r="AJV4" s="172">
        <f>IF(WEEKDAY(AJV6,12)&gt;=6,0,SUMIFS(tblProjectSchedule[[Skilled]:[Skilled]],tblProjectSchedule[[Start]:[Start]],"&lt;="&amp;AJV6,tblProjectSchedule[[Finish]:[Finish]],"&gt;="&amp;AJV6)+SUMIFS(tblProjectSchedule[[Helpers]:[Helpers]],tblProjectSchedule[[Start]:[Start]],"&lt;="&amp;AJV6,tblProjectSchedule[[Finish]:[Finish]],"&gt;="&amp;AJV6))</f>
        <v>0</v>
      </c>
      <c r="AJW4" s="172">
        <f>IF(WEEKDAY(AJW6,12)&gt;=6,0,SUMIFS(tblProjectSchedule[[Skilled]:[Skilled]],tblProjectSchedule[[Start]:[Start]],"&lt;="&amp;AJW6,tblProjectSchedule[[Finish]:[Finish]],"&gt;="&amp;AJW6)+SUMIFS(tblProjectSchedule[[Helpers]:[Helpers]],tblProjectSchedule[[Start]:[Start]],"&lt;="&amp;AJW6,tblProjectSchedule[[Finish]:[Finish]],"&gt;="&amp;AJW6))</f>
        <v>0</v>
      </c>
      <c r="AJX4" s="172">
        <f>IF(WEEKDAY(AJX6,12)&gt;=6,0,SUMIFS(tblProjectSchedule[[Skilled]:[Skilled]],tblProjectSchedule[[Start]:[Start]],"&lt;="&amp;AJX6,tblProjectSchedule[[Finish]:[Finish]],"&gt;="&amp;AJX6)+SUMIFS(tblProjectSchedule[[Helpers]:[Helpers]],tblProjectSchedule[[Start]:[Start]],"&lt;="&amp;AJX6,tblProjectSchedule[[Finish]:[Finish]],"&gt;="&amp;AJX6))</f>
        <v>0</v>
      </c>
      <c r="AJY4" s="172">
        <f>IF(WEEKDAY(AJY6,12)&gt;=6,0,SUMIFS(tblProjectSchedule[[Skilled]:[Skilled]],tblProjectSchedule[[Start]:[Start]],"&lt;="&amp;AJY6,tblProjectSchedule[[Finish]:[Finish]],"&gt;="&amp;AJY6)+SUMIFS(tblProjectSchedule[[Helpers]:[Helpers]],tblProjectSchedule[[Start]:[Start]],"&lt;="&amp;AJY6,tblProjectSchedule[[Finish]:[Finish]],"&gt;="&amp;AJY6))</f>
        <v>0</v>
      </c>
      <c r="AJZ4" s="174">
        <f>IF(WEEKDAY(AJZ6,12)&gt;=6,0,SUMIFS(tblProjectSchedule[[Skilled]:[Skilled]],tblProjectSchedule[[Start]:[Start]],"&lt;="&amp;AJZ6,tblProjectSchedule[[Finish]:[Finish]],"&gt;="&amp;AJZ6)+SUMIFS(tblProjectSchedule[[Helpers]:[Helpers]],tblProjectSchedule[[Start]:[Start]],"&lt;="&amp;AJZ6,tblProjectSchedule[[Finish]:[Finish]],"&gt;="&amp;AJZ6))</f>
        <v>0</v>
      </c>
      <c r="AKA4" s="173">
        <f>IF(WEEKDAY(AKA6,12)&gt;=6,0,SUMIFS(tblProjectSchedule[[Skilled]:[Skilled]],tblProjectSchedule[[Start]:[Start]],"&lt;="&amp;AKA6,tblProjectSchedule[[Finish]:[Finish]],"&gt;="&amp;AKA6)+SUMIFS(tblProjectSchedule[[Helpers]:[Helpers]],tblProjectSchedule[[Start]:[Start]],"&lt;="&amp;AKA6,tblProjectSchedule[[Finish]:[Finish]],"&gt;="&amp;AKA6))</f>
        <v>0</v>
      </c>
      <c r="AKB4" s="172">
        <f>IF(WEEKDAY(AKB6,12)&gt;=6,0,SUMIFS(tblProjectSchedule[[Skilled]:[Skilled]],tblProjectSchedule[[Start]:[Start]],"&lt;="&amp;AKB6,tblProjectSchedule[[Finish]:[Finish]],"&gt;="&amp;AKB6)+SUMIFS(tblProjectSchedule[[Helpers]:[Helpers]],tblProjectSchedule[[Start]:[Start]],"&lt;="&amp;AKB6,tblProjectSchedule[[Finish]:[Finish]],"&gt;="&amp;AKB6))</f>
        <v>0</v>
      </c>
      <c r="AKC4" s="172">
        <f>IF(WEEKDAY(AKC6,12)&gt;=6,0,SUMIFS(tblProjectSchedule[[Skilled]:[Skilled]],tblProjectSchedule[[Start]:[Start]],"&lt;="&amp;AKC6,tblProjectSchedule[[Finish]:[Finish]],"&gt;="&amp;AKC6)+SUMIFS(tblProjectSchedule[[Helpers]:[Helpers]],tblProjectSchedule[[Start]:[Start]],"&lt;="&amp;AKC6,tblProjectSchedule[[Finish]:[Finish]],"&gt;="&amp;AKC6))</f>
        <v>0</v>
      </c>
      <c r="AKD4" s="172">
        <f>IF(WEEKDAY(AKD6,12)&gt;=6,0,SUMIFS(tblProjectSchedule[[Skilled]:[Skilled]],tblProjectSchedule[[Start]:[Start]],"&lt;="&amp;AKD6,tblProjectSchedule[[Finish]:[Finish]],"&gt;="&amp;AKD6)+SUMIFS(tblProjectSchedule[[Helpers]:[Helpers]],tblProjectSchedule[[Start]:[Start]],"&lt;="&amp;AKD6,tblProjectSchedule[[Finish]:[Finish]],"&gt;="&amp;AKD6))</f>
        <v>0</v>
      </c>
      <c r="AKE4" s="172">
        <f>IF(WEEKDAY(AKE6,12)&gt;=6,0,SUMIFS(tblProjectSchedule[[Skilled]:[Skilled]],tblProjectSchedule[[Start]:[Start]],"&lt;="&amp;AKE6,tblProjectSchedule[[Finish]:[Finish]],"&gt;="&amp;AKE6)+SUMIFS(tblProjectSchedule[[Helpers]:[Helpers]],tblProjectSchedule[[Start]:[Start]],"&lt;="&amp;AKE6,tblProjectSchedule[[Finish]:[Finish]],"&gt;="&amp;AKE6))</f>
        <v>0</v>
      </c>
      <c r="AKF4" s="172">
        <f>IF(WEEKDAY(AKF6,12)&gt;=6,0,SUMIFS(tblProjectSchedule[[Skilled]:[Skilled]],tblProjectSchedule[[Start]:[Start]],"&lt;="&amp;AKF6,tblProjectSchedule[[Finish]:[Finish]],"&gt;="&amp;AKF6)+SUMIFS(tblProjectSchedule[[Helpers]:[Helpers]],tblProjectSchedule[[Start]:[Start]],"&lt;="&amp;AKF6,tblProjectSchedule[[Finish]:[Finish]],"&gt;="&amp;AKF6))</f>
        <v>0</v>
      </c>
      <c r="AKG4" s="174">
        <f>IF(WEEKDAY(AKG6,12)&gt;=6,0,SUMIFS(tblProjectSchedule[[Skilled]:[Skilled]],tblProjectSchedule[[Start]:[Start]],"&lt;="&amp;AKG6,tblProjectSchedule[[Finish]:[Finish]],"&gt;="&amp;AKG6)+SUMIFS(tblProjectSchedule[[Helpers]:[Helpers]],tblProjectSchedule[[Start]:[Start]],"&lt;="&amp;AKG6,tblProjectSchedule[[Finish]:[Finish]],"&gt;="&amp;AKG6))</f>
        <v>0</v>
      </c>
      <c r="AKH4" s="173">
        <f>IF(WEEKDAY(AKH6,12)&gt;=6,0,SUMIFS(tblProjectSchedule[[Skilled]:[Skilled]],tblProjectSchedule[[Start]:[Start]],"&lt;="&amp;AKH6,tblProjectSchedule[[Finish]:[Finish]],"&gt;="&amp;AKH6)+SUMIFS(tblProjectSchedule[[Helpers]:[Helpers]],tblProjectSchedule[[Start]:[Start]],"&lt;="&amp;AKH6,tblProjectSchedule[[Finish]:[Finish]],"&gt;="&amp;AKH6))</f>
        <v>0</v>
      </c>
      <c r="AKI4" s="172">
        <f>IF(WEEKDAY(AKI6,12)&gt;=6,0,SUMIFS(tblProjectSchedule[[Skilled]:[Skilled]],tblProjectSchedule[[Start]:[Start]],"&lt;="&amp;AKI6,tblProjectSchedule[[Finish]:[Finish]],"&gt;="&amp;AKI6)+SUMIFS(tblProjectSchedule[[Helpers]:[Helpers]],tblProjectSchedule[[Start]:[Start]],"&lt;="&amp;AKI6,tblProjectSchedule[[Finish]:[Finish]],"&gt;="&amp;AKI6))</f>
        <v>0</v>
      </c>
      <c r="AKJ4" s="172">
        <f>IF(WEEKDAY(AKJ6,12)&gt;=6,0,SUMIFS(tblProjectSchedule[[Skilled]:[Skilled]],tblProjectSchedule[[Start]:[Start]],"&lt;="&amp;AKJ6,tblProjectSchedule[[Finish]:[Finish]],"&gt;="&amp;AKJ6)+SUMIFS(tblProjectSchedule[[Helpers]:[Helpers]],tblProjectSchedule[[Start]:[Start]],"&lt;="&amp;AKJ6,tblProjectSchedule[[Finish]:[Finish]],"&gt;="&amp;AKJ6))</f>
        <v>0</v>
      </c>
      <c r="AKK4" s="172">
        <f>IF(WEEKDAY(AKK6,12)&gt;=6,0,SUMIFS(tblProjectSchedule[[Skilled]:[Skilled]],tblProjectSchedule[[Start]:[Start]],"&lt;="&amp;AKK6,tblProjectSchedule[[Finish]:[Finish]],"&gt;="&amp;AKK6)+SUMIFS(tblProjectSchedule[[Helpers]:[Helpers]],tblProjectSchedule[[Start]:[Start]],"&lt;="&amp;AKK6,tblProjectSchedule[[Finish]:[Finish]],"&gt;="&amp;AKK6))</f>
        <v>0</v>
      </c>
      <c r="AKL4" s="172">
        <f>IF(WEEKDAY(AKL6,12)&gt;=6,0,SUMIFS(tblProjectSchedule[[Skilled]:[Skilled]],tblProjectSchedule[[Start]:[Start]],"&lt;="&amp;AKL6,tblProjectSchedule[[Finish]:[Finish]],"&gt;="&amp;AKL6)+SUMIFS(tblProjectSchedule[[Helpers]:[Helpers]],tblProjectSchedule[[Start]:[Start]],"&lt;="&amp;AKL6,tblProjectSchedule[[Finish]:[Finish]],"&gt;="&amp;AKL6))</f>
        <v>0</v>
      </c>
      <c r="AKM4" s="172">
        <f>IF(WEEKDAY(AKM6,12)&gt;=6,0,SUMIFS(tblProjectSchedule[[Skilled]:[Skilled]],tblProjectSchedule[[Start]:[Start]],"&lt;="&amp;AKM6,tblProjectSchedule[[Finish]:[Finish]],"&gt;="&amp;AKM6)+SUMIFS(tblProjectSchedule[[Helpers]:[Helpers]],tblProjectSchedule[[Start]:[Start]],"&lt;="&amp;AKM6,tblProjectSchedule[[Finish]:[Finish]],"&gt;="&amp;AKM6))</f>
        <v>0</v>
      </c>
      <c r="AKN4" s="174">
        <f>IF(WEEKDAY(AKN6,12)&gt;=6,0,SUMIFS(tblProjectSchedule[[Skilled]:[Skilled]],tblProjectSchedule[[Start]:[Start]],"&lt;="&amp;AKN6,tblProjectSchedule[[Finish]:[Finish]],"&gt;="&amp;AKN6)+SUMIFS(tblProjectSchedule[[Helpers]:[Helpers]],tblProjectSchedule[[Start]:[Start]],"&lt;="&amp;AKN6,tblProjectSchedule[[Finish]:[Finish]],"&gt;="&amp;AKN6))</f>
        <v>0</v>
      </c>
      <c r="AKO4" s="173">
        <f>IF(WEEKDAY(AKO6,12)&gt;=6,0,SUMIFS(tblProjectSchedule[[Skilled]:[Skilled]],tblProjectSchedule[[Start]:[Start]],"&lt;="&amp;AKO6,tblProjectSchedule[[Finish]:[Finish]],"&gt;="&amp;AKO6)+SUMIFS(tblProjectSchedule[[Helpers]:[Helpers]],tblProjectSchedule[[Start]:[Start]],"&lt;="&amp;AKO6,tblProjectSchedule[[Finish]:[Finish]],"&gt;="&amp;AKO6))</f>
        <v>0</v>
      </c>
      <c r="AKP4" s="172">
        <f>IF(WEEKDAY(AKP6,12)&gt;=6,0,SUMIFS(tblProjectSchedule[[Skilled]:[Skilled]],tblProjectSchedule[[Start]:[Start]],"&lt;="&amp;AKP6,tblProjectSchedule[[Finish]:[Finish]],"&gt;="&amp;AKP6)+SUMIFS(tblProjectSchedule[[Helpers]:[Helpers]],tblProjectSchedule[[Start]:[Start]],"&lt;="&amp;AKP6,tblProjectSchedule[[Finish]:[Finish]],"&gt;="&amp;AKP6))</f>
        <v>0</v>
      </c>
      <c r="AKQ4" s="172">
        <f>IF(WEEKDAY(AKQ6,12)&gt;=6,0,SUMIFS(tblProjectSchedule[[Skilled]:[Skilled]],tblProjectSchedule[[Start]:[Start]],"&lt;="&amp;AKQ6,tblProjectSchedule[[Finish]:[Finish]],"&gt;="&amp;AKQ6)+SUMIFS(tblProjectSchedule[[Helpers]:[Helpers]],tblProjectSchedule[[Start]:[Start]],"&lt;="&amp;AKQ6,tblProjectSchedule[[Finish]:[Finish]],"&gt;="&amp;AKQ6))</f>
        <v>0</v>
      </c>
      <c r="AKR4" s="172">
        <f>IF(WEEKDAY(AKR6,12)&gt;=6,0,SUMIFS(tblProjectSchedule[[Skilled]:[Skilled]],tblProjectSchedule[[Start]:[Start]],"&lt;="&amp;AKR6,tblProjectSchedule[[Finish]:[Finish]],"&gt;="&amp;AKR6)+SUMIFS(tblProjectSchedule[[Helpers]:[Helpers]],tblProjectSchedule[[Start]:[Start]],"&lt;="&amp;AKR6,tblProjectSchedule[[Finish]:[Finish]],"&gt;="&amp;AKR6))</f>
        <v>0</v>
      </c>
      <c r="AKS4" s="172">
        <f>IF(WEEKDAY(AKS6,12)&gt;=6,0,SUMIFS(tblProjectSchedule[[Skilled]:[Skilled]],tblProjectSchedule[[Start]:[Start]],"&lt;="&amp;AKS6,tblProjectSchedule[[Finish]:[Finish]],"&gt;="&amp;AKS6)+SUMIFS(tblProjectSchedule[[Helpers]:[Helpers]],tblProjectSchedule[[Start]:[Start]],"&lt;="&amp;AKS6,tblProjectSchedule[[Finish]:[Finish]],"&gt;="&amp;AKS6))</f>
        <v>0</v>
      </c>
      <c r="AKT4" s="172">
        <f>IF(WEEKDAY(AKT6,12)&gt;=6,0,SUMIFS(tblProjectSchedule[[Skilled]:[Skilled]],tblProjectSchedule[[Start]:[Start]],"&lt;="&amp;AKT6,tblProjectSchedule[[Finish]:[Finish]],"&gt;="&amp;AKT6)+SUMIFS(tblProjectSchedule[[Helpers]:[Helpers]],tblProjectSchedule[[Start]:[Start]],"&lt;="&amp;AKT6,tblProjectSchedule[[Finish]:[Finish]],"&gt;="&amp;AKT6))</f>
        <v>0</v>
      </c>
      <c r="AKU4" s="174">
        <f>IF(WEEKDAY(AKU6,12)&gt;=6,0,SUMIFS(tblProjectSchedule[[Skilled]:[Skilled]],tblProjectSchedule[[Start]:[Start]],"&lt;="&amp;AKU6,tblProjectSchedule[[Finish]:[Finish]],"&gt;="&amp;AKU6)+SUMIFS(tblProjectSchedule[[Helpers]:[Helpers]],tblProjectSchedule[[Start]:[Start]],"&lt;="&amp;AKU6,tblProjectSchedule[[Finish]:[Finish]],"&gt;="&amp;AKU6))</f>
        <v>0</v>
      </c>
      <c r="AKV4" s="173">
        <f>IF(WEEKDAY(AKV6,12)&gt;=6,0,SUMIFS(tblProjectSchedule[[Skilled]:[Skilled]],tblProjectSchedule[[Start]:[Start]],"&lt;="&amp;AKV6,tblProjectSchedule[[Finish]:[Finish]],"&gt;="&amp;AKV6)+SUMIFS(tblProjectSchedule[[Helpers]:[Helpers]],tblProjectSchedule[[Start]:[Start]],"&lt;="&amp;AKV6,tblProjectSchedule[[Finish]:[Finish]],"&gt;="&amp;AKV6))</f>
        <v>0</v>
      </c>
      <c r="AKW4" s="172">
        <f>IF(WEEKDAY(AKW6,12)&gt;=6,0,SUMIFS(tblProjectSchedule[[Skilled]:[Skilled]],tblProjectSchedule[[Start]:[Start]],"&lt;="&amp;AKW6,tblProjectSchedule[[Finish]:[Finish]],"&gt;="&amp;AKW6)+SUMIFS(tblProjectSchedule[[Helpers]:[Helpers]],tblProjectSchedule[[Start]:[Start]],"&lt;="&amp;AKW6,tblProjectSchedule[[Finish]:[Finish]],"&gt;="&amp;AKW6))</f>
        <v>0</v>
      </c>
      <c r="AKX4" s="172">
        <f>IF(WEEKDAY(AKX6,12)&gt;=6,0,SUMIFS(tblProjectSchedule[[Skilled]:[Skilled]],tblProjectSchedule[[Start]:[Start]],"&lt;="&amp;AKX6,tblProjectSchedule[[Finish]:[Finish]],"&gt;="&amp;AKX6)+SUMIFS(tblProjectSchedule[[Helpers]:[Helpers]],tblProjectSchedule[[Start]:[Start]],"&lt;="&amp;AKX6,tblProjectSchedule[[Finish]:[Finish]],"&gt;="&amp;AKX6))</f>
        <v>0</v>
      </c>
      <c r="AKY4" s="172">
        <f>IF(WEEKDAY(AKY6,12)&gt;=6,0,SUMIFS(tblProjectSchedule[[Skilled]:[Skilled]],tblProjectSchedule[[Start]:[Start]],"&lt;="&amp;AKY6,tblProjectSchedule[[Finish]:[Finish]],"&gt;="&amp;AKY6)+SUMIFS(tblProjectSchedule[[Helpers]:[Helpers]],tblProjectSchedule[[Start]:[Start]],"&lt;="&amp;AKY6,tblProjectSchedule[[Finish]:[Finish]],"&gt;="&amp;AKY6))</f>
        <v>0</v>
      </c>
      <c r="AKZ4" s="172">
        <f>IF(WEEKDAY(AKZ6,12)&gt;=6,0,SUMIFS(tblProjectSchedule[[Skilled]:[Skilled]],tblProjectSchedule[[Start]:[Start]],"&lt;="&amp;AKZ6,tblProjectSchedule[[Finish]:[Finish]],"&gt;="&amp;AKZ6)+SUMIFS(tblProjectSchedule[[Helpers]:[Helpers]],tblProjectSchedule[[Start]:[Start]],"&lt;="&amp;AKZ6,tblProjectSchedule[[Finish]:[Finish]],"&gt;="&amp;AKZ6))</f>
        <v>0</v>
      </c>
      <c r="ALA4" s="172">
        <f>IF(WEEKDAY(ALA6,12)&gt;=6,0,SUMIFS(tblProjectSchedule[[Skilled]:[Skilled]],tblProjectSchedule[[Start]:[Start]],"&lt;="&amp;ALA6,tblProjectSchedule[[Finish]:[Finish]],"&gt;="&amp;ALA6)+SUMIFS(tblProjectSchedule[[Helpers]:[Helpers]],tblProjectSchedule[[Start]:[Start]],"&lt;="&amp;ALA6,tblProjectSchedule[[Finish]:[Finish]],"&gt;="&amp;ALA6))</f>
        <v>0</v>
      </c>
      <c r="ALB4" s="174">
        <f>IF(WEEKDAY(ALB6,12)&gt;=6,0,SUMIFS(tblProjectSchedule[[Skilled]:[Skilled]],tblProjectSchedule[[Start]:[Start]],"&lt;="&amp;ALB6,tblProjectSchedule[[Finish]:[Finish]],"&gt;="&amp;ALB6)+SUMIFS(tblProjectSchedule[[Helpers]:[Helpers]],tblProjectSchedule[[Start]:[Start]],"&lt;="&amp;ALB6,tblProjectSchedule[[Finish]:[Finish]],"&gt;="&amp;ALB6))</f>
        <v>0</v>
      </c>
      <c r="ALC4" s="173">
        <f>IF(WEEKDAY(ALC6,12)&gt;=6,0,SUMIFS(tblProjectSchedule[[Skilled]:[Skilled]],tblProjectSchedule[[Start]:[Start]],"&lt;="&amp;ALC6,tblProjectSchedule[[Finish]:[Finish]],"&gt;="&amp;ALC6)+SUMIFS(tblProjectSchedule[[Helpers]:[Helpers]],tblProjectSchedule[[Start]:[Start]],"&lt;="&amp;ALC6,tblProjectSchedule[[Finish]:[Finish]],"&gt;="&amp;ALC6))</f>
        <v>0</v>
      </c>
      <c r="ALD4" s="172">
        <f>IF(WEEKDAY(ALD6,12)&gt;=6,0,SUMIFS(tblProjectSchedule[[Skilled]:[Skilled]],tblProjectSchedule[[Start]:[Start]],"&lt;="&amp;ALD6,tblProjectSchedule[[Finish]:[Finish]],"&gt;="&amp;ALD6)+SUMIFS(tblProjectSchedule[[Helpers]:[Helpers]],tblProjectSchedule[[Start]:[Start]],"&lt;="&amp;ALD6,tblProjectSchedule[[Finish]:[Finish]],"&gt;="&amp;ALD6))</f>
        <v>0</v>
      </c>
      <c r="ALE4" s="172">
        <f>IF(WEEKDAY(ALE6,12)&gt;=6,0,SUMIFS(tblProjectSchedule[[Skilled]:[Skilled]],tblProjectSchedule[[Start]:[Start]],"&lt;="&amp;ALE6,tblProjectSchedule[[Finish]:[Finish]],"&gt;="&amp;ALE6)+SUMIFS(tblProjectSchedule[[Helpers]:[Helpers]],tblProjectSchedule[[Start]:[Start]],"&lt;="&amp;ALE6,tblProjectSchedule[[Finish]:[Finish]],"&gt;="&amp;ALE6))</f>
        <v>0</v>
      </c>
      <c r="ALF4" s="172">
        <f>IF(WEEKDAY(ALF6,12)&gt;=6,0,SUMIFS(tblProjectSchedule[[Skilled]:[Skilled]],tblProjectSchedule[[Start]:[Start]],"&lt;="&amp;ALF6,tblProjectSchedule[[Finish]:[Finish]],"&gt;="&amp;ALF6)+SUMIFS(tblProjectSchedule[[Helpers]:[Helpers]],tblProjectSchedule[[Start]:[Start]],"&lt;="&amp;ALF6,tblProjectSchedule[[Finish]:[Finish]],"&gt;="&amp;ALF6))</f>
        <v>0</v>
      </c>
      <c r="ALG4" s="172">
        <f>IF(WEEKDAY(ALG6,12)&gt;=6,0,SUMIFS(tblProjectSchedule[[Skilled]:[Skilled]],tblProjectSchedule[[Start]:[Start]],"&lt;="&amp;ALG6,tblProjectSchedule[[Finish]:[Finish]],"&gt;="&amp;ALG6)+SUMIFS(tblProjectSchedule[[Helpers]:[Helpers]],tblProjectSchedule[[Start]:[Start]],"&lt;="&amp;ALG6,tblProjectSchedule[[Finish]:[Finish]],"&gt;="&amp;ALG6))</f>
        <v>0</v>
      </c>
      <c r="ALH4" s="172">
        <f>IF(WEEKDAY(ALH6,12)&gt;=6,0,SUMIFS(tblProjectSchedule[[Skilled]:[Skilled]],tblProjectSchedule[[Start]:[Start]],"&lt;="&amp;ALH6,tblProjectSchedule[[Finish]:[Finish]],"&gt;="&amp;ALH6)+SUMIFS(tblProjectSchedule[[Helpers]:[Helpers]],tblProjectSchedule[[Start]:[Start]],"&lt;="&amp;ALH6,tblProjectSchedule[[Finish]:[Finish]],"&gt;="&amp;ALH6))</f>
        <v>0</v>
      </c>
      <c r="ALI4" s="174">
        <f>IF(WEEKDAY(ALI6,12)&gt;=6,0,SUMIFS(tblProjectSchedule[[Skilled]:[Skilled]],tblProjectSchedule[[Start]:[Start]],"&lt;="&amp;ALI6,tblProjectSchedule[[Finish]:[Finish]],"&gt;="&amp;ALI6)+SUMIFS(tblProjectSchedule[[Helpers]:[Helpers]],tblProjectSchedule[[Start]:[Start]],"&lt;="&amp;ALI6,tblProjectSchedule[[Finish]:[Finish]],"&gt;="&amp;ALI6))</f>
        <v>0</v>
      </c>
      <c r="ALJ4" s="173">
        <f>IF(WEEKDAY(ALJ6,12)&gt;=6,0,SUMIFS(tblProjectSchedule[[Skilled]:[Skilled]],tblProjectSchedule[[Start]:[Start]],"&lt;="&amp;ALJ6,tblProjectSchedule[[Finish]:[Finish]],"&gt;="&amp;ALJ6)+SUMIFS(tblProjectSchedule[[Helpers]:[Helpers]],tblProjectSchedule[[Start]:[Start]],"&lt;="&amp;ALJ6,tblProjectSchedule[[Finish]:[Finish]],"&gt;="&amp;ALJ6))</f>
        <v>0</v>
      </c>
      <c r="ALK4" s="172">
        <f>IF(WEEKDAY(ALK6,12)&gt;=6,0,SUMIFS(tblProjectSchedule[[Skilled]:[Skilled]],tblProjectSchedule[[Start]:[Start]],"&lt;="&amp;ALK6,tblProjectSchedule[[Finish]:[Finish]],"&gt;="&amp;ALK6)+SUMIFS(tblProjectSchedule[[Helpers]:[Helpers]],tblProjectSchedule[[Start]:[Start]],"&lt;="&amp;ALK6,tblProjectSchedule[[Finish]:[Finish]],"&gt;="&amp;ALK6))</f>
        <v>0</v>
      </c>
      <c r="ALL4" s="172">
        <f>IF(WEEKDAY(ALL6,12)&gt;=6,0,SUMIFS(tblProjectSchedule[[Skilled]:[Skilled]],tblProjectSchedule[[Start]:[Start]],"&lt;="&amp;ALL6,tblProjectSchedule[[Finish]:[Finish]],"&gt;="&amp;ALL6)+SUMIFS(tblProjectSchedule[[Helpers]:[Helpers]],tblProjectSchedule[[Start]:[Start]],"&lt;="&amp;ALL6,tblProjectSchedule[[Finish]:[Finish]],"&gt;="&amp;ALL6))</f>
        <v>0</v>
      </c>
      <c r="ALM4" s="172">
        <f>IF(WEEKDAY(ALM6,12)&gt;=6,0,SUMIFS(tblProjectSchedule[[Skilled]:[Skilled]],tblProjectSchedule[[Start]:[Start]],"&lt;="&amp;ALM6,tblProjectSchedule[[Finish]:[Finish]],"&gt;="&amp;ALM6)+SUMIFS(tblProjectSchedule[[Helpers]:[Helpers]],tblProjectSchedule[[Start]:[Start]],"&lt;="&amp;ALM6,tblProjectSchedule[[Finish]:[Finish]],"&gt;="&amp;ALM6))</f>
        <v>0</v>
      </c>
      <c r="ALN4" s="172">
        <f>IF(WEEKDAY(ALN6,12)&gt;=6,0,SUMIFS(tblProjectSchedule[[Skilled]:[Skilled]],tblProjectSchedule[[Start]:[Start]],"&lt;="&amp;ALN6,tblProjectSchedule[[Finish]:[Finish]],"&gt;="&amp;ALN6)+SUMIFS(tblProjectSchedule[[Helpers]:[Helpers]],tblProjectSchedule[[Start]:[Start]],"&lt;="&amp;ALN6,tblProjectSchedule[[Finish]:[Finish]],"&gt;="&amp;ALN6))</f>
        <v>0</v>
      </c>
      <c r="ALO4" s="172">
        <f>IF(WEEKDAY(ALO6,12)&gt;=6,0,SUMIFS(tblProjectSchedule[[Skilled]:[Skilled]],tblProjectSchedule[[Start]:[Start]],"&lt;="&amp;ALO6,tblProjectSchedule[[Finish]:[Finish]],"&gt;="&amp;ALO6)+SUMIFS(tblProjectSchedule[[Helpers]:[Helpers]],tblProjectSchedule[[Start]:[Start]],"&lt;="&amp;ALO6,tblProjectSchedule[[Finish]:[Finish]],"&gt;="&amp;ALO6))</f>
        <v>0</v>
      </c>
      <c r="ALP4" s="174">
        <f>IF(WEEKDAY(ALP6,12)&gt;=6,0,SUMIFS(tblProjectSchedule[[Skilled]:[Skilled]],tblProjectSchedule[[Start]:[Start]],"&lt;="&amp;ALP6,tblProjectSchedule[[Finish]:[Finish]],"&gt;="&amp;ALP6)+SUMIFS(tblProjectSchedule[[Helpers]:[Helpers]],tblProjectSchedule[[Start]:[Start]],"&lt;="&amp;ALP6,tblProjectSchedule[[Finish]:[Finish]],"&gt;="&amp;ALP6))</f>
        <v>0</v>
      </c>
      <c r="ALQ4" s="173">
        <f>IF(WEEKDAY(ALQ6,12)&gt;=6,0,SUMIFS(tblProjectSchedule[[Skilled]:[Skilled]],tblProjectSchedule[[Start]:[Start]],"&lt;="&amp;ALQ6,tblProjectSchedule[[Finish]:[Finish]],"&gt;="&amp;ALQ6)+SUMIFS(tblProjectSchedule[[Helpers]:[Helpers]],tblProjectSchedule[[Start]:[Start]],"&lt;="&amp;ALQ6,tblProjectSchedule[[Finish]:[Finish]],"&gt;="&amp;ALQ6))</f>
        <v>0</v>
      </c>
      <c r="ALR4" s="172">
        <f>IF(WEEKDAY(ALR6,12)&gt;=6,0,SUMIFS(tblProjectSchedule[[Skilled]:[Skilled]],tblProjectSchedule[[Start]:[Start]],"&lt;="&amp;ALR6,tblProjectSchedule[[Finish]:[Finish]],"&gt;="&amp;ALR6)+SUMIFS(tblProjectSchedule[[Helpers]:[Helpers]],tblProjectSchedule[[Start]:[Start]],"&lt;="&amp;ALR6,tblProjectSchedule[[Finish]:[Finish]],"&gt;="&amp;ALR6))</f>
        <v>0</v>
      </c>
      <c r="ALS4" s="172">
        <f>IF(WEEKDAY(ALS6,12)&gt;=6,0,SUMIFS(tblProjectSchedule[[Skilled]:[Skilled]],tblProjectSchedule[[Start]:[Start]],"&lt;="&amp;ALS6,tblProjectSchedule[[Finish]:[Finish]],"&gt;="&amp;ALS6)+SUMIFS(tblProjectSchedule[[Helpers]:[Helpers]],tblProjectSchedule[[Start]:[Start]],"&lt;="&amp;ALS6,tblProjectSchedule[[Finish]:[Finish]],"&gt;="&amp;ALS6))</f>
        <v>0</v>
      </c>
      <c r="ALT4" s="172">
        <f>IF(WEEKDAY(ALT6,12)&gt;=6,0,SUMIFS(tblProjectSchedule[[Skilled]:[Skilled]],tblProjectSchedule[[Start]:[Start]],"&lt;="&amp;ALT6,tblProjectSchedule[[Finish]:[Finish]],"&gt;="&amp;ALT6)+SUMIFS(tblProjectSchedule[[Helpers]:[Helpers]],tblProjectSchedule[[Start]:[Start]],"&lt;="&amp;ALT6,tblProjectSchedule[[Finish]:[Finish]],"&gt;="&amp;ALT6))</f>
        <v>0</v>
      </c>
      <c r="ALU4" s="172">
        <f>IF(WEEKDAY(ALU6,12)&gt;=6,0,SUMIFS(tblProjectSchedule[[Skilled]:[Skilled]],tblProjectSchedule[[Start]:[Start]],"&lt;="&amp;ALU6,tblProjectSchedule[[Finish]:[Finish]],"&gt;="&amp;ALU6)+SUMIFS(tblProjectSchedule[[Helpers]:[Helpers]],tblProjectSchedule[[Start]:[Start]],"&lt;="&amp;ALU6,tblProjectSchedule[[Finish]:[Finish]],"&gt;="&amp;ALU6))</f>
        <v>0</v>
      </c>
      <c r="ALV4" s="172">
        <f>IF(WEEKDAY(ALV6,12)&gt;=6,0,SUMIFS(tblProjectSchedule[[Skilled]:[Skilled]],tblProjectSchedule[[Start]:[Start]],"&lt;="&amp;ALV6,tblProjectSchedule[[Finish]:[Finish]],"&gt;="&amp;ALV6)+SUMIFS(tblProjectSchedule[[Helpers]:[Helpers]],tblProjectSchedule[[Start]:[Start]],"&lt;="&amp;ALV6,tblProjectSchedule[[Finish]:[Finish]],"&gt;="&amp;ALV6))</f>
        <v>0</v>
      </c>
      <c r="ALW4" s="174">
        <f>IF(WEEKDAY(ALW6,12)&gt;=6,0,SUMIFS(tblProjectSchedule[[Skilled]:[Skilled]],tblProjectSchedule[[Start]:[Start]],"&lt;="&amp;ALW6,tblProjectSchedule[[Finish]:[Finish]],"&gt;="&amp;ALW6)+SUMIFS(tblProjectSchedule[[Helpers]:[Helpers]],tblProjectSchedule[[Start]:[Start]],"&lt;="&amp;ALW6,tblProjectSchedule[[Finish]:[Finish]],"&gt;="&amp;ALW6))</f>
        <v>0</v>
      </c>
      <c r="ALX4" s="173">
        <f>IF(WEEKDAY(ALX6,12)&gt;=6,0,SUMIFS(tblProjectSchedule[[Skilled]:[Skilled]],tblProjectSchedule[[Start]:[Start]],"&lt;="&amp;ALX6,tblProjectSchedule[[Finish]:[Finish]],"&gt;="&amp;ALX6)+SUMIFS(tblProjectSchedule[[Helpers]:[Helpers]],tblProjectSchedule[[Start]:[Start]],"&lt;="&amp;ALX6,tblProjectSchedule[[Finish]:[Finish]],"&gt;="&amp;ALX6))</f>
        <v>0</v>
      </c>
      <c r="ALY4" s="172">
        <f>IF(WEEKDAY(ALY6,12)&gt;=6,0,SUMIFS(tblProjectSchedule[[Skilled]:[Skilled]],tblProjectSchedule[[Start]:[Start]],"&lt;="&amp;ALY6,tblProjectSchedule[[Finish]:[Finish]],"&gt;="&amp;ALY6)+SUMIFS(tblProjectSchedule[[Helpers]:[Helpers]],tblProjectSchedule[[Start]:[Start]],"&lt;="&amp;ALY6,tblProjectSchedule[[Finish]:[Finish]],"&gt;="&amp;ALY6))</f>
        <v>0</v>
      </c>
      <c r="ALZ4" s="172">
        <f>IF(WEEKDAY(ALZ6,12)&gt;=6,0,SUMIFS(tblProjectSchedule[[Skilled]:[Skilled]],tblProjectSchedule[[Start]:[Start]],"&lt;="&amp;ALZ6,tblProjectSchedule[[Finish]:[Finish]],"&gt;="&amp;ALZ6)+SUMIFS(tblProjectSchedule[[Helpers]:[Helpers]],tblProjectSchedule[[Start]:[Start]],"&lt;="&amp;ALZ6,tblProjectSchedule[[Finish]:[Finish]],"&gt;="&amp;ALZ6))</f>
        <v>0</v>
      </c>
      <c r="AMA4" s="172">
        <f>IF(WEEKDAY(AMA6,12)&gt;=6,0,SUMIFS(tblProjectSchedule[[Skilled]:[Skilled]],tblProjectSchedule[[Start]:[Start]],"&lt;="&amp;AMA6,tblProjectSchedule[[Finish]:[Finish]],"&gt;="&amp;AMA6)+SUMIFS(tblProjectSchedule[[Helpers]:[Helpers]],tblProjectSchedule[[Start]:[Start]],"&lt;="&amp;AMA6,tblProjectSchedule[[Finish]:[Finish]],"&gt;="&amp;AMA6))</f>
        <v>0</v>
      </c>
      <c r="AMB4" s="172">
        <f>IF(WEEKDAY(AMB6,12)&gt;=6,0,SUMIFS(tblProjectSchedule[[Skilled]:[Skilled]],tblProjectSchedule[[Start]:[Start]],"&lt;="&amp;AMB6,tblProjectSchedule[[Finish]:[Finish]],"&gt;="&amp;AMB6)+SUMIFS(tblProjectSchedule[[Helpers]:[Helpers]],tblProjectSchedule[[Start]:[Start]],"&lt;="&amp;AMB6,tblProjectSchedule[[Finish]:[Finish]],"&gt;="&amp;AMB6))</f>
        <v>0</v>
      </c>
      <c r="AMC4" s="172">
        <f>IF(WEEKDAY(AMC6,12)&gt;=6,0,SUMIFS(tblProjectSchedule[[Skilled]:[Skilled]],tblProjectSchedule[[Start]:[Start]],"&lt;="&amp;AMC6,tblProjectSchedule[[Finish]:[Finish]],"&gt;="&amp;AMC6)+SUMIFS(tblProjectSchedule[[Helpers]:[Helpers]],tblProjectSchedule[[Start]:[Start]],"&lt;="&amp;AMC6,tblProjectSchedule[[Finish]:[Finish]],"&gt;="&amp;AMC6))</f>
        <v>0</v>
      </c>
      <c r="AMD4" s="174">
        <f>IF(WEEKDAY(AMD6,12)&gt;=6,0,SUMIFS(tblProjectSchedule[[Skilled]:[Skilled]],tblProjectSchedule[[Start]:[Start]],"&lt;="&amp;AMD6,tblProjectSchedule[[Finish]:[Finish]],"&gt;="&amp;AMD6)+SUMIFS(tblProjectSchedule[[Helpers]:[Helpers]],tblProjectSchedule[[Start]:[Start]],"&lt;="&amp;AMD6,tblProjectSchedule[[Finish]:[Finish]],"&gt;="&amp;AMD6))</f>
        <v>0</v>
      </c>
      <c r="AME4" s="173">
        <f>IF(WEEKDAY(AME6,12)&gt;=6,0,SUMIFS(tblProjectSchedule[[Skilled]:[Skilled]],tblProjectSchedule[[Start]:[Start]],"&lt;="&amp;AME6,tblProjectSchedule[[Finish]:[Finish]],"&gt;="&amp;AME6)+SUMIFS(tblProjectSchedule[[Helpers]:[Helpers]],tblProjectSchedule[[Start]:[Start]],"&lt;="&amp;AME6,tblProjectSchedule[[Finish]:[Finish]],"&gt;="&amp;AME6))</f>
        <v>0</v>
      </c>
      <c r="AMF4" s="172">
        <f>IF(WEEKDAY(AMF6,12)&gt;=6,0,SUMIFS(tblProjectSchedule[[Skilled]:[Skilled]],tblProjectSchedule[[Start]:[Start]],"&lt;="&amp;AMF6,tblProjectSchedule[[Finish]:[Finish]],"&gt;="&amp;AMF6)+SUMIFS(tblProjectSchedule[[Helpers]:[Helpers]],tblProjectSchedule[[Start]:[Start]],"&lt;="&amp;AMF6,tblProjectSchedule[[Finish]:[Finish]],"&gt;="&amp;AMF6))</f>
        <v>0</v>
      </c>
      <c r="AMG4" s="172">
        <f>IF(WEEKDAY(AMG6,12)&gt;=6,0,SUMIFS(tblProjectSchedule[[Skilled]:[Skilled]],tblProjectSchedule[[Start]:[Start]],"&lt;="&amp;AMG6,tblProjectSchedule[[Finish]:[Finish]],"&gt;="&amp;AMG6)+SUMIFS(tblProjectSchedule[[Helpers]:[Helpers]],tblProjectSchedule[[Start]:[Start]],"&lt;="&amp;AMG6,tblProjectSchedule[[Finish]:[Finish]],"&gt;="&amp;AMG6))</f>
        <v>0</v>
      </c>
      <c r="AMH4" s="172">
        <f>IF(WEEKDAY(AMH6,12)&gt;=6,0,SUMIFS(tblProjectSchedule[[Skilled]:[Skilled]],tblProjectSchedule[[Start]:[Start]],"&lt;="&amp;AMH6,tblProjectSchedule[[Finish]:[Finish]],"&gt;="&amp;AMH6)+SUMIFS(tblProjectSchedule[[Helpers]:[Helpers]],tblProjectSchedule[[Start]:[Start]],"&lt;="&amp;AMH6,tblProjectSchedule[[Finish]:[Finish]],"&gt;="&amp;AMH6))</f>
        <v>0</v>
      </c>
      <c r="AMI4" s="172">
        <f>IF(WEEKDAY(AMI6,12)&gt;=6,0,SUMIFS(tblProjectSchedule[[Skilled]:[Skilled]],tblProjectSchedule[[Start]:[Start]],"&lt;="&amp;AMI6,tblProjectSchedule[[Finish]:[Finish]],"&gt;="&amp;AMI6)+SUMIFS(tblProjectSchedule[[Helpers]:[Helpers]],tblProjectSchedule[[Start]:[Start]],"&lt;="&amp;AMI6,tblProjectSchedule[[Finish]:[Finish]],"&gt;="&amp;AMI6))</f>
        <v>0</v>
      </c>
      <c r="AMJ4" s="172">
        <f>IF(WEEKDAY(AMJ6,12)&gt;=6,0,SUMIFS(tblProjectSchedule[[Skilled]:[Skilled]],tblProjectSchedule[[Start]:[Start]],"&lt;="&amp;AMJ6,tblProjectSchedule[[Finish]:[Finish]],"&gt;="&amp;AMJ6)+SUMIFS(tblProjectSchedule[[Helpers]:[Helpers]],tblProjectSchedule[[Start]:[Start]],"&lt;="&amp;AMJ6,tblProjectSchedule[[Finish]:[Finish]],"&gt;="&amp;AMJ6))</f>
        <v>0</v>
      </c>
      <c r="AMK4" s="174">
        <f>IF(WEEKDAY(AMK6,12)&gt;=6,0,SUMIFS(tblProjectSchedule[[Skilled]:[Skilled]],tblProjectSchedule[[Start]:[Start]],"&lt;="&amp;AMK6,tblProjectSchedule[[Finish]:[Finish]],"&gt;="&amp;AMK6)+SUMIFS(tblProjectSchedule[[Helpers]:[Helpers]],tblProjectSchedule[[Start]:[Start]],"&lt;="&amp;AMK6,tblProjectSchedule[[Finish]:[Finish]],"&gt;="&amp;AMK6))</f>
        <v>0</v>
      </c>
      <c r="AML4" s="173">
        <f>IF(WEEKDAY(AML6,12)&gt;=6,0,SUMIFS(tblProjectSchedule[[Skilled]:[Skilled]],tblProjectSchedule[[Start]:[Start]],"&lt;="&amp;AML6,tblProjectSchedule[[Finish]:[Finish]],"&gt;="&amp;AML6)+SUMIFS(tblProjectSchedule[[Helpers]:[Helpers]],tblProjectSchedule[[Start]:[Start]],"&lt;="&amp;AML6,tblProjectSchedule[[Finish]:[Finish]],"&gt;="&amp;AML6))</f>
        <v>0</v>
      </c>
      <c r="AMM4" s="172">
        <f>IF(WEEKDAY(AMM6,12)&gt;=6,0,SUMIFS(tblProjectSchedule[[Skilled]:[Skilled]],tblProjectSchedule[[Start]:[Start]],"&lt;="&amp;AMM6,tblProjectSchedule[[Finish]:[Finish]],"&gt;="&amp;AMM6)+SUMIFS(tblProjectSchedule[[Helpers]:[Helpers]],tblProjectSchedule[[Start]:[Start]],"&lt;="&amp;AMM6,tblProjectSchedule[[Finish]:[Finish]],"&gt;="&amp;AMM6))</f>
        <v>0</v>
      </c>
      <c r="AMN4" s="172">
        <f>IF(WEEKDAY(AMN6,12)&gt;=6,0,SUMIFS(tblProjectSchedule[[Skilled]:[Skilled]],tblProjectSchedule[[Start]:[Start]],"&lt;="&amp;AMN6,tblProjectSchedule[[Finish]:[Finish]],"&gt;="&amp;AMN6)+SUMIFS(tblProjectSchedule[[Helpers]:[Helpers]],tblProjectSchedule[[Start]:[Start]],"&lt;="&amp;AMN6,tblProjectSchedule[[Finish]:[Finish]],"&gt;="&amp;AMN6))</f>
        <v>0</v>
      </c>
      <c r="AMO4" s="172">
        <f>IF(WEEKDAY(AMO6,12)&gt;=6,0,SUMIFS(tblProjectSchedule[[Skilled]:[Skilled]],tblProjectSchedule[[Start]:[Start]],"&lt;="&amp;AMO6,tblProjectSchedule[[Finish]:[Finish]],"&gt;="&amp;AMO6)+SUMIFS(tblProjectSchedule[[Helpers]:[Helpers]],tblProjectSchedule[[Start]:[Start]],"&lt;="&amp;AMO6,tblProjectSchedule[[Finish]:[Finish]],"&gt;="&amp;AMO6))</f>
        <v>0</v>
      </c>
      <c r="AMP4" s="172">
        <f>IF(WEEKDAY(AMP6,12)&gt;=6,0,SUMIFS(tblProjectSchedule[[Skilled]:[Skilled]],tblProjectSchedule[[Start]:[Start]],"&lt;="&amp;AMP6,tblProjectSchedule[[Finish]:[Finish]],"&gt;="&amp;AMP6)+SUMIFS(tblProjectSchedule[[Helpers]:[Helpers]],tblProjectSchedule[[Start]:[Start]],"&lt;="&amp;AMP6,tblProjectSchedule[[Finish]:[Finish]],"&gt;="&amp;AMP6))</f>
        <v>0</v>
      </c>
      <c r="AMQ4" s="172">
        <f>IF(WEEKDAY(AMQ6,12)&gt;=6,0,SUMIFS(tblProjectSchedule[[Skilled]:[Skilled]],tblProjectSchedule[[Start]:[Start]],"&lt;="&amp;AMQ6,tblProjectSchedule[[Finish]:[Finish]],"&gt;="&amp;AMQ6)+SUMIFS(tblProjectSchedule[[Helpers]:[Helpers]],tblProjectSchedule[[Start]:[Start]],"&lt;="&amp;AMQ6,tblProjectSchedule[[Finish]:[Finish]],"&gt;="&amp;AMQ6))</f>
        <v>0</v>
      </c>
      <c r="AMR4" s="174">
        <f>IF(WEEKDAY(AMR6,12)&gt;=6,0,SUMIFS(tblProjectSchedule[[Skilled]:[Skilled]],tblProjectSchedule[[Start]:[Start]],"&lt;="&amp;AMR6,tblProjectSchedule[[Finish]:[Finish]],"&gt;="&amp;AMR6)+SUMIFS(tblProjectSchedule[[Helpers]:[Helpers]],tblProjectSchedule[[Start]:[Start]],"&lt;="&amp;AMR6,tblProjectSchedule[[Finish]:[Finish]],"&gt;="&amp;AMR6))</f>
        <v>0</v>
      </c>
      <c r="AMS4" s="173">
        <f>IF(WEEKDAY(AMS6,12)&gt;=6,0,SUMIFS(tblProjectSchedule[[Skilled]:[Skilled]],tblProjectSchedule[[Start]:[Start]],"&lt;="&amp;AMS6,tblProjectSchedule[[Finish]:[Finish]],"&gt;="&amp;AMS6)+SUMIFS(tblProjectSchedule[[Helpers]:[Helpers]],tblProjectSchedule[[Start]:[Start]],"&lt;="&amp;AMS6,tblProjectSchedule[[Finish]:[Finish]],"&gt;="&amp;AMS6))</f>
        <v>0</v>
      </c>
      <c r="AMT4" s="172">
        <f>IF(WEEKDAY(AMT6,12)&gt;=6,0,SUMIFS(tblProjectSchedule[[Skilled]:[Skilled]],tblProjectSchedule[[Start]:[Start]],"&lt;="&amp;AMT6,tblProjectSchedule[[Finish]:[Finish]],"&gt;="&amp;AMT6)+SUMIFS(tblProjectSchedule[[Helpers]:[Helpers]],tblProjectSchedule[[Start]:[Start]],"&lt;="&amp;AMT6,tblProjectSchedule[[Finish]:[Finish]],"&gt;="&amp;AMT6))</f>
        <v>0</v>
      </c>
      <c r="AMU4" s="172">
        <f>IF(WEEKDAY(AMU6,12)&gt;=6,0,SUMIFS(tblProjectSchedule[[Skilled]:[Skilled]],tblProjectSchedule[[Start]:[Start]],"&lt;="&amp;AMU6,tblProjectSchedule[[Finish]:[Finish]],"&gt;="&amp;AMU6)+SUMIFS(tblProjectSchedule[[Helpers]:[Helpers]],tblProjectSchedule[[Start]:[Start]],"&lt;="&amp;AMU6,tblProjectSchedule[[Finish]:[Finish]],"&gt;="&amp;AMU6))</f>
        <v>0</v>
      </c>
      <c r="AMV4" s="172">
        <f>IF(WEEKDAY(AMV6,12)&gt;=6,0,SUMIFS(tblProjectSchedule[[Skilled]:[Skilled]],tblProjectSchedule[[Start]:[Start]],"&lt;="&amp;AMV6,tblProjectSchedule[[Finish]:[Finish]],"&gt;="&amp;AMV6)+SUMIFS(tblProjectSchedule[[Helpers]:[Helpers]],tblProjectSchedule[[Start]:[Start]],"&lt;="&amp;AMV6,tblProjectSchedule[[Finish]:[Finish]],"&gt;="&amp;AMV6))</f>
        <v>0</v>
      </c>
      <c r="AMW4" s="172">
        <f>IF(WEEKDAY(AMW6,12)&gt;=6,0,SUMIFS(tblProjectSchedule[[Skilled]:[Skilled]],tblProjectSchedule[[Start]:[Start]],"&lt;="&amp;AMW6,tblProjectSchedule[[Finish]:[Finish]],"&gt;="&amp;AMW6)+SUMIFS(tblProjectSchedule[[Helpers]:[Helpers]],tblProjectSchedule[[Start]:[Start]],"&lt;="&amp;AMW6,tblProjectSchedule[[Finish]:[Finish]],"&gt;="&amp;AMW6))</f>
        <v>0</v>
      </c>
      <c r="AMX4" s="172">
        <f>IF(WEEKDAY(AMX6,12)&gt;=6,0,SUMIFS(tblProjectSchedule[[Skilled]:[Skilled]],tblProjectSchedule[[Start]:[Start]],"&lt;="&amp;AMX6,tblProjectSchedule[[Finish]:[Finish]],"&gt;="&amp;AMX6)+SUMIFS(tblProjectSchedule[[Helpers]:[Helpers]],tblProjectSchedule[[Start]:[Start]],"&lt;="&amp;AMX6,tblProjectSchedule[[Finish]:[Finish]],"&gt;="&amp;AMX6))</f>
        <v>0</v>
      </c>
      <c r="AMY4" s="174">
        <f>IF(WEEKDAY(AMY6,12)&gt;=6,0,SUMIFS(tblProjectSchedule[[Skilled]:[Skilled]],tblProjectSchedule[[Start]:[Start]],"&lt;="&amp;AMY6,tblProjectSchedule[[Finish]:[Finish]],"&gt;="&amp;AMY6)+SUMIFS(tblProjectSchedule[[Helpers]:[Helpers]],tblProjectSchedule[[Start]:[Start]],"&lt;="&amp;AMY6,tblProjectSchedule[[Finish]:[Finish]],"&gt;="&amp;AMY6))</f>
        <v>0</v>
      </c>
      <c r="AMZ4" s="173">
        <f>IF(WEEKDAY(AMZ6,12)&gt;=6,0,SUMIFS(tblProjectSchedule[[Skilled]:[Skilled]],tblProjectSchedule[[Start]:[Start]],"&lt;="&amp;AMZ6,tblProjectSchedule[[Finish]:[Finish]],"&gt;="&amp;AMZ6)+SUMIFS(tblProjectSchedule[[Helpers]:[Helpers]],tblProjectSchedule[[Start]:[Start]],"&lt;="&amp;AMZ6,tblProjectSchedule[[Finish]:[Finish]],"&gt;="&amp;AMZ6))</f>
        <v>0</v>
      </c>
      <c r="ANA4" s="172">
        <f>IF(WEEKDAY(ANA6,12)&gt;=6,0,SUMIFS(tblProjectSchedule[[Skilled]:[Skilled]],tblProjectSchedule[[Start]:[Start]],"&lt;="&amp;ANA6,tblProjectSchedule[[Finish]:[Finish]],"&gt;="&amp;ANA6)+SUMIFS(tblProjectSchedule[[Helpers]:[Helpers]],tblProjectSchedule[[Start]:[Start]],"&lt;="&amp;ANA6,tblProjectSchedule[[Finish]:[Finish]],"&gt;="&amp;ANA6))</f>
        <v>0</v>
      </c>
      <c r="ANB4" s="172">
        <f>IF(WEEKDAY(ANB6,12)&gt;=6,0,SUMIFS(tblProjectSchedule[[Skilled]:[Skilled]],tblProjectSchedule[[Start]:[Start]],"&lt;="&amp;ANB6,tblProjectSchedule[[Finish]:[Finish]],"&gt;="&amp;ANB6)+SUMIFS(tblProjectSchedule[[Helpers]:[Helpers]],tblProjectSchedule[[Start]:[Start]],"&lt;="&amp;ANB6,tblProjectSchedule[[Finish]:[Finish]],"&gt;="&amp;ANB6))</f>
        <v>0</v>
      </c>
      <c r="ANC4" s="172">
        <f>IF(WEEKDAY(ANC6,12)&gt;=6,0,SUMIFS(tblProjectSchedule[[Skilled]:[Skilled]],tblProjectSchedule[[Start]:[Start]],"&lt;="&amp;ANC6,tblProjectSchedule[[Finish]:[Finish]],"&gt;="&amp;ANC6)+SUMIFS(tblProjectSchedule[[Helpers]:[Helpers]],tblProjectSchedule[[Start]:[Start]],"&lt;="&amp;ANC6,tblProjectSchedule[[Finish]:[Finish]],"&gt;="&amp;ANC6))</f>
        <v>0</v>
      </c>
      <c r="AND4" s="172">
        <f>IF(WEEKDAY(AND6,12)&gt;=6,0,SUMIFS(tblProjectSchedule[[Skilled]:[Skilled]],tblProjectSchedule[[Start]:[Start]],"&lt;="&amp;AND6,tblProjectSchedule[[Finish]:[Finish]],"&gt;="&amp;AND6)+SUMIFS(tblProjectSchedule[[Helpers]:[Helpers]],tblProjectSchedule[[Start]:[Start]],"&lt;="&amp;AND6,tblProjectSchedule[[Finish]:[Finish]],"&gt;="&amp;AND6))</f>
        <v>0</v>
      </c>
      <c r="ANE4" s="172">
        <f>IF(WEEKDAY(ANE6,12)&gt;=6,0,SUMIFS(tblProjectSchedule[[Skilled]:[Skilled]],tblProjectSchedule[[Start]:[Start]],"&lt;="&amp;ANE6,tblProjectSchedule[[Finish]:[Finish]],"&gt;="&amp;ANE6)+SUMIFS(tblProjectSchedule[[Helpers]:[Helpers]],tblProjectSchedule[[Start]:[Start]],"&lt;="&amp;ANE6,tblProjectSchedule[[Finish]:[Finish]],"&gt;="&amp;ANE6))</f>
        <v>0</v>
      </c>
      <c r="ANF4" s="174">
        <f>IF(WEEKDAY(ANF6,12)&gt;=6,0,SUMIFS(tblProjectSchedule[[Skilled]:[Skilled]],tblProjectSchedule[[Start]:[Start]],"&lt;="&amp;ANF6,tblProjectSchedule[[Finish]:[Finish]],"&gt;="&amp;ANF6)+SUMIFS(tblProjectSchedule[[Helpers]:[Helpers]],tblProjectSchedule[[Start]:[Start]],"&lt;="&amp;ANF6,tblProjectSchedule[[Finish]:[Finish]],"&gt;="&amp;ANF6))</f>
        <v>0</v>
      </c>
      <c r="ANG4" s="173">
        <f>IF(WEEKDAY(ANG6,12)&gt;=6,0,SUMIFS(tblProjectSchedule[[Skilled]:[Skilled]],tblProjectSchedule[[Start]:[Start]],"&lt;="&amp;ANG6,tblProjectSchedule[[Finish]:[Finish]],"&gt;="&amp;ANG6)+SUMIFS(tblProjectSchedule[[Helpers]:[Helpers]],tblProjectSchedule[[Start]:[Start]],"&lt;="&amp;ANG6,tblProjectSchedule[[Finish]:[Finish]],"&gt;="&amp;ANG6))</f>
        <v>0</v>
      </c>
      <c r="ANH4" s="172">
        <f>IF(WEEKDAY(ANH6,12)&gt;=6,0,SUMIFS(tblProjectSchedule[[Skilled]:[Skilled]],tblProjectSchedule[[Start]:[Start]],"&lt;="&amp;ANH6,tblProjectSchedule[[Finish]:[Finish]],"&gt;="&amp;ANH6)+SUMIFS(tblProjectSchedule[[Helpers]:[Helpers]],tblProjectSchedule[[Start]:[Start]],"&lt;="&amp;ANH6,tblProjectSchedule[[Finish]:[Finish]],"&gt;="&amp;ANH6))</f>
        <v>0</v>
      </c>
      <c r="ANI4" s="172">
        <f>IF(WEEKDAY(ANI6,12)&gt;=6,0,SUMIFS(tblProjectSchedule[[Skilled]:[Skilled]],tblProjectSchedule[[Start]:[Start]],"&lt;="&amp;ANI6,tblProjectSchedule[[Finish]:[Finish]],"&gt;="&amp;ANI6)+SUMIFS(tblProjectSchedule[[Helpers]:[Helpers]],tblProjectSchedule[[Start]:[Start]],"&lt;="&amp;ANI6,tblProjectSchedule[[Finish]:[Finish]],"&gt;="&amp;ANI6))</f>
        <v>0</v>
      </c>
      <c r="ANJ4" s="172">
        <f>IF(WEEKDAY(ANJ6,12)&gt;=6,0,SUMIFS(tblProjectSchedule[[Skilled]:[Skilled]],tblProjectSchedule[[Start]:[Start]],"&lt;="&amp;ANJ6,tblProjectSchedule[[Finish]:[Finish]],"&gt;="&amp;ANJ6)+SUMIFS(tblProjectSchedule[[Helpers]:[Helpers]],tblProjectSchedule[[Start]:[Start]],"&lt;="&amp;ANJ6,tblProjectSchedule[[Finish]:[Finish]],"&gt;="&amp;ANJ6))</f>
        <v>0</v>
      </c>
      <c r="ANK4" s="172">
        <f>IF(WEEKDAY(ANK6,12)&gt;=6,0,SUMIFS(tblProjectSchedule[[Skilled]:[Skilled]],tblProjectSchedule[[Start]:[Start]],"&lt;="&amp;ANK6,tblProjectSchedule[[Finish]:[Finish]],"&gt;="&amp;ANK6)+SUMIFS(tblProjectSchedule[[Helpers]:[Helpers]],tblProjectSchedule[[Start]:[Start]],"&lt;="&amp;ANK6,tblProjectSchedule[[Finish]:[Finish]],"&gt;="&amp;ANK6))</f>
        <v>0</v>
      </c>
      <c r="ANL4" s="172">
        <f>IF(WEEKDAY(ANL6,12)&gt;=6,0,SUMIFS(tblProjectSchedule[[Skilled]:[Skilled]],tblProjectSchedule[[Start]:[Start]],"&lt;="&amp;ANL6,tblProjectSchedule[[Finish]:[Finish]],"&gt;="&amp;ANL6)+SUMIFS(tblProjectSchedule[[Helpers]:[Helpers]],tblProjectSchedule[[Start]:[Start]],"&lt;="&amp;ANL6,tblProjectSchedule[[Finish]:[Finish]],"&gt;="&amp;ANL6))</f>
        <v>0</v>
      </c>
      <c r="ANM4" s="174">
        <f>IF(WEEKDAY(ANM6,12)&gt;=6,0,SUMIFS(tblProjectSchedule[[Skilled]:[Skilled]],tblProjectSchedule[[Start]:[Start]],"&lt;="&amp;ANM6,tblProjectSchedule[[Finish]:[Finish]],"&gt;="&amp;ANM6)+SUMIFS(tblProjectSchedule[[Helpers]:[Helpers]],tblProjectSchedule[[Start]:[Start]],"&lt;="&amp;ANM6,tblProjectSchedule[[Finish]:[Finish]],"&gt;="&amp;ANM6))</f>
        <v>0</v>
      </c>
      <c r="ANN4" s="173">
        <f>IF(WEEKDAY(ANN6,12)&gt;=6,0,SUMIFS(tblProjectSchedule[[Skilled]:[Skilled]],tblProjectSchedule[[Start]:[Start]],"&lt;="&amp;ANN6,tblProjectSchedule[[Finish]:[Finish]],"&gt;="&amp;ANN6)+SUMIFS(tblProjectSchedule[[Helpers]:[Helpers]],tblProjectSchedule[[Start]:[Start]],"&lt;="&amp;ANN6,tblProjectSchedule[[Finish]:[Finish]],"&gt;="&amp;ANN6))</f>
        <v>0</v>
      </c>
      <c r="ANO4" s="172">
        <f>IF(WEEKDAY(ANO6,12)&gt;=6,0,SUMIFS(tblProjectSchedule[[Skilled]:[Skilled]],tblProjectSchedule[[Start]:[Start]],"&lt;="&amp;ANO6,tblProjectSchedule[[Finish]:[Finish]],"&gt;="&amp;ANO6)+SUMIFS(tblProjectSchedule[[Helpers]:[Helpers]],tblProjectSchedule[[Start]:[Start]],"&lt;="&amp;ANO6,tblProjectSchedule[[Finish]:[Finish]],"&gt;="&amp;ANO6))</f>
        <v>0</v>
      </c>
      <c r="ANP4" s="172">
        <f>IF(WEEKDAY(ANP6,12)&gt;=6,0,SUMIFS(tblProjectSchedule[[Skilled]:[Skilled]],tblProjectSchedule[[Start]:[Start]],"&lt;="&amp;ANP6,tblProjectSchedule[[Finish]:[Finish]],"&gt;="&amp;ANP6)+SUMIFS(tblProjectSchedule[[Helpers]:[Helpers]],tblProjectSchedule[[Start]:[Start]],"&lt;="&amp;ANP6,tblProjectSchedule[[Finish]:[Finish]],"&gt;="&amp;ANP6))</f>
        <v>0</v>
      </c>
      <c r="ANQ4" s="172">
        <f>IF(WEEKDAY(ANQ6,12)&gt;=6,0,SUMIFS(tblProjectSchedule[[Skilled]:[Skilled]],tblProjectSchedule[[Start]:[Start]],"&lt;="&amp;ANQ6,tblProjectSchedule[[Finish]:[Finish]],"&gt;="&amp;ANQ6)+SUMIFS(tblProjectSchedule[[Helpers]:[Helpers]],tblProjectSchedule[[Start]:[Start]],"&lt;="&amp;ANQ6,tblProjectSchedule[[Finish]:[Finish]],"&gt;="&amp;ANQ6))</f>
        <v>0</v>
      </c>
      <c r="ANR4" s="172">
        <f>IF(WEEKDAY(ANR6,12)&gt;=6,0,SUMIFS(tblProjectSchedule[[Skilled]:[Skilled]],tblProjectSchedule[[Start]:[Start]],"&lt;="&amp;ANR6,tblProjectSchedule[[Finish]:[Finish]],"&gt;="&amp;ANR6)+SUMIFS(tblProjectSchedule[[Helpers]:[Helpers]],tblProjectSchedule[[Start]:[Start]],"&lt;="&amp;ANR6,tblProjectSchedule[[Finish]:[Finish]],"&gt;="&amp;ANR6))</f>
        <v>0</v>
      </c>
      <c r="ANS4" s="172">
        <f>IF(WEEKDAY(ANS6,12)&gt;=6,0,SUMIFS(tblProjectSchedule[[Skilled]:[Skilled]],tblProjectSchedule[[Start]:[Start]],"&lt;="&amp;ANS6,tblProjectSchedule[[Finish]:[Finish]],"&gt;="&amp;ANS6)+SUMIFS(tblProjectSchedule[[Helpers]:[Helpers]],tblProjectSchedule[[Start]:[Start]],"&lt;="&amp;ANS6,tblProjectSchedule[[Finish]:[Finish]],"&gt;="&amp;ANS6))</f>
        <v>0</v>
      </c>
      <c r="ANT4" s="174">
        <f>IF(WEEKDAY(ANT6,12)&gt;=6,0,SUMIFS(tblProjectSchedule[[Skilled]:[Skilled]],tblProjectSchedule[[Start]:[Start]],"&lt;="&amp;ANT6,tblProjectSchedule[[Finish]:[Finish]],"&gt;="&amp;ANT6)+SUMIFS(tblProjectSchedule[[Helpers]:[Helpers]],tblProjectSchedule[[Start]:[Start]],"&lt;="&amp;ANT6,tblProjectSchedule[[Finish]:[Finish]],"&gt;="&amp;ANT6))</f>
        <v>0</v>
      </c>
      <c r="ANU4" s="173">
        <f>IF(WEEKDAY(ANU6,12)&gt;=6,0,SUMIFS(tblProjectSchedule[[Skilled]:[Skilled]],tblProjectSchedule[[Start]:[Start]],"&lt;="&amp;ANU6,tblProjectSchedule[[Finish]:[Finish]],"&gt;="&amp;ANU6)+SUMIFS(tblProjectSchedule[[Helpers]:[Helpers]],tblProjectSchedule[[Start]:[Start]],"&lt;="&amp;ANU6,tblProjectSchedule[[Finish]:[Finish]],"&gt;="&amp;ANU6))</f>
        <v>0</v>
      </c>
      <c r="ANV4" s="172">
        <f>IF(WEEKDAY(ANV6,12)&gt;=6,0,SUMIFS(tblProjectSchedule[[Skilled]:[Skilled]],tblProjectSchedule[[Start]:[Start]],"&lt;="&amp;ANV6,tblProjectSchedule[[Finish]:[Finish]],"&gt;="&amp;ANV6)+SUMIFS(tblProjectSchedule[[Helpers]:[Helpers]],tblProjectSchedule[[Start]:[Start]],"&lt;="&amp;ANV6,tblProjectSchedule[[Finish]:[Finish]],"&gt;="&amp;ANV6))</f>
        <v>0</v>
      </c>
      <c r="ANW4" s="172">
        <f>IF(WEEKDAY(ANW6,12)&gt;=6,0,SUMIFS(tblProjectSchedule[[Skilled]:[Skilled]],tblProjectSchedule[[Start]:[Start]],"&lt;="&amp;ANW6,tblProjectSchedule[[Finish]:[Finish]],"&gt;="&amp;ANW6)+SUMIFS(tblProjectSchedule[[Helpers]:[Helpers]],tblProjectSchedule[[Start]:[Start]],"&lt;="&amp;ANW6,tblProjectSchedule[[Finish]:[Finish]],"&gt;="&amp;ANW6))</f>
        <v>0</v>
      </c>
      <c r="ANX4" s="172">
        <f>IF(WEEKDAY(ANX6,12)&gt;=6,0,SUMIFS(tblProjectSchedule[[Skilled]:[Skilled]],tblProjectSchedule[[Start]:[Start]],"&lt;="&amp;ANX6,tblProjectSchedule[[Finish]:[Finish]],"&gt;="&amp;ANX6)+SUMIFS(tblProjectSchedule[[Helpers]:[Helpers]],tblProjectSchedule[[Start]:[Start]],"&lt;="&amp;ANX6,tblProjectSchedule[[Finish]:[Finish]],"&gt;="&amp;ANX6))</f>
        <v>0</v>
      </c>
      <c r="ANY4" s="172">
        <f>IF(WEEKDAY(ANY6,12)&gt;=6,0,SUMIFS(tblProjectSchedule[[Skilled]:[Skilled]],tblProjectSchedule[[Start]:[Start]],"&lt;="&amp;ANY6,tblProjectSchedule[[Finish]:[Finish]],"&gt;="&amp;ANY6)+SUMIFS(tblProjectSchedule[[Helpers]:[Helpers]],tblProjectSchedule[[Start]:[Start]],"&lt;="&amp;ANY6,tblProjectSchedule[[Finish]:[Finish]],"&gt;="&amp;ANY6))</f>
        <v>0</v>
      </c>
      <c r="ANZ4" s="172">
        <f>IF(WEEKDAY(ANZ6,12)&gt;=6,0,SUMIFS(tblProjectSchedule[[Skilled]:[Skilled]],tblProjectSchedule[[Start]:[Start]],"&lt;="&amp;ANZ6,tblProjectSchedule[[Finish]:[Finish]],"&gt;="&amp;ANZ6)+SUMIFS(tblProjectSchedule[[Helpers]:[Helpers]],tblProjectSchedule[[Start]:[Start]],"&lt;="&amp;ANZ6,tblProjectSchedule[[Finish]:[Finish]],"&gt;="&amp;ANZ6))</f>
        <v>0</v>
      </c>
      <c r="AOA4" s="174">
        <f>IF(WEEKDAY(AOA6,12)&gt;=6,0,SUMIFS(tblProjectSchedule[[Skilled]:[Skilled]],tblProjectSchedule[[Start]:[Start]],"&lt;="&amp;AOA6,tblProjectSchedule[[Finish]:[Finish]],"&gt;="&amp;AOA6)+SUMIFS(tblProjectSchedule[[Helpers]:[Helpers]],tblProjectSchedule[[Start]:[Start]],"&lt;="&amp;AOA6,tblProjectSchedule[[Finish]:[Finish]],"&gt;="&amp;AOA6))</f>
        <v>0</v>
      </c>
      <c r="AOB4" s="173">
        <f>IF(WEEKDAY(AOB6,12)&gt;=6,0,SUMIFS(tblProjectSchedule[[Skilled]:[Skilled]],tblProjectSchedule[[Start]:[Start]],"&lt;="&amp;AOB6,tblProjectSchedule[[Finish]:[Finish]],"&gt;="&amp;AOB6)+SUMIFS(tblProjectSchedule[[Helpers]:[Helpers]],tblProjectSchedule[[Start]:[Start]],"&lt;="&amp;AOB6,tblProjectSchedule[[Finish]:[Finish]],"&gt;="&amp;AOB6))</f>
        <v>0</v>
      </c>
      <c r="AOC4" s="172">
        <f>IF(WEEKDAY(AOC6,12)&gt;=6,0,SUMIFS(tblProjectSchedule[[Skilled]:[Skilled]],tblProjectSchedule[[Start]:[Start]],"&lt;="&amp;AOC6,tblProjectSchedule[[Finish]:[Finish]],"&gt;="&amp;AOC6)+SUMIFS(tblProjectSchedule[[Helpers]:[Helpers]],tblProjectSchedule[[Start]:[Start]],"&lt;="&amp;AOC6,tblProjectSchedule[[Finish]:[Finish]],"&gt;="&amp;AOC6))</f>
        <v>0</v>
      </c>
      <c r="AOD4" s="172">
        <f>IF(WEEKDAY(AOD6,12)&gt;=6,0,SUMIFS(tblProjectSchedule[[Skilled]:[Skilled]],tblProjectSchedule[[Start]:[Start]],"&lt;="&amp;AOD6,tblProjectSchedule[[Finish]:[Finish]],"&gt;="&amp;AOD6)+SUMIFS(tblProjectSchedule[[Helpers]:[Helpers]],tblProjectSchedule[[Start]:[Start]],"&lt;="&amp;AOD6,tblProjectSchedule[[Finish]:[Finish]],"&gt;="&amp;AOD6))</f>
        <v>0</v>
      </c>
      <c r="AOE4" s="172">
        <f>IF(WEEKDAY(AOE6,12)&gt;=6,0,SUMIFS(tblProjectSchedule[[Skilled]:[Skilled]],tblProjectSchedule[[Start]:[Start]],"&lt;="&amp;AOE6,tblProjectSchedule[[Finish]:[Finish]],"&gt;="&amp;AOE6)+SUMIFS(tblProjectSchedule[[Helpers]:[Helpers]],tblProjectSchedule[[Start]:[Start]],"&lt;="&amp;AOE6,tblProjectSchedule[[Finish]:[Finish]],"&gt;="&amp;AOE6))</f>
        <v>0</v>
      </c>
      <c r="AOF4" s="172">
        <f>IF(WEEKDAY(AOF6,12)&gt;=6,0,SUMIFS(tblProjectSchedule[[Skilled]:[Skilled]],tblProjectSchedule[[Start]:[Start]],"&lt;="&amp;AOF6,tblProjectSchedule[[Finish]:[Finish]],"&gt;="&amp;AOF6)+SUMIFS(tblProjectSchedule[[Helpers]:[Helpers]],tblProjectSchedule[[Start]:[Start]],"&lt;="&amp;AOF6,tblProjectSchedule[[Finish]:[Finish]],"&gt;="&amp;AOF6))</f>
        <v>0</v>
      </c>
      <c r="AOG4" s="172">
        <f>IF(WEEKDAY(AOG6,12)&gt;=6,0,SUMIFS(tblProjectSchedule[[Skilled]:[Skilled]],tblProjectSchedule[[Start]:[Start]],"&lt;="&amp;AOG6,tblProjectSchedule[[Finish]:[Finish]],"&gt;="&amp;AOG6)+SUMIFS(tblProjectSchedule[[Helpers]:[Helpers]],tblProjectSchedule[[Start]:[Start]],"&lt;="&amp;AOG6,tblProjectSchedule[[Finish]:[Finish]],"&gt;="&amp;AOG6))</f>
        <v>0</v>
      </c>
      <c r="AOH4" s="174">
        <f>IF(WEEKDAY(AOH6,12)&gt;=6,0,SUMIFS(tblProjectSchedule[[Skilled]:[Skilled]],tblProjectSchedule[[Start]:[Start]],"&lt;="&amp;AOH6,tblProjectSchedule[[Finish]:[Finish]],"&gt;="&amp;AOH6)+SUMIFS(tblProjectSchedule[[Helpers]:[Helpers]],tblProjectSchedule[[Start]:[Start]],"&lt;="&amp;AOH6,tblProjectSchedule[[Finish]:[Finish]],"&gt;="&amp;AOH6))</f>
        <v>0</v>
      </c>
      <c r="AOI4" s="173">
        <f>IF(WEEKDAY(AOI6,12)&gt;=6,0,SUMIFS(tblProjectSchedule[[Skilled]:[Skilled]],tblProjectSchedule[[Start]:[Start]],"&lt;="&amp;AOI6,tblProjectSchedule[[Finish]:[Finish]],"&gt;="&amp;AOI6)+SUMIFS(tblProjectSchedule[[Helpers]:[Helpers]],tblProjectSchedule[[Start]:[Start]],"&lt;="&amp;AOI6,tblProjectSchedule[[Finish]:[Finish]],"&gt;="&amp;AOI6))</f>
        <v>0</v>
      </c>
      <c r="AOJ4" s="172">
        <f>IF(WEEKDAY(AOJ6,12)&gt;=6,0,SUMIFS(tblProjectSchedule[[Skilled]:[Skilled]],tblProjectSchedule[[Start]:[Start]],"&lt;="&amp;AOJ6,tblProjectSchedule[[Finish]:[Finish]],"&gt;="&amp;AOJ6)+SUMIFS(tblProjectSchedule[[Helpers]:[Helpers]],tblProjectSchedule[[Start]:[Start]],"&lt;="&amp;AOJ6,tblProjectSchedule[[Finish]:[Finish]],"&gt;="&amp;AOJ6))</f>
        <v>0</v>
      </c>
      <c r="AOK4" s="172">
        <f>IF(WEEKDAY(AOK6,12)&gt;=6,0,SUMIFS(tblProjectSchedule[[Skilled]:[Skilled]],tblProjectSchedule[[Start]:[Start]],"&lt;="&amp;AOK6,tblProjectSchedule[[Finish]:[Finish]],"&gt;="&amp;AOK6)+SUMIFS(tblProjectSchedule[[Helpers]:[Helpers]],tblProjectSchedule[[Start]:[Start]],"&lt;="&amp;AOK6,tblProjectSchedule[[Finish]:[Finish]],"&gt;="&amp;AOK6))</f>
        <v>0</v>
      </c>
      <c r="AOL4" s="172">
        <f>IF(WEEKDAY(AOL6,12)&gt;=6,0,SUMIFS(tblProjectSchedule[[Skilled]:[Skilled]],tblProjectSchedule[[Start]:[Start]],"&lt;="&amp;AOL6,tblProjectSchedule[[Finish]:[Finish]],"&gt;="&amp;AOL6)+SUMIFS(tblProjectSchedule[[Helpers]:[Helpers]],tblProjectSchedule[[Start]:[Start]],"&lt;="&amp;AOL6,tblProjectSchedule[[Finish]:[Finish]],"&gt;="&amp;AOL6))</f>
        <v>0</v>
      </c>
      <c r="AOM4" s="172">
        <f>IF(WEEKDAY(AOM6,12)&gt;=6,0,SUMIFS(tblProjectSchedule[[Skilled]:[Skilled]],tblProjectSchedule[[Start]:[Start]],"&lt;="&amp;AOM6,tblProjectSchedule[[Finish]:[Finish]],"&gt;="&amp;AOM6)+SUMIFS(tblProjectSchedule[[Helpers]:[Helpers]],tblProjectSchedule[[Start]:[Start]],"&lt;="&amp;AOM6,tblProjectSchedule[[Finish]:[Finish]],"&gt;="&amp;AOM6))</f>
        <v>0</v>
      </c>
      <c r="AON4" s="172">
        <f>IF(WEEKDAY(AON6,12)&gt;=6,0,SUMIFS(tblProjectSchedule[[Skilled]:[Skilled]],tblProjectSchedule[[Start]:[Start]],"&lt;="&amp;AON6,tblProjectSchedule[[Finish]:[Finish]],"&gt;="&amp;AON6)+SUMIFS(tblProjectSchedule[[Helpers]:[Helpers]],tblProjectSchedule[[Start]:[Start]],"&lt;="&amp;AON6,tblProjectSchedule[[Finish]:[Finish]],"&gt;="&amp;AON6))</f>
        <v>0</v>
      </c>
      <c r="AOO4" s="174">
        <f>IF(WEEKDAY(AOO6,12)&gt;=6,0,SUMIFS(tblProjectSchedule[[Skilled]:[Skilled]],tblProjectSchedule[[Start]:[Start]],"&lt;="&amp;AOO6,tblProjectSchedule[[Finish]:[Finish]],"&gt;="&amp;AOO6)+SUMIFS(tblProjectSchedule[[Helpers]:[Helpers]],tblProjectSchedule[[Start]:[Start]],"&lt;="&amp;AOO6,tblProjectSchedule[[Finish]:[Finish]],"&gt;="&amp;AOO6))</f>
        <v>0</v>
      </c>
      <c r="AOP4" s="173">
        <f>IF(WEEKDAY(AOP6,12)&gt;=6,0,SUMIFS(tblProjectSchedule[[Skilled]:[Skilled]],tblProjectSchedule[[Start]:[Start]],"&lt;="&amp;AOP6,tblProjectSchedule[[Finish]:[Finish]],"&gt;="&amp;AOP6)+SUMIFS(tblProjectSchedule[[Helpers]:[Helpers]],tblProjectSchedule[[Start]:[Start]],"&lt;="&amp;AOP6,tblProjectSchedule[[Finish]:[Finish]],"&gt;="&amp;AOP6))</f>
        <v>0</v>
      </c>
      <c r="AOQ4" s="172">
        <f>IF(WEEKDAY(AOQ6,12)&gt;=6,0,SUMIFS(tblProjectSchedule[[Skilled]:[Skilled]],tblProjectSchedule[[Start]:[Start]],"&lt;="&amp;AOQ6,tblProjectSchedule[[Finish]:[Finish]],"&gt;="&amp;AOQ6)+SUMIFS(tblProjectSchedule[[Helpers]:[Helpers]],tblProjectSchedule[[Start]:[Start]],"&lt;="&amp;AOQ6,tblProjectSchedule[[Finish]:[Finish]],"&gt;="&amp;AOQ6))</f>
        <v>0</v>
      </c>
      <c r="AOR4" s="172">
        <f>IF(WEEKDAY(AOR6,12)&gt;=6,0,SUMIFS(tblProjectSchedule[[Skilled]:[Skilled]],tblProjectSchedule[[Start]:[Start]],"&lt;="&amp;AOR6,tblProjectSchedule[[Finish]:[Finish]],"&gt;="&amp;AOR6)+SUMIFS(tblProjectSchedule[[Helpers]:[Helpers]],tblProjectSchedule[[Start]:[Start]],"&lt;="&amp;AOR6,tblProjectSchedule[[Finish]:[Finish]],"&gt;="&amp;AOR6))</f>
        <v>0</v>
      </c>
      <c r="AOS4" s="172">
        <f>IF(WEEKDAY(AOS6,12)&gt;=6,0,SUMIFS(tblProjectSchedule[[Skilled]:[Skilled]],tblProjectSchedule[[Start]:[Start]],"&lt;="&amp;AOS6,tblProjectSchedule[[Finish]:[Finish]],"&gt;="&amp;AOS6)+SUMIFS(tblProjectSchedule[[Helpers]:[Helpers]],tblProjectSchedule[[Start]:[Start]],"&lt;="&amp;AOS6,tblProjectSchedule[[Finish]:[Finish]],"&gt;="&amp;AOS6))</f>
        <v>0</v>
      </c>
      <c r="AOT4" s="172">
        <f>IF(WEEKDAY(AOT6,12)&gt;=6,0,SUMIFS(tblProjectSchedule[[Skilled]:[Skilled]],tblProjectSchedule[[Start]:[Start]],"&lt;="&amp;AOT6,tblProjectSchedule[[Finish]:[Finish]],"&gt;="&amp;AOT6)+SUMIFS(tblProjectSchedule[[Helpers]:[Helpers]],tblProjectSchedule[[Start]:[Start]],"&lt;="&amp;AOT6,tblProjectSchedule[[Finish]:[Finish]],"&gt;="&amp;AOT6))</f>
        <v>0</v>
      </c>
      <c r="AOU4" s="172">
        <f>IF(WEEKDAY(AOU6,12)&gt;=6,0,SUMIFS(tblProjectSchedule[[Skilled]:[Skilled]],tblProjectSchedule[[Start]:[Start]],"&lt;="&amp;AOU6,tblProjectSchedule[[Finish]:[Finish]],"&gt;="&amp;AOU6)+SUMIFS(tblProjectSchedule[[Helpers]:[Helpers]],tblProjectSchedule[[Start]:[Start]],"&lt;="&amp;AOU6,tblProjectSchedule[[Finish]:[Finish]],"&gt;="&amp;AOU6))</f>
        <v>0</v>
      </c>
      <c r="AOV4" s="174">
        <f>IF(WEEKDAY(AOV6,12)&gt;=6,0,SUMIFS(tblProjectSchedule[[Skilled]:[Skilled]],tblProjectSchedule[[Start]:[Start]],"&lt;="&amp;AOV6,tblProjectSchedule[[Finish]:[Finish]],"&gt;="&amp;AOV6)+SUMIFS(tblProjectSchedule[[Helpers]:[Helpers]],tblProjectSchedule[[Start]:[Start]],"&lt;="&amp;AOV6,tblProjectSchedule[[Finish]:[Finish]],"&gt;="&amp;AOV6))</f>
        <v>0</v>
      </c>
      <c r="AOW4" s="173">
        <f>IF(WEEKDAY(AOW6,12)&gt;=6,0,SUMIFS(tblProjectSchedule[[Skilled]:[Skilled]],tblProjectSchedule[[Start]:[Start]],"&lt;="&amp;AOW6,tblProjectSchedule[[Finish]:[Finish]],"&gt;="&amp;AOW6)+SUMIFS(tblProjectSchedule[[Helpers]:[Helpers]],tblProjectSchedule[[Start]:[Start]],"&lt;="&amp;AOW6,tblProjectSchedule[[Finish]:[Finish]],"&gt;="&amp;AOW6))</f>
        <v>0</v>
      </c>
      <c r="AOX4" s="172">
        <f>IF(WEEKDAY(AOX6,12)&gt;=6,0,SUMIFS(tblProjectSchedule[[Skilled]:[Skilled]],tblProjectSchedule[[Start]:[Start]],"&lt;="&amp;AOX6,tblProjectSchedule[[Finish]:[Finish]],"&gt;="&amp;AOX6)+SUMIFS(tblProjectSchedule[[Helpers]:[Helpers]],tblProjectSchedule[[Start]:[Start]],"&lt;="&amp;AOX6,tblProjectSchedule[[Finish]:[Finish]],"&gt;="&amp;AOX6))</f>
        <v>0</v>
      </c>
      <c r="AOY4" s="172">
        <f>IF(WEEKDAY(AOY6,12)&gt;=6,0,SUMIFS(tblProjectSchedule[[Skilled]:[Skilled]],tblProjectSchedule[[Start]:[Start]],"&lt;="&amp;AOY6,tblProjectSchedule[[Finish]:[Finish]],"&gt;="&amp;AOY6)+SUMIFS(tblProjectSchedule[[Helpers]:[Helpers]],tblProjectSchedule[[Start]:[Start]],"&lt;="&amp;AOY6,tblProjectSchedule[[Finish]:[Finish]],"&gt;="&amp;AOY6))</f>
        <v>0</v>
      </c>
      <c r="AOZ4" s="172">
        <f>IF(WEEKDAY(AOZ6,12)&gt;=6,0,SUMIFS(tblProjectSchedule[[Skilled]:[Skilled]],tblProjectSchedule[[Start]:[Start]],"&lt;="&amp;AOZ6,tblProjectSchedule[[Finish]:[Finish]],"&gt;="&amp;AOZ6)+SUMIFS(tblProjectSchedule[[Helpers]:[Helpers]],tblProjectSchedule[[Start]:[Start]],"&lt;="&amp;AOZ6,tblProjectSchedule[[Finish]:[Finish]],"&gt;="&amp;AOZ6))</f>
        <v>0</v>
      </c>
      <c r="APA4" s="172">
        <f>IF(WEEKDAY(APA6,12)&gt;=6,0,SUMIFS(tblProjectSchedule[[Skilled]:[Skilled]],tblProjectSchedule[[Start]:[Start]],"&lt;="&amp;APA6,tblProjectSchedule[[Finish]:[Finish]],"&gt;="&amp;APA6)+SUMIFS(tblProjectSchedule[[Helpers]:[Helpers]],tblProjectSchedule[[Start]:[Start]],"&lt;="&amp;APA6,tblProjectSchedule[[Finish]:[Finish]],"&gt;="&amp;APA6))</f>
        <v>0</v>
      </c>
      <c r="APB4" s="172">
        <f>IF(WEEKDAY(APB6,12)&gt;=6,0,SUMIFS(tblProjectSchedule[[Skilled]:[Skilled]],tblProjectSchedule[[Start]:[Start]],"&lt;="&amp;APB6,tblProjectSchedule[[Finish]:[Finish]],"&gt;="&amp;APB6)+SUMIFS(tblProjectSchedule[[Helpers]:[Helpers]],tblProjectSchedule[[Start]:[Start]],"&lt;="&amp;APB6,tblProjectSchedule[[Finish]:[Finish]],"&gt;="&amp;APB6))</f>
        <v>0</v>
      </c>
      <c r="APC4" s="174">
        <f>IF(WEEKDAY(APC6,12)&gt;=6,0,SUMIFS(tblProjectSchedule[[Skilled]:[Skilled]],tblProjectSchedule[[Start]:[Start]],"&lt;="&amp;APC6,tblProjectSchedule[[Finish]:[Finish]],"&gt;="&amp;APC6)+SUMIFS(tblProjectSchedule[[Helpers]:[Helpers]],tblProjectSchedule[[Start]:[Start]],"&lt;="&amp;APC6,tblProjectSchedule[[Finish]:[Finish]],"&gt;="&amp;APC6))</f>
        <v>0</v>
      </c>
      <c r="APD4" s="173">
        <f>IF(WEEKDAY(APD6,12)&gt;=6,0,SUMIFS(tblProjectSchedule[[Skilled]:[Skilled]],tblProjectSchedule[[Start]:[Start]],"&lt;="&amp;APD6,tblProjectSchedule[[Finish]:[Finish]],"&gt;="&amp;APD6)+SUMIFS(tblProjectSchedule[[Helpers]:[Helpers]],tblProjectSchedule[[Start]:[Start]],"&lt;="&amp;APD6,tblProjectSchedule[[Finish]:[Finish]],"&gt;="&amp;APD6))</f>
        <v>0</v>
      </c>
      <c r="APE4" s="172">
        <f>IF(WEEKDAY(APE6,12)&gt;=6,0,SUMIFS(tblProjectSchedule[[Skilled]:[Skilled]],tblProjectSchedule[[Start]:[Start]],"&lt;="&amp;APE6,tblProjectSchedule[[Finish]:[Finish]],"&gt;="&amp;APE6)+SUMIFS(tblProjectSchedule[[Helpers]:[Helpers]],tblProjectSchedule[[Start]:[Start]],"&lt;="&amp;APE6,tblProjectSchedule[[Finish]:[Finish]],"&gt;="&amp;APE6))</f>
        <v>0</v>
      </c>
      <c r="APF4" s="172">
        <f>IF(WEEKDAY(APF6,12)&gt;=6,0,SUMIFS(tblProjectSchedule[[Skilled]:[Skilled]],tblProjectSchedule[[Start]:[Start]],"&lt;="&amp;APF6,tblProjectSchedule[[Finish]:[Finish]],"&gt;="&amp;APF6)+SUMIFS(tblProjectSchedule[[Helpers]:[Helpers]],tblProjectSchedule[[Start]:[Start]],"&lt;="&amp;APF6,tblProjectSchedule[[Finish]:[Finish]],"&gt;="&amp;APF6))</f>
        <v>0</v>
      </c>
      <c r="APG4" s="172">
        <f>IF(WEEKDAY(APG6,12)&gt;=6,0,SUMIFS(tblProjectSchedule[[Skilled]:[Skilled]],tblProjectSchedule[[Start]:[Start]],"&lt;="&amp;APG6,tblProjectSchedule[[Finish]:[Finish]],"&gt;="&amp;APG6)+SUMIFS(tblProjectSchedule[[Helpers]:[Helpers]],tblProjectSchedule[[Start]:[Start]],"&lt;="&amp;APG6,tblProjectSchedule[[Finish]:[Finish]],"&gt;="&amp;APG6))</f>
        <v>0</v>
      </c>
      <c r="APH4" s="172">
        <f>IF(WEEKDAY(APH6,12)&gt;=6,0,SUMIFS(tblProjectSchedule[[Skilled]:[Skilled]],tblProjectSchedule[[Start]:[Start]],"&lt;="&amp;APH6,tblProjectSchedule[[Finish]:[Finish]],"&gt;="&amp;APH6)+SUMIFS(tblProjectSchedule[[Helpers]:[Helpers]],tblProjectSchedule[[Start]:[Start]],"&lt;="&amp;APH6,tblProjectSchedule[[Finish]:[Finish]],"&gt;="&amp;APH6))</f>
        <v>0</v>
      </c>
      <c r="API4" s="172">
        <f>IF(WEEKDAY(API6,12)&gt;=6,0,SUMIFS(tblProjectSchedule[[Skilled]:[Skilled]],tblProjectSchedule[[Start]:[Start]],"&lt;="&amp;API6,tblProjectSchedule[[Finish]:[Finish]],"&gt;="&amp;API6)+SUMIFS(tblProjectSchedule[[Helpers]:[Helpers]],tblProjectSchedule[[Start]:[Start]],"&lt;="&amp;API6,tblProjectSchedule[[Finish]:[Finish]],"&gt;="&amp;API6))</f>
        <v>0</v>
      </c>
      <c r="APJ4" s="174">
        <f>IF(WEEKDAY(APJ6,12)&gt;=6,0,SUMIFS(tblProjectSchedule[[Skilled]:[Skilled]],tblProjectSchedule[[Start]:[Start]],"&lt;="&amp;APJ6,tblProjectSchedule[[Finish]:[Finish]],"&gt;="&amp;APJ6)+SUMIFS(tblProjectSchedule[[Helpers]:[Helpers]],tblProjectSchedule[[Start]:[Start]],"&lt;="&amp;APJ6,tblProjectSchedule[[Finish]:[Finish]],"&gt;="&amp;APJ6))</f>
        <v>0</v>
      </c>
      <c r="APK4" s="173">
        <f>IF(WEEKDAY(APK6,12)&gt;=6,0,SUMIFS(tblProjectSchedule[[Skilled]:[Skilled]],tblProjectSchedule[[Start]:[Start]],"&lt;="&amp;APK6,tblProjectSchedule[[Finish]:[Finish]],"&gt;="&amp;APK6)+SUMIFS(tblProjectSchedule[[Helpers]:[Helpers]],tblProjectSchedule[[Start]:[Start]],"&lt;="&amp;APK6,tblProjectSchedule[[Finish]:[Finish]],"&gt;="&amp;APK6))</f>
        <v>0</v>
      </c>
      <c r="APL4" s="172">
        <f>IF(WEEKDAY(APL6,12)&gt;=6,0,SUMIFS(tblProjectSchedule[[Skilled]:[Skilled]],tblProjectSchedule[[Start]:[Start]],"&lt;="&amp;APL6,tblProjectSchedule[[Finish]:[Finish]],"&gt;="&amp;APL6)+SUMIFS(tblProjectSchedule[[Helpers]:[Helpers]],tblProjectSchedule[[Start]:[Start]],"&lt;="&amp;APL6,tblProjectSchedule[[Finish]:[Finish]],"&gt;="&amp;APL6))</f>
        <v>0</v>
      </c>
      <c r="APM4" s="172">
        <f>IF(WEEKDAY(APM6,12)&gt;=6,0,SUMIFS(tblProjectSchedule[[Skilled]:[Skilled]],tblProjectSchedule[[Start]:[Start]],"&lt;="&amp;APM6,tblProjectSchedule[[Finish]:[Finish]],"&gt;="&amp;APM6)+SUMIFS(tblProjectSchedule[[Helpers]:[Helpers]],tblProjectSchedule[[Start]:[Start]],"&lt;="&amp;APM6,tblProjectSchedule[[Finish]:[Finish]],"&gt;="&amp;APM6))</f>
        <v>0</v>
      </c>
      <c r="APN4" s="172">
        <f>IF(WEEKDAY(APN6,12)&gt;=6,0,SUMIFS(tblProjectSchedule[[Skilled]:[Skilled]],tblProjectSchedule[[Start]:[Start]],"&lt;="&amp;APN6,tblProjectSchedule[[Finish]:[Finish]],"&gt;="&amp;APN6)+SUMIFS(tblProjectSchedule[[Helpers]:[Helpers]],tblProjectSchedule[[Start]:[Start]],"&lt;="&amp;APN6,tblProjectSchedule[[Finish]:[Finish]],"&gt;="&amp;APN6))</f>
        <v>0</v>
      </c>
      <c r="APO4" s="172">
        <f>IF(WEEKDAY(APO6,12)&gt;=6,0,SUMIFS(tblProjectSchedule[[Skilled]:[Skilled]],tblProjectSchedule[[Start]:[Start]],"&lt;="&amp;APO6,tblProjectSchedule[[Finish]:[Finish]],"&gt;="&amp;APO6)+SUMIFS(tblProjectSchedule[[Helpers]:[Helpers]],tblProjectSchedule[[Start]:[Start]],"&lt;="&amp;APO6,tblProjectSchedule[[Finish]:[Finish]],"&gt;="&amp;APO6))</f>
        <v>0</v>
      </c>
      <c r="APP4" s="172">
        <f>IF(WEEKDAY(APP6,12)&gt;=6,0,SUMIFS(tblProjectSchedule[[Skilled]:[Skilled]],tblProjectSchedule[[Start]:[Start]],"&lt;="&amp;APP6,tblProjectSchedule[[Finish]:[Finish]],"&gt;="&amp;APP6)+SUMIFS(tblProjectSchedule[[Helpers]:[Helpers]],tblProjectSchedule[[Start]:[Start]],"&lt;="&amp;APP6,tblProjectSchedule[[Finish]:[Finish]],"&gt;="&amp;APP6))</f>
        <v>0</v>
      </c>
      <c r="APQ4" s="174">
        <f>IF(WEEKDAY(APQ6,12)&gt;=6,0,SUMIFS(tblProjectSchedule[[Skilled]:[Skilled]],tblProjectSchedule[[Start]:[Start]],"&lt;="&amp;APQ6,tblProjectSchedule[[Finish]:[Finish]],"&gt;="&amp;APQ6)+SUMIFS(tblProjectSchedule[[Helpers]:[Helpers]],tblProjectSchedule[[Start]:[Start]],"&lt;="&amp;APQ6,tblProjectSchedule[[Finish]:[Finish]],"&gt;="&amp;APQ6))</f>
        <v>0</v>
      </c>
      <c r="APR4" s="173">
        <f>IF(WEEKDAY(APR6,12)&gt;=6,0,SUMIFS(tblProjectSchedule[[Skilled]:[Skilled]],tblProjectSchedule[[Start]:[Start]],"&lt;="&amp;APR6,tblProjectSchedule[[Finish]:[Finish]],"&gt;="&amp;APR6)+SUMIFS(tblProjectSchedule[[Helpers]:[Helpers]],tblProjectSchedule[[Start]:[Start]],"&lt;="&amp;APR6,tblProjectSchedule[[Finish]:[Finish]],"&gt;="&amp;APR6))</f>
        <v>0</v>
      </c>
      <c r="APS4" s="172">
        <f>IF(WEEKDAY(APS6,12)&gt;=6,0,SUMIFS(tblProjectSchedule[[Skilled]:[Skilled]],tblProjectSchedule[[Start]:[Start]],"&lt;="&amp;APS6,tblProjectSchedule[[Finish]:[Finish]],"&gt;="&amp;APS6)+SUMIFS(tblProjectSchedule[[Helpers]:[Helpers]],tblProjectSchedule[[Start]:[Start]],"&lt;="&amp;APS6,tblProjectSchedule[[Finish]:[Finish]],"&gt;="&amp;APS6))</f>
        <v>0</v>
      </c>
      <c r="APT4" s="172">
        <f>IF(WEEKDAY(APT6,12)&gt;=6,0,SUMIFS(tblProjectSchedule[[Skilled]:[Skilled]],tblProjectSchedule[[Start]:[Start]],"&lt;="&amp;APT6,tblProjectSchedule[[Finish]:[Finish]],"&gt;="&amp;APT6)+SUMIFS(tblProjectSchedule[[Helpers]:[Helpers]],tblProjectSchedule[[Start]:[Start]],"&lt;="&amp;APT6,tblProjectSchedule[[Finish]:[Finish]],"&gt;="&amp;APT6))</f>
        <v>0</v>
      </c>
      <c r="APU4" s="172">
        <f>IF(WEEKDAY(APU6,12)&gt;=6,0,SUMIFS(tblProjectSchedule[[Skilled]:[Skilled]],tblProjectSchedule[[Start]:[Start]],"&lt;="&amp;APU6,tblProjectSchedule[[Finish]:[Finish]],"&gt;="&amp;APU6)+SUMIFS(tblProjectSchedule[[Helpers]:[Helpers]],tblProjectSchedule[[Start]:[Start]],"&lt;="&amp;APU6,tblProjectSchedule[[Finish]:[Finish]],"&gt;="&amp;APU6))</f>
        <v>0</v>
      </c>
      <c r="APV4" s="172">
        <f>IF(WEEKDAY(APV6,12)&gt;=6,0,SUMIFS(tblProjectSchedule[[Skilled]:[Skilled]],tblProjectSchedule[[Start]:[Start]],"&lt;="&amp;APV6,tblProjectSchedule[[Finish]:[Finish]],"&gt;="&amp;APV6)+SUMIFS(tblProjectSchedule[[Helpers]:[Helpers]],tblProjectSchedule[[Start]:[Start]],"&lt;="&amp;APV6,tblProjectSchedule[[Finish]:[Finish]],"&gt;="&amp;APV6))</f>
        <v>0</v>
      </c>
      <c r="APW4" s="172">
        <f>IF(WEEKDAY(APW6,12)&gt;=6,0,SUMIFS(tblProjectSchedule[[Skilled]:[Skilled]],tblProjectSchedule[[Start]:[Start]],"&lt;="&amp;APW6,tblProjectSchedule[[Finish]:[Finish]],"&gt;="&amp;APW6)+SUMIFS(tblProjectSchedule[[Helpers]:[Helpers]],tblProjectSchedule[[Start]:[Start]],"&lt;="&amp;APW6,tblProjectSchedule[[Finish]:[Finish]],"&gt;="&amp;APW6))</f>
        <v>0</v>
      </c>
      <c r="APX4" s="174">
        <f>IF(WEEKDAY(APX6,12)&gt;=6,0,SUMIFS(tblProjectSchedule[[Skilled]:[Skilled]],tblProjectSchedule[[Start]:[Start]],"&lt;="&amp;APX6,tblProjectSchedule[[Finish]:[Finish]],"&gt;="&amp;APX6)+SUMIFS(tblProjectSchedule[[Helpers]:[Helpers]],tblProjectSchedule[[Start]:[Start]],"&lt;="&amp;APX6,tblProjectSchedule[[Finish]:[Finish]],"&gt;="&amp;APX6))</f>
        <v>0</v>
      </c>
      <c r="APY4" s="173">
        <f>IF(WEEKDAY(APY6,12)&gt;=6,0,SUMIFS(tblProjectSchedule[[Skilled]:[Skilled]],tblProjectSchedule[[Start]:[Start]],"&lt;="&amp;APY6,tblProjectSchedule[[Finish]:[Finish]],"&gt;="&amp;APY6)+SUMIFS(tblProjectSchedule[[Helpers]:[Helpers]],tblProjectSchedule[[Start]:[Start]],"&lt;="&amp;APY6,tblProjectSchedule[[Finish]:[Finish]],"&gt;="&amp;APY6))</f>
        <v>0</v>
      </c>
      <c r="APZ4" s="172">
        <f>IF(WEEKDAY(APZ6,12)&gt;=6,0,SUMIFS(tblProjectSchedule[[Skilled]:[Skilled]],tblProjectSchedule[[Start]:[Start]],"&lt;="&amp;APZ6,tblProjectSchedule[[Finish]:[Finish]],"&gt;="&amp;APZ6)+SUMIFS(tblProjectSchedule[[Helpers]:[Helpers]],tblProjectSchedule[[Start]:[Start]],"&lt;="&amp;APZ6,tblProjectSchedule[[Finish]:[Finish]],"&gt;="&amp;APZ6))</f>
        <v>0</v>
      </c>
      <c r="AQA4" s="172">
        <f>IF(WEEKDAY(AQA6,12)&gt;=6,0,SUMIFS(tblProjectSchedule[[Skilled]:[Skilled]],tblProjectSchedule[[Start]:[Start]],"&lt;="&amp;AQA6,tblProjectSchedule[[Finish]:[Finish]],"&gt;="&amp;AQA6)+SUMIFS(tblProjectSchedule[[Helpers]:[Helpers]],tblProjectSchedule[[Start]:[Start]],"&lt;="&amp;AQA6,tblProjectSchedule[[Finish]:[Finish]],"&gt;="&amp;AQA6))</f>
        <v>0</v>
      </c>
      <c r="AQB4" s="172">
        <f>IF(WEEKDAY(AQB6,12)&gt;=6,0,SUMIFS(tblProjectSchedule[[Skilled]:[Skilled]],tblProjectSchedule[[Start]:[Start]],"&lt;="&amp;AQB6,tblProjectSchedule[[Finish]:[Finish]],"&gt;="&amp;AQB6)+SUMIFS(tblProjectSchedule[[Helpers]:[Helpers]],tblProjectSchedule[[Start]:[Start]],"&lt;="&amp;AQB6,tblProjectSchedule[[Finish]:[Finish]],"&gt;="&amp;AQB6))</f>
        <v>0</v>
      </c>
      <c r="AQC4" s="172">
        <f>IF(WEEKDAY(AQC6,12)&gt;=6,0,SUMIFS(tblProjectSchedule[[Skilled]:[Skilled]],tblProjectSchedule[[Start]:[Start]],"&lt;="&amp;AQC6,tblProjectSchedule[[Finish]:[Finish]],"&gt;="&amp;AQC6)+SUMIFS(tblProjectSchedule[[Helpers]:[Helpers]],tblProjectSchedule[[Start]:[Start]],"&lt;="&amp;AQC6,tblProjectSchedule[[Finish]:[Finish]],"&gt;="&amp;AQC6))</f>
        <v>0</v>
      </c>
      <c r="AQD4" s="172">
        <f>IF(WEEKDAY(AQD6,12)&gt;=6,0,SUMIFS(tblProjectSchedule[[Skilled]:[Skilled]],tblProjectSchedule[[Start]:[Start]],"&lt;="&amp;AQD6,tblProjectSchedule[[Finish]:[Finish]],"&gt;="&amp;AQD6)+SUMIFS(tblProjectSchedule[[Helpers]:[Helpers]],tblProjectSchedule[[Start]:[Start]],"&lt;="&amp;AQD6,tblProjectSchedule[[Finish]:[Finish]],"&gt;="&amp;AQD6))</f>
        <v>0</v>
      </c>
      <c r="AQE4" s="174">
        <f>IF(WEEKDAY(AQE6,12)&gt;=6,0,SUMIFS(tblProjectSchedule[[Skilled]:[Skilled]],tblProjectSchedule[[Start]:[Start]],"&lt;="&amp;AQE6,tblProjectSchedule[[Finish]:[Finish]],"&gt;="&amp;AQE6)+SUMIFS(tblProjectSchedule[[Helpers]:[Helpers]],tblProjectSchedule[[Start]:[Start]],"&lt;="&amp;AQE6,tblProjectSchedule[[Finish]:[Finish]],"&gt;="&amp;AQE6))</f>
        <v>0</v>
      </c>
      <c r="AQF4" s="173">
        <f>IF(WEEKDAY(AQF6,12)&gt;=6,0,SUMIFS(tblProjectSchedule[[Skilled]:[Skilled]],tblProjectSchedule[[Start]:[Start]],"&lt;="&amp;AQF6,tblProjectSchedule[[Finish]:[Finish]],"&gt;="&amp;AQF6)+SUMIFS(tblProjectSchedule[[Helpers]:[Helpers]],tblProjectSchedule[[Start]:[Start]],"&lt;="&amp;AQF6,tblProjectSchedule[[Finish]:[Finish]],"&gt;="&amp;AQF6))</f>
        <v>0</v>
      </c>
      <c r="AQG4" s="172">
        <f>IF(WEEKDAY(AQG6,12)&gt;=6,0,SUMIFS(tblProjectSchedule[[Skilled]:[Skilled]],tblProjectSchedule[[Start]:[Start]],"&lt;="&amp;AQG6,tblProjectSchedule[[Finish]:[Finish]],"&gt;="&amp;AQG6)+SUMIFS(tblProjectSchedule[[Helpers]:[Helpers]],tblProjectSchedule[[Start]:[Start]],"&lt;="&amp;AQG6,tblProjectSchedule[[Finish]:[Finish]],"&gt;="&amp;AQG6))</f>
        <v>0</v>
      </c>
      <c r="AQH4" s="172">
        <f>IF(WEEKDAY(AQH6,12)&gt;=6,0,SUMIFS(tblProjectSchedule[[Skilled]:[Skilled]],tblProjectSchedule[[Start]:[Start]],"&lt;="&amp;AQH6,tblProjectSchedule[[Finish]:[Finish]],"&gt;="&amp;AQH6)+SUMIFS(tblProjectSchedule[[Helpers]:[Helpers]],tblProjectSchedule[[Start]:[Start]],"&lt;="&amp;AQH6,tblProjectSchedule[[Finish]:[Finish]],"&gt;="&amp;AQH6))</f>
        <v>0</v>
      </c>
      <c r="AQI4" s="172">
        <f>IF(WEEKDAY(AQI6,12)&gt;=6,0,SUMIFS(tblProjectSchedule[[Skilled]:[Skilled]],tblProjectSchedule[[Start]:[Start]],"&lt;="&amp;AQI6,tblProjectSchedule[[Finish]:[Finish]],"&gt;="&amp;AQI6)+SUMIFS(tblProjectSchedule[[Helpers]:[Helpers]],tblProjectSchedule[[Start]:[Start]],"&lt;="&amp;AQI6,tblProjectSchedule[[Finish]:[Finish]],"&gt;="&amp;AQI6))</f>
        <v>0</v>
      </c>
      <c r="AQJ4" s="172">
        <f>IF(WEEKDAY(AQJ6,12)&gt;=6,0,SUMIFS(tblProjectSchedule[[Skilled]:[Skilled]],tblProjectSchedule[[Start]:[Start]],"&lt;="&amp;AQJ6,tblProjectSchedule[[Finish]:[Finish]],"&gt;="&amp;AQJ6)+SUMIFS(tblProjectSchedule[[Helpers]:[Helpers]],tblProjectSchedule[[Start]:[Start]],"&lt;="&amp;AQJ6,tblProjectSchedule[[Finish]:[Finish]],"&gt;="&amp;AQJ6))</f>
        <v>0</v>
      </c>
      <c r="AQK4" s="172">
        <f>IF(WEEKDAY(AQK6,12)&gt;=6,0,SUMIFS(tblProjectSchedule[[Skilled]:[Skilled]],tblProjectSchedule[[Start]:[Start]],"&lt;="&amp;AQK6,tblProjectSchedule[[Finish]:[Finish]],"&gt;="&amp;AQK6)+SUMIFS(tblProjectSchedule[[Helpers]:[Helpers]],tblProjectSchedule[[Start]:[Start]],"&lt;="&amp;AQK6,tblProjectSchedule[[Finish]:[Finish]],"&gt;="&amp;AQK6))</f>
        <v>0</v>
      </c>
      <c r="AQL4" s="174">
        <f>IF(WEEKDAY(AQL6,12)&gt;=6,0,SUMIFS(tblProjectSchedule[[Skilled]:[Skilled]],tblProjectSchedule[[Start]:[Start]],"&lt;="&amp;AQL6,tblProjectSchedule[[Finish]:[Finish]],"&gt;="&amp;AQL6)+SUMIFS(tblProjectSchedule[[Helpers]:[Helpers]],tblProjectSchedule[[Start]:[Start]],"&lt;="&amp;AQL6,tblProjectSchedule[[Finish]:[Finish]],"&gt;="&amp;AQL6))</f>
        <v>0</v>
      </c>
      <c r="AQM4" s="173">
        <f>IF(WEEKDAY(AQM6,12)&gt;=6,0,SUMIFS(tblProjectSchedule[[Skilled]:[Skilled]],tblProjectSchedule[[Start]:[Start]],"&lt;="&amp;AQM6,tblProjectSchedule[[Finish]:[Finish]],"&gt;="&amp;AQM6)+SUMIFS(tblProjectSchedule[[Helpers]:[Helpers]],tblProjectSchedule[[Start]:[Start]],"&lt;="&amp;AQM6,tblProjectSchedule[[Finish]:[Finish]],"&gt;="&amp;AQM6))</f>
        <v>0</v>
      </c>
      <c r="AQN4" s="172">
        <f>IF(WEEKDAY(AQN6,12)&gt;=6,0,SUMIFS(tblProjectSchedule[[Skilled]:[Skilled]],tblProjectSchedule[[Start]:[Start]],"&lt;="&amp;AQN6,tblProjectSchedule[[Finish]:[Finish]],"&gt;="&amp;AQN6)+SUMIFS(tblProjectSchedule[[Helpers]:[Helpers]],tblProjectSchedule[[Start]:[Start]],"&lt;="&amp;AQN6,tblProjectSchedule[[Finish]:[Finish]],"&gt;="&amp;AQN6))</f>
        <v>0</v>
      </c>
      <c r="AQO4" s="172">
        <f>IF(WEEKDAY(AQO6,12)&gt;=6,0,SUMIFS(tblProjectSchedule[[Skilled]:[Skilled]],tblProjectSchedule[[Start]:[Start]],"&lt;="&amp;AQO6,tblProjectSchedule[[Finish]:[Finish]],"&gt;="&amp;AQO6)+SUMIFS(tblProjectSchedule[[Helpers]:[Helpers]],tblProjectSchedule[[Start]:[Start]],"&lt;="&amp;AQO6,tblProjectSchedule[[Finish]:[Finish]],"&gt;="&amp;AQO6))</f>
        <v>0</v>
      </c>
      <c r="AQP4" s="172">
        <f>IF(WEEKDAY(AQP6,12)&gt;=6,0,SUMIFS(tblProjectSchedule[[Skilled]:[Skilled]],tblProjectSchedule[[Start]:[Start]],"&lt;="&amp;AQP6,tblProjectSchedule[[Finish]:[Finish]],"&gt;="&amp;AQP6)+SUMIFS(tblProjectSchedule[[Helpers]:[Helpers]],tblProjectSchedule[[Start]:[Start]],"&lt;="&amp;AQP6,tblProjectSchedule[[Finish]:[Finish]],"&gt;="&amp;AQP6))</f>
        <v>0</v>
      </c>
      <c r="AQQ4" s="172">
        <f>IF(WEEKDAY(AQQ6,12)&gt;=6,0,SUMIFS(tblProjectSchedule[[Skilled]:[Skilled]],tblProjectSchedule[[Start]:[Start]],"&lt;="&amp;AQQ6,tblProjectSchedule[[Finish]:[Finish]],"&gt;="&amp;AQQ6)+SUMIFS(tblProjectSchedule[[Helpers]:[Helpers]],tblProjectSchedule[[Start]:[Start]],"&lt;="&amp;AQQ6,tblProjectSchedule[[Finish]:[Finish]],"&gt;="&amp;AQQ6))</f>
        <v>0</v>
      </c>
      <c r="AQR4" s="172">
        <f>IF(WEEKDAY(AQR6,12)&gt;=6,0,SUMIFS(tblProjectSchedule[[Skilled]:[Skilled]],tblProjectSchedule[[Start]:[Start]],"&lt;="&amp;AQR6,tblProjectSchedule[[Finish]:[Finish]],"&gt;="&amp;AQR6)+SUMIFS(tblProjectSchedule[[Helpers]:[Helpers]],tblProjectSchedule[[Start]:[Start]],"&lt;="&amp;AQR6,tblProjectSchedule[[Finish]:[Finish]],"&gt;="&amp;AQR6))</f>
        <v>0</v>
      </c>
      <c r="AQS4" s="174">
        <f>IF(WEEKDAY(AQS6,12)&gt;=6,0,SUMIFS(tblProjectSchedule[[Skilled]:[Skilled]],tblProjectSchedule[[Start]:[Start]],"&lt;="&amp;AQS6,tblProjectSchedule[[Finish]:[Finish]],"&gt;="&amp;AQS6)+SUMIFS(tblProjectSchedule[[Helpers]:[Helpers]],tblProjectSchedule[[Start]:[Start]],"&lt;="&amp;AQS6,tblProjectSchedule[[Finish]:[Finish]],"&gt;="&amp;AQS6))</f>
        <v>0</v>
      </c>
      <c r="AQT4" s="173">
        <f>IF(WEEKDAY(AQT6,12)&gt;=6,0,SUMIFS(tblProjectSchedule[[Skilled]:[Skilled]],tblProjectSchedule[[Start]:[Start]],"&lt;="&amp;AQT6,tblProjectSchedule[[Finish]:[Finish]],"&gt;="&amp;AQT6)+SUMIFS(tblProjectSchedule[[Helpers]:[Helpers]],tblProjectSchedule[[Start]:[Start]],"&lt;="&amp;AQT6,tblProjectSchedule[[Finish]:[Finish]],"&gt;="&amp;AQT6))</f>
        <v>0</v>
      </c>
      <c r="AQU4" s="172">
        <f>IF(WEEKDAY(AQU6,12)&gt;=6,0,SUMIFS(tblProjectSchedule[[Skilled]:[Skilled]],tblProjectSchedule[[Start]:[Start]],"&lt;="&amp;AQU6,tblProjectSchedule[[Finish]:[Finish]],"&gt;="&amp;AQU6)+SUMIFS(tblProjectSchedule[[Helpers]:[Helpers]],tblProjectSchedule[[Start]:[Start]],"&lt;="&amp;AQU6,tblProjectSchedule[[Finish]:[Finish]],"&gt;="&amp;AQU6))</f>
        <v>0</v>
      </c>
      <c r="AQV4" s="172">
        <f>IF(WEEKDAY(AQV6,12)&gt;=6,0,SUMIFS(tblProjectSchedule[[Skilled]:[Skilled]],tblProjectSchedule[[Start]:[Start]],"&lt;="&amp;AQV6,tblProjectSchedule[[Finish]:[Finish]],"&gt;="&amp;AQV6)+SUMIFS(tblProjectSchedule[[Helpers]:[Helpers]],tblProjectSchedule[[Start]:[Start]],"&lt;="&amp;AQV6,tblProjectSchedule[[Finish]:[Finish]],"&gt;="&amp;AQV6))</f>
        <v>0</v>
      </c>
      <c r="AQW4" s="172">
        <f>IF(WEEKDAY(AQW6,12)&gt;=6,0,SUMIFS(tblProjectSchedule[[Skilled]:[Skilled]],tblProjectSchedule[[Start]:[Start]],"&lt;="&amp;AQW6,tblProjectSchedule[[Finish]:[Finish]],"&gt;="&amp;AQW6)+SUMIFS(tblProjectSchedule[[Helpers]:[Helpers]],tblProjectSchedule[[Start]:[Start]],"&lt;="&amp;AQW6,tblProjectSchedule[[Finish]:[Finish]],"&gt;="&amp;AQW6))</f>
        <v>0</v>
      </c>
      <c r="AQX4" s="172">
        <f>IF(WEEKDAY(AQX6,12)&gt;=6,0,SUMIFS(tblProjectSchedule[[Skilled]:[Skilled]],tblProjectSchedule[[Start]:[Start]],"&lt;="&amp;AQX6,tblProjectSchedule[[Finish]:[Finish]],"&gt;="&amp;AQX6)+SUMIFS(tblProjectSchedule[[Helpers]:[Helpers]],tblProjectSchedule[[Start]:[Start]],"&lt;="&amp;AQX6,tblProjectSchedule[[Finish]:[Finish]],"&gt;="&amp;AQX6))</f>
        <v>0</v>
      </c>
      <c r="AQY4" s="172">
        <f>IF(WEEKDAY(AQY6,12)&gt;=6,0,SUMIFS(tblProjectSchedule[[Skilled]:[Skilled]],tblProjectSchedule[[Start]:[Start]],"&lt;="&amp;AQY6,tblProjectSchedule[[Finish]:[Finish]],"&gt;="&amp;AQY6)+SUMIFS(tblProjectSchedule[[Helpers]:[Helpers]],tblProjectSchedule[[Start]:[Start]],"&lt;="&amp;AQY6,tblProjectSchedule[[Finish]:[Finish]],"&gt;="&amp;AQY6))</f>
        <v>0</v>
      </c>
      <c r="AQZ4" s="174">
        <f>IF(WEEKDAY(AQZ6,12)&gt;=6,0,SUMIFS(tblProjectSchedule[[Skilled]:[Skilled]],tblProjectSchedule[[Start]:[Start]],"&lt;="&amp;AQZ6,tblProjectSchedule[[Finish]:[Finish]],"&gt;="&amp;AQZ6)+SUMIFS(tblProjectSchedule[[Helpers]:[Helpers]],tblProjectSchedule[[Start]:[Start]],"&lt;="&amp;AQZ6,tblProjectSchedule[[Finish]:[Finish]],"&gt;="&amp;AQZ6))</f>
        <v>0</v>
      </c>
      <c r="ARA4" s="173">
        <f>IF(WEEKDAY(ARA6,12)&gt;=6,0,SUMIFS(tblProjectSchedule[[Skilled]:[Skilled]],tblProjectSchedule[[Start]:[Start]],"&lt;="&amp;ARA6,tblProjectSchedule[[Finish]:[Finish]],"&gt;="&amp;ARA6)+SUMIFS(tblProjectSchedule[[Helpers]:[Helpers]],tblProjectSchedule[[Start]:[Start]],"&lt;="&amp;ARA6,tblProjectSchedule[[Finish]:[Finish]],"&gt;="&amp;ARA6))</f>
        <v>0</v>
      </c>
      <c r="ARB4" s="172">
        <f>IF(WEEKDAY(ARB6,12)&gt;=6,0,SUMIFS(tblProjectSchedule[[Skilled]:[Skilled]],tblProjectSchedule[[Start]:[Start]],"&lt;="&amp;ARB6,tblProjectSchedule[[Finish]:[Finish]],"&gt;="&amp;ARB6)+SUMIFS(tblProjectSchedule[[Helpers]:[Helpers]],tblProjectSchedule[[Start]:[Start]],"&lt;="&amp;ARB6,tblProjectSchedule[[Finish]:[Finish]],"&gt;="&amp;ARB6))</f>
        <v>0</v>
      </c>
      <c r="ARC4" s="172">
        <f>IF(WEEKDAY(ARC6,12)&gt;=6,0,SUMIFS(tblProjectSchedule[[Skilled]:[Skilled]],tblProjectSchedule[[Start]:[Start]],"&lt;="&amp;ARC6,tblProjectSchedule[[Finish]:[Finish]],"&gt;="&amp;ARC6)+SUMIFS(tblProjectSchedule[[Helpers]:[Helpers]],tblProjectSchedule[[Start]:[Start]],"&lt;="&amp;ARC6,tblProjectSchedule[[Finish]:[Finish]],"&gt;="&amp;ARC6))</f>
        <v>0</v>
      </c>
      <c r="ARD4" s="172">
        <f>IF(WEEKDAY(ARD6,12)&gt;=6,0,SUMIFS(tblProjectSchedule[[Skilled]:[Skilled]],tblProjectSchedule[[Start]:[Start]],"&lt;="&amp;ARD6,tblProjectSchedule[[Finish]:[Finish]],"&gt;="&amp;ARD6)+SUMIFS(tblProjectSchedule[[Helpers]:[Helpers]],tblProjectSchedule[[Start]:[Start]],"&lt;="&amp;ARD6,tblProjectSchedule[[Finish]:[Finish]],"&gt;="&amp;ARD6))</f>
        <v>0</v>
      </c>
      <c r="ARE4" s="172">
        <f>IF(WEEKDAY(ARE6,12)&gt;=6,0,SUMIFS(tblProjectSchedule[[Skilled]:[Skilled]],tblProjectSchedule[[Start]:[Start]],"&lt;="&amp;ARE6,tblProjectSchedule[[Finish]:[Finish]],"&gt;="&amp;ARE6)+SUMIFS(tblProjectSchedule[[Helpers]:[Helpers]],tblProjectSchedule[[Start]:[Start]],"&lt;="&amp;ARE6,tblProjectSchedule[[Finish]:[Finish]],"&gt;="&amp;ARE6))</f>
        <v>0</v>
      </c>
      <c r="ARF4" s="172">
        <f>IF(WEEKDAY(ARF6,12)&gt;=6,0,SUMIFS(tblProjectSchedule[[Skilled]:[Skilled]],tblProjectSchedule[[Start]:[Start]],"&lt;="&amp;ARF6,tblProjectSchedule[[Finish]:[Finish]],"&gt;="&amp;ARF6)+SUMIFS(tblProjectSchedule[[Helpers]:[Helpers]],tblProjectSchedule[[Start]:[Start]],"&lt;="&amp;ARF6,tblProjectSchedule[[Finish]:[Finish]],"&gt;="&amp;ARF6))</f>
        <v>0</v>
      </c>
      <c r="ARG4" s="174">
        <f>IF(WEEKDAY(ARG6,12)&gt;=6,0,SUMIFS(tblProjectSchedule[[Skilled]:[Skilled]],tblProjectSchedule[[Start]:[Start]],"&lt;="&amp;ARG6,tblProjectSchedule[[Finish]:[Finish]],"&gt;="&amp;ARG6)+SUMIFS(tblProjectSchedule[[Helpers]:[Helpers]],tblProjectSchedule[[Start]:[Start]],"&lt;="&amp;ARG6,tblProjectSchedule[[Finish]:[Finish]],"&gt;="&amp;ARG6))</f>
        <v>0</v>
      </c>
      <c r="ARH4" s="173">
        <f>IF(WEEKDAY(ARH6,12)&gt;=6,0,SUMIFS(tblProjectSchedule[[Skilled]:[Skilled]],tblProjectSchedule[[Start]:[Start]],"&lt;="&amp;ARH6,tblProjectSchedule[[Finish]:[Finish]],"&gt;="&amp;ARH6)+SUMIFS(tblProjectSchedule[[Helpers]:[Helpers]],tblProjectSchedule[[Start]:[Start]],"&lt;="&amp;ARH6,tblProjectSchedule[[Finish]:[Finish]],"&gt;="&amp;ARH6))</f>
        <v>0</v>
      </c>
      <c r="ARI4" s="172">
        <f>IF(WEEKDAY(ARI6,12)&gt;=6,0,SUMIFS(tblProjectSchedule[[Skilled]:[Skilled]],tblProjectSchedule[[Start]:[Start]],"&lt;="&amp;ARI6,tblProjectSchedule[[Finish]:[Finish]],"&gt;="&amp;ARI6)+SUMIFS(tblProjectSchedule[[Helpers]:[Helpers]],tblProjectSchedule[[Start]:[Start]],"&lt;="&amp;ARI6,tblProjectSchedule[[Finish]:[Finish]],"&gt;="&amp;ARI6))</f>
        <v>0</v>
      </c>
      <c r="ARJ4" s="172">
        <f>IF(WEEKDAY(ARJ6,12)&gt;=6,0,SUMIFS(tblProjectSchedule[[Skilled]:[Skilled]],tblProjectSchedule[[Start]:[Start]],"&lt;="&amp;ARJ6,tblProjectSchedule[[Finish]:[Finish]],"&gt;="&amp;ARJ6)+SUMIFS(tblProjectSchedule[[Helpers]:[Helpers]],tblProjectSchedule[[Start]:[Start]],"&lt;="&amp;ARJ6,tblProjectSchedule[[Finish]:[Finish]],"&gt;="&amp;ARJ6))</f>
        <v>0</v>
      </c>
      <c r="ARK4" s="172">
        <f>IF(WEEKDAY(ARK6,12)&gt;=6,0,SUMIFS(tblProjectSchedule[[Skilled]:[Skilled]],tblProjectSchedule[[Start]:[Start]],"&lt;="&amp;ARK6,tblProjectSchedule[[Finish]:[Finish]],"&gt;="&amp;ARK6)+SUMIFS(tblProjectSchedule[[Helpers]:[Helpers]],tblProjectSchedule[[Start]:[Start]],"&lt;="&amp;ARK6,tblProjectSchedule[[Finish]:[Finish]],"&gt;="&amp;ARK6))</f>
        <v>0</v>
      </c>
      <c r="ARL4" s="172">
        <f>IF(WEEKDAY(ARL6,12)&gt;=6,0,SUMIFS(tblProjectSchedule[[Skilled]:[Skilled]],tblProjectSchedule[[Start]:[Start]],"&lt;="&amp;ARL6,tblProjectSchedule[[Finish]:[Finish]],"&gt;="&amp;ARL6)+SUMIFS(tblProjectSchedule[[Helpers]:[Helpers]],tblProjectSchedule[[Start]:[Start]],"&lt;="&amp;ARL6,tblProjectSchedule[[Finish]:[Finish]],"&gt;="&amp;ARL6))</f>
        <v>0</v>
      </c>
      <c r="ARM4" s="172">
        <f>IF(WEEKDAY(ARM6,12)&gt;=6,0,SUMIFS(tblProjectSchedule[[Skilled]:[Skilled]],tblProjectSchedule[[Start]:[Start]],"&lt;="&amp;ARM6,tblProjectSchedule[[Finish]:[Finish]],"&gt;="&amp;ARM6)+SUMIFS(tblProjectSchedule[[Helpers]:[Helpers]],tblProjectSchedule[[Start]:[Start]],"&lt;="&amp;ARM6,tblProjectSchedule[[Finish]:[Finish]],"&gt;="&amp;ARM6))</f>
        <v>0</v>
      </c>
      <c r="ARN4" s="174">
        <f>IF(WEEKDAY(ARN6,12)&gt;=6,0,SUMIFS(tblProjectSchedule[[Skilled]:[Skilled]],tblProjectSchedule[[Start]:[Start]],"&lt;="&amp;ARN6,tblProjectSchedule[[Finish]:[Finish]],"&gt;="&amp;ARN6)+SUMIFS(tblProjectSchedule[[Helpers]:[Helpers]],tblProjectSchedule[[Start]:[Start]],"&lt;="&amp;ARN6,tblProjectSchedule[[Finish]:[Finish]],"&gt;="&amp;ARN6))</f>
        <v>0</v>
      </c>
      <c r="ARO4" s="173">
        <f>IF(WEEKDAY(ARO6,12)&gt;=6,0,SUMIFS(tblProjectSchedule[[Skilled]:[Skilled]],tblProjectSchedule[[Start]:[Start]],"&lt;="&amp;ARO6,tblProjectSchedule[[Finish]:[Finish]],"&gt;="&amp;ARO6)+SUMIFS(tblProjectSchedule[[Helpers]:[Helpers]],tblProjectSchedule[[Start]:[Start]],"&lt;="&amp;ARO6,tblProjectSchedule[[Finish]:[Finish]],"&gt;="&amp;ARO6))</f>
        <v>0</v>
      </c>
      <c r="ARP4" s="172">
        <f>IF(WEEKDAY(ARP6,12)&gt;=6,0,SUMIFS(tblProjectSchedule[[Skilled]:[Skilled]],tblProjectSchedule[[Start]:[Start]],"&lt;="&amp;ARP6,tblProjectSchedule[[Finish]:[Finish]],"&gt;="&amp;ARP6)+SUMIFS(tblProjectSchedule[[Helpers]:[Helpers]],tblProjectSchedule[[Start]:[Start]],"&lt;="&amp;ARP6,tblProjectSchedule[[Finish]:[Finish]],"&gt;="&amp;ARP6))</f>
        <v>0</v>
      </c>
      <c r="ARQ4" s="172">
        <f>IF(WEEKDAY(ARQ6,12)&gt;=6,0,SUMIFS(tblProjectSchedule[[Skilled]:[Skilled]],tblProjectSchedule[[Start]:[Start]],"&lt;="&amp;ARQ6,tblProjectSchedule[[Finish]:[Finish]],"&gt;="&amp;ARQ6)+SUMIFS(tblProjectSchedule[[Helpers]:[Helpers]],tblProjectSchedule[[Start]:[Start]],"&lt;="&amp;ARQ6,tblProjectSchedule[[Finish]:[Finish]],"&gt;="&amp;ARQ6))</f>
        <v>0</v>
      </c>
      <c r="ARR4" s="172">
        <f>IF(WEEKDAY(ARR6,12)&gt;=6,0,SUMIFS(tblProjectSchedule[[Skilled]:[Skilled]],tblProjectSchedule[[Start]:[Start]],"&lt;="&amp;ARR6,tblProjectSchedule[[Finish]:[Finish]],"&gt;="&amp;ARR6)+SUMIFS(tblProjectSchedule[[Helpers]:[Helpers]],tblProjectSchedule[[Start]:[Start]],"&lt;="&amp;ARR6,tblProjectSchedule[[Finish]:[Finish]],"&gt;="&amp;ARR6))</f>
        <v>0</v>
      </c>
      <c r="ARS4" s="172">
        <f>IF(WEEKDAY(ARS6,12)&gt;=6,0,SUMIFS(tblProjectSchedule[[Skilled]:[Skilled]],tblProjectSchedule[[Start]:[Start]],"&lt;="&amp;ARS6,tblProjectSchedule[[Finish]:[Finish]],"&gt;="&amp;ARS6)+SUMIFS(tblProjectSchedule[[Helpers]:[Helpers]],tblProjectSchedule[[Start]:[Start]],"&lt;="&amp;ARS6,tblProjectSchedule[[Finish]:[Finish]],"&gt;="&amp;ARS6))</f>
        <v>0</v>
      </c>
      <c r="ART4" s="172">
        <f>IF(WEEKDAY(ART6,12)&gt;=6,0,SUMIFS(tblProjectSchedule[[Skilled]:[Skilled]],tblProjectSchedule[[Start]:[Start]],"&lt;="&amp;ART6,tblProjectSchedule[[Finish]:[Finish]],"&gt;="&amp;ART6)+SUMIFS(tblProjectSchedule[[Helpers]:[Helpers]],tblProjectSchedule[[Start]:[Start]],"&lt;="&amp;ART6,tblProjectSchedule[[Finish]:[Finish]],"&gt;="&amp;ART6))</f>
        <v>0</v>
      </c>
      <c r="ARU4" s="174">
        <f>IF(WEEKDAY(ARU6,12)&gt;=6,0,SUMIFS(tblProjectSchedule[[Skilled]:[Skilled]],tblProjectSchedule[[Start]:[Start]],"&lt;="&amp;ARU6,tblProjectSchedule[[Finish]:[Finish]],"&gt;="&amp;ARU6)+SUMIFS(tblProjectSchedule[[Helpers]:[Helpers]],tblProjectSchedule[[Start]:[Start]],"&lt;="&amp;ARU6,tblProjectSchedule[[Finish]:[Finish]],"&gt;="&amp;ARU6))</f>
        <v>0</v>
      </c>
      <c r="ARV4" s="173">
        <f>IF(WEEKDAY(ARV6,12)&gt;=6,0,SUMIFS(tblProjectSchedule[[Skilled]:[Skilled]],tblProjectSchedule[[Start]:[Start]],"&lt;="&amp;ARV6,tblProjectSchedule[[Finish]:[Finish]],"&gt;="&amp;ARV6)+SUMIFS(tblProjectSchedule[[Helpers]:[Helpers]],tblProjectSchedule[[Start]:[Start]],"&lt;="&amp;ARV6,tblProjectSchedule[[Finish]:[Finish]],"&gt;="&amp;ARV6))</f>
        <v>0</v>
      </c>
      <c r="ARW4" s="172">
        <f>IF(WEEKDAY(ARW6,12)&gt;=6,0,SUMIFS(tblProjectSchedule[[Skilled]:[Skilled]],tblProjectSchedule[[Start]:[Start]],"&lt;="&amp;ARW6,tblProjectSchedule[[Finish]:[Finish]],"&gt;="&amp;ARW6)+SUMIFS(tblProjectSchedule[[Helpers]:[Helpers]],tblProjectSchedule[[Start]:[Start]],"&lt;="&amp;ARW6,tblProjectSchedule[[Finish]:[Finish]],"&gt;="&amp;ARW6))</f>
        <v>0</v>
      </c>
      <c r="ARX4" s="172">
        <f>IF(WEEKDAY(ARX6,12)&gt;=6,0,SUMIFS(tblProjectSchedule[[Skilled]:[Skilled]],tblProjectSchedule[[Start]:[Start]],"&lt;="&amp;ARX6,tblProjectSchedule[[Finish]:[Finish]],"&gt;="&amp;ARX6)+SUMIFS(tblProjectSchedule[[Helpers]:[Helpers]],tblProjectSchedule[[Start]:[Start]],"&lt;="&amp;ARX6,tblProjectSchedule[[Finish]:[Finish]],"&gt;="&amp;ARX6))</f>
        <v>0</v>
      </c>
      <c r="ARY4" s="172">
        <f>IF(WEEKDAY(ARY6,12)&gt;=6,0,SUMIFS(tblProjectSchedule[[Skilled]:[Skilled]],tblProjectSchedule[[Start]:[Start]],"&lt;="&amp;ARY6,tblProjectSchedule[[Finish]:[Finish]],"&gt;="&amp;ARY6)+SUMIFS(tblProjectSchedule[[Helpers]:[Helpers]],tblProjectSchedule[[Start]:[Start]],"&lt;="&amp;ARY6,tblProjectSchedule[[Finish]:[Finish]],"&gt;="&amp;ARY6))</f>
        <v>0</v>
      </c>
      <c r="ARZ4" s="172">
        <f>IF(WEEKDAY(ARZ6,12)&gt;=6,0,SUMIFS(tblProjectSchedule[[Skilled]:[Skilled]],tblProjectSchedule[[Start]:[Start]],"&lt;="&amp;ARZ6,tblProjectSchedule[[Finish]:[Finish]],"&gt;="&amp;ARZ6)+SUMIFS(tblProjectSchedule[[Helpers]:[Helpers]],tblProjectSchedule[[Start]:[Start]],"&lt;="&amp;ARZ6,tblProjectSchedule[[Finish]:[Finish]],"&gt;="&amp;ARZ6))</f>
        <v>0</v>
      </c>
      <c r="ASA4" s="172">
        <f>IF(WEEKDAY(ASA6,12)&gt;=6,0,SUMIFS(tblProjectSchedule[[Skilled]:[Skilled]],tblProjectSchedule[[Start]:[Start]],"&lt;="&amp;ASA6,tblProjectSchedule[[Finish]:[Finish]],"&gt;="&amp;ASA6)+SUMIFS(tblProjectSchedule[[Helpers]:[Helpers]],tblProjectSchedule[[Start]:[Start]],"&lt;="&amp;ASA6,tblProjectSchedule[[Finish]:[Finish]],"&gt;="&amp;ASA6))</f>
        <v>0</v>
      </c>
      <c r="ASB4" s="174">
        <f>IF(WEEKDAY(ASB6,12)&gt;=6,0,SUMIFS(tblProjectSchedule[[Skilled]:[Skilled]],tblProjectSchedule[[Start]:[Start]],"&lt;="&amp;ASB6,tblProjectSchedule[[Finish]:[Finish]],"&gt;="&amp;ASB6)+SUMIFS(tblProjectSchedule[[Helpers]:[Helpers]],tblProjectSchedule[[Start]:[Start]],"&lt;="&amp;ASB6,tblProjectSchedule[[Finish]:[Finish]],"&gt;="&amp;ASB6))</f>
        <v>0</v>
      </c>
      <c r="ASC4" s="173">
        <f>IF(WEEKDAY(ASC6,12)&gt;=6,0,SUMIFS(tblProjectSchedule[[Skilled]:[Skilled]],tblProjectSchedule[[Start]:[Start]],"&lt;="&amp;ASC6,tblProjectSchedule[[Finish]:[Finish]],"&gt;="&amp;ASC6)+SUMIFS(tblProjectSchedule[[Helpers]:[Helpers]],tblProjectSchedule[[Start]:[Start]],"&lt;="&amp;ASC6,tblProjectSchedule[[Finish]:[Finish]],"&gt;="&amp;ASC6))</f>
        <v>0</v>
      </c>
      <c r="ASD4" s="172">
        <f>IF(WEEKDAY(ASD6,12)&gt;=6,0,SUMIFS(tblProjectSchedule[[Skilled]:[Skilled]],tblProjectSchedule[[Start]:[Start]],"&lt;="&amp;ASD6,tblProjectSchedule[[Finish]:[Finish]],"&gt;="&amp;ASD6)+SUMIFS(tblProjectSchedule[[Helpers]:[Helpers]],tblProjectSchedule[[Start]:[Start]],"&lt;="&amp;ASD6,tblProjectSchedule[[Finish]:[Finish]],"&gt;="&amp;ASD6))</f>
        <v>0</v>
      </c>
      <c r="ASE4" s="172">
        <f>IF(WEEKDAY(ASE6,12)&gt;=6,0,SUMIFS(tblProjectSchedule[[Skilled]:[Skilled]],tblProjectSchedule[[Start]:[Start]],"&lt;="&amp;ASE6,tblProjectSchedule[[Finish]:[Finish]],"&gt;="&amp;ASE6)+SUMIFS(tblProjectSchedule[[Helpers]:[Helpers]],tblProjectSchedule[[Start]:[Start]],"&lt;="&amp;ASE6,tblProjectSchedule[[Finish]:[Finish]],"&gt;="&amp;ASE6))</f>
        <v>0</v>
      </c>
      <c r="ASF4" s="172">
        <f>IF(WEEKDAY(ASF6,12)&gt;=6,0,SUMIFS(tblProjectSchedule[[Skilled]:[Skilled]],tblProjectSchedule[[Start]:[Start]],"&lt;="&amp;ASF6,tblProjectSchedule[[Finish]:[Finish]],"&gt;="&amp;ASF6)+SUMIFS(tblProjectSchedule[[Helpers]:[Helpers]],tblProjectSchedule[[Start]:[Start]],"&lt;="&amp;ASF6,tblProjectSchedule[[Finish]:[Finish]],"&gt;="&amp;ASF6))</f>
        <v>0</v>
      </c>
      <c r="ASG4" s="172">
        <f>IF(WEEKDAY(ASG6,12)&gt;=6,0,SUMIFS(tblProjectSchedule[[Skilled]:[Skilled]],tblProjectSchedule[[Start]:[Start]],"&lt;="&amp;ASG6,tblProjectSchedule[[Finish]:[Finish]],"&gt;="&amp;ASG6)+SUMIFS(tblProjectSchedule[[Helpers]:[Helpers]],tblProjectSchedule[[Start]:[Start]],"&lt;="&amp;ASG6,tblProjectSchedule[[Finish]:[Finish]],"&gt;="&amp;ASG6))</f>
        <v>0</v>
      </c>
      <c r="ASH4" s="172">
        <f>IF(WEEKDAY(ASH6,12)&gt;=6,0,SUMIFS(tblProjectSchedule[[Skilled]:[Skilled]],tblProjectSchedule[[Start]:[Start]],"&lt;="&amp;ASH6,tblProjectSchedule[[Finish]:[Finish]],"&gt;="&amp;ASH6)+SUMIFS(tblProjectSchedule[[Helpers]:[Helpers]],tblProjectSchedule[[Start]:[Start]],"&lt;="&amp;ASH6,tblProjectSchedule[[Finish]:[Finish]],"&gt;="&amp;ASH6))</f>
        <v>0</v>
      </c>
      <c r="ASI4" s="174">
        <f>IF(WEEKDAY(ASI6,12)&gt;=6,0,SUMIFS(tblProjectSchedule[[Skilled]:[Skilled]],tblProjectSchedule[[Start]:[Start]],"&lt;="&amp;ASI6,tblProjectSchedule[[Finish]:[Finish]],"&gt;="&amp;ASI6)+SUMIFS(tblProjectSchedule[[Helpers]:[Helpers]],tblProjectSchedule[[Start]:[Start]],"&lt;="&amp;ASI6,tblProjectSchedule[[Finish]:[Finish]],"&gt;="&amp;ASI6))</f>
        <v>0</v>
      </c>
      <c r="ASJ4" s="173">
        <f>IF(WEEKDAY(ASJ6,12)&gt;=6,0,SUMIFS(tblProjectSchedule[[Skilled]:[Skilled]],tblProjectSchedule[[Start]:[Start]],"&lt;="&amp;ASJ6,tblProjectSchedule[[Finish]:[Finish]],"&gt;="&amp;ASJ6)+SUMIFS(tblProjectSchedule[[Helpers]:[Helpers]],tblProjectSchedule[[Start]:[Start]],"&lt;="&amp;ASJ6,tblProjectSchedule[[Finish]:[Finish]],"&gt;="&amp;ASJ6))</f>
        <v>0</v>
      </c>
      <c r="ASK4" s="172">
        <f>IF(WEEKDAY(ASK6,12)&gt;=6,0,SUMIFS(tblProjectSchedule[[Skilled]:[Skilled]],tblProjectSchedule[[Start]:[Start]],"&lt;="&amp;ASK6,tblProjectSchedule[[Finish]:[Finish]],"&gt;="&amp;ASK6)+SUMIFS(tblProjectSchedule[[Helpers]:[Helpers]],tblProjectSchedule[[Start]:[Start]],"&lt;="&amp;ASK6,tblProjectSchedule[[Finish]:[Finish]],"&gt;="&amp;ASK6))</f>
        <v>0</v>
      </c>
      <c r="ASL4" s="172">
        <f>IF(WEEKDAY(ASL6,12)&gt;=6,0,SUMIFS(tblProjectSchedule[[Skilled]:[Skilled]],tblProjectSchedule[[Start]:[Start]],"&lt;="&amp;ASL6,tblProjectSchedule[[Finish]:[Finish]],"&gt;="&amp;ASL6)+SUMIFS(tblProjectSchedule[[Helpers]:[Helpers]],tblProjectSchedule[[Start]:[Start]],"&lt;="&amp;ASL6,tblProjectSchedule[[Finish]:[Finish]],"&gt;="&amp;ASL6))</f>
        <v>0</v>
      </c>
      <c r="ASM4" s="172">
        <f>IF(WEEKDAY(ASM6,12)&gt;=6,0,SUMIFS(tblProjectSchedule[[Skilled]:[Skilled]],tblProjectSchedule[[Start]:[Start]],"&lt;="&amp;ASM6,tblProjectSchedule[[Finish]:[Finish]],"&gt;="&amp;ASM6)+SUMIFS(tblProjectSchedule[[Helpers]:[Helpers]],tblProjectSchedule[[Start]:[Start]],"&lt;="&amp;ASM6,tblProjectSchedule[[Finish]:[Finish]],"&gt;="&amp;ASM6))</f>
        <v>0</v>
      </c>
      <c r="ASN4" s="172">
        <f>IF(WEEKDAY(ASN6,12)&gt;=6,0,SUMIFS(tblProjectSchedule[[Skilled]:[Skilled]],tblProjectSchedule[[Start]:[Start]],"&lt;="&amp;ASN6,tblProjectSchedule[[Finish]:[Finish]],"&gt;="&amp;ASN6)+SUMIFS(tblProjectSchedule[[Helpers]:[Helpers]],tblProjectSchedule[[Start]:[Start]],"&lt;="&amp;ASN6,tblProjectSchedule[[Finish]:[Finish]],"&gt;="&amp;ASN6))</f>
        <v>0</v>
      </c>
      <c r="ASO4" s="172">
        <f>IF(WEEKDAY(ASO6,12)&gt;=6,0,SUMIFS(tblProjectSchedule[[Skilled]:[Skilled]],tblProjectSchedule[[Start]:[Start]],"&lt;="&amp;ASO6,tblProjectSchedule[[Finish]:[Finish]],"&gt;="&amp;ASO6)+SUMIFS(tblProjectSchedule[[Helpers]:[Helpers]],tblProjectSchedule[[Start]:[Start]],"&lt;="&amp;ASO6,tblProjectSchedule[[Finish]:[Finish]],"&gt;="&amp;ASO6))</f>
        <v>0</v>
      </c>
      <c r="ASP4" s="174">
        <f>IF(WEEKDAY(ASP6,12)&gt;=6,0,SUMIFS(tblProjectSchedule[[Skilled]:[Skilled]],tblProjectSchedule[[Start]:[Start]],"&lt;="&amp;ASP6,tblProjectSchedule[[Finish]:[Finish]],"&gt;="&amp;ASP6)+SUMIFS(tblProjectSchedule[[Helpers]:[Helpers]],tblProjectSchedule[[Start]:[Start]],"&lt;="&amp;ASP6,tblProjectSchedule[[Finish]:[Finish]],"&gt;="&amp;ASP6))</f>
        <v>0</v>
      </c>
      <c r="ASQ4" s="173">
        <f>IF(WEEKDAY(ASQ6,12)&gt;=6,0,SUMIFS(tblProjectSchedule[[Skilled]:[Skilled]],tblProjectSchedule[[Start]:[Start]],"&lt;="&amp;ASQ6,tblProjectSchedule[[Finish]:[Finish]],"&gt;="&amp;ASQ6)+SUMIFS(tblProjectSchedule[[Helpers]:[Helpers]],tblProjectSchedule[[Start]:[Start]],"&lt;="&amp;ASQ6,tblProjectSchedule[[Finish]:[Finish]],"&gt;="&amp;ASQ6))</f>
        <v>0</v>
      </c>
      <c r="ASR4" s="172">
        <f>IF(WEEKDAY(ASR6,12)&gt;=6,0,SUMIFS(tblProjectSchedule[[Skilled]:[Skilled]],tblProjectSchedule[[Start]:[Start]],"&lt;="&amp;ASR6,tblProjectSchedule[[Finish]:[Finish]],"&gt;="&amp;ASR6)+SUMIFS(tblProjectSchedule[[Helpers]:[Helpers]],tblProjectSchedule[[Start]:[Start]],"&lt;="&amp;ASR6,tblProjectSchedule[[Finish]:[Finish]],"&gt;="&amp;ASR6))</f>
        <v>0</v>
      </c>
      <c r="ASS4" s="172">
        <f>IF(WEEKDAY(ASS6,12)&gt;=6,0,SUMIFS(tblProjectSchedule[[Skilled]:[Skilled]],tblProjectSchedule[[Start]:[Start]],"&lt;="&amp;ASS6,tblProjectSchedule[[Finish]:[Finish]],"&gt;="&amp;ASS6)+SUMIFS(tblProjectSchedule[[Helpers]:[Helpers]],tblProjectSchedule[[Start]:[Start]],"&lt;="&amp;ASS6,tblProjectSchedule[[Finish]:[Finish]],"&gt;="&amp;ASS6))</f>
        <v>0</v>
      </c>
      <c r="AST4" s="172">
        <f>IF(WEEKDAY(AST6,12)&gt;=6,0,SUMIFS(tblProjectSchedule[[Skilled]:[Skilled]],tblProjectSchedule[[Start]:[Start]],"&lt;="&amp;AST6,tblProjectSchedule[[Finish]:[Finish]],"&gt;="&amp;AST6)+SUMIFS(tblProjectSchedule[[Helpers]:[Helpers]],tblProjectSchedule[[Start]:[Start]],"&lt;="&amp;AST6,tblProjectSchedule[[Finish]:[Finish]],"&gt;="&amp;AST6))</f>
        <v>0</v>
      </c>
      <c r="ASU4" s="172">
        <f>IF(WEEKDAY(ASU6,12)&gt;=6,0,SUMIFS(tblProjectSchedule[[Skilled]:[Skilled]],tblProjectSchedule[[Start]:[Start]],"&lt;="&amp;ASU6,tblProjectSchedule[[Finish]:[Finish]],"&gt;="&amp;ASU6)+SUMIFS(tblProjectSchedule[[Helpers]:[Helpers]],tblProjectSchedule[[Start]:[Start]],"&lt;="&amp;ASU6,tblProjectSchedule[[Finish]:[Finish]],"&gt;="&amp;ASU6))</f>
        <v>0</v>
      </c>
      <c r="ASV4" s="172">
        <f>IF(WEEKDAY(ASV6,12)&gt;=6,0,SUMIFS(tblProjectSchedule[[Skilled]:[Skilled]],tblProjectSchedule[[Start]:[Start]],"&lt;="&amp;ASV6,tblProjectSchedule[[Finish]:[Finish]],"&gt;="&amp;ASV6)+SUMIFS(tblProjectSchedule[[Helpers]:[Helpers]],tblProjectSchedule[[Start]:[Start]],"&lt;="&amp;ASV6,tblProjectSchedule[[Finish]:[Finish]],"&gt;="&amp;ASV6))</f>
        <v>0</v>
      </c>
      <c r="ASW4" s="174">
        <f>IF(WEEKDAY(ASW6,12)&gt;=6,0,SUMIFS(tblProjectSchedule[[Skilled]:[Skilled]],tblProjectSchedule[[Start]:[Start]],"&lt;="&amp;ASW6,tblProjectSchedule[[Finish]:[Finish]],"&gt;="&amp;ASW6)+SUMIFS(tblProjectSchedule[[Helpers]:[Helpers]],tblProjectSchedule[[Start]:[Start]],"&lt;="&amp;ASW6,tblProjectSchedule[[Finish]:[Finish]],"&gt;="&amp;ASW6))</f>
        <v>0</v>
      </c>
      <c r="ASX4" s="173">
        <f>IF(WEEKDAY(ASX6,12)&gt;=6,0,SUMIFS(tblProjectSchedule[[Skilled]:[Skilled]],tblProjectSchedule[[Start]:[Start]],"&lt;="&amp;ASX6,tblProjectSchedule[[Finish]:[Finish]],"&gt;="&amp;ASX6)+SUMIFS(tblProjectSchedule[[Helpers]:[Helpers]],tblProjectSchedule[[Start]:[Start]],"&lt;="&amp;ASX6,tblProjectSchedule[[Finish]:[Finish]],"&gt;="&amp;ASX6))</f>
        <v>0</v>
      </c>
      <c r="ASY4" s="172">
        <f>IF(WEEKDAY(ASY6,12)&gt;=6,0,SUMIFS(tblProjectSchedule[[Skilled]:[Skilled]],tblProjectSchedule[[Start]:[Start]],"&lt;="&amp;ASY6,tblProjectSchedule[[Finish]:[Finish]],"&gt;="&amp;ASY6)+SUMIFS(tblProjectSchedule[[Helpers]:[Helpers]],tblProjectSchedule[[Start]:[Start]],"&lt;="&amp;ASY6,tblProjectSchedule[[Finish]:[Finish]],"&gt;="&amp;ASY6))</f>
        <v>0</v>
      </c>
      <c r="ASZ4" s="172">
        <f>IF(WEEKDAY(ASZ6,12)&gt;=6,0,SUMIFS(tblProjectSchedule[[Skilled]:[Skilled]],tblProjectSchedule[[Start]:[Start]],"&lt;="&amp;ASZ6,tblProjectSchedule[[Finish]:[Finish]],"&gt;="&amp;ASZ6)+SUMIFS(tblProjectSchedule[[Helpers]:[Helpers]],tblProjectSchedule[[Start]:[Start]],"&lt;="&amp;ASZ6,tblProjectSchedule[[Finish]:[Finish]],"&gt;="&amp;ASZ6))</f>
        <v>0</v>
      </c>
      <c r="ATA4" s="172">
        <f>IF(WEEKDAY(ATA6,12)&gt;=6,0,SUMIFS(tblProjectSchedule[[Skilled]:[Skilled]],tblProjectSchedule[[Start]:[Start]],"&lt;="&amp;ATA6,tblProjectSchedule[[Finish]:[Finish]],"&gt;="&amp;ATA6)+SUMIFS(tblProjectSchedule[[Helpers]:[Helpers]],tblProjectSchedule[[Start]:[Start]],"&lt;="&amp;ATA6,tblProjectSchedule[[Finish]:[Finish]],"&gt;="&amp;ATA6))</f>
        <v>0</v>
      </c>
      <c r="ATB4" s="172">
        <f>IF(WEEKDAY(ATB6,12)&gt;=6,0,SUMIFS(tblProjectSchedule[[Skilled]:[Skilled]],tblProjectSchedule[[Start]:[Start]],"&lt;="&amp;ATB6,tblProjectSchedule[[Finish]:[Finish]],"&gt;="&amp;ATB6)+SUMIFS(tblProjectSchedule[[Helpers]:[Helpers]],tblProjectSchedule[[Start]:[Start]],"&lt;="&amp;ATB6,tblProjectSchedule[[Finish]:[Finish]],"&gt;="&amp;ATB6))</f>
        <v>0</v>
      </c>
      <c r="ATC4" s="172">
        <f>IF(WEEKDAY(ATC6,12)&gt;=6,0,SUMIFS(tblProjectSchedule[[Skilled]:[Skilled]],tblProjectSchedule[[Start]:[Start]],"&lt;="&amp;ATC6,tblProjectSchedule[[Finish]:[Finish]],"&gt;="&amp;ATC6)+SUMIFS(tblProjectSchedule[[Helpers]:[Helpers]],tblProjectSchedule[[Start]:[Start]],"&lt;="&amp;ATC6,tblProjectSchedule[[Finish]:[Finish]],"&gt;="&amp;ATC6))</f>
        <v>0</v>
      </c>
      <c r="ATD4" s="174">
        <f>IF(WEEKDAY(ATD6,12)&gt;=6,0,SUMIFS(tblProjectSchedule[[Skilled]:[Skilled]],tblProjectSchedule[[Start]:[Start]],"&lt;="&amp;ATD6,tblProjectSchedule[[Finish]:[Finish]],"&gt;="&amp;ATD6)+SUMIFS(tblProjectSchedule[[Helpers]:[Helpers]],tblProjectSchedule[[Start]:[Start]],"&lt;="&amp;ATD6,tblProjectSchedule[[Finish]:[Finish]],"&gt;="&amp;ATD6))</f>
        <v>0</v>
      </c>
      <c r="ATE4" s="173">
        <f>IF(WEEKDAY(ATE6,12)&gt;=6,0,SUMIFS(tblProjectSchedule[[Skilled]:[Skilled]],tblProjectSchedule[[Start]:[Start]],"&lt;="&amp;ATE6,tblProjectSchedule[[Finish]:[Finish]],"&gt;="&amp;ATE6)+SUMIFS(tblProjectSchedule[[Helpers]:[Helpers]],tblProjectSchedule[[Start]:[Start]],"&lt;="&amp;ATE6,tblProjectSchedule[[Finish]:[Finish]],"&gt;="&amp;ATE6))</f>
        <v>0</v>
      </c>
      <c r="ATF4" s="172">
        <f>IF(WEEKDAY(ATF6,12)&gt;=6,0,SUMIFS(tblProjectSchedule[[Skilled]:[Skilled]],tblProjectSchedule[[Start]:[Start]],"&lt;="&amp;ATF6,tblProjectSchedule[[Finish]:[Finish]],"&gt;="&amp;ATF6)+SUMIFS(tblProjectSchedule[[Helpers]:[Helpers]],tblProjectSchedule[[Start]:[Start]],"&lt;="&amp;ATF6,tblProjectSchedule[[Finish]:[Finish]],"&gt;="&amp;ATF6))</f>
        <v>0</v>
      </c>
      <c r="ATG4" s="172">
        <f>IF(WEEKDAY(ATG6,12)&gt;=6,0,SUMIFS(tblProjectSchedule[[Skilled]:[Skilled]],tblProjectSchedule[[Start]:[Start]],"&lt;="&amp;ATG6,tblProjectSchedule[[Finish]:[Finish]],"&gt;="&amp;ATG6)+SUMIFS(tblProjectSchedule[[Helpers]:[Helpers]],tblProjectSchedule[[Start]:[Start]],"&lt;="&amp;ATG6,tblProjectSchedule[[Finish]:[Finish]],"&gt;="&amp;ATG6))</f>
        <v>0</v>
      </c>
      <c r="ATH4" s="172">
        <f>IF(WEEKDAY(ATH6,12)&gt;=6,0,SUMIFS(tblProjectSchedule[[Skilled]:[Skilled]],tblProjectSchedule[[Start]:[Start]],"&lt;="&amp;ATH6,tblProjectSchedule[[Finish]:[Finish]],"&gt;="&amp;ATH6)+SUMIFS(tblProjectSchedule[[Helpers]:[Helpers]],tblProjectSchedule[[Start]:[Start]],"&lt;="&amp;ATH6,tblProjectSchedule[[Finish]:[Finish]],"&gt;="&amp;ATH6))</f>
        <v>0</v>
      </c>
      <c r="ATI4" s="172">
        <f>IF(WEEKDAY(ATI6,12)&gt;=6,0,SUMIFS(tblProjectSchedule[[Skilled]:[Skilled]],tblProjectSchedule[[Start]:[Start]],"&lt;="&amp;ATI6,tblProjectSchedule[[Finish]:[Finish]],"&gt;="&amp;ATI6)+SUMIFS(tblProjectSchedule[[Helpers]:[Helpers]],tblProjectSchedule[[Start]:[Start]],"&lt;="&amp;ATI6,tblProjectSchedule[[Finish]:[Finish]],"&gt;="&amp;ATI6))</f>
        <v>0</v>
      </c>
      <c r="ATJ4" s="172">
        <f>IF(WEEKDAY(ATJ6,12)&gt;=6,0,SUMIFS(tblProjectSchedule[[Skilled]:[Skilled]],tblProjectSchedule[[Start]:[Start]],"&lt;="&amp;ATJ6,tblProjectSchedule[[Finish]:[Finish]],"&gt;="&amp;ATJ6)+SUMIFS(tblProjectSchedule[[Helpers]:[Helpers]],tblProjectSchedule[[Start]:[Start]],"&lt;="&amp;ATJ6,tblProjectSchedule[[Finish]:[Finish]],"&gt;="&amp;ATJ6))</f>
        <v>0</v>
      </c>
      <c r="ATK4" s="174">
        <f>IF(WEEKDAY(ATK6,12)&gt;=6,0,SUMIFS(tblProjectSchedule[[Skilled]:[Skilled]],tblProjectSchedule[[Start]:[Start]],"&lt;="&amp;ATK6,tblProjectSchedule[[Finish]:[Finish]],"&gt;="&amp;ATK6)+SUMIFS(tblProjectSchedule[[Helpers]:[Helpers]],tblProjectSchedule[[Start]:[Start]],"&lt;="&amp;ATK6,tblProjectSchedule[[Finish]:[Finish]],"&gt;="&amp;ATK6))</f>
        <v>0</v>
      </c>
      <c r="ATL4" s="173">
        <f>IF(WEEKDAY(ATL6,12)&gt;=6,0,SUMIFS(tblProjectSchedule[[Skilled]:[Skilled]],tblProjectSchedule[[Start]:[Start]],"&lt;="&amp;ATL6,tblProjectSchedule[[Finish]:[Finish]],"&gt;="&amp;ATL6)+SUMIFS(tblProjectSchedule[[Helpers]:[Helpers]],tblProjectSchedule[[Start]:[Start]],"&lt;="&amp;ATL6,tblProjectSchedule[[Finish]:[Finish]],"&gt;="&amp;ATL6))</f>
        <v>0</v>
      </c>
      <c r="ATM4" s="172">
        <f>IF(WEEKDAY(ATM6,12)&gt;=6,0,SUMIFS(tblProjectSchedule[[Skilled]:[Skilled]],tblProjectSchedule[[Start]:[Start]],"&lt;="&amp;ATM6,tblProjectSchedule[[Finish]:[Finish]],"&gt;="&amp;ATM6)+SUMIFS(tblProjectSchedule[[Helpers]:[Helpers]],tblProjectSchedule[[Start]:[Start]],"&lt;="&amp;ATM6,tblProjectSchedule[[Finish]:[Finish]],"&gt;="&amp;ATM6))</f>
        <v>0</v>
      </c>
      <c r="ATN4" s="172">
        <f>IF(WEEKDAY(ATN6,12)&gt;=6,0,SUMIFS(tblProjectSchedule[[Skilled]:[Skilled]],tblProjectSchedule[[Start]:[Start]],"&lt;="&amp;ATN6,tblProjectSchedule[[Finish]:[Finish]],"&gt;="&amp;ATN6)+SUMIFS(tblProjectSchedule[[Helpers]:[Helpers]],tblProjectSchedule[[Start]:[Start]],"&lt;="&amp;ATN6,tblProjectSchedule[[Finish]:[Finish]],"&gt;="&amp;ATN6))</f>
        <v>0</v>
      </c>
      <c r="ATO4" s="172">
        <f>IF(WEEKDAY(ATO6,12)&gt;=6,0,SUMIFS(tblProjectSchedule[[Skilled]:[Skilled]],tblProjectSchedule[[Start]:[Start]],"&lt;="&amp;ATO6,tblProjectSchedule[[Finish]:[Finish]],"&gt;="&amp;ATO6)+SUMIFS(tblProjectSchedule[[Helpers]:[Helpers]],tblProjectSchedule[[Start]:[Start]],"&lt;="&amp;ATO6,tblProjectSchedule[[Finish]:[Finish]],"&gt;="&amp;ATO6))</f>
        <v>0</v>
      </c>
      <c r="ATP4" s="172">
        <f>IF(WEEKDAY(ATP6,12)&gt;=6,0,SUMIFS(tblProjectSchedule[[Skilled]:[Skilled]],tblProjectSchedule[[Start]:[Start]],"&lt;="&amp;ATP6,tblProjectSchedule[[Finish]:[Finish]],"&gt;="&amp;ATP6)+SUMIFS(tblProjectSchedule[[Helpers]:[Helpers]],tblProjectSchedule[[Start]:[Start]],"&lt;="&amp;ATP6,tblProjectSchedule[[Finish]:[Finish]],"&gt;="&amp;ATP6))</f>
        <v>0</v>
      </c>
      <c r="ATQ4" s="172">
        <f>IF(WEEKDAY(ATQ6,12)&gt;=6,0,SUMIFS(tblProjectSchedule[[Skilled]:[Skilled]],tblProjectSchedule[[Start]:[Start]],"&lt;="&amp;ATQ6,tblProjectSchedule[[Finish]:[Finish]],"&gt;="&amp;ATQ6)+SUMIFS(tblProjectSchedule[[Helpers]:[Helpers]],tblProjectSchedule[[Start]:[Start]],"&lt;="&amp;ATQ6,tblProjectSchedule[[Finish]:[Finish]],"&gt;="&amp;ATQ6))</f>
        <v>0</v>
      </c>
      <c r="ATR4" s="174">
        <f>IF(WEEKDAY(ATR6,12)&gt;=6,0,SUMIFS(tblProjectSchedule[[Skilled]:[Skilled]],tblProjectSchedule[[Start]:[Start]],"&lt;="&amp;ATR6,tblProjectSchedule[[Finish]:[Finish]],"&gt;="&amp;ATR6)+SUMIFS(tblProjectSchedule[[Helpers]:[Helpers]],tblProjectSchedule[[Start]:[Start]],"&lt;="&amp;ATR6,tblProjectSchedule[[Finish]:[Finish]],"&gt;="&amp;ATR6))</f>
        <v>0</v>
      </c>
      <c r="ATS4" s="173">
        <f>IF(WEEKDAY(ATS6,12)&gt;=6,0,SUMIFS(tblProjectSchedule[[Skilled]:[Skilled]],tblProjectSchedule[[Start]:[Start]],"&lt;="&amp;ATS6,tblProjectSchedule[[Finish]:[Finish]],"&gt;="&amp;ATS6)+SUMIFS(tblProjectSchedule[[Helpers]:[Helpers]],tblProjectSchedule[[Start]:[Start]],"&lt;="&amp;ATS6,tblProjectSchedule[[Finish]:[Finish]],"&gt;="&amp;ATS6))</f>
        <v>0</v>
      </c>
      <c r="ATT4" s="172">
        <f>IF(WEEKDAY(ATT6,12)&gt;=6,0,SUMIFS(tblProjectSchedule[[Skilled]:[Skilled]],tblProjectSchedule[[Start]:[Start]],"&lt;="&amp;ATT6,tblProjectSchedule[[Finish]:[Finish]],"&gt;="&amp;ATT6)+SUMIFS(tblProjectSchedule[[Helpers]:[Helpers]],tblProjectSchedule[[Start]:[Start]],"&lt;="&amp;ATT6,tblProjectSchedule[[Finish]:[Finish]],"&gt;="&amp;ATT6))</f>
        <v>0</v>
      </c>
      <c r="ATU4" s="172">
        <f>IF(WEEKDAY(ATU6,12)&gt;=6,0,SUMIFS(tblProjectSchedule[[Skilled]:[Skilled]],tblProjectSchedule[[Start]:[Start]],"&lt;="&amp;ATU6,tblProjectSchedule[[Finish]:[Finish]],"&gt;="&amp;ATU6)+SUMIFS(tblProjectSchedule[[Helpers]:[Helpers]],tblProjectSchedule[[Start]:[Start]],"&lt;="&amp;ATU6,tblProjectSchedule[[Finish]:[Finish]],"&gt;="&amp;ATU6))</f>
        <v>0</v>
      </c>
      <c r="ATV4" s="172">
        <f>IF(WEEKDAY(ATV6,12)&gt;=6,0,SUMIFS(tblProjectSchedule[[Skilled]:[Skilled]],tblProjectSchedule[[Start]:[Start]],"&lt;="&amp;ATV6,tblProjectSchedule[[Finish]:[Finish]],"&gt;="&amp;ATV6)+SUMIFS(tblProjectSchedule[[Helpers]:[Helpers]],tblProjectSchedule[[Start]:[Start]],"&lt;="&amp;ATV6,tblProjectSchedule[[Finish]:[Finish]],"&gt;="&amp;ATV6))</f>
        <v>0</v>
      </c>
      <c r="ATW4" s="172">
        <f>IF(WEEKDAY(ATW6,12)&gt;=6,0,SUMIFS(tblProjectSchedule[[Skilled]:[Skilled]],tblProjectSchedule[[Start]:[Start]],"&lt;="&amp;ATW6,tblProjectSchedule[[Finish]:[Finish]],"&gt;="&amp;ATW6)+SUMIFS(tblProjectSchedule[[Helpers]:[Helpers]],tblProjectSchedule[[Start]:[Start]],"&lt;="&amp;ATW6,tblProjectSchedule[[Finish]:[Finish]],"&gt;="&amp;ATW6))</f>
        <v>0</v>
      </c>
      <c r="ATX4" s="172">
        <f>IF(WEEKDAY(ATX6,12)&gt;=6,0,SUMIFS(tblProjectSchedule[[Skilled]:[Skilled]],tblProjectSchedule[[Start]:[Start]],"&lt;="&amp;ATX6,tblProjectSchedule[[Finish]:[Finish]],"&gt;="&amp;ATX6)+SUMIFS(tblProjectSchedule[[Helpers]:[Helpers]],tblProjectSchedule[[Start]:[Start]],"&lt;="&amp;ATX6,tblProjectSchedule[[Finish]:[Finish]],"&gt;="&amp;ATX6))</f>
        <v>0</v>
      </c>
      <c r="ATY4" s="174">
        <f>IF(WEEKDAY(ATY6,12)&gt;=6,0,SUMIFS(tblProjectSchedule[[Skilled]:[Skilled]],tblProjectSchedule[[Start]:[Start]],"&lt;="&amp;ATY6,tblProjectSchedule[[Finish]:[Finish]],"&gt;="&amp;ATY6)+SUMIFS(tblProjectSchedule[[Helpers]:[Helpers]],tblProjectSchedule[[Start]:[Start]],"&lt;="&amp;ATY6,tblProjectSchedule[[Finish]:[Finish]],"&gt;="&amp;ATY6))</f>
        <v>0</v>
      </c>
      <c r="ATZ4" s="173">
        <f>IF(WEEKDAY(ATZ6,12)&gt;=6,0,SUMIFS(tblProjectSchedule[[Skilled]:[Skilled]],tblProjectSchedule[[Start]:[Start]],"&lt;="&amp;ATZ6,tblProjectSchedule[[Finish]:[Finish]],"&gt;="&amp;ATZ6)+SUMIFS(tblProjectSchedule[[Helpers]:[Helpers]],tblProjectSchedule[[Start]:[Start]],"&lt;="&amp;ATZ6,tblProjectSchedule[[Finish]:[Finish]],"&gt;="&amp;ATZ6))</f>
        <v>0</v>
      </c>
      <c r="AUA4" s="172">
        <f>IF(WEEKDAY(AUA6,12)&gt;=6,0,SUMIFS(tblProjectSchedule[[Skilled]:[Skilled]],tblProjectSchedule[[Start]:[Start]],"&lt;="&amp;AUA6,tblProjectSchedule[[Finish]:[Finish]],"&gt;="&amp;AUA6)+SUMIFS(tblProjectSchedule[[Helpers]:[Helpers]],tblProjectSchedule[[Start]:[Start]],"&lt;="&amp;AUA6,tblProjectSchedule[[Finish]:[Finish]],"&gt;="&amp;AUA6))</f>
        <v>0</v>
      </c>
      <c r="AUB4" s="172">
        <f>IF(WEEKDAY(AUB6,12)&gt;=6,0,SUMIFS(tblProjectSchedule[[Skilled]:[Skilled]],tblProjectSchedule[[Start]:[Start]],"&lt;="&amp;AUB6,tblProjectSchedule[[Finish]:[Finish]],"&gt;="&amp;AUB6)+SUMIFS(tblProjectSchedule[[Helpers]:[Helpers]],tblProjectSchedule[[Start]:[Start]],"&lt;="&amp;AUB6,tblProjectSchedule[[Finish]:[Finish]],"&gt;="&amp;AUB6))</f>
        <v>0</v>
      </c>
      <c r="AUC4" s="172">
        <f>IF(WEEKDAY(AUC6,12)&gt;=6,0,SUMIFS(tblProjectSchedule[[Skilled]:[Skilled]],tblProjectSchedule[[Start]:[Start]],"&lt;="&amp;AUC6,tblProjectSchedule[[Finish]:[Finish]],"&gt;="&amp;AUC6)+SUMIFS(tblProjectSchedule[[Helpers]:[Helpers]],tblProjectSchedule[[Start]:[Start]],"&lt;="&amp;AUC6,tblProjectSchedule[[Finish]:[Finish]],"&gt;="&amp;AUC6))</f>
        <v>0</v>
      </c>
      <c r="AUD4" s="172">
        <f>IF(WEEKDAY(AUD6,12)&gt;=6,0,SUMIFS(tblProjectSchedule[[Skilled]:[Skilled]],tblProjectSchedule[[Start]:[Start]],"&lt;="&amp;AUD6,tblProjectSchedule[[Finish]:[Finish]],"&gt;="&amp;AUD6)+SUMIFS(tblProjectSchedule[[Helpers]:[Helpers]],tblProjectSchedule[[Start]:[Start]],"&lt;="&amp;AUD6,tblProjectSchedule[[Finish]:[Finish]],"&gt;="&amp;AUD6))</f>
        <v>0</v>
      </c>
      <c r="AUE4" s="172">
        <f>IF(WEEKDAY(AUE6,12)&gt;=6,0,SUMIFS(tblProjectSchedule[[Skilled]:[Skilled]],tblProjectSchedule[[Start]:[Start]],"&lt;="&amp;AUE6,tblProjectSchedule[[Finish]:[Finish]],"&gt;="&amp;AUE6)+SUMIFS(tblProjectSchedule[[Helpers]:[Helpers]],tblProjectSchedule[[Start]:[Start]],"&lt;="&amp;AUE6,tblProjectSchedule[[Finish]:[Finish]],"&gt;="&amp;AUE6))</f>
        <v>0</v>
      </c>
      <c r="AUF4" s="174">
        <f>IF(WEEKDAY(AUF6,12)&gt;=6,0,SUMIFS(tblProjectSchedule[[Skilled]:[Skilled]],tblProjectSchedule[[Start]:[Start]],"&lt;="&amp;AUF6,tblProjectSchedule[[Finish]:[Finish]],"&gt;="&amp;AUF6)+SUMIFS(tblProjectSchedule[[Helpers]:[Helpers]],tblProjectSchedule[[Start]:[Start]],"&lt;="&amp;AUF6,tblProjectSchedule[[Finish]:[Finish]],"&gt;="&amp;AUF6))</f>
        <v>0</v>
      </c>
      <c r="AUG4" s="173">
        <f>IF(WEEKDAY(AUG6,12)&gt;=6,0,SUMIFS(tblProjectSchedule[[Skilled]:[Skilled]],tblProjectSchedule[[Start]:[Start]],"&lt;="&amp;AUG6,tblProjectSchedule[[Finish]:[Finish]],"&gt;="&amp;AUG6)+SUMIFS(tblProjectSchedule[[Helpers]:[Helpers]],tblProjectSchedule[[Start]:[Start]],"&lt;="&amp;AUG6,tblProjectSchedule[[Finish]:[Finish]],"&gt;="&amp;AUG6))</f>
        <v>0</v>
      </c>
      <c r="AUH4" s="172">
        <f>IF(WEEKDAY(AUH6,12)&gt;=6,0,SUMIFS(tblProjectSchedule[[Skilled]:[Skilled]],tblProjectSchedule[[Start]:[Start]],"&lt;="&amp;AUH6,tblProjectSchedule[[Finish]:[Finish]],"&gt;="&amp;AUH6)+SUMIFS(tblProjectSchedule[[Helpers]:[Helpers]],tblProjectSchedule[[Start]:[Start]],"&lt;="&amp;AUH6,tblProjectSchedule[[Finish]:[Finish]],"&gt;="&amp;AUH6))</f>
        <v>0</v>
      </c>
      <c r="AUI4" s="172">
        <f>IF(WEEKDAY(AUI6,12)&gt;=6,0,SUMIFS(tblProjectSchedule[[Skilled]:[Skilled]],tblProjectSchedule[[Start]:[Start]],"&lt;="&amp;AUI6,tblProjectSchedule[[Finish]:[Finish]],"&gt;="&amp;AUI6)+SUMIFS(tblProjectSchedule[[Helpers]:[Helpers]],tblProjectSchedule[[Start]:[Start]],"&lt;="&amp;AUI6,tblProjectSchedule[[Finish]:[Finish]],"&gt;="&amp;AUI6))</f>
        <v>0</v>
      </c>
      <c r="AUJ4" s="172">
        <f>IF(WEEKDAY(AUJ6,12)&gt;=6,0,SUMIFS(tblProjectSchedule[[Skilled]:[Skilled]],tblProjectSchedule[[Start]:[Start]],"&lt;="&amp;AUJ6,tblProjectSchedule[[Finish]:[Finish]],"&gt;="&amp;AUJ6)+SUMIFS(tblProjectSchedule[[Helpers]:[Helpers]],tblProjectSchedule[[Start]:[Start]],"&lt;="&amp;AUJ6,tblProjectSchedule[[Finish]:[Finish]],"&gt;="&amp;AUJ6))</f>
        <v>0</v>
      </c>
      <c r="AUK4" s="172">
        <f>IF(WEEKDAY(AUK6,12)&gt;=6,0,SUMIFS(tblProjectSchedule[[Skilled]:[Skilled]],tblProjectSchedule[[Start]:[Start]],"&lt;="&amp;AUK6,tblProjectSchedule[[Finish]:[Finish]],"&gt;="&amp;AUK6)+SUMIFS(tblProjectSchedule[[Helpers]:[Helpers]],tblProjectSchedule[[Start]:[Start]],"&lt;="&amp;AUK6,tblProjectSchedule[[Finish]:[Finish]],"&gt;="&amp;AUK6))</f>
        <v>0</v>
      </c>
      <c r="AUL4" s="172">
        <f>IF(WEEKDAY(AUL6,12)&gt;=6,0,SUMIFS(tblProjectSchedule[[Skilled]:[Skilled]],tblProjectSchedule[[Start]:[Start]],"&lt;="&amp;AUL6,tblProjectSchedule[[Finish]:[Finish]],"&gt;="&amp;AUL6)+SUMIFS(tblProjectSchedule[[Helpers]:[Helpers]],tblProjectSchedule[[Start]:[Start]],"&lt;="&amp;AUL6,tblProjectSchedule[[Finish]:[Finish]],"&gt;="&amp;AUL6))</f>
        <v>0</v>
      </c>
      <c r="AUM4" s="174">
        <f>IF(WEEKDAY(AUM6,12)&gt;=6,0,SUMIFS(tblProjectSchedule[[Skilled]:[Skilled]],tblProjectSchedule[[Start]:[Start]],"&lt;="&amp;AUM6,tblProjectSchedule[[Finish]:[Finish]],"&gt;="&amp;AUM6)+SUMIFS(tblProjectSchedule[[Helpers]:[Helpers]],tblProjectSchedule[[Start]:[Start]],"&lt;="&amp;AUM6,tblProjectSchedule[[Finish]:[Finish]],"&gt;="&amp;AUM6))</f>
        <v>0</v>
      </c>
      <c r="AUN4" s="173">
        <f>IF(WEEKDAY(AUN6,12)&gt;=6,0,SUMIFS(tblProjectSchedule[[Skilled]:[Skilled]],tblProjectSchedule[[Start]:[Start]],"&lt;="&amp;AUN6,tblProjectSchedule[[Finish]:[Finish]],"&gt;="&amp;AUN6)+SUMIFS(tblProjectSchedule[[Helpers]:[Helpers]],tblProjectSchedule[[Start]:[Start]],"&lt;="&amp;AUN6,tblProjectSchedule[[Finish]:[Finish]],"&gt;="&amp;AUN6))</f>
        <v>0</v>
      </c>
      <c r="AUO4" s="172">
        <f>IF(WEEKDAY(AUO6,12)&gt;=6,0,SUMIFS(tblProjectSchedule[[Skilled]:[Skilled]],tblProjectSchedule[[Start]:[Start]],"&lt;="&amp;AUO6,tblProjectSchedule[[Finish]:[Finish]],"&gt;="&amp;AUO6)+SUMIFS(tblProjectSchedule[[Helpers]:[Helpers]],tblProjectSchedule[[Start]:[Start]],"&lt;="&amp;AUO6,tblProjectSchedule[[Finish]:[Finish]],"&gt;="&amp;AUO6))</f>
        <v>0</v>
      </c>
      <c r="AUP4" s="172">
        <f>IF(WEEKDAY(AUP6,12)&gt;=6,0,SUMIFS(tblProjectSchedule[[Skilled]:[Skilled]],tblProjectSchedule[[Start]:[Start]],"&lt;="&amp;AUP6,tblProjectSchedule[[Finish]:[Finish]],"&gt;="&amp;AUP6)+SUMIFS(tblProjectSchedule[[Helpers]:[Helpers]],tblProjectSchedule[[Start]:[Start]],"&lt;="&amp;AUP6,tblProjectSchedule[[Finish]:[Finish]],"&gt;="&amp;AUP6))</f>
        <v>0</v>
      </c>
      <c r="AUQ4" s="172">
        <f>IF(WEEKDAY(AUQ6,12)&gt;=6,0,SUMIFS(tblProjectSchedule[[Skilled]:[Skilled]],tblProjectSchedule[[Start]:[Start]],"&lt;="&amp;AUQ6,tblProjectSchedule[[Finish]:[Finish]],"&gt;="&amp;AUQ6)+SUMIFS(tblProjectSchedule[[Helpers]:[Helpers]],tblProjectSchedule[[Start]:[Start]],"&lt;="&amp;AUQ6,tblProjectSchedule[[Finish]:[Finish]],"&gt;="&amp;AUQ6))</f>
        <v>0</v>
      </c>
      <c r="AUR4" s="172">
        <f>IF(WEEKDAY(AUR6,12)&gt;=6,0,SUMIFS(tblProjectSchedule[[Skilled]:[Skilled]],tblProjectSchedule[[Start]:[Start]],"&lt;="&amp;AUR6,tblProjectSchedule[[Finish]:[Finish]],"&gt;="&amp;AUR6)+SUMIFS(tblProjectSchedule[[Helpers]:[Helpers]],tblProjectSchedule[[Start]:[Start]],"&lt;="&amp;AUR6,tblProjectSchedule[[Finish]:[Finish]],"&gt;="&amp;AUR6))</f>
        <v>0</v>
      </c>
      <c r="AUS4" s="172">
        <f>IF(WEEKDAY(AUS6,12)&gt;=6,0,SUMIFS(tblProjectSchedule[[Skilled]:[Skilled]],tblProjectSchedule[[Start]:[Start]],"&lt;="&amp;AUS6,tblProjectSchedule[[Finish]:[Finish]],"&gt;="&amp;AUS6)+SUMIFS(tblProjectSchedule[[Helpers]:[Helpers]],tblProjectSchedule[[Start]:[Start]],"&lt;="&amp;AUS6,tblProjectSchedule[[Finish]:[Finish]],"&gt;="&amp;AUS6))</f>
        <v>0</v>
      </c>
      <c r="AUT4" s="174">
        <f>IF(WEEKDAY(AUT6,12)&gt;=6,0,SUMIFS(tblProjectSchedule[[Skilled]:[Skilled]],tblProjectSchedule[[Start]:[Start]],"&lt;="&amp;AUT6,tblProjectSchedule[[Finish]:[Finish]],"&gt;="&amp;AUT6)+SUMIFS(tblProjectSchedule[[Helpers]:[Helpers]],tblProjectSchedule[[Start]:[Start]],"&lt;="&amp;AUT6,tblProjectSchedule[[Finish]:[Finish]],"&gt;="&amp;AUT6))</f>
        <v>0</v>
      </c>
      <c r="AUU4" s="173">
        <f>IF(WEEKDAY(AUU6,12)&gt;=6,0,SUMIFS(tblProjectSchedule[[Skilled]:[Skilled]],tblProjectSchedule[[Start]:[Start]],"&lt;="&amp;AUU6,tblProjectSchedule[[Finish]:[Finish]],"&gt;="&amp;AUU6)+SUMIFS(tblProjectSchedule[[Helpers]:[Helpers]],tblProjectSchedule[[Start]:[Start]],"&lt;="&amp;AUU6,tblProjectSchedule[[Finish]:[Finish]],"&gt;="&amp;AUU6))</f>
        <v>0</v>
      </c>
      <c r="AUV4" s="172">
        <f>IF(WEEKDAY(AUV6,12)&gt;=6,0,SUMIFS(tblProjectSchedule[[Skilled]:[Skilled]],tblProjectSchedule[[Start]:[Start]],"&lt;="&amp;AUV6,tblProjectSchedule[[Finish]:[Finish]],"&gt;="&amp;AUV6)+SUMIFS(tblProjectSchedule[[Helpers]:[Helpers]],tblProjectSchedule[[Start]:[Start]],"&lt;="&amp;AUV6,tblProjectSchedule[[Finish]:[Finish]],"&gt;="&amp;AUV6))</f>
        <v>0</v>
      </c>
      <c r="AUW4" s="172">
        <f>IF(WEEKDAY(AUW6,12)&gt;=6,0,SUMIFS(tblProjectSchedule[[Skilled]:[Skilled]],tblProjectSchedule[[Start]:[Start]],"&lt;="&amp;AUW6,tblProjectSchedule[[Finish]:[Finish]],"&gt;="&amp;AUW6)+SUMIFS(tblProjectSchedule[[Helpers]:[Helpers]],tblProjectSchedule[[Start]:[Start]],"&lt;="&amp;AUW6,tblProjectSchedule[[Finish]:[Finish]],"&gt;="&amp;AUW6))</f>
        <v>0</v>
      </c>
      <c r="AUX4" s="172">
        <f>IF(WEEKDAY(AUX6,12)&gt;=6,0,SUMIFS(tblProjectSchedule[[Skilled]:[Skilled]],tblProjectSchedule[[Start]:[Start]],"&lt;="&amp;AUX6,tblProjectSchedule[[Finish]:[Finish]],"&gt;="&amp;AUX6)+SUMIFS(tblProjectSchedule[[Helpers]:[Helpers]],tblProjectSchedule[[Start]:[Start]],"&lt;="&amp;AUX6,tblProjectSchedule[[Finish]:[Finish]],"&gt;="&amp;AUX6))</f>
        <v>0</v>
      </c>
      <c r="AUY4" s="172">
        <f>IF(WEEKDAY(AUY6,12)&gt;=6,0,SUMIFS(tblProjectSchedule[[Skilled]:[Skilled]],tblProjectSchedule[[Start]:[Start]],"&lt;="&amp;AUY6,tblProjectSchedule[[Finish]:[Finish]],"&gt;="&amp;AUY6)+SUMIFS(tblProjectSchedule[[Helpers]:[Helpers]],tblProjectSchedule[[Start]:[Start]],"&lt;="&amp;AUY6,tblProjectSchedule[[Finish]:[Finish]],"&gt;="&amp;AUY6))</f>
        <v>0</v>
      </c>
      <c r="AUZ4" s="172">
        <f>IF(WEEKDAY(AUZ6,12)&gt;=6,0,SUMIFS(tblProjectSchedule[[Skilled]:[Skilled]],tblProjectSchedule[[Start]:[Start]],"&lt;="&amp;AUZ6,tblProjectSchedule[[Finish]:[Finish]],"&gt;="&amp;AUZ6)+SUMIFS(tblProjectSchedule[[Helpers]:[Helpers]],tblProjectSchedule[[Start]:[Start]],"&lt;="&amp;AUZ6,tblProjectSchedule[[Finish]:[Finish]],"&gt;="&amp;AUZ6))</f>
        <v>0</v>
      </c>
      <c r="AVA4" s="174">
        <f>IF(WEEKDAY(AVA6,12)&gt;=6,0,SUMIFS(tblProjectSchedule[[Skilled]:[Skilled]],tblProjectSchedule[[Start]:[Start]],"&lt;="&amp;AVA6,tblProjectSchedule[[Finish]:[Finish]],"&gt;="&amp;AVA6)+SUMIFS(tblProjectSchedule[[Helpers]:[Helpers]],tblProjectSchedule[[Start]:[Start]],"&lt;="&amp;AVA6,tblProjectSchedule[[Finish]:[Finish]],"&gt;="&amp;AVA6))</f>
        <v>0</v>
      </c>
      <c r="AVB4" s="173">
        <f>IF(WEEKDAY(AVB6,12)&gt;=6,0,SUMIFS(tblProjectSchedule[[Skilled]:[Skilled]],tblProjectSchedule[[Start]:[Start]],"&lt;="&amp;AVB6,tblProjectSchedule[[Finish]:[Finish]],"&gt;="&amp;AVB6)+SUMIFS(tblProjectSchedule[[Helpers]:[Helpers]],tblProjectSchedule[[Start]:[Start]],"&lt;="&amp;AVB6,tblProjectSchedule[[Finish]:[Finish]],"&gt;="&amp;AVB6))</f>
        <v>0</v>
      </c>
      <c r="AVC4" s="172">
        <f>IF(WEEKDAY(AVC6,12)&gt;=6,0,SUMIFS(tblProjectSchedule[[Skilled]:[Skilled]],tblProjectSchedule[[Start]:[Start]],"&lt;="&amp;AVC6,tblProjectSchedule[[Finish]:[Finish]],"&gt;="&amp;AVC6)+SUMIFS(tblProjectSchedule[[Helpers]:[Helpers]],tblProjectSchedule[[Start]:[Start]],"&lt;="&amp;AVC6,tblProjectSchedule[[Finish]:[Finish]],"&gt;="&amp;AVC6))</f>
        <v>0</v>
      </c>
      <c r="AVD4" s="172">
        <f>IF(WEEKDAY(AVD6,12)&gt;=6,0,SUMIFS(tblProjectSchedule[[Skilled]:[Skilled]],tblProjectSchedule[[Start]:[Start]],"&lt;="&amp;AVD6,tblProjectSchedule[[Finish]:[Finish]],"&gt;="&amp;AVD6)+SUMIFS(tblProjectSchedule[[Helpers]:[Helpers]],tblProjectSchedule[[Start]:[Start]],"&lt;="&amp;AVD6,tblProjectSchedule[[Finish]:[Finish]],"&gt;="&amp;AVD6))</f>
        <v>0</v>
      </c>
      <c r="AVE4" s="172">
        <f>IF(WEEKDAY(AVE6,12)&gt;=6,0,SUMIFS(tblProjectSchedule[[Skilled]:[Skilled]],tblProjectSchedule[[Start]:[Start]],"&lt;="&amp;AVE6,tblProjectSchedule[[Finish]:[Finish]],"&gt;="&amp;AVE6)+SUMIFS(tblProjectSchedule[[Helpers]:[Helpers]],tblProjectSchedule[[Start]:[Start]],"&lt;="&amp;AVE6,tblProjectSchedule[[Finish]:[Finish]],"&gt;="&amp;AVE6))</f>
        <v>0</v>
      </c>
      <c r="AVF4" s="172">
        <f>IF(WEEKDAY(AVF6,12)&gt;=6,0,SUMIFS(tblProjectSchedule[[Skilled]:[Skilled]],tblProjectSchedule[[Start]:[Start]],"&lt;="&amp;AVF6,tblProjectSchedule[[Finish]:[Finish]],"&gt;="&amp;AVF6)+SUMIFS(tblProjectSchedule[[Helpers]:[Helpers]],tblProjectSchedule[[Start]:[Start]],"&lt;="&amp;AVF6,tblProjectSchedule[[Finish]:[Finish]],"&gt;="&amp;AVF6))</f>
        <v>0</v>
      </c>
      <c r="AVG4" s="172">
        <f>IF(WEEKDAY(AVG6,12)&gt;=6,0,SUMIFS(tblProjectSchedule[[Skilled]:[Skilled]],tblProjectSchedule[[Start]:[Start]],"&lt;="&amp;AVG6,tblProjectSchedule[[Finish]:[Finish]],"&gt;="&amp;AVG6)+SUMIFS(tblProjectSchedule[[Helpers]:[Helpers]],tblProjectSchedule[[Start]:[Start]],"&lt;="&amp;AVG6,tblProjectSchedule[[Finish]:[Finish]],"&gt;="&amp;AVG6))</f>
        <v>0</v>
      </c>
      <c r="AVH4" s="174">
        <f>IF(WEEKDAY(AVH6,12)&gt;=6,0,SUMIFS(tblProjectSchedule[[Skilled]:[Skilled]],tblProjectSchedule[[Start]:[Start]],"&lt;="&amp;AVH6,tblProjectSchedule[[Finish]:[Finish]],"&gt;="&amp;AVH6)+SUMIFS(tblProjectSchedule[[Helpers]:[Helpers]],tblProjectSchedule[[Start]:[Start]],"&lt;="&amp;AVH6,tblProjectSchedule[[Finish]:[Finish]],"&gt;="&amp;AVH6))</f>
        <v>0</v>
      </c>
      <c r="AVI4" s="173">
        <f>IF(WEEKDAY(AVI6,12)&gt;=6,0,SUMIFS(tblProjectSchedule[[Skilled]:[Skilled]],tblProjectSchedule[[Start]:[Start]],"&lt;="&amp;AVI6,tblProjectSchedule[[Finish]:[Finish]],"&gt;="&amp;AVI6)+SUMIFS(tblProjectSchedule[[Helpers]:[Helpers]],tblProjectSchedule[[Start]:[Start]],"&lt;="&amp;AVI6,tblProjectSchedule[[Finish]:[Finish]],"&gt;="&amp;AVI6))</f>
        <v>0</v>
      </c>
      <c r="AVJ4" s="172">
        <f>IF(WEEKDAY(AVJ6,12)&gt;=6,0,SUMIFS(tblProjectSchedule[[Skilled]:[Skilled]],tblProjectSchedule[[Start]:[Start]],"&lt;="&amp;AVJ6,tblProjectSchedule[[Finish]:[Finish]],"&gt;="&amp;AVJ6)+SUMIFS(tblProjectSchedule[[Helpers]:[Helpers]],tblProjectSchedule[[Start]:[Start]],"&lt;="&amp;AVJ6,tblProjectSchedule[[Finish]:[Finish]],"&gt;="&amp;AVJ6))</f>
        <v>0</v>
      </c>
      <c r="AVK4" s="172">
        <f>IF(WEEKDAY(AVK6,12)&gt;=6,0,SUMIFS(tblProjectSchedule[[Skilled]:[Skilled]],tblProjectSchedule[[Start]:[Start]],"&lt;="&amp;AVK6,tblProjectSchedule[[Finish]:[Finish]],"&gt;="&amp;AVK6)+SUMIFS(tblProjectSchedule[[Helpers]:[Helpers]],tblProjectSchedule[[Start]:[Start]],"&lt;="&amp;AVK6,tblProjectSchedule[[Finish]:[Finish]],"&gt;="&amp;AVK6))</f>
        <v>0</v>
      </c>
      <c r="AVL4" s="172">
        <f>IF(WEEKDAY(AVL6,12)&gt;=6,0,SUMIFS(tblProjectSchedule[[Skilled]:[Skilled]],tblProjectSchedule[[Start]:[Start]],"&lt;="&amp;AVL6,tblProjectSchedule[[Finish]:[Finish]],"&gt;="&amp;AVL6)+SUMIFS(tblProjectSchedule[[Helpers]:[Helpers]],tblProjectSchedule[[Start]:[Start]],"&lt;="&amp;AVL6,tblProjectSchedule[[Finish]:[Finish]],"&gt;="&amp;AVL6))</f>
        <v>0</v>
      </c>
      <c r="AVM4" s="172">
        <f>IF(WEEKDAY(AVM6,12)&gt;=6,0,SUMIFS(tblProjectSchedule[[Skilled]:[Skilled]],tblProjectSchedule[[Start]:[Start]],"&lt;="&amp;AVM6,tblProjectSchedule[[Finish]:[Finish]],"&gt;="&amp;AVM6)+SUMIFS(tblProjectSchedule[[Helpers]:[Helpers]],tblProjectSchedule[[Start]:[Start]],"&lt;="&amp;AVM6,tblProjectSchedule[[Finish]:[Finish]],"&gt;="&amp;AVM6))</f>
        <v>0</v>
      </c>
      <c r="AVN4" s="172">
        <f>IF(WEEKDAY(AVN6,12)&gt;=6,0,SUMIFS(tblProjectSchedule[[Skilled]:[Skilled]],tblProjectSchedule[[Start]:[Start]],"&lt;="&amp;AVN6,tblProjectSchedule[[Finish]:[Finish]],"&gt;="&amp;AVN6)+SUMIFS(tblProjectSchedule[[Helpers]:[Helpers]],tblProjectSchedule[[Start]:[Start]],"&lt;="&amp;AVN6,tblProjectSchedule[[Finish]:[Finish]],"&gt;="&amp;AVN6))</f>
        <v>0</v>
      </c>
      <c r="AVO4" s="174">
        <f>IF(WEEKDAY(AVO6,12)&gt;=6,0,SUMIFS(tblProjectSchedule[[Skilled]:[Skilled]],tblProjectSchedule[[Start]:[Start]],"&lt;="&amp;AVO6,tblProjectSchedule[[Finish]:[Finish]],"&gt;="&amp;AVO6)+SUMIFS(tblProjectSchedule[[Helpers]:[Helpers]],tblProjectSchedule[[Start]:[Start]],"&lt;="&amp;AVO6,tblProjectSchedule[[Finish]:[Finish]],"&gt;="&amp;AVO6))</f>
        <v>0</v>
      </c>
      <c r="AVP4" s="173">
        <f>IF(WEEKDAY(AVP6,12)&gt;=6,0,SUMIFS(tblProjectSchedule[[Skilled]:[Skilled]],tblProjectSchedule[[Start]:[Start]],"&lt;="&amp;AVP6,tblProjectSchedule[[Finish]:[Finish]],"&gt;="&amp;AVP6)+SUMIFS(tblProjectSchedule[[Helpers]:[Helpers]],tblProjectSchedule[[Start]:[Start]],"&lt;="&amp;AVP6,tblProjectSchedule[[Finish]:[Finish]],"&gt;="&amp;AVP6))</f>
        <v>0</v>
      </c>
      <c r="AVQ4" s="172">
        <f>IF(WEEKDAY(AVQ6,12)&gt;=6,0,SUMIFS(tblProjectSchedule[[Skilled]:[Skilled]],tblProjectSchedule[[Start]:[Start]],"&lt;="&amp;AVQ6,tblProjectSchedule[[Finish]:[Finish]],"&gt;="&amp;AVQ6)+SUMIFS(tblProjectSchedule[[Helpers]:[Helpers]],tblProjectSchedule[[Start]:[Start]],"&lt;="&amp;AVQ6,tblProjectSchedule[[Finish]:[Finish]],"&gt;="&amp;AVQ6))</f>
        <v>0</v>
      </c>
      <c r="AVR4" s="172">
        <f>IF(WEEKDAY(AVR6,12)&gt;=6,0,SUMIFS(tblProjectSchedule[[Skilled]:[Skilled]],tblProjectSchedule[[Start]:[Start]],"&lt;="&amp;AVR6,tblProjectSchedule[[Finish]:[Finish]],"&gt;="&amp;AVR6)+SUMIFS(tblProjectSchedule[[Helpers]:[Helpers]],tblProjectSchedule[[Start]:[Start]],"&lt;="&amp;AVR6,tblProjectSchedule[[Finish]:[Finish]],"&gt;="&amp;AVR6))</f>
        <v>0</v>
      </c>
      <c r="AVS4" s="172">
        <f>IF(WEEKDAY(AVS6,12)&gt;=6,0,SUMIFS(tblProjectSchedule[[Skilled]:[Skilled]],tblProjectSchedule[[Start]:[Start]],"&lt;="&amp;AVS6,tblProjectSchedule[[Finish]:[Finish]],"&gt;="&amp;AVS6)+SUMIFS(tblProjectSchedule[[Helpers]:[Helpers]],tblProjectSchedule[[Start]:[Start]],"&lt;="&amp;AVS6,tblProjectSchedule[[Finish]:[Finish]],"&gt;="&amp;AVS6))</f>
        <v>0</v>
      </c>
      <c r="AVT4" s="172">
        <f>IF(WEEKDAY(AVT6,12)&gt;=6,0,SUMIFS(tblProjectSchedule[[Skilled]:[Skilled]],tblProjectSchedule[[Start]:[Start]],"&lt;="&amp;AVT6,tblProjectSchedule[[Finish]:[Finish]],"&gt;="&amp;AVT6)+SUMIFS(tblProjectSchedule[[Helpers]:[Helpers]],tblProjectSchedule[[Start]:[Start]],"&lt;="&amp;AVT6,tblProjectSchedule[[Finish]:[Finish]],"&gt;="&amp;AVT6))</f>
        <v>0</v>
      </c>
      <c r="AVU4" s="172">
        <f>IF(WEEKDAY(AVU6,12)&gt;=6,0,SUMIFS(tblProjectSchedule[[Skilled]:[Skilled]],tblProjectSchedule[[Start]:[Start]],"&lt;="&amp;AVU6,tblProjectSchedule[[Finish]:[Finish]],"&gt;="&amp;AVU6)+SUMIFS(tblProjectSchedule[[Helpers]:[Helpers]],tblProjectSchedule[[Start]:[Start]],"&lt;="&amp;AVU6,tblProjectSchedule[[Finish]:[Finish]],"&gt;="&amp;AVU6))</f>
        <v>0</v>
      </c>
      <c r="AVV4" s="174">
        <f>IF(WEEKDAY(AVV6,12)&gt;=6,0,SUMIFS(tblProjectSchedule[[Skilled]:[Skilled]],tblProjectSchedule[[Start]:[Start]],"&lt;="&amp;AVV6,tblProjectSchedule[[Finish]:[Finish]],"&gt;="&amp;AVV6)+SUMIFS(tblProjectSchedule[[Helpers]:[Helpers]],tblProjectSchedule[[Start]:[Start]],"&lt;="&amp;AVV6,tblProjectSchedule[[Finish]:[Finish]],"&gt;="&amp;AVV6))</f>
        <v>0</v>
      </c>
      <c r="AVW4" s="173">
        <f>IF(WEEKDAY(AVW6,12)&gt;=6,0,SUMIFS(tblProjectSchedule[[Skilled]:[Skilled]],tblProjectSchedule[[Start]:[Start]],"&lt;="&amp;AVW6,tblProjectSchedule[[Finish]:[Finish]],"&gt;="&amp;AVW6)+SUMIFS(tblProjectSchedule[[Helpers]:[Helpers]],tblProjectSchedule[[Start]:[Start]],"&lt;="&amp;AVW6,tblProjectSchedule[[Finish]:[Finish]],"&gt;="&amp;AVW6))</f>
        <v>0</v>
      </c>
      <c r="AVX4" s="172">
        <f>IF(WEEKDAY(AVX6,12)&gt;=6,0,SUMIFS(tblProjectSchedule[[Skilled]:[Skilled]],tblProjectSchedule[[Start]:[Start]],"&lt;="&amp;AVX6,tblProjectSchedule[[Finish]:[Finish]],"&gt;="&amp;AVX6)+SUMIFS(tblProjectSchedule[[Helpers]:[Helpers]],tblProjectSchedule[[Start]:[Start]],"&lt;="&amp;AVX6,tblProjectSchedule[[Finish]:[Finish]],"&gt;="&amp;AVX6))</f>
        <v>0</v>
      </c>
      <c r="AVY4" s="172">
        <f>IF(WEEKDAY(AVY6,12)&gt;=6,0,SUMIFS(tblProjectSchedule[[Skilled]:[Skilled]],tblProjectSchedule[[Start]:[Start]],"&lt;="&amp;AVY6,tblProjectSchedule[[Finish]:[Finish]],"&gt;="&amp;AVY6)+SUMIFS(tblProjectSchedule[[Helpers]:[Helpers]],tblProjectSchedule[[Start]:[Start]],"&lt;="&amp;AVY6,tblProjectSchedule[[Finish]:[Finish]],"&gt;="&amp;AVY6))</f>
        <v>0</v>
      </c>
      <c r="AVZ4" s="172">
        <f>IF(WEEKDAY(AVZ6,12)&gt;=6,0,SUMIFS(tblProjectSchedule[[Skilled]:[Skilled]],tblProjectSchedule[[Start]:[Start]],"&lt;="&amp;AVZ6,tblProjectSchedule[[Finish]:[Finish]],"&gt;="&amp;AVZ6)+SUMIFS(tblProjectSchedule[[Helpers]:[Helpers]],tblProjectSchedule[[Start]:[Start]],"&lt;="&amp;AVZ6,tblProjectSchedule[[Finish]:[Finish]],"&gt;="&amp;AVZ6))</f>
        <v>0</v>
      </c>
      <c r="AWA4" s="172">
        <f>IF(WEEKDAY(AWA6,12)&gt;=6,0,SUMIFS(tblProjectSchedule[[Skilled]:[Skilled]],tblProjectSchedule[[Start]:[Start]],"&lt;="&amp;AWA6,tblProjectSchedule[[Finish]:[Finish]],"&gt;="&amp;AWA6)+SUMIFS(tblProjectSchedule[[Helpers]:[Helpers]],tblProjectSchedule[[Start]:[Start]],"&lt;="&amp;AWA6,tblProjectSchedule[[Finish]:[Finish]],"&gt;="&amp;AWA6))</f>
        <v>0</v>
      </c>
      <c r="AWB4" s="172">
        <f>IF(WEEKDAY(AWB6,12)&gt;=6,0,SUMIFS(tblProjectSchedule[[Skilled]:[Skilled]],tblProjectSchedule[[Start]:[Start]],"&lt;="&amp;AWB6,tblProjectSchedule[[Finish]:[Finish]],"&gt;="&amp;AWB6)+SUMIFS(tblProjectSchedule[[Helpers]:[Helpers]],tblProjectSchedule[[Start]:[Start]],"&lt;="&amp;AWB6,tblProjectSchedule[[Finish]:[Finish]],"&gt;="&amp;AWB6))</f>
        <v>0</v>
      </c>
      <c r="AWC4" s="174">
        <f>IF(WEEKDAY(AWC6,12)&gt;=6,0,SUMIFS(tblProjectSchedule[[Skilled]:[Skilled]],tblProjectSchedule[[Start]:[Start]],"&lt;="&amp;AWC6,tblProjectSchedule[[Finish]:[Finish]],"&gt;="&amp;AWC6)+SUMIFS(tblProjectSchedule[[Helpers]:[Helpers]],tblProjectSchedule[[Start]:[Start]],"&lt;="&amp;AWC6,tblProjectSchedule[[Finish]:[Finish]],"&gt;="&amp;AWC6))</f>
        <v>0</v>
      </c>
      <c r="AWD4" s="173">
        <f>IF(WEEKDAY(AWD6,12)&gt;=6,0,SUMIFS(tblProjectSchedule[[Skilled]:[Skilled]],tblProjectSchedule[[Start]:[Start]],"&lt;="&amp;AWD6,tblProjectSchedule[[Finish]:[Finish]],"&gt;="&amp;AWD6)+SUMIFS(tblProjectSchedule[[Helpers]:[Helpers]],tblProjectSchedule[[Start]:[Start]],"&lt;="&amp;AWD6,tblProjectSchedule[[Finish]:[Finish]],"&gt;="&amp;AWD6))</f>
        <v>0</v>
      </c>
      <c r="AWE4" s="172">
        <f>IF(WEEKDAY(AWE6,12)&gt;=6,0,SUMIFS(tblProjectSchedule[[Skilled]:[Skilled]],tblProjectSchedule[[Start]:[Start]],"&lt;="&amp;AWE6,tblProjectSchedule[[Finish]:[Finish]],"&gt;="&amp;AWE6)+SUMIFS(tblProjectSchedule[[Helpers]:[Helpers]],tblProjectSchedule[[Start]:[Start]],"&lt;="&amp;AWE6,tblProjectSchedule[[Finish]:[Finish]],"&gt;="&amp;AWE6))</f>
        <v>0</v>
      </c>
      <c r="AWF4" s="172">
        <f>IF(WEEKDAY(AWF6,12)&gt;=6,0,SUMIFS(tblProjectSchedule[[Skilled]:[Skilled]],tblProjectSchedule[[Start]:[Start]],"&lt;="&amp;AWF6,tblProjectSchedule[[Finish]:[Finish]],"&gt;="&amp;AWF6)+SUMIFS(tblProjectSchedule[[Helpers]:[Helpers]],tblProjectSchedule[[Start]:[Start]],"&lt;="&amp;AWF6,tblProjectSchedule[[Finish]:[Finish]],"&gt;="&amp;AWF6))</f>
        <v>0</v>
      </c>
      <c r="AWG4" s="172">
        <f>IF(WEEKDAY(AWG6,12)&gt;=6,0,SUMIFS(tblProjectSchedule[[Skilled]:[Skilled]],tblProjectSchedule[[Start]:[Start]],"&lt;="&amp;AWG6,tblProjectSchedule[[Finish]:[Finish]],"&gt;="&amp;AWG6)+SUMIFS(tblProjectSchedule[[Helpers]:[Helpers]],tblProjectSchedule[[Start]:[Start]],"&lt;="&amp;AWG6,tblProjectSchedule[[Finish]:[Finish]],"&gt;="&amp;AWG6))</f>
        <v>0</v>
      </c>
      <c r="AWH4" s="172">
        <f>IF(WEEKDAY(AWH6,12)&gt;=6,0,SUMIFS(tblProjectSchedule[[Skilled]:[Skilled]],tblProjectSchedule[[Start]:[Start]],"&lt;="&amp;AWH6,tblProjectSchedule[[Finish]:[Finish]],"&gt;="&amp;AWH6)+SUMIFS(tblProjectSchedule[[Helpers]:[Helpers]],tblProjectSchedule[[Start]:[Start]],"&lt;="&amp;AWH6,tblProjectSchedule[[Finish]:[Finish]],"&gt;="&amp;AWH6))</f>
        <v>0</v>
      </c>
      <c r="AWI4" s="172">
        <f>IF(WEEKDAY(AWI6,12)&gt;=6,0,SUMIFS(tblProjectSchedule[[Skilled]:[Skilled]],tblProjectSchedule[[Start]:[Start]],"&lt;="&amp;AWI6,tblProjectSchedule[[Finish]:[Finish]],"&gt;="&amp;AWI6)+SUMIFS(tblProjectSchedule[[Helpers]:[Helpers]],tblProjectSchedule[[Start]:[Start]],"&lt;="&amp;AWI6,tblProjectSchedule[[Finish]:[Finish]],"&gt;="&amp;AWI6))</f>
        <v>0</v>
      </c>
      <c r="AWJ4" s="174">
        <f>IF(WEEKDAY(AWJ6,12)&gt;=6,0,SUMIFS(tblProjectSchedule[[Skilled]:[Skilled]],tblProjectSchedule[[Start]:[Start]],"&lt;="&amp;AWJ6,tblProjectSchedule[[Finish]:[Finish]],"&gt;="&amp;AWJ6)+SUMIFS(tblProjectSchedule[[Helpers]:[Helpers]],tblProjectSchedule[[Start]:[Start]],"&lt;="&amp;AWJ6,tblProjectSchedule[[Finish]:[Finish]],"&gt;="&amp;AWJ6))</f>
        <v>0</v>
      </c>
      <c r="AWK4" s="173">
        <f>IF(WEEKDAY(AWK6,12)&gt;=6,0,SUMIFS(tblProjectSchedule[[Skilled]:[Skilled]],tblProjectSchedule[[Start]:[Start]],"&lt;="&amp;AWK6,tblProjectSchedule[[Finish]:[Finish]],"&gt;="&amp;AWK6)+SUMIFS(tblProjectSchedule[[Helpers]:[Helpers]],tblProjectSchedule[[Start]:[Start]],"&lt;="&amp;AWK6,tblProjectSchedule[[Finish]:[Finish]],"&gt;="&amp;AWK6))</f>
        <v>0</v>
      </c>
      <c r="AWL4" s="172">
        <f>IF(WEEKDAY(AWL6,12)&gt;=6,0,SUMIFS(tblProjectSchedule[[Skilled]:[Skilled]],tblProjectSchedule[[Start]:[Start]],"&lt;="&amp;AWL6,tblProjectSchedule[[Finish]:[Finish]],"&gt;="&amp;AWL6)+SUMIFS(tblProjectSchedule[[Helpers]:[Helpers]],tblProjectSchedule[[Start]:[Start]],"&lt;="&amp;AWL6,tblProjectSchedule[[Finish]:[Finish]],"&gt;="&amp;AWL6))</f>
        <v>0</v>
      </c>
      <c r="AWM4" s="172">
        <f>IF(WEEKDAY(AWM6,12)&gt;=6,0,SUMIFS(tblProjectSchedule[[Skilled]:[Skilled]],tblProjectSchedule[[Start]:[Start]],"&lt;="&amp;AWM6,tblProjectSchedule[[Finish]:[Finish]],"&gt;="&amp;AWM6)+SUMIFS(tblProjectSchedule[[Helpers]:[Helpers]],tblProjectSchedule[[Start]:[Start]],"&lt;="&amp;AWM6,tblProjectSchedule[[Finish]:[Finish]],"&gt;="&amp;AWM6))</f>
        <v>0</v>
      </c>
      <c r="AWN4" s="172">
        <f>IF(WEEKDAY(AWN6,12)&gt;=6,0,SUMIFS(tblProjectSchedule[[Skilled]:[Skilled]],tblProjectSchedule[[Start]:[Start]],"&lt;="&amp;AWN6,tblProjectSchedule[[Finish]:[Finish]],"&gt;="&amp;AWN6)+SUMIFS(tblProjectSchedule[[Helpers]:[Helpers]],tblProjectSchedule[[Start]:[Start]],"&lt;="&amp;AWN6,tblProjectSchedule[[Finish]:[Finish]],"&gt;="&amp;AWN6))</f>
        <v>0</v>
      </c>
      <c r="AWO4" s="172">
        <f>IF(WEEKDAY(AWO6,12)&gt;=6,0,SUMIFS(tblProjectSchedule[[Skilled]:[Skilled]],tblProjectSchedule[[Start]:[Start]],"&lt;="&amp;AWO6,tblProjectSchedule[[Finish]:[Finish]],"&gt;="&amp;AWO6)+SUMIFS(tblProjectSchedule[[Helpers]:[Helpers]],tblProjectSchedule[[Start]:[Start]],"&lt;="&amp;AWO6,tblProjectSchedule[[Finish]:[Finish]],"&gt;="&amp;AWO6))</f>
        <v>0</v>
      </c>
      <c r="AWP4" s="172">
        <f>IF(WEEKDAY(AWP6,12)&gt;=6,0,SUMIFS(tblProjectSchedule[[Skilled]:[Skilled]],tblProjectSchedule[[Start]:[Start]],"&lt;="&amp;AWP6,tblProjectSchedule[[Finish]:[Finish]],"&gt;="&amp;AWP6)+SUMIFS(tblProjectSchedule[[Helpers]:[Helpers]],tblProjectSchedule[[Start]:[Start]],"&lt;="&amp;AWP6,tblProjectSchedule[[Finish]:[Finish]],"&gt;="&amp;AWP6))</f>
        <v>0</v>
      </c>
      <c r="AWQ4" s="174">
        <f>IF(WEEKDAY(AWQ6,12)&gt;=6,0,SUMIFS(tblProjectSchedule[[Skilled]:[Skilled]],tblProjectSchedule[[Start]:[Start]],"&lt;="&amp;AWQ6,tblProjectSchedule[[Finish]:[Finish]],"&gt;="&amp;AWQ6)+SUMIFS(tblProjectSchedule[[Helpers]:[Helpers]],tblProjectSchedule[[Start]:[Start]],"&lt;="&amp;AWQ6,tblProjectSchedule[[Finish]:[Finish]],"&gt;="&amp;AWQ6))</f>
        <v>0</v>
      </c>
      <c r="AWR4" s="173">
        <f>IF(WEEKDAY(AWR6,12)&gt;=6,0,SUMIFS(tblProjectSchedule[[Skilled]:[Skilled]],tblProjectSchedule[[Start]:[Start]],"&lt;="&amp;AWR6,tblProjectSchedule[[Finish]:[Finish]],"&gt;="&amp;AWR6)+SUMIFS(tblProjectSchedule[[Helpers]:[Helpers]],tblProjectSchedule[[Start]:[Start]],"&lt;="&amp;AWR6,tblProjectSchedule[[Finish]:[Finish]],"&gt;="&amp;AWR6))</f>
        <v>0</v>
      </c>
      <c r="AWS4" s="172">
        <f>IF(WEEKDAY(AWS6,12)&gt;=6,0,SUMIFS(tblProjectSchedule[[Skilled]:[Skilled]],tblProjectSchedule[[Start]:[Start]],"&lt;="&amp;AWS6,tblProjectSchedule[[Finish]:[Finish]],"&gt;="&amp;AWS6)+SUMIFS(tblProjectSchedule[[Helpers]:[Helpers]],tblProjectSchedule[[Start]:[Start]],"&lt;="&amp;AWS6,tblProjectSchedule[[Finish]:[Finish]],"&gt;="&amp;AWS6))</f>
        <v>0</v>
      </c>
      <c r="AWT4" s="172">
        <f>IF(WEEKDAY(AWT6,12)&gt;=6,0,SUMIFS(tblProjectSchedule[[Skilled]:[Skilled]],tblProjectSchedule[[Start]:[Start]],"&lt;="&amp;AWT6,tblProjectSchedule[[Finish]:[Finish]],"&gt;="&amp;AWT6)+SUMIFS(tblProjectSchedule[[Helpers]:[Helpers]],tblProjectSchedule[[Start]:[Start]],"&lt;="&amp;AWT6,tblProjectSchedule[[Finish]:[Finish]],"&gt;="&amp;AWT6))</f>
        <v>0</v>
      </c>
      <c r="AWU4" s="172">
        <f>IF(WEEKDAY(AWU6,12)&gt;=6,0,SUMIFS(tblProjectSchedule[[Skilled]:[Skilled]],tblProjectSchedule[[Start]:[Start]],"&lt;="&amp;AWU6,tblProjectSchedule[[Finish]:[Finish]],"&gt;="&amp;AWU6)+SUMIFS(tblProjectSchedule[[Helpers]:[Helpers]],tblProjectSchedule[[Start]:[Start]],"&lt;="&amp;AWU6,tblProjectSchedule[[Finish]:[Finish]],"&gt;="&amp;AWU6))</f>
        <v>0</v>
      </c>
      <c r="AWV4" s="172">
        <f>IF(WEEKDAY(AWV6,12)&gt;=6,0,SUMIFS(tblProjectSchedule[[Skilled]:[Skilled]],tblProjectSchedule[[Start]:[Start]],"&lt;="&amp;AWV6,tblProjectSchedule[[Finish]:[Finish]],"&gt;="&amp;AWV6)+SUMIFS(tblProjectSchedule[[Helpers]:[Helpers]],tblProjectSchedule[[Start]:[Start]],"&lt;="&amp;AWV6,tblProjectSchedule[[Finish]:[Finish]],"&gt;="&amp;AWV6))</f>
        <v>0</v>
      </c>
      <c r="AWW4" s="172">
        <f>IF(WEEKDAY(AWW6,12)&gt;=6,0,SUMIFS(tblProjectSchedule[[Skilled]:[Skilled]],tblProjectSchedule[[Start]:[Start]],"&lt;="&amp;AWW6,tblProjectSchedule[[Finish]:[Finish]],"&gt;="&amp;AWW6)+SUMIFS(tblProjectSchedule[[Helpers]:[Helpers]],tblProjectSchedule[[Start]:[Start]],"&lt;="&amp;AWW6,tblProjectSchedule[[Finish]:[Finish]],"&gt;="&amp;AWW6))</f>
        <v>0</v>
      </c>
      <c r="AWX4" s="174">
        <f>IF(WEEKDAY(AWX6,12)&gt;=6,0,SUMIFS(tblProjectSchedule[[Skilled]:[Skilled]],tblProjectSchedule[[Start]:[Start]],"&lt;="&amp;AWX6,tblProjectSchedule[[Finish]:[Finish]],"&gt;="&amp;AWX6)+SUMIFS(tblProjectSchedule[[Helpers]:[Helpers]],tblProjectSchedule[[Start]:[Start]],"&lt;="&amp;AWX6,tblProjectSchedule[[Finish]:[Finish]],"&gt;="&amp;AWX6))</f>
        <v>0</v>
      </c>
      <c r="AWY4" s="173">
        <f>IF(WEEKDAY(AWY6,12)&gt;=6,0,SUMIFS(tblProjectSchedule[[Skilled]:[Skilled]],tblProjectSchedule[[Start]:[Start]],"&lt;="&amp;AWY6,tblProjectSchedule[[Finish]:[Finish]],"&gt;="&amp;AWY6)+SUMIFS(tblProjectSchedule[[Helpers]:[Helpers]],tblProjectSchedule[[Start]:[Start]],"&lt;="&amp;AWY6,tblProjectSchedule[[Finish]:[Finish]],"&gt;="&amp;AWY6))</f>
        <v>0</v>
      </c>
      <c r="AWZ4" s="172">
        <f>IF(WEEKDAY(AWZ6,12)&gt;=6,0,SUMIFS(tblProjectSchedule[[Skilled]:[Skilled]],tblProjectSchedule[[Start]:[Start]],"&lt;="&amp;AWZ6,tblProjectSchedule[[Finish]:[Finish]],"&gt;="&amp;AWZ6)+SUMIFS(tblProjectSchedule[[Helpers]:[Helpers]],tblProjectSchedule[[Start]:[Start]],"&lt;="&amp;AWZ6,tblProjectSchedule[[Finish]:[Finish]],"&gt;="&amp;AWZ6))</f>
        <v>0</v>
      </c>
      <c r="AXA4" s="172">
        <f>IF(WEEKDAY(AXA6,12)&gt;=6,0,SUMIFS(tblProjectSchedule[[Skilled]:[Skilled]],tblProjectSchedule[[Start]:[Start]],"&lt;="&amp;AXA6,tblProjectSchedule[[Finish]:[Finish]],"&gt;="&amp;AXA6)+SUMIFS(tblProjectSchedule[[Helpers]:[Helpers]],tblProjectSchedule[[Start]:[Start]],"&lt;="&amp;AXA6,tblProjectSchedule[[Finish]:[Finish]],"&gt;="&amp;AXA6))</f>
        <v>0</v>
      </c>
      <c r="AXB4" s="172">
        <f>IF(WEEKDAY(AXB6,12)&gt;=6,0,SUMIFS(tblProjectSchedule[[Skilled]:[Skilled]],tblProjectSchedule[[Start]:[Start]],"&lt;="&amp;AXB6,tblProjectSchedule[[Finish]:[Finish]],"&gt;="&amp;AXB6)+SUMIFS(tblProjectSchedule[[Helpers]:[Helpers]],tblProjectSchedule[[Start]:[Start]],"&lt;="&amp;AXB6,tblProjectSchedule[[Finish]:[Finish]],"&gt;="&amp;AXB6))</f>
        <v>0</v>
      </c>
      <c r="AXC4" s="172">
        <f>IF(WEEKDAY(AXC6,12)&gt;=6,0,SUMIFS(tblProjectSchedule[[Skilled]:[Skilled]],tblProjectSchedule[[Start]:[Start]],"&lt;="&amp;AXC6,tblProjectSchedule[[Finish]:[Finish]],"&gt;="&amp;AXC6)+SUMIFS(tblProjectSchedule[[Helpers]:[Helpers]],tblProjectSchedule[[Start]:[Start]],"&lt;="&amp;AXC6,tblProjectSchedule[[Finish]:[Finish]],"&gt;="&amp;AXC6))</f>
        <v>0</v>
      </c>
      <c r="AXD4" s="172">
        <f>IF(WEEKDAY(AXD6,12)&gt;=6,0,SUMIFS(tblProjectSchedule[[Skilled]:[Skilled]],tblProjectSchedule[[Start]:[Start]],"&lt;="&amp;AXD6,tblProjectSchedule[[Finish]:[Finish]],"&gt;="&amp;AXD6)+SUMIFS(tblProjectSchedule[[Helpers]:[Helpers]],tblProjectSchedule[[Start]:[Start]],"&lt;="&amp;AXD6,tblProjectSchedule[[Finish]:[Finish]],"&gt;="&amp;AXD6))</f>
        <v>0</v>
      </c>
      <c r="AXE4" s="174">
        <f>IF(WEEKDAY(AXE6,12)&gt;=6,0,SUMIFS(tblProjectSchedule[[Skilled]:[Skilled]],tblProjectSchedule[[Start]:[Start]],"&lt;="&amp;AXE6,tblProjectSchedule[[Finish]:[Finish]],"&gt;="&amp;AXE6)+SUMIFS(tblProjectSchedule[[Helpers]:[Helpers]],tblProjectSchedule[[Start]:[Start]],"&lt;="&amp;AXE6,tblProjectSchedule[[Finish]:[Finish]],"&gt;="&amp;AXE6))</f>
        <v>0</v>
      </c>
      <c r="AXF4" s="173">
        <f>IF(WEEKDAY(AXF6,12)&gt;=6,0,SUMIFS(tblProjectSchedule[[Skilled]:[Skilled]],tblProjectSchedule[[Start]:[Start]],"&lt;="&amp;AXF6,tblProjectSchedule[[Finish]:[Finish]],"&gt;="&amp;AXF6)+SUMIFS(tblProjectSchedule[[Helpers]:[Helpers]],tblProjectSchedule[[Start]:[Start]],"&lt;="&amp;AXF6,tblProjectSchedule[[Finish]:[Finish]],"&gt;="&amp;AXF6))</f>
        <v>0</v>
      </c>
      <c r="AXG4" s="172">
        <f>IF(WEEKDAY(AXG6,12)&gt;=6,0,SUMIFS(tblProjectSchedule[[Skilled]:[Skilled]],tblProjectSchedule[[Start]:[Start]],"&lt;="&amp;AXG6,tblProjectSchedule[[Finish]:[Finish]],"&gt;="&amp;AXG6)+SUMIFS(tblProjectSchedule[[Helpers]:[Helpers]],tblProjectSchedule[[Start]:[Start]],"&lt;="&amp;AXG6,tblProjectSchedule[[Finish]:[Finish]],"&gt;="&amp;AXG6))</f>
        <v>0</v>
      </c>
      <c r="AXH4" s="172">
        <f>IF(WEEKDAY(AXH6,12)&gt;=6,0,SUMIFS(tblProjectSchedule[[Skilled]:[Skilled]],tblProjectSchedule[[Start]:[Start]],"&lt;="&amp;AXH6,tblProjectSchedule[[Finish]:[Finish]],"&gt;="&amp;AXH6)+SUMIFS(tblProjectSchedule[[Helpers]:[Helpers]],tblProjectSchedule[[Start]:[Start]],"&lt;="&amp;AXH6,tblProjectSchedule[[Finish]:[Finish]],"&gt;="&amp;AXH6))</f>
        <v>0</v>
      </c>
      <c r="AXI4" s="172">
        <f>IF(WEEKDAY(AXI6,12)&gt;=6,0,SUMIFS(tblProjectSchedule[[Skilled]:[Skilled]],tblProjectSchedule[[Start]:[Start]],"&lt;="&amp;AXI6,tblProjectSchedule[[Finish]:[Finish]],"&gt;="&amp;AXI6)+SUMIFS(tblProjectSchedule[[Helpers]:[Helpers]],tblProjectSchedule[[Start]:[Start]],"&lt;="&amp;AXI6,tblProjectSchedule[[Finish]:[Finish]],"&gt;="&amp;AXI6))</f>
        <v>0</v>
      </c>
      <c r="AXJ4" s="172">
        <f>IF(WEEKDAY(AXJ6,12)&gt;=6,0,SUMIFS(tblProjectSchedule[[Skilled]:[Skilled]],tblProjectSchedule[[Start]:[Start]],"&lt;="&amp;AXJ6,tblProjectSchedule[[Finish]:[Finish]],"&gt;="&amp;AXJ6)+SUMIFS(tblProjectSchedule[[Helpers]:[Helpers]],tblProjectSchedule[[Start]:[Start]],"&lt;="&amp;AXJ6,tblProjectSchedule[[Finish]:[Finish]],"&gt;="&amp;AXJ6))</f>
        <v>0</v>
      </c>
      <c r="AXK4" s="172">
        <f>IF(WEEKDAY(AXK6,12)&gt;=6,0,SUMIFS(tblProjectSchedule[[Skilled]:[Skilled]],tblProjectSchedule[[Start]:[Start]],"&lt;="&amp;AXK6,tblProjectSchedule[[Finish]:[Finish]],"&gt;="&amp;AXK6)+SUMIFS(tblProjectSchedule[[Helpers]:[Helpers]],tblProjectSchedule[[Start]:[Start]],"&lt;="&amp;AXK6,tblProjectSchedule[[Finish]:[Finish]],"&gt;="&amp;AXK6))</f>
        <v>0</v>
      </c>
      <c r="AXL4" s="174">
        <f>IF(WEEKDAY(AXL6,12)&gt;=6,0,SUMIFS(tblProjectSchedule[[Skilled]:[Skilled]],tblProjectSchedule[[Start]:[Start]],"&lt;="&amp;AXL6,tblProjectSchedule[[Finish]:[Finish]],"&gt;="&amp;AXL6)+SUMIFS(tblProjectSchedule[[Helpers]:[Helpers]],tblProjectSchedule[[Start]:[Start]],"&lt;="&amp;AXL6,tblProjectSchedule[[Finish]:[Finish]],"&gt;="&amp;AXL6))</f>
        <v>0</v>
      </c>
      <c r="AXM4" s="173">
        <f>IF(WEEKDAY(AXM6,12)&gt;=6,0,SUMIFS(tblProjectSchedule[[Skilled]:[Skilled]],tblProjectSchedule[[Start]:[Start]],"&lt;="&amp;AXM6,tblProjectSchedule[[Finish]:[Finish]],"&gt;="&amp;AXM6)+SUMIFS(tblProjectSchedule[[Helpers]:[Helpers]],tblProjectSchedule[[Start]:[Start]],"&lt;="&amp;AXM6,tblProjectSchedule[[Finish]:[Finish]],"&gt;="&amp;AXM6))</f>
        <v>0</v>
      </c>
      <c r="AXN4" s="172">
        <f>IF(WEEKDAY(AXN6,12)&gt;=6,0,SUMIFS(tblProjectSchedule[[Skilled]:[Skilled]],tblProjectSchedule[[Start]:[Start]],"&lt;="&amp;AXN6,tblProjectSchedule[[Finish]:[Finish]],"&gt;="&amp;AXN6)+SUMIFS(tblProjectSchedule[[Helpers]:[Helpers]],tblProjectSchedule[[Start]:[Start]],"&lt;="&amp;AXN6,tblProjectSchedule[[Finish]:[Finish]],"&gt;="&amp;AXN6))</f>
        <v>0</v>
      </c>
      <c r="AXO4" s="172">
        <f>IF(WEEKDAY(AXO6,12)&gt;=6,0,SUMIFS(tblProjectSchedule[[Skilled]:[Skilled]],tblProjectSchedule[[Start]:[Start]],"&lt;="&amp;AXO6,tblProjectSchedule[[Finish]:[Finish]],"&gt;="&amp;AXO6)+SUMIFS(tblProjectSchedule[[Helpers]:[Helpers]],tblProjectSchedule[[Start]:[Start]],"&lt;="&amp;AXO6,tblProjectSchedule[[Finish]:[Finish]],"&gt;="&amp;AXO6))</f>
        <v>0</v>
      </c>
      <c r="AXP4" s="172">
        <f>IF(WEEKDAY(AXP6,12)&gt;=6,0,SUMIFS(tblProjectSchedule[[Skilled]:[Skilled]],tblProjectSchedule[[Start]:[Start]],"&lt;="&amp;AXP6,tblProjectSchedule[[Finish]:[Finish]],"&gt;="&amp;AXP6)+SUMIFS(tblProjectSchedule[[Helpers]:[Helpers]],tblProjectSchedule[[Start]:[Start]],"&lt;="&amp;AXP6,tblProjectSchedule[[Finish]:[Finish]],"&gt;="&amp;AXP6))</f>
        <v>0</v>
      </c>
      <c r="AXQ4" s="172">
        <f>IF(WEEKDAY(AXQ6,12)&gt;=6,0,SUMIFS(tblProjectSchedule[[Skilled]:[Skilled]],tblProjectSchedule[[Start]:[Start]],"&lt;="&amp;AXQ6,tblProjectSchedule[[Finish]:[Finish]],"&gt;="&amp;AXQ6)+SUMIFS(tblProjectSchedule[[Helpers]:[Helpers]],tblProjectSchedule[[Start]:[Start]],"&lt;="&amp;AXQ6,tblProjectSchedule[[Finish]:[Finish]],"&gt;="&amp;AXQ6))</f>
        <v>0</v>
      </c>
      <c r="AXR4" s="172">
        <f>IF(WEEKDAY(AXR6,12)&gt;=6,0,SUMIFS(tblProjectSchedule[[Skilled]:[Skilled]],tblProjectSchedule[[Start]:[Start]],"&lt;="&amp;AXR6,tblProjectSchedule[[Finish]:[Finish]],"&gt;="&amp;AXR6)+SUMIFS(tblProjectSchedule[[Helpers]:[Helpers]],tblProjectSchedule[[Start]:[Start]],"&lt;="&amp;AXR6,tblProjectSchedule[[Finish]:[Finish]],"&gt;="&amp;AXR6))</f>
        <v>0</v>
      </c>
      <c r="AXS4" s="174">
        <f>IF(WEEKDAY(AXS6,12)&gt;=6,0,SUMIFS(tblProjectSchedule[[Skilled]:[Skilled]],tblProjectSchedule[[Start]:[Start]],"&lt;="&amp;AXS6,tblProjectSchedule[[Finish]:[Finish]],"&gt;="&amp;AXS6)+SUMIFS(tblProjectSchedule[[Helpers]:[Helpers]],tblProjectSchedule[[Start]:[Start]],"&lt;="&amp;AXS6,tblProjectSchedule[[Finish]:[Finish]],"&gt;="&amp;AXS6))</f>
        <v>0</v>
      </c>
      <c r="AXT4" s="173">
        <f>IF(WEEKDAY(AXT6,12)&gt;=6,0,SUMIFS(tblProjectSchedule[[Skilled]:[Skilled]],tblProjectSchedule[[Start]:[Start]],"&lt;="&amp;AXT6,tblProjectSchedule[[Finish]:[Finish]],"&gt;="&amp;AXT6)+SUMIFS(tblProjectSchedule[[Helpers]:[Helpers]],tblProjectSchedule[[Start]:[Start]],"&lt;="&amp;AXT6,tblProjectSchedule[[Finish]:[Finish]],"&gt;="&amp;AXT6))</f>
        <v>0</v>
      </c>
      <c r="AXU4" s="172">
        <f>IF(WEEKDAY(AXU6,12)&gt;=6,0,SUMIFS(tblProjectSchedule[[Skilled]:[Skilled]],tblProjectSchedule[[Start]:[Start]],"&lt;="&amp;AXU6,tblProjectSchedule[[Finish]:[Finish]],"&gt;="&amp;AXU6)+SUMIFS(tblProjectSchedule[[Helpers]:[Helpers]],tblProjectSchedule[[Start]:[Start]],"&lt;="&amp;AXU6,tblProjectSchedule[[Finish]:[Finish]],"&gt;="&amp;AXU6))</f>
        <v>0</v>
      </c>
      <c r="AXV4" s="172">
        <f>IF(WEEKDAY(AXV6,12)&gt;=6,0,SUMIFS(tblProjectSchedule[[Skilled]:[Skilled]],tblProjectSchedule[[Start]:[Start]],"&lt;="&amp;AXV6,tblProjectSchedule[[Finish]:[Finish]],"&gt;="&amp;AXV6)+SUMIFS(tblProjectSchedule[[Helpers]:[Helpers]],tblProjectSchedule[[Start]:[Start]],"&lt;="&amp;AXV6,tblProjectSchedule[[Finish]:[Finish]],"&gt;="&amp;AXV6))</f>
        <v>0</v>
      </c>
      <c r="AXW4" s="172">
        <f>IF(WEEKDAY(AXW6,12)&gt;=6,0,SUMIFS(tblProjectSchedule[[Skilled]:[Skilled]],tblProjectSchedule[[Start]:[Start]],"&lt;="&amp;AXW6,tblProjectSchedule[[Finish]:[Finish]],"&gt;="&amp;AXW6)+SUMIFS(tblProjectSchedule[[Helpers]:[Helpers]],tblProjectSchedule[[Start]:[Start]],"&lt;="&amp;AXW6,tblProjectSchedule[[Finish]:[Finish]],"&gt;="&amp;AXW6))</f>
        <v>0</v>
      </c>
      <c r="AXX4" s="172">
        <f>IF(WEEKDAY(AXX6,12)&gt;=6,0,SUMIFS(tblProjectSchedule[[Skilled]:[Skilled]],tblProjectSchedule[[Start]:[Start]],"&lt;="&amp;AXX6,tblProjectSchedule[[Finish]:[Finish]],"&gt;="&amp;AXX6)+SUMIFS(tblProjectSchedule[[Helpers]:[Helpers]],tblProjectSchedule[[Start]:[Start]],"&lt;="&amp;AXX6,tblProjectSchedule[[Finish]:[Finish]],"&gt;="&amp;AXX6))</f>
        <v>0</v>
      </c>
      <c r="AXY4" s="172">
        <f>IF(WEEKDAY(AXY6,12)&gt;=6,0,SUMIFS(tblProjectSchedule[[Skilled]:[Skilled]],tblProjectSchedule[[Start]:[Start]],"&lt;="&amp;AXY6,tblProjectSchedule[[Finish]:[Finish]],"&gt;="&amp;AXY6)+SUMIFS(tblProjectSchedule[[Helpers]:[Helpers]],tblProjectSchedule[[Start]:[Start]],"&lt;="&amp;AXY6,tblProjectSchedule[[Finish]:[Finish]],"&gt;="&amp;AXY6))</f>
        <v>0</v>
      </c>
      <c r="AXZ4" s="174">
        <f>IF(WEEKDAY(AXZ6,12)&gt;=6,0,SUMIFS(tblProjectSchedule[[Skilled]:[Skilled]],tblProjectSchedule[[Start]:[Start]],"&lt;="&amp;AXZ6,tblProjectSchedule[[Finish]:[Finish]],"&gt;="&amp;AXZ6)+SUMIFS(tblProjectSchedule[[Helpers]:[Helpers]],tblProjectSchedule[[Start]:[Start]],"&lt;="&amp;AXZ6,tblProjectSchedule[[Finish]:[Finish]],"&gt;="&amp;AXZ6))</f>
        <v>0</v>
      </c>
      <c r="AYA4" s="173">
        <f>IF(WEEKDAY(AYA6,12)&gt;=6,0,SUMIFS(tblProjectSchedule[[Skilled]:[Skilled]],tblProjectSchedule[[Start]:[Start]],"&lt;="&amp;AYA6,tblProjectSchedule[[Finish]:[Finish]],"&gt;="&amp;AYA6)+SUMIFS(tblProjectSchedule[[Helpers]:[Helpers]],tblProjectSchedule[[Start]:[Start]],"&lt;="&amp;AYA6,tblProjectSchedule[[Finish]:[Finish]],"&gt;="&amp;AYA6))</f>
        <v>0</v>
      </c>
      <c r="AYB4" s="172">
        <f>IF(WEEKDAY(AYB6,12)&gt;=6,0,SUMIFS(tblProjectSchedule[[Skilled]:[Skilled]],tblProjectSchedule[[Start]:[Start]],"&lt;="&amp;AYB6,tblProjectSchedule[[Finish]:[Finish]],"&gt;="&amp;AYB6)+SUMIFS(tblProjectSchedule[[Helpers]:[Helpers]],tblProjectSchedule[[Start]:[Start]],"&lt;="&amp;AYB6,tblProjectSchedule[[Finish]:[Finish]],"&gt;="&amp;AYB6))</f>
        <v>0</v>
      </c>
      <c r="AYC4" s="172">
        <f>IF(WEEKDAY(AYC6,12)&gt;=6,0,SUMIFS(tblProjectSchedule[[Skilled]:[Skilled]],tblProjectSchedule[[Start]:[Start]],"&lt;="&amp;AYC6,tblProjectSchedule[[Finish]:[Finish]],"&gt;="&amp;AYC6)+SUMIFS(tblProjectSchedule[[Helpers]:[Helpers]],tblProjectSchedule[[Start]:[Start]],"&lt;="&amp;AYC6,tblProjectSchedule[[Finish]:[Finish]],"&gt;="&amp;AYC6))</f>
        <v>0</v>
      </c>
      <c r="AYD4" s="172">
        <f>IF(WEEKDAY(AYD6,12)&gt;=6,0,SUMIFS(tblProjectSchedule[[Skilled]:[Skilled]],tblProjectSchedule[[Start]:[Start]],"&lt;="&amp;AYD6,tblProjectSchedule[[Finish]:[Finish]],"&gt;="&amp;AYD6)+SUMIFS(tblProjectSchedule[[Helpers]:[Helpers]],tblProjectSchedule[[Start]:[Start]],"&lt;="&amp;AYD6,tblProjectSchedule[[Finish]:[Finish]],"&gt;="&amp;AYD6))</f>
        <v>0</v>
      </c>
      <c r="AYE4" s="172">
        <f>IF(WEEKDAY(AYE6,12)&gt;=6,0,SUMIFS(tblProjectSchedule[[Skilled]:[Skilled]],tblProjectSchedule[[Start]:[Start]],"&lt;="&amp;AYE6,tblProjectSchedule[[Finish]:[Finish]],"&gt;="&amp;AYE6)+SUMIFS(tblProjectSchedule[[Helpers]:[Helpers]],tblProjectSchedule[[Start]:[Start]],"&lt;="&amp;AYE6,tblProjectSchedule[[Finish]:[Finish]],"&gt;="&amp;AYE6))</f>
        <v>0</v>
      </c>
      <c r="AYF4" s="172">
        <f>IF(WEEKDAY(AYF6,12)&gt;=6,0,SUMIFS(tblProjectSchedule[[Skilled]:[Skilled]],tblProjectSchedule[[Start]:[Start]],"&lt;="&amp;AYF6,tblProjectSchedule[[Finish]:[Finish]],"&gt;="&amp;AYF6)+SUMIFS(tblProjectSchedule[[Helpers]:[Helpers]],tblProjectSchedule[[Start]:[Start]],"&lt;="&amp;AYF6,tblProjectSchedule[[Finish]:[Finish]],"&gt;="&amp;AYF6))</f>
        <v>0</v>
      </c>
      <c r="AYG4" s="174">
        <f>IF(WEEKDAY(AYG6,12)&gt;=6,0,SUMIFS(tblProjectSchedule[[Skilled]:[Skilled]],tblProjectSchedule[[Start]:[Start]],"&lt;="&amp;AYG6,tblProjectSchedule[[Finish]:[Finish]],"&gt;="&amp;AYG6)+SUMIFS(tblProjectSchedule[[Helpers]:[Helpers]],tblProjectSchedule[[Start]:[Start]],"&lt;="&amp;AYG6,tblProjectSchedule[[Finish]:[Finish]],"&gt;="&amp;AYG6))</f>
        <v>0</v>
      </c>
      <c r="AYH4" s="173">
        <f>IF(WEEKDAY(AYH6,12)&gt;=6,0,SUMIFS(tblProjectSchedule[[Skilled]:[Skilled]],tblProjectSchedule[[Start]:[Start]],"&lt;="&amp;AYH6,tblProjectSchedule[[Finish]:[Finish]],"&gt;="&amp;AYH6)+SUMIFS(tblProjectSchedule[[Helpers]:[Helpers]],tblProjectSchedule[[Start]:[Start]],"&lt;="&amp;AYH6,tblProjectSchedule[[Finish]:[Finish]],"&gt;="&amp;AYH6))</f>
        <v>0</v>
      </c>
      <c r="AYI4" s="172">
        <f>IF(WEEKDAY(AYI6,12)&gt;=6,0,SUMIFS(tblProjectSchedule[[Skilled]:[Skilled]],tblProjectSchedule[[Start]:[Start]],"&lt;="&amp;AYI6,tblProjectSchedule[[Finish]:[Finish]],"&gt;="&amp;AYI6)+SUMIFS(tblProjectSchedule[[Helpers]:[Helpers]],tblProjectSchedule[[Start]:[Start]],"&lt;="&amp;AYI6,tblProjectSchedule[[Finish]:[Finish]],"&gt;="&amp;AYI6))</f>
        <v>0</v>
      </c>
      <c r="AYJ4" s="172">
        <f>IF(WEEKDAY(AYJ6,12)&gt;=6,0,SUMIFS(tblProjectSchedule[[Skilled]:[Skilled]],tblProjectSchedule[[Start]:[Start]],"&lt;="&amp;AYJ6,tblProjectSchedule[[Finish]:[Finish]],"&gt;="&amp;AYJ6)+SUMIFS(tblProjectSchedule[[Helpers]:[Helpers]],tblProjectSchedule[[Start]:[Start]],"&lt;="&amp;AYJ6,tblProjectSchedule[[Finish]:[Finish]],"&gt;="&amp;AYJ6))</f>
        <v>0</v>
      </c>
      <c r="AYK4" s="172">
        <f>IF(WEEKDAY(AYK6,12)&gt;=6,0,SUMIFS(tblProjectSchedule[[Skilled]:[Skilled]],tblProjectSchedule[[Start]:[Start]],"&lt;="&amp;AYK6,tblProjectSchedule[[Finish]:[Finish]],"&gt;="&amp;AYK6)+SUMIFS(tblProjectSchedule[[Helpers]:[Helpers]],tblProjectSchedule[[Start]:[Start]],"&lt;="&amp;AYK6,tblProjectSchedule[[Finish]:[Finish]],"&gt;="&amp;AYK6))</f>
        <v>0</v>
      </c>
      <c r="AYL4" s="172">
        <f>IF(WEEKDAY(AYL6,12)&gt;=6,0,SUMIFS(tblProjectSchedule[[Skilled]:[Skilled]],tblProjectSchedule[[Start]:[Start]],"&lt;="&amp;AYL6,tblProjectSchedule[[Finish]:[Finish]],"&gt;="&amp;AYL6)+SUMIFS(tblProjectSchedule[[Helpers]:[Helpers]],tblProjectSchedule[[Start]:[Start]],"&lt;="&amp;AYL6,tblProjectSchedule[[Finish]:[Finish]],"&gt;="&amp;AYL6))</f>
        <v>0</v>
      </c>
      <c r="AYM4" s="172">
        <f>IF(WEEKDAY(AYM6,12)&gt;=6,0,SUMIFS(tblProjectSchedule[[Skilled]:[Skilled]],tblProjectSchedule[[Start]:[Start]],"&lt;="&amp;AYM6,tblProjectSchedule[[Finish]:[Finish]],"&gt;="&amp;AYM6)+SUMIFS(tblProjectSchedule[[Helpers]:[Helpers]],tblProjectSchedule[[Start]:[Start]],"&lt;="&amp;AYM6,tblProjectSchedule[[Finish]:[Finish]],"&gt;="&amp;AYM6))</f>
        <v>0</v>
      </c>
      <c r="AYN4" s="174">
        <f>IF(WEEKDAY(AYN6,12)&gt;=6,0,SUMIFS(tblProjectSchedule[[Skilled]:[Skilled]],tblProjectSchedule[[Start]:[Start]],"&lt;="&amp;AYN6,tblProjectSchedule[[Finish]:[Finish]],"&gt;="&amp;AYN6)+SUMIFS(tblProjectSchedule[[Helpers]:[Helpers]],tblProjectSchedule[[Start]:[Start]],"&lt;="&amp;AYN6,tblProjectSchedule[[Finish]:[Finish]],"&gt;="&amp;AYN6))</f>
        <v>0</v>
      </c>
      <c r="AYO4" s="173">
        <f>IF(WEEKDAY(AYO6,12)&gt;=6,0,SUMIFS(tblProjectSchedule[[Skilled]:[Skilled]],tblProjectSchedule[[Start]:[Start]],"&lt;="&amp;AYO6,tblProjectSchedule[[Finish]:[Finish]],"&gt;="&amp;AYO6)+SUMIFS(tblProjectSchedule[[Helpers]:[Helpers]],tblProjectSchedule[[Start]:[Start]],"&lt;="&amp;AYO6,tblProjectSchedule[[Finish]:[Finish]],"&gt;="&amp;AYO6))</f>
        <v>0</v>
      </c>
      <c r="AYP4" s="172">
        <f>IF(WEEKDAY(AYP6,12)&gt;=6,0,SUMIFS(tblProjectSchedule[[Skilled]:[Skilled]],tblProjectSchedule[[Start]:[Start]],"&lt;="&amp;AYP6,tblProjectSchedule[[Finish]:[Finish]],"&gt;="&amp;AYP6)+SUMIFS(tblProjectSchedule[[Helpers]:[Helpers]],tblProjectSchedule[[Start]:[Start]],"&lt;="&amp;AYP6,tblProjectSchedule[[Finish]:[Finish]],"&gt;="&amp;AYP6))</f>
        <v>0</v>
      </c>
      <c r="AYQ4" s="172">
        <f>IF(WEEKDAY(AYQ6,12)&gt;=6,0,SUMIFS(tblProjectSchedule[[Skilled]:[Skilled]],tblProjectSchedule[[Start]:[Start]],"&lt;="&amp;AYQ6,tblProjectSchedule[[Finish]:[Finish]],"&gt;="&amp;AYQ6)+SUMIFS(tblProjectSchedule[[Helpers]:[Helpers]],tblProjectSchedule[[Start]:[Start]],"&lt;="&amp;AYQ6,tblProjectSchedule[[Finish]:[Finish]],"&gt;="&amp;AYQ6))</f>
        <v>0</v>
      </c>
      <c r="AYR4" s="172">
        <f>IF(WEEKDAY(AYR6,12)&gt;=6,0,SUMIFS(tblProjectSchedule[[Skilled]:[Skilled]],tblProjectSchedule[[Start]:[Start]],"&lt;="&amp;AYR6,tblProjectSchedule[[Finish]:[Finish]],"&gt;="&amp;AYR6)+SUMIFS(tblProjectSchedule[[Helpers]:[Helpers]],tblProjectSchedule[[Start]:[Start]],"&lt;="&amp;AYR6,tblProjectSchedule[[Finish]:[Finish]],"&gt;="&amp;AYR6))</f>
        <v>0</v>
      </c>
      <c r="AYS4" s="172">
        <f>IF(WEEKDAY(AYS6,12)&gt;=6,0,SUMIFS(tblProjectSchedule[[Skilled]:[Skilled]],tblProjectSchedule[[Start]:[Start]],"&lt;="&amp;AYS6,tblProjectSchedule[[Finish]:[Finish]],"&gt;="&amp;AYS6)+SUMIFS(tblProjectSchedule[[Helpers]:[Helpers]],tblProjectSchedule[[Start]:[Start]],"&lt;="&amp;AYS6,tblProjectSchedule[[Finish]:[Finish]],"&gt;="&amp;AYS6))</f>
        <v>0</v>
      </c>
      <c r="AYT4" s="172">
        <f>IF(WEEKDAY(AYT6,12)&gt;=6,0,SUMIFS(tblProjectSchedule[[Skilled]:[Skilled]],tblProjectSchedule[[Start]:[Start]],"&lt;="&amp;AYT6,tblProjectSchedule[[Finish]:[Finish]],"&gt;="&amp;AYT6)+SUMIFS(tblProjectSchedule[[Helpers]:[Helpers]],tblProjectSchedule[[Start]:[Start]],"&lt;="&amp;AYT6,tblProjectSchedule[[Finish]:[Finish]],"&gt;="&amp;AYT6))</f>
        <v>0</v>
      </c>
      <c r="AYU4" s="174">
        <f>IF(WEEKDAY(AYU6,12)&gt;=6,0,SUMIFS(tblProjectSchedule[[Skilled]:[Skilled]],tblProjectSchedule[[Start]:[Start]],"&lt;="&amp;AYU6,tblProjectSchedule[[Finish]:[Finish]],"&gt;="&amp;AYU6)+SUMIFS(tblProjectSchedule[[Helpers]:[Helpers]],tblProjectSchedule[[Start]:[Start]],"&lt;="&amp;AYU6,tblProjectSchedule[[Finish]:[Finish]],"&gt;="&amp;AYU6))</f>
        <v>0</v>
      </c>
      <c r="AYV4" s="173">
        <f>IF(WEEKDAY(AYV6,12)&gt;=6,0,SUMIFS(tblProjectSchedule[[Skilled]:[Skilled]],tblProjectSchedule[[Start]:[Start]],"&lt;="&amp;AYV6,tblProjectSchedule[[Finish]:[Finish]],"&gt;="&amp;AYV6)+SUMIFS(tblProjectSchedule[[Helpers]:[Helpers]],tblProjectSchedule[[Start]:[Start]],"&lt;="&amp;AYV6,tblProjectSchedule[[Finish]:[Finish]],"&gt;="&amp;AYV6))</f>
        <v>0</v>
      </c>
      <c r="AYW4" s="172">
        <f>IF(WEEKDAY(AYW6,12)&gt;=6,0,SUMIFS(tblProjectSchedule[[Skilled]:[Skilled]],tblProjectSchedule[[Start]:[Start]],"&lt;="&amp;AYW6,tblProjectSchedule[[Finish]:[Finish]],"&gt;="&amp;AYW6)+SUMIFS(tblProjectSchedule[[Helpers]:[Helpers]],tblProjectSchedule[[Start]:[Start]],"&lt;="&amp;AYW6,tblProjectSchedule[[Finish]:[Finish]],"&gt;="&amp;AYW6))</f>
        <v>0</v>
      </c>
      <c r="AYX4" s="172">
        <f>IF(WEEKDAY(AYX6,12)&gt;=6,0,SUMIFS(tblProjectSchedule[[Skilled]:[Skilled]],tblProjectSchedule[[Start]:[Start]],"&lt;="&amp;AYX6,tblProjectSchedule[[Finish]:[Finish]],"&gt;="&amp;AYX6)+SUMIFS(tblProjectSchedule[[Helpers]:[Helpers]],tblProjectSchedule[[Start]:[Start]],"&lt;="&amp;AYX6,tblProjectSchedule[[Finish]:[Finish]],"&gt;="&amp;AYX6))</f>
        <v>0</v>
      </c>
      <c r="AYY4" s="172">
        <f>IF(WEEKDAY(AYY6,12)&gt;=6,0,SUMIFS(tblProjectSchedule[[Skilled]:[Skilled]],tblProjectSchedule[[Start]:[Start]],"&lt;="&amp;AYY6,tblProjectSchedule[[Finish]:[Finish]],"&gt;="&amp;AYY6)+SUMIFS(tblProjectSchedule[[Helpers]:[Helpers]],tblProjectSchedule[[Start]:[Start]],"&lt;="&amp;AYY6,tblProjectSchedule[[Finish]:[Finish]],"&gt;="&amp;AYY6))</f>
        <v>0</v>
      </c>
      <c r="AYZ4" s="172">
        <f>IF(WEEKDAY(AYZ6,12)&gt;=6,0,SUMIFS(tblProjectSchedule[[Skilled]:[Skilled]],tblProjectSchedule[[Start]:[Start]],"&lt;="&amp;AYZ6,tblProjectSchedule[[Finish]:[Finish]],"&gt;="&amp;AYZ6)+SUMIFS(tblProjectSchedule[[Helpers]:[Helpers]],tblProjectSchedule[[Start]:[Start]],"&lt;="&amp;AYZ6,tblProjectSchedule[[Finish]:[Finish]],"&gt;="&amp;AYZ6))</f>
        <v>0</v>
      </c>
      <c r="AZA4" s="172">
        <f>IF(WEEKDAY(AZA6,12)&gt;=6,0,SUMIFS(tblProjectSchedule[[Skilled]:[Skilled]],tblProjectSchedule[[Start]:[Start]],"&lt;="&amp;AZA6,tblProjectSchedule[[Finish]:[Finish]],"&gt;="&amp;AZA6)+SUMIFS(tblProjectSchedule[[Helpers]:[Helpers]],tblProjectSchedule[[Start]:[Start]],"&lt;="&amp;AZA6,tblProjectSchedule[[Finish]:[Finish]],"&gt;="&amp;AZA6))</f>
        <v>0</v>
      </c>
      <c r="AZB4" s="174">
        <f>IF(WEEKDAY(AZB6,12)&gt;=6,0,SUMIFS(tblProjectSchedule[[Skilled]:[Skilled]],tblProjectSchedule[[Start]:[Start]],"&lt;="&amp;AZB6,tblProjectSchedule[[Finish]:[Finish]],"&gt;="&amp;AZB6)+SUMIFS(tblProjectSchedule[[Helpers]:[Helpers]],tblProjectSchedule[[Start]:[Start]],"&lt;="&amp;AZB6,tblProjectSchedule[[Finish]:[Finish]],"&gt;="&amp;AZB6))</f>
        <v>0</v>
      </c>
      <c r="AZC4" s="173">
        <f>IF(WEEKDAY(AZC6,12)&gt;=6,0,SUMIFS(tblProjectSchedule[[Skilled]:[Skilled]],tblProjectSchedule[[Start]:[Start]],"&lt;="&amp;AZC6,tblProjectSchedule[[Finish]:[Finish]],"&gt;="&amp;AZC6)+SUMIFS(tblProjectSchedule[[Helpers]:[Helpers]],tblProjectSchedule[[Start]:[Start]],"&lt;="&amp;AZC6,tblProjectSchedule[[Finish]:[Finish]],"&gt;="&amp;AZC6))</f>
        <v>0</v>
      </c>
      <c r="AZD4" s="172">
        <f>IF(WEEKDAY(AZD6,12)&gt;=6,0,SUMIFS(tblProjectSchedule[[Skilled]:[Skilled]],tblProjectSchedule[[Start]:[Start]],"&lt;="&amp;AZD6,tblProjectSchedule[[Finish]:[Finish]],"&gt;="&amp;AZD6)+SUMIFS(tblProjectSchedule[[Helpers]:[Helpers]],tblProjectSchedule[[Start]:[Start]],"&lt;="&amp;AZD6,tblProjectSchedule[[Finish]:[Finish]],"&gt;="&amp;AZD6))</f>
        <v>0</v>
      </c>
      <c r="AZE4" s="172">
        <f>IF(WEEKDAY(AZE6,12)&gt;=6,0,SUMIFS(tblProjectSchedule[[Skilled]:[Skilled]],tblProjectSchedule[[Start]:[Start]],"&lt;="&amp;AZE6,tblProjectSchedule[[Finish]:[Finish]],"&gt;="&amp;AZE6)+SUMIFS(tblProjectSchedule[[Helpers]:[Helpers]],tblProjectSchedule[[Start]:[Start]],"&lt;="&amp;AZE6,tblProjectSchedule[[Finish]:[Finish]],"&gt;="&amp;AZE6))</f>
        <v>0</v>
      </c>
      <c r="AZF4" s="172">
        <f>IF(WEEKDAY(AZF6,12)&gt;=6,0,SUMIFS(tblProjectSchedule[[Skilled]:[Skilled]],tblProjectSchedule[[Start]:[Start]],"&lt;="&amp;AZF6,tblProjectSchedule[[Finish]:[Finish]],"&gt;="&amp;AZF6)+SUMIFS(tblProjectSchedule[[Helpers]:[Helpers]],tblProjectSchedule[[Start]:[Start]],"&lt;="&amp;AZF6,tblProjectSchedule[[Finish]:[Finish]],"&gt;="&amp;AZF6))</f>
        <v>0</v>
      </c>
      <c r="AZG4" s="172">
        <f>IF(WEEKDAY(AZG6,12)&gt;=6,0,SUMIFS(tblProjectSchedule[[Skilled]:[Skilled]],tblProjectSchedule[[Start]:[Start]],"&lt;="&amp;AZG6,tblProjectSchedule[[Finish]:[Finish]],"&gt;="&amp;AZG6)+SUMIFS(tblProjectSchedule[[Helpers]:[Helpers]],tblProjectSchedule[[Start]:[Start]],"&lt;="&amp;AZG6,tblProjectSchedule[[Finish]:[Finish]],"&gt;="&amp;AZG6))</f>
        <v>0</v>
      </c>
      <c r="AZH4" s="172">
        <f>IF(WEEKDAY(AZH6,12)&gt;=6,0,SUMIFS(tblProjectSchedule[[Skilled]:[Skilled]],tblProjectSchedule[[Start]:[Start]],"&lt;="&amp;AZH6,tblProjectSchedule[[Finish]:[Finish]],"&gt;="&amp;AZH6)+SUMIFS(tblProjectSchedule[[Helpers]:[Helpers]],tblProjectSchedule[[Start]:[Start]],"&lt;="&amp;AZH6,tblProjectSchedule[[Finish]:[Finish]],"&gt;="&amp;AZH6))</f>
        <v>0</v>
      </c>
      <c r="AZI4" s="174">
        <f>IF(WEEKDAY(AZI6,12)&gt;=6,0,SUMIFS(tblProjectSchedule[[Skilled]:[Skilled]],tblProjectSchedule[[Start]:[Start]],"&lt;="&amp;AZI6,tblProjectSchedule[[Finish]:[Finish]],"&gt;="&amp;AZI6)+SUMIFS(tblProjectSchedule[[Helpers]:[Helpers]],tblProjectSchedule[[Start]:[Start]],"&lt;="&amp;AZI6,tblProjectSchedule[[Finish]:[Finish]],"&gt;="&amp;AZI6))</f>
        <v>0</v>
      </c>
      <c r="AZJ4" s="173">
        <f>IF(WEEKDAY(AZJ6,12)&gt;=6,0,SUMIFS(tblProjectSchedule[[Skilled]:[Skilled]],tblProjectSchedule[[Start]:[Start]],"&lt;="&amp;AZJ6,tblProjectSchedule[[Finish]:[Finish]],"&gt;="&amp;AZJ6)+SUMIFS(tblProjectSchedule[[Helpers]:[Helpers]],tblProjectSchedule[[Start]:[Start]],"&lt;="&amp;AZJ6,tblProjectSchedule[[Finish]:[Finish]],"&gt;="&amp;AZJ6))</f>
        <v>0</v>
      </c>
      <c r="AZK4" s="172">
        <f>IF(WEEKDAY(AZK6,12)&gt;=6,0,SUMIFS(tblProjectSchedule[[Skilled]:[Skilled]],tblProjectSchedule[[Start]:[Start]],"&lt;="&amp;AZK6,tblProjectSchedule[[Finish]:[Finish]],"&gt;="&amp;AZK6)+SUMIFS(tblProjectSchedule[[Helpers]:[Helpers]],tblProjectSchedule[[Start]:[Start]],"&lt;="&amp;AZK6,tblProjectSchedule[[Finish]:[Finish]],"&gt;="&amp;AZK6))</f>
        <v>0</v>
      </c>
      <c r="AZL4" s="172">
        <f>IF(WEEKDAY(AZL6,12)&gt;=6,0,SUMIFS(tblProjectSchedule[[Skilled]:[Skilled]],tblProjectSchedule[[Start]:[Start]],"&lt;="&amp;AZL6,tblProjectSchedule[[Finish]:[Finish]],"&gt;="&amp;AZL6)+SUMIFS(tblProjectSchedule[[Helpers]:[Helpers]],tblProjectSchedule[[Start]:[Start]],"&lt;="&amp;AZL6,tblProjectSchedule[[Finish]:[Finish]],"&gt;="&amp;AZL6))</f>
        <v>0</v>
      </c>
      <c r="AZM4" s="172">
        <f>IF(WEEKDAY(AZM6,12)&gt;=6,0,SUMIFS(tblProjectSchedule[[Skilled]:[Skilled]],tblProjectSchedule[[Start]:[Start]],"&lt;="&amp;AZM6,tblProjectSchedule[[Finish]:[Finish]],"&gt;="&amp;AZM6)+SUMIFS(tblProjectSchedule[[Helpers]:[Helpers]],tblProjectSchedule[[Start]:[Start]],"&lt;="&amp;AZM6,tblProjectSchedule[[Finish]:[Finish]],"&gt;="&amp;AZM6))</f>
        <v>0</v>
      </c>
      <c r="AZN4" s="172">
        <f>IF(WEEKDAY(AZN6,12)&gt;=6,0,SUMIFS(tblProjectSchedule[[Skilled]:[Skilled]],tblProjectSchedule[[Start]:[Start]],"&lt;="&amp;AZN6,tblProjectSchedule[[Finish]:[Finish]],"&gt;="&amp;AZN6)+SUMIFS(tblProjectSchedule[[Helpers]:[Helpers]],tblProjectSchedule[[Start]:[Start]],"&lt;="&amp;AZN6,tblProjectSchedule[[Finish]:[Finish]],"&gt;="&amp;AZN6))</f>
        <v>0</v>
      </c>
      <c r="AZO4" s="172">
        <f>IF(WEEKDAY(AZO6,12)&gt;=6,0,SUMIFS(tblProjectSchedule[[Skilled]:[Skilled]],tblProjectSchedule[[Start]:[Start]],"&lt;="&amp;AZO6,tblProjectSchedule[[Finish]:[Finish]],"&gt;="&amp;AZO6)+SUMIFS(tblProjectSchedule[[Helpers]:[Helpers]],tblProjectSchedule[[Start]:[Start]],"&lt;="&amp;AZO6,tblProjectSchedule[[Finish]:[Finish]],"&gt;="&amp;AZO6))</f>
        <v>0</v>
      </c>
      <c r="AZP4" s="174">
        <f>IF(WEEKDAY(AZP6,12)&gt;=6,0,SUMIFS(tblProjectSchedule[[Skilled]:[Skilled]],tblProjectSchedule[[Start]:[Start]],"&lt;="&amp;AZP6,tblProjectSchedule[[Finish]:[Finish]],"&gt;="&amp;AZP6)+SUMIFS(tblProjectSchedule[[Helpers]:[Helpers]],tblProjectSchedule[[Start]:[Start]],"&lt;="&amp;AZP6,tblProjectSchedule[[Finish]:[Finish]],"&gt;="&amp;AZP6))</f>
        <v>0</v>
      </c>
      <c r="AZQ4" s="173">
        <f>IF(WEEKDAY(AZQ6,12)&gt;=6,0,SUMIFS(tblProjectSchedule[[Skilled]:[Skilled]],tblProjectSchedule[[Start]:[Start]],"&lt;="&amp;AZQ6,tblProjectSchedule[[Finish]:[Finish]],"&gt;="&amp;AZQ6)+SUMIFS(tblProjectSchedule[[Helpers]:[Helpers]],tblProjectSchedule[[Start]:[Start]],"&lt;="&amp;AZQ6,tblProjectSchedule[[Finish]:[Finish]],"&gt;="&amp;AZQ6))</f>
        <v>0</v>
      </c>
      <c r="AZR4" s="172">
        <f>IF(WEEKDAY(AZR6,12)&gt;=6,0,SUMIFS(tblProjectSchedule[[Skilled]:[Skilled]],tblProjectSchedule[[Start]:[Start]],"&lt;="&amp;AZR6,tblProjectSchedule[[Finish]:[Finish]],"&gt;="&amp;AZR6)+SUMIFS(tblProjectSchedule[[Helpers]:[Helpers]],tblProjectSchedule[[Start]:[Start]],"&lt;="&amp;AZR6,tblProjectSchedule[[Finish]:[Finish]],"&gt;="&amp;AZR6))</f>
        <v>0</v>
      </c>
      <c r="AZS4" s="172">
        <f>IF(WEEKDAY(AZS6,12)&gt;=6,0,SUMIFS(tblProjectSchedule[[Skilled]:[Skilled]],tblProjectSchedule[[Start]:[Start]],"&lt;="&amp;AZS6,tblProjectSchedule[[Finish]:[Finish]],"&gt;="&amp;AZS6)+SUMIFS(tblProjectSchedule[[Helpers]:[Helpers]],tblProjectSchedule[[Start]:[Start]],"&lt;="&amp;AZS6,tblProjectSchedule[[Finish]:[Finish]],"&gt;="&amp;AZS6))</f>
        <v>0</v>
      </c>
      <c r="AZT4" s="172">
        <f>IF(WEEKDAY(AZT6,12)&gt;=6,0,SUMIFS(tblProjectSchedule[[Skilled]:[Skilled]],tblProjectSchedule[[Start]:[Start]],"&lt;="&amp;AZT6,tblProjectSchedule[[Finish]:[Finish]],"&gt;="&amp;AZT6)+SUMIFS(tblProjectSchedule[[Helpers]:[Helpers]],tblProjectSchedule[[Start]:[Start]],"&lt;="&amp;AZT6,tblProjectSchedule[[Finish]:[Finish]],"&gt;="&amp;AZT6))</f>
        <v>0</v>
      </c>
      <c r="AZU4" s="172">
        <f>IF(WEEKDAY(AZU6,12)&gt;=6,0,SUMIFS(tblProjectSchedule[[Skilled]:[Skilled]],tblProjectSchedule[[Start]:[Start]],"&lt;="&amp;AZU6,tblProjectSchedule[[Finish]:[Finish]],"&gt;="&amp;AZU6)+SUMIFS(tblProjectSchedule[[Helpers]:[Helpers]],tblProjectSchedule[[Start]:[Start]],"&lt;="&amp;AZU6,tblProjectSchedule[[Finish]:[Finish]],"&gt;="&amp;AZU6))</f>
        <v>0</v>
      </c>
      <c r="AZV4" s="172">
        <f>IF(WEEKDAY(AZV6,12)&gt;=6,0,SUMIFS(tblProjectSchedule[[Skilled]:[Skilled]],tblProjectSchedule[[Start]:[Start]],"&lt;="&amp;AZV6,tblProjectSchedule[[Finish]:[Finish]],"&gt;="&amp;AZV6)+SUMIFS(tblProjectSchedule[[Helpers]:[Helpers]],tblProjectSchedule[[Start]:[Start]],"&lt;="&amp;AZV6,tblProjectSchedule[[Finish]:[Finish]],"&gt;="&amp;AZV6))</f>
        <v>0</v>
      </c>
      <c r="AZW4" s="174">
        <f>IF(WEEKDAY(AZW6,12)&gt;=6,0,SUMIFS(tblProjectSchedule[[Skilled]:[Skilled]],tblProjectSchedule[[Start]:[Start]],"&lt;="&amp;AZW6,tblProjectSchedule[[Finish]:[Finish]],"&gt;="&amp;AZW6)+SUMIFS(tblProjectSchedule[[Helpers]:[Helpers]],tblProjectSchedule[[Start]:[Start]],"&lt;="&amp;AZW6,tblProjectSchedule[[Finish]:[Finish]],"&gt;="&amp;AZW6))</f>
        <v>0</v>
      </c>
      <c r="AZX4" s="173">
        <f>IF(WEEKDAY(AZX6,12)&gt;=6,0,SUMIFS(tblProjectSchedule[[Skilled]:[Skilled]],tblProjectSchedule[[Start]:[Start]],"&lt;="&amp;AZX6,tblProjectSchedule[[Finish]:[Finish]],"&gt;="&amp;AZX6)+SUMIFS(tblProjectSchedule[[Helpers]:[Helpers]],tblProjectSchedule[[Start]:[Start]],"&lt;="&amp;AZX6,tblProjectSchedule[[Finish]:[Finish]],"&gt;="&amp;AZX6))</f>
        <v>0</v>
      </c>
      <c r="AZY4" s="172">
        <f>IF(WEEKDAY(AZY6,12)&gt;=6,0,SUMIFS(tblProjectSchedule[[Skilled]:[Skilled]],tblProjectSchedule[[Start]:[Start]],"&lt;="&amp;AZY6,tblProjectSchedule[[Finish]:[Finish]],"&gt;="&amp;AZY6)+SUMIFS(tblProjectSchedule[[Helpers]:[Helpers]],tblProjectSchedule[[Start]:[Start]],"&lt;="&amp;AZY6,tblProjectSchedule[[Finish]:[Finish]],"&gt;="&amp;AZY6))</f>
        <v>0</v>
      </c>
      <c r="AZZ4" s="172">
        <f>IF(WEEKDAY(AZZ6,12)&gt;=6,0,SUMIFS(tblProjectSchedule[[Skilled]:[Skilled]],tblProjectSchedule[[Start]:[Start]],"&lt;="&amp;AZZ6,tblProjectSchedule[[Finish]:[Finish]],"&gt;="&amp;AZZ6)+SUMIFS(tblProjectSchedule[[Helpers]:[Helpers]],tblProjectSchedule[[Start]:[Start]],"&lt;="&amp;AZZ6,tblProjectSchedule[[Finish]:[Finish]],"&gt;="&amp;AZZ6))</f>
        <v>0</v>
      </c>
      <c r="BAA4" s="172">
        <f>IF(WEEKDAY(BAA6,12)&gt;=6,0,SUMIFS(tblProjectSchedule[[Skilled]:[Skilled]],tblProjectSchedule[[Start]:[Start]],"&lt;="&amp;BAA6,tblProjectSchedule[[Finish]:[Finish]],"&gt;="&amp;BAA6)+SUMIFS(tblProjectSchedule[[Helpers]:[Helpers]],tblProjectSchedule[[Start]:[Start]],"&lt;="&amp;BAA6,tblProjectSchedule[[Finish]:[Finish]],"&gt;="&amp;BAA6))</f>
        <v>0</v>
      </c>
      <c r="BAB4" s="172">
        <f>IF(WEEKDAY(BAB6,12)&gt;=6,0,SUMIFS(tblProjectSchedule[[Skilled]:[Skilled]],tblProjectSchedule[[Start]:[Start]],"&lt;="&amp;BAB6,tblProjectSchedule[[Finish]:[Finish]],"&gt;="&amp;BAB6)+SUMIFS(tblProjectSchedule[[Helpers]:[Helpers]],tblProjectSchedule[[Start]:[Start]],"&lt;="&amp;BAB6,tblProjectSchedule[[Finish]:[Finish]],"&gt;="&amp;BAB6))</f>
        <v>0</v>
      </c>
      <c r="BAC4" s="172">
        <f>IF(WEEKDAY(BAC6,12)&gt;=6,0,SUMIFS(tblProjectSchedule[[Skilled]:[Skilled]],tblProjectSchedule[[Start]:[Start]],"&lt;="&amp;BAC6,tblProjectSchedule[[Finish]:[Finish]],"&gt;="&amp;BAC6)+SUMIFS(tblProjectSchedule[[Helpers]:[Helpers]],tblProjectSchedule[[Start]:[Start]],"&lt;="&amp;BAC6,tblProjectSchedule[[Finish]:[Finish]],"&gt;="&amp;BAC6))</f>
        <v>0</v>
      </c>
      <c r="BAD4" s="174">
        <f>IF(WEEKDAY(BAD6,12)&gt;=6,0,SUMIFS(tblProjectSchedule[[Skilled]:[Skilled]],tblProjectSchedule[[Start]:[Start]],"&lt;="&amp;BAD6,tblProjectSchedule[[Finish]:[Finish]],"&gt;="&amp;BAD6)+SUMIFS(tblProjectSchedule[[Helpers]:[Helpers]],tblProjectSchedule[[Start]:[Start]],"&lt;="&amp;BAD6,tblProjectSchedule[[Finish]:[Finish]],"&gt;="&amp;BAD6))</f>
        <v>0</v>
      </c>
      <c r="BAE4" s="173">
        <f>IF(WEEKDAY(BAE6,12)&gt;=6,0,SUMIFS(tblProjectSchedule[[Skilled]:[Skilled]],tblProjectSchedule[[Start]:[Start]],"&lt;="&amp;BAE6,tblProjectSchedule[[Finish]:[Finish]],"&gt;="&amp;BAE6)+SUMIFS(tblProjectSchedule[[Helpers]:[Helpers]],tblProjectSchedule[[Start]:[Start]],"&lt;="&amp;BAE6,tblProjectSchedule[[Finish]:[Finish]],"&gt;="&amp;BAE6))</f>
        <v>0</v>
      </c>
      <c r="BAF4" s="172">
        <f>IF(WEEKDAY(BAF6,12)&gt;=6,0,SUMIFS(tblProjectSchedule[[Skilled]:[Skilled]],tblProjectSchedule[[Start]:[Start]],"&lt;="&amp;BAF6,tblProjectSchedule[[Finish]:[Finish]],"&gt;="&amp;BAF6)+SUMIFS(tblProjectSchedule[[Helpers]:[Helpers]],tblProjectSchedule[[Start]:[Start]],"&lt;="&amp;BAF6,tblProjectSchedule[[Finish]:[Finish]],"&gt;="&amp;BAF6))</f>
        <v>0</v>
      </c>
      <c r="BAG4" s="172">
        <f>IF(WEEKDAY(BAG6,12)&gt;=6,0,SUMIFS(tblProjectSchedule[[Skilled]:[Skilled]],tblProjectSchedule[[Start]:[Start]],"&lt;="&amp;BAG6,tblProjectSchedule[[Finish]:[Finish]],"&gt;="&amp;BAG6)+SUMIFS(tblProjectSchedule[[Helpers]:[Helpers]],tblProjectSchedule[[Start]:[Start]],"&lt;="&amp;BAG6,tblProjectSchedule[[Finish]:[Finish]],"&gt;="&amp;BAG6))</f>
        <v>0</v>
      </c>
      <c r="BAH4" s="172">
        <f>IF(WEEKDAY(BAH6,12)&gt;=6,0,SUMIFS(tblProjectSchedule[[Skilled]:[Skilled]],tblProjectSchedule[[Start]:[Start]],"&lt;="&amp;BAH6,tblProjectSchedule[[Finish]:[Finish]],"&gt;="&amp;BAH6)+SUMIFS(tblProjectSchedule[[Helpers]:[Helpers]],tblProjectSchedule[[Start]:[Start]],"&lt;="&amp;BAH6,tblProjectSchedule[[Finish]:[Finish]],"&gt;="&amp;BAH6))</f>
        <v>0</v>
      </c>
      <c r="BAI4" s="172">
        <f>IF(WEEKDAY(BAI6,12)&gt;=6,0,SUMIFS(tblProjectSchedule[[Skilled]:[Skilled]],tblProjectSchedule[[Start]:[Start]],"&lt;="&amp;BAI6,tblProjectSchedule[[Finish]:[Finish]],"&gt;="&amp;BAI6)+SUMIFS(tblProjectSchedule[[Helpers]:[Helpers]],tblProjectSchedule[[Start]:[Start]],"&lt;="&amp;BAI6,tblProjectSchedule[[Finish]:[Finish]],"&gt;="&amp;BAI6))</f>
        <v>0</v>
      </c>
      <c r="BAJ4" s="172">
        <f>IF(WEEKDAY(BAJ6,12)&gt;=6,0,SUMIFS(tblProjectSchedule[[Skilled]:[Skilled]],tblProjectSchedule[[Start]:[Start]],"&lt;="&amp;BAJ6,tblProjectSchedule[[Finish]:[Finish]],"&gt;="&amp;BAJ6)+SUMIFS(tblProjectSchedule[[Helpers]:[Helpers]],tblProjectSchedule[[Start]:[Start]],"&lt;="&amp;BAJ6,tblProjectSchedule[[Finish]:[Finish]],"&gt;="&amp;BAJ6))</f>
        <v>0</v>
      </c>
      <c r="BAK4" s="174">
        <f>IF(WEEKDAY(BAK6,12)&gt;=6,0,SUMIFS(tblProjectSchedule[[Skilled]:[Skilled]],tblProjectSchedule[[Start]:[Start]],"&lt;="&amp;BAK6,tblProjectSchedule[[Finish]:[Finish]],"&gt;="&amp;BAK6)+SUMIFS(tblProjectSchedule[[Helpers]:[Helpers]],tblProjectSchedule[[Start]:[Start]],"&lt;="&amp;BAK6,tblProjectSchedule[[Finish]:[Finish]],"&gt;="&amp;BAK6))</f>
        <v>0</v>
      </c>
      <c r="BAL4" s="173">
        <f>IF(WEEKDAY(BAL6,12)&gt;=6,0,SUMIFS(tblProjectSchedule[[Skilled]:[Skilled]],tblProjectSchedule[[Start]:[Start]],"&lt;="&amp;BAL6,tblProjectSchedule[[Finish]:[Finish]],"&gt;="&amp;BAL6)+SUMIFS(tblProjectSchedule[[Helpers]:[Helpers]],tblProjectSchedule[[Start]:[Start]],"&lt;="&amp;BAL6,tblProjectSchedule[[Finish]:[Finish]],"&gt;="&amp;BAL6))</f>
        <v>0</v>
      </c>
      <c r="BAM4" s="172">
        <f>IF(WEEKDAY(BAM6,12)&gt;=6,0,SUMIFS(tblProjectSchedule[[Skilled]:[Skilled]],tblProjectSchedule[[Start]:[Start]],"&lt;="&amp;BAM6,tblProjectSchedule[[Finish]:[Finish]],"&gt;="&amp;BAM6)+SUMIFS(tblProjectSchedule[[Helpers]:[Helpers]],tblProjectSchedule[[Start]:[Start]],"&lt;="&amp;BAM6,tblProjectSchedule[[Finish]:[Finish]],"&gt;="&amp;BAM6))</f>
        <v>0</v>
      </c>
      <c r="BAN4" s="172">
        <f>IF(WEEKDAY(BAN6,12)&gt;=6,0,SUMIFS(tblProjectSchedule[[Skilled]:[Skilled]],tblProjectSchedule[[Start]:[Start]],"&lt;="&amp;BAN6,tblProjectSchedule[[Finish]:[Finish]],"&gt;="&amp;BAN6)+SUMIFS(tblProjectSchedule[[Helpers]:[Helpers]],tblProjectSchedule[[Start]:[Start]],"&lt;="&amp;BAN6,tblProjectSchedule[[Finish]:[Finish]],"&gt;="&amp;BAN6))</f>
        <v>0</v>
      </c>
      <c r="BAO4" s="172">
        <f>IF(WEEKDAY(BAO6,12)&gt;=6,0,SUMIFS(tblProjectSchedule[[Skilled]:[Skilled]],tblProjectSchedule[[Start]:[Start]],"&lt;="&amp;BAO6,tblProjectSchedule[[Finish]:[Finish]],"&gt;="&amp;BAO6)+SUMIFS(tblProjectSchedule[[Helpers]:[Helpers]],tblProjectSchedule[[Start]:[Start]],"&lt;="&amp;BAO6,tblProjectSchedule[[Finish]:[Finish]],"&gt;="&amp;BAO6))</f>
        <v>0</v>
      </c>
      <c r="BAP4" s="172">
        <f>IF(WEEKDAY(BAP6,12)&gt;=6,0,SUMIFS(tblProjectSchedule[[Skilled]:[Skilled]],tblProjectSchedule[[Start]:[Start]],"&lt;="&amp;BAP6,tblProjectSchedule[[Finish]:[Finish]],"&gt;="&amp;BAP6)+SUMIFS(tblProjectSchedule[[Helpers]:[Helpers]],tblProjectSchedule[[Start]:[Start]],"&lt;="&amp;BAP6,tblProjectSchedule[[Finish]:[Finish]],"&gt;="&amp;BAP6))</f>
        <v>0</v>
      </c>
      <c r="BAQ4" s="172">
        <f>IF(WEEKDAY(BAQ6,12)&gt;=6,0,SUMIFS(tblProjectSchedule[[Skilled]:[Skilled]],tblProjectSchedule[[Start]:[Start]],"&lt;="&amp;BAQ6,tblProjectSchedule[[Finish]:[Finish]],"&gt;="&amp;BAQ6)+SUMIFS(tblProjectSchedule[[Helpers]:[Helpers]],tblProjectSchedule[[Start]:[Start]],"&lt;="&amp;BAQ6,tblProjectSchedule[[Finish]:[Finish]],"&gt;="&amp;BAQ6))</f>
        <v>0</v>
      </c>
      <c r="BAR4" s="174">
        <f>IF(WEEKDAY(BAR6,12)&gt;=6,0,SUMIFS(tblProjectSchedule[[Skilled]:[Skilled]],tblProjectSchedule[[Start]:[Start]],"&lt;="&amp;BAR6,tblProjectSchedule[[Finish]:[Finish]],"&gt;="&amp;BAR6)+SUMIFS(tblProjectSchedule[[Helpers]:[Helpers]],tblProjectSchedule[[Start]:[Start]],"&lt;="&amp;BAR6,tblProjectSchedule[[Finish]:[Finish]],"&gt;="&amp;BAR6))</f>
        <v>0</v>
      </c>
      <c r="BAS4" s="173">
        <f>IF(WEEKDAY(BAS6,12)&gt;=6,0,SUMIFS(tblProjectSchedule[[Skilled]:[Skilled]],tblProjectSchedule[[Start]:[Start]],"&lt;="&amp;BAS6,tblProjectSchedule[[Finish]:[Finish]],"&gt;="&amp;BAS6)+SUMIFS(tblProjectSchedule[[Helpers]:[Helpers]],tblProjectSchedule[[Start]:[Start]],"&lt;="&amp;BAS6,tblProjectSchedule[[Finish]:[Finish]],"&gt;="&amp;BAS6))</f>
        <v>0</v>
      </c>
      <c r="BAT4" s="172">
        <f>IF(WEEKDAY(BAT6,12)&gt;=6,0,SUMIFS(tblProjectSchedule[[Skilled]:[Skilled]],tblProjectSchedule[[Start]:[Start]],"&lt;="&amp;BAT6,tblProjectSchedule[[Finish]:[Finish]],"&gt;="&amp;BAT6)+SUMIFS(tblProjectSchedule[[Helpers]:[Helpers]],tblProjectSchedule[[Start]:[Start]],"&lt;="&amp;BAT6,tblProjectSchedule[[Finish]:[Finish]],"&gt;="&amp;BAT6))</f>
        <v>0</v>
      </c>
      <c r="BAU4" s="172">
        <f>IF(WEEKDAY(BAU6,12)&gt;=6,0,SUMIFS(tblProjectSchedule[[Skilled]:[Skilled]],tblProjectSchedule[[Start]:[Start]],"&lt;="&amp;BAU6,tblProjectSchedule[[Finish]:[Finish]],"&gt;="&amp;BAU6)+SUMIFS(tblProjectSchedule[[Helpers]:[Helpers]],tblProjectSchedule[[Start]:[Start]],"&lt;="&amp;BAU6,tblProjectSchedule[[Finish]:[Finish]],"&gt;="&amp;BAU6))</f>
        <v>0</v>
      </c>
      <c r="BAV4" s="172">
        <f>IF(WEEKDAY(BAV6,12)&gt;=6,0,SUMIFS(tblProjectSchedule[[Skilled]:[Skilled]],tblProjectSchedule[[Start]:[Start]],"&lt;="&amp;BAV6,tblProjectSchedule[[Finish]:[Finish]],"&gt;="&amp;BAV6)+SUMIFS(tblProjectSchedule[[Helpers]:[Helpers]],tblProjectSchedule[[Start]:[Start]],"&lt;="&amp;BAV6,tblProjectSchedule[[Finish]:[Finish]],"&gt;="&amp;BAV6))</f>
        <v>0</v>
      </c>
      <c r="BAW4" s="172">
        <f>IF(WEEKDAY(BAW6,12)&gt;=6,0,SUMIFS(tblProjectSchedule[[Skilled]:[Skilled]],tblProjectSchedule[[Start]:[Start]],"&lt;="&amp;BAW6,tblProjectSchedule[[Finish]:[Finish]],"&gt;="&amp;BAW6)+SUMIFS(tblProjectSchedule[[Helpers]:[Helpers]],tblProjectSchedule[[Start]:[Start]],"&lt;="&amp;BAW6,tblProjectSchedule[[Finish]:[Finish]],"&gt;="&amp;BAW6))</f>
        <v>0</v>
      </c>
      <c r="BAX4" s="172">
        <f>IF(WEEKDAY(BAX6,12)&gt;=6,0,SUMIFS(tblProjectSchedule[[Skilled]:[Skilled]],tblProjectSchedule[[Start]:[Start]],"&lt;="&amp;BAX6,tblProjectSchedule[[Finish]:[Finish]],"&gt;="&amp;BAX6)+SUMIFS(tblProjectSchedule[[Helpers]:[Helpers]],tblProjectSchedule[[Start]:[Start]],"&lt;="&amp;BAX6,tblProjectSchedule[[Finish]:[Finish]],"&gt;="&amp;BAX6))</f>
        <v>0</v>
      </c>
      <c r="BAY4" s="174">
        <f>IF(WEEKDAY(BAY6,12)&gt;=6,0,SUMIFS(tblProjectSchedule[[Skilled]:[Skilled]],tblProjectSchedule[[Start]:[Start]],"&lt;="&amp;BAY6,tblProjectSchedule[[Finish]:[Finish]],"&gt;="&amp;BAY6)+SUMIFS(tblProjectSchedule[[Helpers]:[Helpers]],tblProjectSchedule[[Start]:[Start]],"&lt;="&amp;BAY6,tblProjectSchedule[[Finish]:[Finish]],"&gt;="&amp;BAY6))</f>
        <v>0</v>
      </c>
      <c r="BAZ4" s="173">
        <f>IF(WEEKDAY(BAZ6,12)&gt;=6,0,SUMIFS(tblProjectSchedule[[Skilled]:[Skilled]],tblProjectSchedule[[Start]:[Start]],"&lt;="&amp;BAZ6,tblProjectSchedule[[Finish]:[Finish]],"&gt;="&amp;BAZ6)+SUMIFS(tblProjectSchedule[[Helpers]:[Helpers]],tblProjectSchedule[[Start]:[Start]],"&lt;="&amp;BAZ6,tblProjectSchedule[[Finish]:[Finish]],"&gt;="&amp;BAZ6))</f>
        <v>0</v>
      </c>
      <c r="BBA4" s="172">
        <f>IF(WEEKDAY(BBA6,12)&gt;=6,0,SUMIFS(tblProjectSchedule[[Skilled]:[Skilled]],tblProjectSchedule[[Start]:[Start]],"&lt;="&amp;BBA6,tblProjectSchedule[[Finish]:[Finish]],"&gt;="&amp;BBA6)+SUMIFS(tblProjectSchedule[[Helpers]:[Helpers]],tblProjectSchedule[[Start]:[Start]],"&lt;="&amp;BBA6,tblProjectSchedule[[Finish]:[Finish]],"&gt;="&amp;BBA6))</f>
        <v>0</v>
      </c>
      <c r="BBB4" s="172">
        <f>IF(WEEKDAY(BBB6,12)&gt;=6,0,SUMIFS(tblProjectSchedule[[Skilled]:[Skilled]],tblProjectSchedule[[Start]:[Start]],"&lt;="&amp;BBB6,tblProjectSchedule[[Finish]:[Finish]],"&gt;="&amp;BBB6)+SUMIFS(tblProjectSchedule[[Helpers]:[Helpers]],tblProjectSchedule[[Start]:[Start]],"&lt;="&amp;BBB6,tblProjectSchedule[[Finish]:[Finish]],"&gt;="&amp;BBB6))</f>
        <v>0</v>
      </c>
      <c r="BBC4" s="172">
        <f>IF(WEEKDAY(BBC6,12)&gt;=6,0,SUMIFS(tblProjectSchedule[[Skilled]:[Skilled]],tblProjectSchedule[[Start]:[Start]],"&lt;="&amp;BBC6,tblProjectSchedule[[Finish]:[Finish]],"&gt;="&amp;BBC6)+SUMIFS(tblProjectSchedule[[Helpers]:[Helpers]],tblProjectSchedule[[Start]:[Start]],"&lt;="&amp;BBC6,tblProjectSchedule[[Finish]:[Finish]],"&gt;="&amp;BBC6))</f>
        <v>0</v>
      </c>
      <c r="BBD4" s="172">
        <f>IF(WEEKDAY(BBD6,12)&gt;=6,0,SUMIFS(tblProjectSchedule[[Skilled]:[Skilled]],tblProjectSchedule[[Start]:[Start]],"&lt;="&amp;BBD6,tblProjectSchedule[[Finish]:[Finish]],"&gt;="&amp;BBD6)+SUMIFS(tblProjectSchedule[[Helpers]:[Helpers]],tblProjectSchedule[[Start]:[Start]],"&lt;="&amp;BBD6,tblProjectSchedule[[Finish]:[Finish]],"&gt;="&amp;BBD6))</f>
        <v>0</v>
      </c>
      <c r="BBE4" s="172">
        <f>IF(WEEKDAY(BBE6,12)&gt;=6,0,SUMIFS(tblProjectSchedule[[Skilled]:[Skilled]],tblProjectSchedule[[Start]:[Start]],"&lt;="&amp;BBE6,tblProjectSchedule[[Finish]:[Finish]],"&gt;="&amp;BBE6)+SUMIFS(tblProjectSchedule[[Helpers]:[Helpers]],tblProjectSchedule[[Start]:[Start]],"&lt;="&amp;BBE6,tblProjectSchedule[[Finish]:[Finish]],"&gt;="&amp;BBE6))</f>
        <v>0</v>
      </c>
      <c r="BBF4" s="174">
        <f>IF(WEEKDAY(BBF6,12)&gt;=6,0,SUMIFS(tblProjectSchedule[[Skilled]:[Skilled]],tblProjectSchedule[[Start]:[Start]],"&lt;="&amp;BBF6,tblProjectSchedule[[Finish]:[Finish]],"&gt;="&amp;BBF6)+SUMIFS(tblProjectSchedule[[Helpers]:[Helpers]],tblProjectSchedule[[Start]:[Start]],"&lt;="&amp;BBF6,tblProjectSchedule[[Finish]:[Finish]],"&gt;="&amp;BBF6))</f>
        <v>0</v>
      </c>
      <c r="BBG4" s="173">
        <f>IF(WEEKDAY(BBG6,12)&gt;=6,0,SUMIFS(tblProjectSchedule[[Skilled]:[Skilled]],tblProjectSchedule[[Start]:[Start]],"&lt;="&amp;BBG6,tblProjectSchedule[[Finish]:[Finish]],"&gt;="&amp;BBG6)+SUMIFS(tblProjectSchedule[[Helpers]:[Helpers]],tblProjectSchedule[[Start]:[Start]],"&lt;="&amp;BBG6,tblProjectSchedule[[Finish]:[Finish]],"&gt;="&amp;BBG6))</f>
        <v>0</v>
      </c>
      <c r="BBH4" s="172">
        <f>IF(WEEKDAY(BBH6,12)&gt;=6,0,SUMIFS(tblProjectSchedule[[Skilled]:[Skilled]],tblProjectSchedule[[Start]:[Start]],"&lt;="&amp;BBH6,tblProjectSchedule[[Finish]:[Finish]],"&gt;="&amp;BBH6)+SUMIFS(tblProjectSchedule[[Helpers]:[Helpers]],tblProjectSchedule[[Start]:[Start]],"&lt;="&amp;BBH6,tblProjectSchedule[[Finish]:[Finish]],"&gt;="&amp;BBH6))</f>
        <v>0</v>
      </c>
      <c r="BBI4" s="172">
        <f>IF(WEEKDAY(BBI6,12)&gt;=6,0,SUMIFS(tblProjectSchedule[[Skilled]:[Skilled]],tblProjectSchedule[[Start]:[Start]],"&lt;="&amp;BBI6,tblProjectSchedule[[Finish]:[Finish]],"&gt;="&amp;BBI6)+SUMIFS(tblProjectSchedule[[Helpers]:[Helpers]],tblProjectSchedule[[Start]:[Start]],"&lt;="&amp;BBI6,tblProjectSchedule[[Finish]:[Finish]],"&gt;="&amp;BBI6))</f>
        <v>0</v>
      </c>
      <c r="BBJ4" s="172">
        <f>IF(WEEKDAY(BBJ6,12)&gt;=6,0,SUMIFS(tblProjectSchedule[[Skilled]:[Skilled]],tblProjectSchedule[[Start]:[Start]],"&lt;="&amp;BBJ6,tblProjectSchedule[[Finish]:[Finish]],"&gt;="&amp;BBJ6)+SUMIFS(tblProjectSchedule[[Helpers]:[Helpers]],tblProjectSchedule[[Start]:[Start]],"&lt;="&amp;BBJ6,tblProjectSchedule[[Finish]:[Finish]],"&gt;="&amp;BBJ6))</f>
        <v>0</v>
      </c>
      <c r="BBK4" s="172">
        <f>IF(WEEKDAY(BBK6,12)&gt;=6,0,SUMIFS(tblProjectSchedule[[Skilled]:[Skilled]],tblProjectSchedule[[Start]:[Start]],"&lt;="&amp;BBK6,tblProjectSchedule[[Finish]:[Finish]],"&gt;="&amp;BBK6)+SUMIFS(tblProjectSchedule[[Helpers]:[Helpers]],tblProjectSchedule[[Start]:[Start]],"&lt;="&amp;BBK6,tblProjectSchedule[[Finish]:[Finish]],"&gt;="&amp;BBK6))</f>
        <v>0</v>
      </c>
      <c r="BBL4" s="172">
        <f>IF(WEEKDAY(BBL6,12)&gt;=6,0,SUMIFS(tblProjectSchedule[[Skilled]:[Skilled]],tblProjectSchedule[[Start]:[Start]],"&lt;="&amp;BBL6,tblProjectSchedule[[Finish]:[Finish]],"&gt;="&amp;BBL6)+SUMIFS(tblProjectSchedule[[Helpers]:[Helpers]],tblProjectSchedule[[Start]:[Start]],"&lt;="&amp;BBL6,tblProjectSchedule[[Finish]:[Finish]],"&gt;="&amp;BBL6))</f>
        <v>0</v>
      </c>
      <c r="BBM4" s="174">
        <f>IF(WEEKDAY(BBM6,12)&gt;=6,0,SUMIFS(tblProjectSchedule[[Skilled]:[Skilled]],tblProjectSchedule[[Start]:[Start]],"&lt;="&amp;BBM6,tblProjectSchedule[[Finish]:[Finish]],"&gt;="&amp;BBM6)+SUMIFS(tblProjectSchedule[[Helpers]:[Helpers]],tblProjectSchedule[[Start]:[Start]],"&lt;="&amp;BBM6,tblProjectSchedule[[Finish]:[Finish]],"&gt;="&amp;BBM6))</f>
        <v>0</v>
      </c>
      <c r="BBN4" s="173">
        <f>IF(WEEKDAY(BBN6,12)&gt;=6,0,SUMIFS(tblProjectSchedule[[Skilled]:[Skilled]],tblProjectSchedule[[Start]:[Start]],"&lt;="&amp;BBN6,tblProjectSchedule[[Finish]:[Finish]],"&gt;="&amp;BBN6)+SUMIFS(tblProjectSchedule[[Helpers]:[Helpers]],tblProjectSchedule[[Start]:[Start]],"&lt;="&amp;BBN6,tblProjectSchedule[[Finish]:[Finish]],"&gt;="&amp;BBN6))</f>
        <v>0</v>
      </c>
      <c r="BBO4" s="172">
        <f>IF(WEEKDAY(BBO6,12)&gt;=6,0,SUMIFS(tblProjectSchedule[[Skilled]:[Skilled]],tblProjectSchedule[[Start]:[Start]],"&lt;="&amp;BBO6,tblProjectSchedule[[Finish]:[Finish]],"&gt;="&amp;BBO6)+SUMIFS(tblProjectSchedule[[Helpers]:[Helpers]],tblProjectSchedule[[Start]:[Start]],"&lt;="&amp;BBO6,tblProjectSchedule[[Finish]:[Finish]],"&gt;="&amp;BBO6))</f>
        <v>0</v>
      </c>
      <c r="BBP4" s="172">
        <f>IF(WEEKDAY(BBP6,12)&gt;=6,0,SUMIFS(tblProjectSchedule[[Skilled]:[Skilled]],tblProjectSchedule[[Start]:[Start]],"&lt;="&amp;BBP6,tblProjectSchedule[[Finish]:[Finish]],"&gt;="&amp;BBP6)+SUMIFS(tblProjectSchedule[[Helpers]:[Helpers]],tblProjectSchedule[[Start]:[Start]],"&lt;="&amp;BBP6,tblProjectSchedule[[Finish]:[Finish]],"&gt;="&amp;BBP6))</f>
        <v>0</v>
      </c>
      <c r="BBQ4" s="172">
        <f>IF(WEEKDAY(BBQ6,12)&gt;=6,0,SUMIFS(tblProjectSchedule[[Skilled]:[Skilled]],tblProjectSchedule[[Start]:[Start]],"&lt;="&amp;BBQ6,tblProjectSchedule[[Finish]:[Finish]],"&gt;="&amp;BBQ6)+SUMIFS(tblProjectSchedule[[Helpers]:[Helpers]],tblProjectSchedule[[Start]:[Start]],"&lt;="&amp;BBQ6,tblProjectSchedule[[Finish]:[Finish]],"&gt;="&amp;BBQ6))</f>
        <v>0</v>
      </c>
      <c r="BBR4" s="172">
        <f>IF(WEEKDAY(BBR6,12)&gt;=6,0,SUMIFS(tblProjectSchedule[[Skilled]:[Skilled]],tblProjectSchedule[[Start]:[Start]],"&lt;="&amp;BBR6,tblProjectSchedule[[Finish]:[Finish]],"&gt;="&amp;BBR6)+SUMIFS(tblProjectSchedule[[Helpers]:[Helpers]],tblProjectSchedule[[Start]:[Start]],"&lt;="&amp;BBR6,tblProjectSchedule[[Finish]:[Finish]],"&gt;="&amp;BBR6))</f>
        <v>0</v>
      </c>
      <c r="BBS4" s="172">
        <f>IF(WEEKDAY(BBS6,12)&gt;=6,0,SUMIFS(tblProjectSchedule[[Skilled]:[Skilled]],tblProjectSchedule[[Start]:[Start]],"&lt;="&amp;BBS6,tblProjectSchedule[[Finish]:[Finish]],"&gt;="&amp;BBS6)+SUMIFS(tblProjectSchedule[[Helpers]:[Helpers]],tblProjectSchedule[[Start]:[Start]],"&lt;="&amp;BBS6,tblProjectSchedule[[Finish]:[Finish]],"&gt;="&amp;BBS6))</f>
        <v>0</v>
      </c>
      <c r="BBT4" s="174">
        <f>IF(WEEKDAY(BBT6,12)&gt;=6,0,SUMIFS(tblProjectSchedule[[Skilled]:[Skilled]],tblProjectSchedule[[Start]:[Start]],"&lt;="&amp;BBT6,tblProjectSchedule[[Finish]:[Finish]],"&gt;="&amp;BBT6)+SUMIFS(tblProjectSchedule[[Helpers]:[Helpers]],tblProjectSchedule[[Start]:[Start]],"&lt;="&amp;BBT6,tblProjectSchedule[[Finish]:[Finish]],"&gt;="&amp;BBT6))</f>
        <v>0</v>
      </c>
      <c r="BBU4" s="173">
        <f>IF(WEEKDAY(BBU6,12)&gt;=6,0,SUMIFS(tblProjectSchedule[[Skilled]:[Skilled]],tblProjectSchedule[[Start]:[Start]],"&lt;="&amp;BBU6,tblProjectSchedule[[Finish]:[Finish]],"&gt;="&amp;BBU6)+SUMIFS(tblProjectSchedule[[Helpers]:[Helpers]],tblProjectSchedule[[Start]:[Start]],"&lt;="&amp;BBU6,tblProjectSchedule[[Finish]:[Finish]],"&gt;="&amp;BBU6))</f>
        <v>0</v>
      </c>
      <c r="BBV4" s="172">
        <f>IF(WEEKDAY(BBV6,12)&gt;=6,0,SUMIFS(tblProjectSchedule[[Skilled]:[Skilled]],tblProjectSchedule[[Start]:[Start]],"&lt;="&amp;BBV6,tblProjectSchedule[[Finish]:[Finish]],"&gt;="&amp;BBV6)+SUMIFS(tblProjectSchedule[[Helpers]:[Helpers]],tblProjectSchedule[[Start]:[Start]],"&lt;="&amp;BBV6,tblProjectSchedule[[Finish]:[Finish]],"&gt;="&amp;BBV6))</f>
        <v>0</v>
      </c>
      <c r="BBW4" s="172">
        <f>IF(WEEKDAY(BBW6,12)&gt;=6,0,SUMIFS(tblProjectSchedule[[Skilled]:[Skilled]],tblProjectSchedule[[Start]:[Start]],"&lt;="&amp;BBW6,tblProjectSchedule[[Finish]:[Finish]],"&gt;="&amp;BBW6)+SUMIFS(tblProjectSchedule[[Helpers]:[Helpers]],tblProjectSchedule[[Start]:[Start]],"&lt;="&amp;BBW6,tblProjectSchedule[[Finish]:[Finish]],"&gt;="&amp;BBW6))</f>
        <v>0</v>
      </c>
      <c r="BBX4" s="172">
        <f>IF(WEEKDAY(BBX6,12)&gt;=6,0,SUMIFS(tblProjectSchedule[[Skilled]:[Skilled]],tblProjectSchedule[[Start]:[Start]],"&lt;="&amp;BBX6,tblProjectSchedule[[Finish]:[Finish]],"&gt;="&amp;BBX6)+SUMIFS(tblProjectSchedule[[Helpers]:[Helpers]],tblProjectSchedule[[Start]:[Start]],"&lt;="&amp;BBX6,tblProjectSchedule[[Finish]:[Finish]],"&gt;="&amp;BBX6))</f>
        <v>0</v>
      </c>
      <c r="BBY4" s="172">
        <f>IF(WEEKDAY(BBY6,12)&gt;=6,0,SUMIFS(tblProjectSchedule[[Skilled]:[Skilled]],tblProjectSchedule[[Start]:[Start]],"&lt;="&amp;BBY6,tblProjectSchedule[[Finish]:[Finish]],"&gt;="&amp;BBY6)+SUMIFS(tblProjectSchedule[[Helpers]:[Helpers]],tblProjectSchedule[[Start]:[Start]],"&lt;="&amp;BBY6,tblProjectSchedule[[Finish]:[Finish]],"&gt;="&amp;BBY6))</f>
        <v>0</v>
      </c>
      <c r="BBZ4" s="172">
        <f>IF(WEEKDAY(BBZ6,12)&gt;=6,0,SUMIFS(tblProjectSchedule[[Skilled]:[Skilled]],tblProjectSchedule[[Start]:[Start]],"&lt;="&amp;BBZ6,tblProjectSchedule[[Finish]:[Finish]],"&gt;="&amp;BBZ6)+SUMIFS(tblProjectSchedule[[Helpers]:[Helpers]],tblProjectSchedule[[Start]:[Start]],"&lt;="&amp;BBZ6,tblProjectSchedule[[Finish]:[Finish]],"&gt;="&amp;BBZ6))</f>
        <v>0</v>
      </c>
      <c r="BCA4" s="174">
        <f>IF(WEEKDAY(BCA6,12)&gt;=6,0,SUMIFS(tblProjectSchedule[[Skilled]:[Skilled]],tblProjectSchedule[[Start]:[Start]],"&lt;="&amp;BCA6,tblProjectSchedule[[Finish]:[Finish]],"&gt;="&amp;BCA6)+SUMIFS(tblProjectSchedule[[Helpers]:[Helpers]],tblProjectSchedule[[Start]:[Start]],"&lt;="&amp;BCA6,tblProjectSchedule[[Finish]:[Finish]],"&gt;="&amp;BCA6))</f>
        <v>0</v>
      </c>
      <c r="BCB4" s="173">
        <f>IF(WEEKDAY(BCB6,12)&gt;=6,0,SUMIFS(tblProjectSchedule[[Skilled]:[Skilled]],tblProjectSchedule[[Start]:[Start]],"&lt;="&amp;BCB6,tblProjectSchedule[[Finish]:[Finish]],"&gt;="&amp;BCB6)+SUMIFS(tblProjectSchedule[[Helpers]:[Helpers]],tblProjectSchedule[[Start]:[Start]],"&lt;="&amp;BCB6,tblProjectSchedule[[Finish]:[Finish]],"&gt;="&amp;BCB6))</f>
        <v>0</v>
      </c>
      <c r="BCC4" s="172">
        <f>IF(WEEKDAY(BCC6,12)&gt;=6,0,SUMIFS(tblProjectSchedule[[Skilled]:[Skilled]],tblProjectSchedule[[Start]:[Start]],"&lt;="&amp;BCC6,tblProjectSchedule[[Finish]:[Finish]],"&gt;="&amp;BCC6)+SUMIFS(tblProjectSchedule[[Helpers]:[Helpers]],tblProjectSchedule[[Start]:[Start]],"&lt;="&amp;BCC6,tblProjectSchedule[[Finish]:[Finish]],"&gt;="&amp;BCC6))</f>
        <v>0</v>
      </c>
      <c r="BCD4" s="172">
        <f>IF(WEEKDAY(BCD6,12)&gt;=6,0,SUMIFS(tblProjectSchedule[[Skilled]:[Skilled]],tblProjectSchedule[[Start]:[Start]],"&lt;="&amp;BCD6,tblProjectSchedule[[Finish]:[Finish]],"&gt;="&amp;BCD6)+SUMIFS(tblProjectSchedule[[Helpers]:[Helpers]],tblProjectSchedule[[Start]:[Start]],"&lt;="&amp;BCD6,tblProjectSchedule[[Finish]:[Finish]],"&gt;="&amp;BCD6))</f>
        <v>0</v>
      </c>
      <c r="BCE4" s="172">
        <f>IF(WEEKDAY(BCE6,12)&gt;=6,0,SUMIFS(tblProjectSchedule[[Skilled]:[Skilled]],tblProjectSchedule[[Start]:[Start]],"&lt;="&amp;BCE6,tblProjectSchedule[[Finish]:[Finish]],"&gt;="&amp;BCE6)+SUMIFS(tblProjectSchedule[[Helpers]:[Helpers]],tblProjectSchedule[[Start]:[Start]],"&lt;="&amp;BCE6,tblProjectSchedule[[Finish]:[Finish]],"&gt;="&amp;BCE6))</f>
        <v>0</v>
      </c>
      <c r="BCF4" s="172">
        <f>IF(WEEKDAY(BCF6,12)&gt;=6,0,SUMIFS(tblProjectSchedule[[Skilled]:[Skilled]],tblProjectSchedule[[Start]:[Start]],"&lt;="&amp;BCF6,tblProjectSchedule[[Finish]:[Finish]],"&gt;="&amp;BCF6)+SUMIFS(tblProjectSchedule[[Helpers]:[Helpers]],tblProjectSchedule[[Start]:[Start]],"&lt;="&amp;BCF6,tblProjectSchedule[[Finish]:[Finish]],"&gt;="&amp;BCF6))</f>
        <v>0</v>
      </c>
      <c r="BCG4" s="172">
        <f>IF(WEEKDAY(BCG6,12)&gt;=6,0,SUMIFS(tblProjectSchedule[[Skilled]:[Skilled]],tblProjectSchedule[[Start]:[Start]],"&lt;="&amp;BCG6,tblProjectSchedule[[Finish]:[Finish]],"&gt;="&amp;BCG6)+SUMIFS(tblProjectSchedule[[Helpers]:[Helpers]],tblProjectSchedule[[Start]:[Start]],"&lt;="&amp;BCG6,tblProjectSchedule[[Finish]:[Finish]],"&gt;="&amp;BCG6))</f>
        <v>0</v>
      </c>
      <c r="BCH4" s="174">
        <f>IF(WEEKDAY(BCH6,12)&gt;=6,0,SUMIFS(tblProjectSchedule[[Skilled]:[Skilled]],tblProjectSchedule[[Start]:[Start]],"&lt;="&amp;BCH6,tblProjectSchedule[[Finish]:[Finish]],"&gt;="&amp;BCH6)+SUMIFS(tblProjectSchedule[[Helpers]:[Helpers]],tblProjectSchedule[[Start]:[Start]],"&lt;="&amp;BCH6,tblProjectSchedule[[Finish]:[Finish]],"&gt;="&amp;BCH6))</f>
        <v>0</v>
      </c>
      <c r="BCI4" s="173">
        <f>IF(WEEKDAY(BCI6,12)&gt;=6,0,SUMIFS(tblProjectSchedule[[Skilled]:[Skilled]],tblProjectSchedule[[Start]:[Start]],"&lt;="&amp;BCI6,tblProjectSchedule[[Finish]:[Finish]],"&gt;="&amp;BCI6)+SUMIFS(tblProjectSchedule[[Helpers]:[Helpers]],tblProjectSchedule[[Start]:[Start]],"&lt;="&amp;BCI6,tblProjectSchedule[[Finish]:[Finish]],"&gt;="&amp;BCI6))</f>
        <v>0</v>
      </c>
      <c r="BCJ4" s="172">
        <f>IF(WEEKDAY(BCJ6,12)&gt;=6,0,SUMIFS(tblProjectSchedule[[Skilled]:[Skilled]],tblProjectSchedule[[Start]:[Start]],"&lt;="&amp;BCJ6,tblProjectSchedule[[Finish]:[Finish]],"&gt;="&amp;BCJ6)+SUMIFS(tblProjectSchedule[[Helpers]:[Helpers]],tblProjectSchedule[[Start]:[Start]],"&lt;="&amp;BCJ6,tblProjectSchedule[[Finish]:[Finish]],"&gt;="&amp;BCJ6))</f>
        <v>0</v>
      </c>
      <c r="BCK4" s="172">
        <f>IF(WEEKDAY(BCK6,12)&gt;=6,0,SUMIFS(tblProjectSchedule[[Skilled]:[Skilled]],tblProjectSchedule[[Start]:[Start]],"&lt;="&amp;BCK6,tblProjectSchedule[[Finish]:[Finish]],"&gt;="&amp;BCK6)+SUMIFS(tblProjectSchedule[[Helpers]:[Helpers]],tblProjectSchedule[[Start]:[Start]],"&lt;="&amp;BCK6,tblProjectSchedule[[Finish]:[Finish]],"&gt;="&amp;BCK6))</f>
        <v>0</v>
      </c>
      <c r="BCL4" s="172">
        <f>IF(WEEKDAY(BCL6,12)&gt;=6,0,SUMIFS(tblProjectSchedule[[Skilled]:[Skilled]],tblProjectSchedule[[Start]:[Start]],"&lt;="&amp;BCL6,tblProjectSchedule[[Finish]:[Finish]],"&gt;="&amp;BCL6)+SUMIFS(tblProjectSchedule[[Helpers]:[Helpers]],tblProjectSchedule[[Start]:[Start]],"&lt;="&amp;BCL6,tblProjectSchedule[[Finish]:[Finish]],"&gt;="&amp;BCL6))</f>
        <v>0</v>
      </c>
      <c r="BCM4" s="172">
        <f>IF(WEEKDAY(BCM6,12)&gt;=6,0,SUMIFS(tblProjectSchedule[[Skilled]:[Skilled]],tblProjectSchedule[[Start]:[Start]],"&lt;="&amp;BCM6,tblProjectSchedule[[Finish]:[Finish]],"&gt;="&amp;BCM6)+SUMIFS(tblProjectSchedule[[Helpers]:[Helpers]],tblProjectSchedule[[Start]:[Start]],"&lt;="&amp;BCM6,tblProjectSchedule[[Finish]:[Finish]],"&gt;="&amp;BCM6))</f>
        <v>0</v>
      </c>
      <c r="BCN4" s="172">
        <f>IF(WEEKDAY(BCN6,12)&gt;=6,0,SUMIFS(tblProjectSchedule[[Skilled]:[Skilled]],tblProjectSchedule[[Start]:[Start]],"&lt;="&amp;BCN6,tblProjectSchedule[[Finish]:[Finish]],"&gt;="&amp;BCN6)+SUMIFS(tblProjectSchedule[[Helpers]:[Helpers]],tblProjectSchedule[[Start]:[Start]],"&lt;="&amp;BCN6,tblProjectSchedule[[Finish]:[Finish]],"&gt;="&amp;BCN6))</f>
        <v>0</v>
      </c>
      <c r="BCO4" s="174">
        <f>IF(WEEKDAY(BCO6,12)&gt;=6,0,SUMIFS(tblProjectSchedule[[Skilled]:[Skilled]],tblProjectSchedule[[Start]:[Start]],"&lt;="&amp;BCO6,tblProjectSchedule[[Finish]:[Finish]],"&gt;="&amp;BCO6)+SUMIFS(tblProjectSchedule[[Helpers]:[Helpers]],tblProjectSchedule[[Start]:[Start]],"&lt;="&amp;BCO6,tblProjectSchedule[[Finish]:[Finish]],"&gt;="&amp;BCO6))</f>
        <v>0</v>
      </c>
      <c r="BCP4" s="173">
        <f>IF(WEEKDAY(BCP6,12)&gt;=6,0,SUMIFS(tblProjectSchedule[[Skilled]:[Skilled]],tblProjectSchedule[[Start]:[Start]],"&lt;="&amp;BCP6,tblProjectSchedule[[Finish]:[Finish]],"&gt;="&amp;BCP6)+SUMIFS(tblProjectSchedule[[Helpers]:[Helpers]],tblProjectSchedule[[Start]:[Start]],"&lt;="&amp;BCP6,tblProjectSchedule[[Finish]:[Finish]],"&gt;="&amp;BCP6))</f>
        <v>0</v>
      </c>
      <c r="BCQ4" s="172">
        <f>IF(WEEKDAY(BCQ6,12)&gt;=6,0,SUMIFS(tblProjectSchedule[[Skilled]:[Skilled]],tblProjectSchedule[[Start]:[Start]],"&lt;="&amp;BCQ6,tblProjectSchedule[[Finish]:[Finish]],"&gt;="&amp;BCQ6)+SUMIFS(tblProjectSchedule[[Helpers]:[Helpers]],tblProjectSchedule[[Start]:[Start]],"&lt;="&amp;BCQ6,tblProjectSchedule[[Finish]:[Finish]],"&gt;="&amp;BCQ6))</f>
        <v>0</v>
      </c>
      <c r="BCR4" s="172">
        <f>IF(WEEKDAY(BCR6,12)&gt;=6,0,SUMIFS(tblProjectSchedule[[Skilled]:[Skilled]],tblProjectSchedule[[Start]:[Start]],"&lt;="&amp;BCR6,tblProjectSchedule[[Finish]:[Finish]],"&gt;="&amp;BCR6)+SUMIFS(tblProjectSchedule[[Helpers]:[Helpers]],tblProjectSchedule[[Start]:[Start]],"&lt;="&amp;BCR6,tblProjectSchedule[[Finish]:[Finish]],"&gt;="&amp;BCR6))</f>
        <v>0</v>
      </c>
      <c r="BCS4" s="172">
        <f>IF(WEEKDAY(BCS6,12)&gt;=6,0,SUMIFS(tblProjectSchedule[[Skilled]:[Skilled]],tblProjectSchedule[[Start]:[Start]],"&lt;="&amp;BCS6,tblProjectSchedule[[Finish]:[Finish]],"&gt;="&amp;BCS6)+SUMIFS(tblProjectSchedule[[Helpers]:[Helpers]],tblProjectSchedule[[Start]:[Start]],"&lt;="&amp;BCS6,tblProjectSchedule[[Finish]:[Finish]],"&gt;="&amp;BCS6))</f>
        <v>0</v>
      </c>
      <c r="BCT4" s="172">
        <f>IF(WEEKDAY(BCT6,12)&gt;=6,0,SUMIFS(tblProjectSchedule[[Skilled]:[Skilled]],tblProjectSchedule[[Start]:[Start]],"&lt;="&amp;BCT6,tblProjectSchedule[[Finish]:[Finish]],"&gt;="&amp;BCT6)+SUMIFS(tblProjectSchedule[[Helpers]:[Helpers]],tblProjectSchedule[[Start]:[Start]],"&lt;="&amp;BCT6,tblProjectSchedule[[Finish]:[Finish]],"&gt;="&amp;BCT6))</f>
        <v>0</v>
      </c>
      <c r="BCU4" s="172">
        <f>IF(WEEKDAY(BCU6,12)&gt;=6,0,SUMIFS(tblProjectSchedule[[Skilled]:[Skilled]],tblProjectSchedule[[Start]:[Start]],"&lt;="&amp;BCU6,tblProjectSchedule[[Finish]:[Finish]],"&gt;="&amp;BCU6)+SUMIFS(tblProjectSchedule[[Helpers]:[Helpers]],tblProjectSchedule[[Start]:[Start]],"&lt;="&amp;BCU6,tblProjectSchedule[[Finish]:[Finish]],"&gt;="&amp;BCU6))</f>
        <v>0</v>
      </c>
      <c r="BCV4" s="174">
        <f>IF(WEEKDAY(BCV6,12)&gt;=6,0,SUMIFS(tblProjectSchedule[[Skilled]:[Skilled]],tblProjectSchedule[[Start]:[Start]],"&lt;="&amp;BCV6,tblProjectSchedule[[Finish]:[Finish]],"&gt;="&amp;BCV6)+SUMIFS(tblProjectSchedule[[Helpers]:[Helpers]],tblProjectSchedule[[Start]:[Start]],"&lt;="&amp;BCV6,tblProjectSchedule[[Finish]:[Finish]],"&gt;="&amp;BCV6))</f>
        <v>0</v>
      </c>
      <c r="BCW4" s="173">
        <f>IF(WEEKDAY(BCW6,12)&gt;=6,0,SUMIFS(tblProjectSchedule[[Skilled]:[Skilled]],tblProjectSchedule[[Start]:[Start]],"&lt;="&amp;BCW6,tblProjectSchedule[[Finish]:[Finish]],"&gt;="&amp;BCW6)+SUMIFS(tblProjectSchedule[[Helpers]:[Helpers]],tblProjectSchedule[[Start]:[Start]],"&lt;="&amp;BCW6,tblProjectSchedule[[Finish]:[Finish]],"&gt;="&amp;BCW6))</f>
        <v>0</v>
      </c>
      <c r="BCX4" s="172">
        <f>IF(WEEKDAY(BCX6,12)&gt;=6,0,SUMIFS(tblProjectSchedule[[Skilled]:[Skilled]],tblProjectSchedule[[Start]:[Start]],"&lt;="&amp;BCX6,tblProjectSchedule[[Finish]:[Finish]],"&gt;="&amp;BCX6)+SUMIFS(tblProjectSchedule[[Helpers]:[Helpers]],tblProjectSchedule[[Start]:[Start]],"&lt;="&amp;BCX6,tblProjectSchedule[[Finish]:[Finish]],"&gt;="&amp;BCX6))</f>
        <v>0</v>
      </c>
      <c r="BCY4" s="172">
        <f>IF(WEEKDAY(BCY6,12)&gt;=6,0,SUMIFS(tblProjectSchedule[[Skilled]:[Skilled]],tblProjectSchedule[[Start]:[Start]],"&lt;="&amp;BCY6,tblProjectSchedule[[Finish]:[Finish]],"&gt;="&amp;BCY6)+SUMIFS(tblProjectSchedule[[Helpers]:[Helpers]],tblProjectSchedule[[Start]:[Start]],"&lt;="&amp;BCY6,tblProjectSchedule[[Finish]:[Finish]],"&gt;="&amp;BCY6))</f>
        <v>0</v>
      </c>
      <c r="BCZ4" s="172">
        <f>IF(WEEKDAY(BCZ6,12)&gt;=6,0,SUMIFS(tblProjectSchedule[[Skilled]:[Skilled]],tblProjectSchedule[[Start]:[Start]],"&lt;="&amp;BCZ6,tblProjectSchedule[[Finish]:[Finish]],"&gt;="&amp;BCZ6)+SUMIFS(tblProjectSchedule[[Helpers]:[Helpers]],tblProjectSchedule[[Start]:[Start]],"&lt;="&amp;BCZ6,tblProjectSchedule[[Finish]:[Finish]],"&gt;="&amp;BCZ6))</f>
        <v>0</v>
      </c>
      <c r="BDA4" s="172">
        <f>IF(WEEKDAY(BDA6,12)&gt;=6,0,SUMIFS(tblProjectSchedule[[Skilled]:[Skilled]],tblProjectSchedule[[Start]:[Start]],"&lt;="&amp;BDA6,tblProjectSchedule[[Finish]:[Finish]],"&gt;="&amp;BDA6)+SUMIFS(tblProjectSchedule[[Helpers]:[Helpers]],tblProjectSchedule[[Start]:[Start]],"&lt;="&amp;BDA6,tblProjectSchedule[[Finish]:[Finish]],"&gt;="&amp;BDA6))</f>
        <v>0</v>
      </c>
      <c r="BDB4" s="172">
        <f>IF(WEEKDAY(BDB6,12)&gt;=6,0,SUMIFS(tblProjectSchedule[[Skilled]:[Skilled]],tblProjectSchedule[[Start]:[Start]],"&lt;="&amp;BDB6,tblProjectSchedule[[Finish]:[Finish]],"&gt;="&amp;BDB6)+SUMIFS(tblProjectSchedule[[Helpers]:[Helpers]],tblProjectSchedule[[Start]:[Start]],"&lt;="&amp;BDB6,tblProjectSchedule[[Finish]:[Finish]],"&gt;="&amp;BDB6))</f>
        <v>0</v>
      </c>
      <c r="BDC4" s="174">
        <f>IF(WEEKDAY(BDC6,12)&gt;=6,0,SUMIFS(tblProjectSchedule[[Skilled]:[Skilled]],tblProjectSchedule[[Start]:[Start]],"&lt;="&amp;BDC6,tblProjectSchedule[[Finish]:[Finish]],"&gt;="&amp;BDC6)+SUMIFS(tblProjectSchedule[[Helpers]:[Helpers]],tblProjectSchedule[[Start]:[Start]],"&lt;="&amp;BDC6,tblProjectSchedule[[Finish]:[Finish]],"&gt;="&amp;BDC6))</f>
        <v>0</v>
      </c>
      <c r="BDD4" s="173">
        <f>IF(WEEKDAY(BDD6,12)&gt;=6,0,SUMIFS(tblProjectSchedule[[Skilled]:[Skilled]],tblProjectSchedule[[Start]:[Start]],"&lt;="&amp;BDD6,tblProjectSchedule[[Finish]:[Finish]],"&gt;="&amp;BDD6)+SUMIFS(tblProjectSchedule[[Helpers]:[Helpers]],tblProjectSchedule[[Start]:[Start]],"&lt;="&amp;BDD6,tblProjectSchedule[[Finish]:[Finish]],"&gt;="&amp;BDD6))</f>
        <v>0</v>
      </c>
      <c r="BDE4" s="172">
        <f>IF(WEEKDAY(BDE6,12)&gt;=6,0,SUMIFS(tblProjectSchedule[[Skilled]:[Skilled]],tblProjectSchedule[[Start]:[Start]],"&lt;="&amp;BDE6,tblProjectSchedule[[Finish]:[Finish]],"&gt;="&amp;BDE6)+SUMIFS(tblProjectSchedule[[Helpers]:[Helpers]],tblProjectSchedule[[Start]:[Start]],"&lt;="&amp;BDE6,tblProjectSchedule[[Finish]:[Finish]],"&gt;="&amp;BDE6))</f>
        <v>0</v>
      </c>
      <c r="BDF4" s="172">
        <f>IF(WEEKDAY(BDF6,12)&gt;=6,0,SUMIFS(tblProjectSchedule[[Skilled]:[Skilled]],tblProjectSchedule[[Start]:[Start]],"&lt;="&amp;BDF6,tblProjectSchedule[[Finish]:[Finish]],"&gt;="&amp;BDF6)+SUMIFS(tblProjectSchedule[[Helpers]:[Helpers]],tblProjectSchedule[[Start]:[Start]],"&lt;="&amp;BDF6,tblProjectSchedule[[Finish]:[Finish]],"&gt;="&amp;BDF6))</f>
        <v>0</v>
      </c>
      <c r="BDG4" s="172">
        <f>IF(WEEKDAY(BDG6,12)&gt;=6,0,SUMIFS(tblProjectSchedule[[Skilled]:[Skilled]],tblProjectSchedule[[Start]:[Start]],"&lt;="&amp;BDG6,tblProjectSchedule[[Finish]:[Finish]],"&gt;="&amp;BDG6)+SUMIFS(tblProjectSchedule[[Helpers]:[Helpers]],tblProjectSchedule[[Start]:[Start]],"&lt;="&amp;BDG6,tblProjectSchedule[[Finish]:[Finish]],"&gt;="&amp;BDG6))</f>
        <v>0</v>
      </c>
      <c r="BDH4" s="172">
        <f>IF(WEEKDAY(BDH6,12)&gt;=6,0,SUMIFS(tblProjectSchedule[[Skilled]:[Skilled]],tblProjectSchedule[[Start]:[Start]],"&lt;="&amp;BDH6,tblProjectSchedule[[Finish]:[Finish]],"&gt;="&amp;BDH6)+SUMIFS(tblProjectSchedule[[Helpers]:[Helpers]],tblProjectSchedule[[Start]:[Start]],"&lt;="&amp;BDH6,tblProjectSchedule[[Finish]:[Finish]],"&gt;="&amp;BDH6))</f>
        <v>0</v>
      </c>
      <c r="BDI4" s="172">
        <f>IF(WEEKDAY(BDI6,12)&gt;=6,0,SUMIFS(tblProjectSchedule[[Skilled]:[Skilled]],tblProjectSchedule[[Start]:[Start]],"&lt;="&amp;BDI6,tblProjectSchedule[[Finish]:[Finish]],"&gt;="&amp;BDI6)+SUMIFS(tblProjectSchedule[[Helpers]:[Helpers]],tblProjectSchedule[[Start]:[Start]],"&lt;="&amp;BDI6,tblProjectSchedule[[Finish]:[Finish]],"&gt;="&amp;BDI6))</f>
        <v>0</v>
      </c>
      <c r="BDJ4" s="174">
        <f>IF(WEEKDAY(BDJ6,12)&gt;=6,0,SUMIFS(tblProjectSchedule[[Skilled]:[Skilled]],tblProjectSchedule[[Start]:[Start]],"&lt;="&amp;BDJ6,tblProjectSchedule[[Finish]:[Finish]],"&gt;="&amp;BDJ6)+SUMIFS(tblProjectSchedule[[Helpers]:[Helpers]],tblProjectSchedule[[Start]:[Start]],"&lt;="&amp;BDJ6,tblProjectSchedule[[Finish]:[Finish]],"&gt;="&amp;BDJ6))</f>
        <v>0</v>
      </c>
      <c r="BDK4" s="173">
        <f>IF(WEEKDAY(BDK6,12)&gt;=6,0,SUMIFS(tblProjectSchedule[[Skilled]:[Skilled]],tblProjectSchedule[[Start]:[Start]],"&lt;="&amp;BDK6,tblProjectSchedule[[Finish]:[Finish]],"&gt;="&amp;BDK6)+SUMIFS(tblProjectSchedule[[Helpers]:[Helpers]],tblProjectSchedule[[Start]:[Start]],"&lt;="&amp;BDK6,tblProjectSchedule[[Finish]:[Finish]],"&gt;="&amp;BDK6))</f>
        <v>0</v>
      </c>
      <c r="BDL4" s="172">
        <f>IF(WEEKDAY(BDL6,12)&gt;=6,0,SUMIFS(tblProjectSchedule[[Skilled]:[Skilled]],tblProjectSchedule[[Start]:[Start]],"&lt;="&amp;BDL6,tblProjectSchedule[[Finish]:[Finish]],"&gt;="&amp;BDL6)+SUMIFS(tblProjectSchedule[[Helpers]:[Helpers]],tblProjectSchedule[[Start]:[Start]],"&lt;="&amp;BDL6,tblProjectSchedule[[Finish]:[Finish]],"&gt;="&amp;BDL6))</f>
        <v>0</v>
      </c>
      <c r="BDM4" s="172">
        <f>IF(WEEKDAY(BDM6,12)&gt;=6,0,SUMIFS(tblProjectSchedule[[Skilled]:[Skilled]],tblProjectSchedule[[Start]:[Start]],"&lt;="&amp;BDM6,tblProjectSchedule[[Finish]:[Finish]],"&gt;="&amp;BDM6)+SUMIFS(tblProjectSchedule[[Helpers]:[Helpers]],tblProjectSchedule[[Start]:[Start]],"&lt;="&amp;BDM6,tblProjectSchedule[[Finish]:[Finish]],"&gt;="&amp;BDM6))</f>
        <v>0</v>
      </c>
      <c r="BDN4" s="172">
        <f>IF(WEEKDAY(BDN6,12)&gt;=6,0,SUMIFS(tblProjectSchedule[[Skilled]:[Skilled]],tblProjectSchedule[[Start]:[Start]],"&lt;="&amp;BDN6,tblProjectSchedule[[Finish]:[Finish]],"&gt;="&amp;BDN6)+SUMIFS(tblProjectSchedule[[Helpers]:[Helpers]],tblProjectSchedule[[Start]:[Start]],"&lt;="&amp;BDN6,tblProjectSchedule[[Finish]:[Finish]],"&gt;="&amp;BDN6))</f>
        <v>0</v>
      </c>
      <c r="BDO4" s="172">
        <f>IF(WEEKDAY(BDO6,12)&gt;=6,0,SUMIFS(tblProjectSchedule[[Skilled]:[Skilled]],tblProjectSchedule[[Start]:[Start]],"&lt;="&amp;BDO6,tblProjectSchedule[[Finish]:[Finish]],"&gt;="&amp;BDO6)+SUMIFS(tblProjectSchedule[[Helpers]:[Helpers]],tblProjectSchedule[[Start]:[Start]],"&lt;="&amp;BDO6,tblProjectSchedule[[Finish]:[Finish]],"&gt;="&amp;BDO6))</f>
        <v>0</v>
      </c>
      <c r="BDP4" s="172">
        <f>IF(WEEKDAY(BDP6,12)&gt;=6,0,SUMIFS(tblProjectSchedule[[Skilled]:[Skilled]],tblProjectSchedule[[Start]:[Start]],"&lt;="&amp;BDP6,tblProjectSchedule[[Finish]:[Finish]],"&gt;="&amp;BDP6)+SUMIFS(tblProjectSchedule[[Helpers]:[Helpers]],tblProjectSchedule[[Start]:[Start]],"&lt;="&amp;BDP6,tblProjectSchedule[[Finish]:[Finish]],"&gt;="&amp;BDP6))</f>
        <v>0</v>
      </c>
      <c r="BDQ4" s="174">
        <f>IF(WEEKDAY(BDQ6,12)&gt;=6,0,SUMIFS(tblProjectSchedule[[Skilled]:[Skilled]],tblProjectSchedule[[Start]:[Start]],"&lt;="&amp;BDQ6,tblProjectSchedule[[Finish]:[Finish]],"&gt;="&amp;BDQ6)+SUMIFS(tblProjectSchedule[[Helpers]:[Helpers]],tblProjectSchedule[[Start]:[Start]],"&lt;="&amp;BDQ6,tblProjectSchedule[[Finish]:[Finish]],"&gt;="&amp;BDQ6))</f>
        <v>0</v>
      </c>
      <c r="BDR4" s="173">
        <f>IF(WEEKDAY(BDR6,12)&gt;=6,0,SUMIFS(tblProjectSchedule[[Skilled]:[Skilled]],tblProjectSchedule[[Start]:[Start]],"&lt;="&amp;BDR6,tblProjectSchedule[[Finish]:[Finish]],"&gt;="&amp;BDR6)+SUMIFS(tblProjectSchedule[[Helpers]:[Helpers]],tblProjectSchedule[[Start]:[Start]],"&lt;="&amp;BDR6,tblProjectSchedule[[Finish]:[Finish]],"&gt;="&amp;BDR6))</f>
        <v>0</v>
      </c>
      <c r="BDS4" s="172">
        <f>IF(WEEKDAY(BDS6,12)&gt;=6,0,SUMIFS(tblProjectSchedule[[Skilled]:[Skilled]],tblProjectSchedule[[Start]:[Start]],"&lt;="&amp;BDS6,tblProjectSchedule[[Finish]:[Finish]],"&gt;="&amp;BDS6)+SUMIFS(tblProjectSchedule[[Helpers]:[Helpers]],tblProjectSchedule[[Start]:[Start]],"&lt;="&amp;BDS6,tblProjectSchedule[[Finish]:[Finish]],"&gt;="&amp;BDS6))</f>
        <v>0</v>
      </c>
      <c r="BDT4" s="172">
        <f>IF(WEEKDAY(BDT6,12)&gt;=6,0,SUMIFS(tblProjectSchedule[[Skilled]:[Skilled]],tblProjectSchedule[[Start]:[Start]],"&lt;="&amp;BDT6,tblProjectSchedule[[Finish]:[Finish]],"&gt;="&amp;BDT6)+SUMIFS(tblProjectSchedule[[Helpers]:[Helpers]],tblProjectSchedule[[Start]:[Start]],"&lt;="&amp;BDT6,tblProjectSchedule[[Finish]:[Finish]],"&gt;="&amp;BDT6))</f>
        <v>0</v>
      </c>
      <c r="BDU4" s="172">
        <f>IF(WEEKDAY(BDU6,12)&gt;=6,0,SUMIFS(tblProjectSchedule[[Skilled]:[Skilled]],tblProjectSchedule[[Start]:[Start]],"&lt;="&amp;BDU6,tblProjectSchedule[[Finish]:[Finish]],"&gt;="&amp;BDU6)+SUMIFS(tblProjectSchedule[[Helpers]:[Helpers]],tblProjectSchedule[[Start]:[Start]],"&lt;="&amp;BDU6,tblProjectSchedule[[Finish]:[Finish]],"&gt;="&amp;BDU6))</f>
        <v>0</v>
      </c>
      <c r="BDV4" s="172">
        <f>IF(WEEKDAY(BDV6,12)&gt;=6,0,SUMIFS(tblProjectSchedule[[Skilled]:[Skilled]],tblProjectSchedule[[Start]:[Start]],"&lt;="&amp;BDV6,tblProjectSchedule[[Finish]:[Finish]],"&gt;="&amp;BDV6)+SUMIFS(tblProjectSchedule[[Helpers]:[Helpers]],tblProjectSchedule[[Start]:[Start]],"&lt;="&amp;BDV6,tblProjectSchedule[[Finish]:[Finish]],"&gt;="&amp;BDV6))</f>
        <v>0</v>
      </c>
      <c r="BDW4" s="172">
        <f>IF(WEEKDAY(BDW6,12)&gt;=6,0,SUMIFS(tblProjectSchedule[[Skilled]:[Skilled]],tblProjectSchedule[[Start]:[Start]],"&lt;="&amp;BDW6,tblProjectSchedule[[Finish]:[Finish]],"&gt;="&amp;BDW6)+SUMIFS(tblProjectSchedule[[Helpers]:[Helpers]],tblProjectSchedule[[Start]:[Start]],"&lt;="&amp;BDW6,tblProjectSchedule[[Finish]:[Finish]],"&gt;="&amp;BDW6))</f>
        <v>0</v>
      </c>
      <c r="BDX4" s="174">
        <f>IF(WEEKDAY(BDX6,12)&gt;=6,0,SUMIFS(tblProjectSchedule[[Skilled]:[Skilled]],tblProjectSchedule[[Start]:[Start]],"&lt;="&amp;BDX6,tblProjectSchedule[[Finish]:[Finish]],"&gt;="&amp;BDX6)+SUMIFS(tblProjectSchedule[[Helpers]:[Helpers]],tblProjectSchedule[[Start]:[Start]],"&lt;="&amp;BDX6,tblProjectSchedule[[Finish]:[Finish]],"&gt;="&amp;BDX6))</f>
        <v>0</v>
      </c>
      <c r="BDY4" s="173">
        <f>IF(WEEKDAY(BDY6,12)&gt;=6,0,SUMIFS(tblProjectSchedule[[Skilled]:[Skilled]],tblProjectSchedule[[Start]:[Start]],"&lt;="&amp;BDY6,tblProjectSchedule[[Finish]:[Finish]],"&gt;="&amp;BDY6)+SUMIFS(tblProjectSchedule[[Helpers]:[Helpers]],tblProjectSchedule[[Start]:[Start]],"&lt;="&amp;BDY6,tblProjectSchedule[[Finish]:[Finish]],"&gt;="&amp;BDY6))</f>
        <v>0</v>
      </c>
      <c r="BDZ4" s="172">
        <f>IF(WEEKDAY(BDZ6,12)&gt;=6,0,SUMIFS(tblProjectSchedule[[Skilled]:[Skilled]],tblProjectSchedule[[Start]:[Start]],"&lt;="&amp;BDZ6,tblProjectSchedule[[Finish]:[Finish]],"&gt;="&amp;BDZ6)+SUMIFS(tblProjectSchedule[[Helpers]:[Helpers]],tblProjectSchedule[[Start]:[Start]],"&lt;="&amp;BDZ6,tblProjectSchedule[[Finish]:[Finish]],"&gt;="&amp;BDZ6))</f>
        <v>0</v>
      </c>
      <c r="BEA4" s="172">
        <f>IF(WEEKDAY(BEA6,12)&gt;=6,0,SUMIFS(tblProjectSchedule[[Skilled]:[Skilled]],tblProjectSchedule[[Start]:[Start]],"&lt;="&amp;BEA6,tblProjectSchedule[[Finish]:[Finish]],"&gt;="&amp;BEA6)+SUMIFS(tblProjectSchedule[[Helpers]:[Helpers]],tblProjectSchedule[[Start]:[Start]],"&lt;="&amp;BEA6,tblProjectSchedule[[Finish]:[Finish]],"&gt;="&amp;BEA6))</f>
        <v>0</v>
      </c>
      <c r="BEB4" s="172">
        <f>IF(WEEKDAY(BEB6,12)&gt;=6,0,SUMIFS(tblProjectSchedule[[Skilled]:[Skilled]],tblProjectSchedule[[Start]:[Start]],"&lt;="&amp;BEB6,tblProjectSchedule[[Finish]:[Finish]],"&gt;="&amp;BEB6)+SUMIFS(tblProjectSchedule[[Helpers]:[Helpers]],tblProjectSchedule[[Start]:[Start]],"&lt;="&amp;BEB6,tblProjectSchedule[[Finish]:[Finish]],"&gt;="&amp;BEB6))</f>
        <v>0</v>
      </c>
      <c r="BEC4" s="172">
        <f>IF(WEEKDAY(BEC6,12)&gt;=6,0,SUMIFS(tblProjectSchedule[[Skilled]:[Skilled]],tblProjectSchedule[[Start]:[Start]],"&lt;="&amp;BEC6,tblProjectSchedule[[Finish]:[Finish]],"&gt;="&amp;BEC6)+SUMIFS(tblProjectSchedule[[Helpers]:[Helpers]],tblProjectSchedule[[Start]:[Start]],"&lt;="&amp;BEC6,tblProjectSchedule[[Finish]:[Finish]],"&gt;="&amp;BEC6))</f>
        <v>0</v>
      </c>
      <c r="BED4" s="172">
        <f>IF(WEEKDAY(BED6,12)&gt;=6,0,SUMIFS(tblProjectSchedule[[Skilled]:[Skilled]],tblProjectSchedule[[Start]:[Start]],"&lt;="&amp;BED6,tblProjectSchedule[[Finish]:[Finish]],"&gt;="&amp;BED6)+SUMIFS(tblProjectSchedule[[Helpers]:[Helpers]],tblProjectSchedule[[Start]:[Start]],"&lt;="&amp;BED6,tblProjectSchedule[[Finish]:[Finish]],"&gt;="&amp;BED6))</f>
        <v>0</v>
      </c>
      <c r="BEE4" s="174">
        <f>IF(WEEKDAY(BEE6,12)&gt;=6,0,SUMIFS(tblProjectSchedule[[Skilled]:[Skilled]],tblProjectSchedule[[Start]:[Start]],"&lt;="&amp;BEE6,tblProjectSchedule[[Finish]:[Finish]],"&gt;="&amp;BEE6)+SUMIFS(tblProjectSchedule[[Helpers]:[Helpers]],tblProjectSchedule[[Start]:[Start]],"&lt;="&amp;BEE6,tblProjectSchedule[[Finish]:[Finish]],"&gt;="&amp;BEE6))</f>
        <v>0</v>
      </c>
      <c r="BEF4" s="173">
        <f>IF(WEEKDAY(BEF6,12)&gt;=6,0,SUMIFS(tblProjectSchedule[[Skilled]:[Skilled]],tblProjectSchedule[[Start]:[Start]],"&lt;="&amp;BEF6,tblProjectSchedule[[Finish]:[Finish]],"&gt;="&amp;BEF6)+SUMIFS(tblProjectSchedule[[Helpers]:[Helpers]],tblProjectSchedule[[Start]:[Start]],"&lt;="&amp;BEF6,tblProjectSchedule[[Finish]:[Finish]],"&gt;="&amp;BEF6))</f>
        <v>0</v>
      </c>
      <c r="BEG4" s="172">
        <f>IF(WEEKDAY(BEG6,12)&gt;=6,0,SUMIFS(tblProjectSchedule[[Skilled]:[Skilled]],tblProjectSchedule[[Start]:[Start]],"&lt;="&amp;BEG6,tblProjectSchedule[[Finish]:[Finish]],"&gt;="&amp;BEG6)+SUMIFS(tblProjectSchedule[[Helpers]:[Helpers]],tblProjectSchedule[[Start]:[Start]],"&lt;="&amp;BEG6,tblProjectSchedule[[Finish]:[Finish]],"&gt;="&amp;BEG6))</f>
        <v>0</v>
      </c>
      <c r="BEH4" s="172">
        <f>IF(WEEKDAY(BEH6,12)&gt;=6,0,SUMIFS(tblProjectSchedule[[Skilled]:[Skilled]],tblProjectSchedule[[Start]:[Start]],"&lt;="&amp;BEH6,tblProjectSchedule[[Finish]:[Finish]],"&gt;="&amp;BEH6)+SUMIFS(tblProjectSchedule[[Helpers]:[Helpers]],tblProjectSchedule[[Start]:[Start]],"&lt;="&amp;BEH6,tblProjectSchedule[[Finish]:[Finish]],"&gt;="&amp;BEH6))</f>
        <v>0</v>
      </c>
      <c r="BEI4" s="172">
        <f>IF(WEEKDAY(BEI6,12)&gt;=6,0,SUMIFS(tblProjectSchedule[[Skilled]:[Skilled]],tblProjectSchedule[[Start]:[Start]],"&lt;="&amp;BEI6,tblProjectSchedule[[Finish]:[Finish]],"&gt;="&amp;BEI6)+SUMIFS(tblProjectSchedule[[Helpers]:[Helpers]],tblProjectSchedule[[Start]:[Start]],"&lt;="&amp;BEI6,tblProjectSchedule[[Finish]:[Finish]],"&gt;="&amp;BEI6))</f>
        <v>0</v>
      </c>
      <c r="BEJ4" s="172">
        <f>IF(WEEKDAY(BEJ6,12)&gt;=6,0,SUMIFS(tblProjectSchedule[[Skilled]:[Skilled]],tblProjectSchedule[[Start]:[Start]],"&lt;="&amp;BEJ6,tblProjectSchedule[[Finish]:[Finish]],"&gt;="&amp;BEJ6)+SUMIFS(tblProjectSchedule[[Helpers]:[Helpers]],tblProjectSchedule[[Start]:[Start]],"&lt;="&amp;BEJ6,tblProjectSchedule[[Finish]:[Finish]],"&gt;="&amp;BEJ6))</f>
        <v>0</v>
      </c>
      <c r="BEK4" s="172">
        <f>IF(WEEKDAY(BEK6,12)&gt;=6,0,SUMIFS(tblProjectSchedule[[Skilled]:[Skilled]],tblProjectSchedule[[Start]:[Start]],"&lt;="&amp;BEK6,tblProjectSchedule[[Finish]:[Finish]],"&gt;="&amp;BEK6)+SUMIFS(tblProjectSchedule[[Helpers]:[Helpers]],tblProjectSchedule[[Start]:[Start]],"&lt;="&amp;BEK6,tblProjectSchedule[[Finish]:[Finish]],"&gt;="&amp;BEK6))</f>
        <v>0</v>
      </c>
      <c r="BEL4" s="174">
        <f>IF(WEEKDAY(BEL6,12)&gt;=6,0,SUMIFS(tblProjectSchedule[[Skilled]:[Skilled]],tblProjectSchedule[[Start]:[Start]],"&lt;="&amp;BEL6,tblProjectSchedule[[Finish]:[Finish]],"&gt;="&amp;BEL6)+SUMIFS(tblProjectSchedule[[Helpers]:[Helpers]],tblProjectSchedule[[Start]:[Start]],"&lt;="&amp;BEL6,tblProjectSchedule[[Finish]:[Finish]],"&gt;="&amp;BEL6))</f>
        <v>0</v>
      </c>
      <c r="BEM4" s="173">
        <f>IF(WEEKDAY(BEM6,12)&gt;=6,0,SUMIFS(tblProjectSchedule[[Skilled]:[Skilled]],tblProjectSchedule[[Start]:[Start]],"&lt;="&amp;BEM6,tblProjectSchedule[[Finish]:[Finish]],"&gt;="&amp;BEM6)+SUMIFS(tblProjectSchedule[[Helpers]:[Helpers]],tblProjectSchedule[[Start]:[Start]],"&lt;="&amp;BEM6,tblProjectSchedule[[Finish]:[Finish]],"&gt;="&amp;BEM6))</f>
        <v>0</v>
      </c>
      <c r="BEN4" s="172">
        <f>IF(WEEKDAY(BEN6,12)&gt;=6,0,SUMIFS(tblProjectSchedule[[Skilled]:[Skilled]],tblProjectSchedule[[Start]:[Start]],"&lt;="&amp;BEN6,tblProjectSchedule[[Finish]:[Finish]],"&gt;="&amp;BEN6)+SUMIFS(tblProjectSchedule[[Helpers]:[Helpers]],tblProjectSchedule[[Start]:[Start]],"&lt;="&amp;BEN6,tblProjectSchedule[[Finish]:[Finish]],"&gt;="&amp;BEN6))</f>
        <v>0</v>
      </c>
      <c r="BEO4" s="172">
        <f>IF(WEEKDAY(BEO6,12)&gt;=6,0,SUMIFS(tblProjectSchedule[[Skilled]:[Skilled]],tblProjectSchedule[[Start]:[Start]],"&lt;="&amp;BEO6,tblProjectSchedule[[Finish]:[Finish]],"&gt;="&amp;BEO6)+SUMIFS(tblProjectSchedule[[Helpers]:[Helpers]],tblProjectSchedule[[Start]:[Start]],"&lt;="&amp;BEO6,tblProjectSchedule[[Finish]:[Finish]],"&gt;="&amp;BEO6))</f>
        <v>0</v>
      </c>
      <c r="BEP4" s="172">
        <f>IF(WEEKDAY(BEP6,12)&gt;=6,0,SUMIFS(tblProjectSchedule[[Skilled]:[Skilled]],tblProjectSchedule[[Start]:[Start]],"&lt;="&amp;BEP6,tblProjectSchedule[[Finish]:[Finish]],"&gt;="&amp;BEP6)+SUMIFS(tblProjectSchedule[[Helpers]:[Helpers]],tblProjectSchedule[[Start]:[Start]],"&lt;="&amp;BEP6,tblProjectSchedule[[Finish]:[Finish]],"&gt;="&amp;BEP6))</f>
        <v>0</v>
      </c>
      <c r="BEQ4" s="172">
        <f>IF(WEEKDAY(BEQ6,12)&gt;=6,0,SUMIFS(tblProjectSchedule[[Skilled]:[Skilled]],tblProjectSchedule[[Start]:[Start]],"&lt;="&amp;BEQ6,tblProjectSchedule[[Finish]:[Finish]],"&gt;="&amp;BEQ6)+SUMIFS(tblProjectSchedule[[Helpers]:[Helpers]],tblProjectSchedule[[Start]:[Start]],"&lt;="&amp;BEQ6,tblProjectSchedule[[Finish]:[Finish]],"&gt;="&amp;BEQ6))</f>
        <v>0</v>
      </c>
      <c r="BER4" s="172">
        <f>IF(WEEKDAY(BER6,12)&gt;=6,0,SUMIFS(tblProjectSchedule[[Skilled]:[Skilled]],tblProjectSchedule[[Start]:[Start]],"&lt;="&amp;BER6,tblProjectSchedule[[Finish]:[Finish]],"&gt;="&amp;BER6)+SUMIFS(tblProjectSchedule[[Helpers]:[Helpers]],tblProjectSchedule[[Start]:[Start]],"&lt;="&amp;BER6,tblProjectSchedule[[Finish]:[Finish]],"&gt;="&amp;BER6))</f>
        <v>0</v>
      </c>
      <c r="BES4" s="174">
        <f>IF(WEEKDAY(BES6,12)&gt;=6,0,SUMIFS(tblProjectSchedule[[Skilled]:[Skilled]],tblProjectSchedule[[Start]:[Start]],"&lt;="&amp;BES6,tblProjectSchedule[[Finish]:[Finish]],"&gt;="&amp;BES6)+SUMIFS(tblProjectSchedule[[Helpers]:[Helpers]],tblProjectSchedule[[Start]:[Start]],"&lt;="&amp;BES6,tblProjectSchedule[[Finish]:[Finish]],"&gt;="&amp;BES6))</f>
        <v>0</v>
      </c>
      <c r="BET4" s="173">
        <f>IF(WEEKDAY(BET6,12)&gt;=6,0,SUMIFS(tblProjectSchedule[[Skilled]:[Skilled]],tblProjectSchedule[[Start]:[Start]],"&lt;="&amp;BET6,tblProjectSchedule[[Finish]:[Finish]],"&gt;="&amp;BET6)+SUMIFS(tblProjectSchedule[[Helpers]:[Helpers]],tblProjectSchedule[[Start]:[Start]],"&lt;="&amp;BET6,tblProjectSchedule[[Finish]:[Finish]],"&gt;="&amp;BET6))</f>
        <v>0</v>
      </c>
      <c r="BEU4" s="172">
        <f>IF(WEEKDAY(BEU6,12)&gt;=6,0,SUMIFS(tblProjectSchedule[[Skilled]:[Skilled]],tblProjectSchedule[[Start]:[Start]],"&lt;="&amp;BEU6,tblProjectSchedule[[Finish]:[Finish]],"&gt;="&amp;BEU6)+SUMIFS(tblProjectSchedule[[Helpers]:[Helpers]],tblProjectSchedule[[Start]:[Start]],"&lt;="&amp;BEU6,tblProjectSchedule[[Finish]:[Finish]],"&gt;="&amp;BEU6))</f>
        <v>0</v>
      </c>
      <c r="BEV4" s="172">
        <f>IF(WEEKDAY(BEV6,12)&gt;=6,0,SUMIFS(tblProjectSchedule[[Skilled]:[Skilled]],tblProjectSchedule[[Start]:[Start]],"&lt;="&amp;BEV6,tblProjectSchedule[[Finish]:[Finish]],"&gt;="&amp;BEV6)+SUMIFS(tblProjectSchedule[[Helpers]:[Helpers]],tblProjectSchedule[[Start]:[Start]],"&lt;="&amp;BEV6,tblProjectSchedule[[Finish]:[Finish]],"&gt;="&amp;BEV6))</f>
        <v>0</v>
      </c>
      <c r="BEW4" s="172">
        <f>IF(WEEKDAY(BEW6,12)&gt;=6,0,SUMIFS(tblProjectSchedule[[Skilled]:[Skilled]],tblProjectSchedule[[Start]:[Start]],"&lt;="&amp;BEW6,tblProjectSchedule[[Finish]:[Finish]],"&gt;="&amp;BEW6)+SUMIFS(tblProjectSchedule[[Helpers]:[Helpers]],tblProjectSchedule[[Start]:[Start]],"&lt;="&amp;BEW6,tblProjectSchedule[[Finish]:[Finish]],"&gt;="&amp;BEW6))</f>
        <v>0</v>
      </c>
      <c r="BEX4" s="172">
        <f>IF(WEEKDAY(BEX6,12)&gt;=6,0,SUMIFS(tblProjectSchedule[[Skilled]:[Skilled]],tblProjectSchedule[[Start]:[Start]],"&lt;="&amp;BEX6,tblProjectSchedule[[Finish]:[Finish]],"&gt;="&amp;BEX6)+SUMIFS(tblProjectSchedule[[Helpers]:[Helpers]],tblProjectSchedule[[Start]:[Start]],"&lt;="&amp;BEX6,tblProjectSchedule[[Finish]:[Finish]],"&gt;="&amp;BEX6))</f>
        <v>0</v>
      </c>
      <c r="BEY4" s="172">
        <f>IF(WEEKDAY(BEY6,12)&gt;=6,0,SUMIFS(tblProjectSchedule[[Skilled]:[Skilled]],tblProjectSchedule[[Start]:[Start]],"&lt;="&amp;BEY6,tblProjectSchedule[[Finish]:[Finish]],"&gt;="&amp;BEY6)+SUMIFS(tblProjectSchedule[[Helpers]:[Helpers]],tblProjectSchedule[[Start]:[Start]],"&lt;="&amp;BEY6,tblProjectSchedule[[Finish]:[Finish]],"&gt;="&amp;BEY6))</f>
        <v>0</v>
      </c>
      <c r="BEZ4" s="174">
        <f>IF(WEEKDAY(BEZ6,12)&gt;=6,0,SUMIFS(tblProjectSchedule[[Skilled]:[Skilled]],tblProjectSchedule[[Start]:[Start]],"&lt;="&amp;BEZ6,tblProjectSchedule[[Finish]:[Finish]],"&gt;="&amp;BEZ6)+SUMIFS(tblProjectSchedule[[Helpers]:[Helpers]],tblProjectSchedule[[Start]:[Start]],"&lt;="&amp;BEZ6,tblProjectSchedule[[Finish]:[Finish]],"&gt;="&amp;BEZ6))</f>
        <v>0</v>
      </c>
      <c r="BFA4" s="173">
        <f>IF(WEEKDAY(BFA6,12)&gt;=6,0,SUMIFS(tblProjectSchedule[[Skilled]:[Skilled]],tblProjectSchedule[[Start]:[Start]],"&lt;="&amp;BFA6,tblProjectSchedule[[Finish]:[Finish]],"&gt;="&amp;BFA6)+SUMIFS(tblProjectSchedule[[Helpers]:[Helpers]],tblProjectSchedule[[Start]:[Start]],"&lt;="&amp;BFA6,tblProjectSchedule[[Finish]:[Finish]],"&gt;="&amp;BFA6))</f>
        <v>0</v>
      </c>
      <c r="BFB4" s="172">
        <f>IF(WEEKDAY(BFB6,12)&gt;=6,0,SUMIFS(tblProjectSchedule[[Skilled]:[Skilled]],tblProjectSchedule[[Start]:[Start]],"&lt;="&amp;BFB6,tblProjectSchedule[[Finish]:[Finish]],"&gt;="&amp;BFB6)+SUMIFS(tblProjectSchedule[[Helpers]:[Helpers]],tblProjectSchedule[[Start]:[Start]],"&lt;="&amp;BFB6,tblProjectSchedule[[Finish]:[Finish]],"&gt;="&amp;BFB6))</f>
        <v>0</v>
      </c>
      <c r="BFC4" s="172">
        <f>IF(WEEKDAY(BFC6,12)&gt;=6,0,SUMIFS(tblProjectSchedule[[Skilled]:[Skilled]],tblProjectSchedule[[Start]:[Start]],"&lt;="&amp;BFC6,tblProjectSchedule[[Finish]:[Finish]],"&gt;="&amp;BFC6)+SUMIFS(tblProjectSchedule[[Helpers]:[Helpers]],tblProjectSchedule[[Start]:[Start]],"&lt;="&amp;BFC6,tblProjectSchedule[[Finish]:[Finish]],"&gt;="&amp;BFC6))</f>
        <v>0</v>
      </c>
      <c r="BFD4" s="172">
        <f>IF(WEEKDAY(BFD6,12)&gt;=6,0,SUMIFS(tblProjectSchedule[[Skilled]:[Skilled]],tblProjectSchedule[[Start]:[Start]],"&lt;="&amp;BFD6,tblProjectSchedule[[Finish]:[Finish]],"&gt;="&amp;BFD6)+SUMIFS(tblProjectSchedule[[Helpers]:[Helpers]],tblProjectSchedule[[Start]:[Start]],"&lt;="&amp;BFD6,tblProjectSchedule[[Finish]:[Finish]],"&gt;="&amp;BFD6))</f>
        <v>0</v>
      </c>
      <c r="BFE4" s="172">
        <f>IF(WEEKDAY(BFE6,12)&gt;=6,0,SUMIFS(tblProjectSchedule[[Skilled]:[Skilled]],tblProjectSchedule[[Start]:[Start]],"&lt;="&amp;BFE6,tblProjectSchedule[[Finish]:[Finish]],"&gt;="&amp;BFE6)+SUMIFS(tblProjectSchedule[[Helpers]:[Helpers]],tblProjectSchedule[[Start]:[Start]],"&lt;="&amp;BFE6,tblProjectSchedule[[Finish]:[Finish]],"&gt;="&amp;BFE6))</f>
        <v>0</v>
      </c>
      <c r="BFF4" s="172">
        <f>IF(WEEKDAY(BFF6,12)&gt;=6,0,SUMIFS(tblProjectSchedule[[Skilled]:[Skilled]],tblProjectSchedule[[Start]:[Start]],"&lt;="&amp;BFF6,tblProjectSchedule[[Finish]:[Finish]],"&gt;="&amp;BFF6)+SUMIFS(tblProjectSchedule[[Helpers]:[Helpers]],tblProjectSchedule[[Start]:[Start]],"&lt;="&amp;BFF6,tblProjectSchedule[[Finish]:[Finish]],"&gt;="&amp;BFF6))</f>
        <v>0</v>
      </c>
      <c r="BFG4" s="174">
        <f>IF(WEEKDAY(BFG6,12)&gt;=6,0,SUMIFS(tblProjectSchedule[[Skilled]:[Skilled]],tblProjectSchedule[[Start]:[Start]],"&lt;="&amp;BFG6,tblProjectSchedule[[Finish]:[Finish]],"&gt;="&amp;BFG6)+SUMIFS(tblProjectSchedule[[Helpers]:[Helpers]],tblProjectSchedule[[Start]:[Start]],"&lt;="&amp;BFG6,tblProjectSchedule[[Finish]:[Finish]],"&gt;="&amp;BFG6))</f>
        <v>0</v>
      </c>
      <c r="BFH4" s="173">
        <f>IF(WEEKDAY(BFH6,12)&gt;=6,0,SUMIFS(tblProjectSchedule[[Skilled]:[Skilled]],tblProjectSchedule[[Start]:[Start]],"&lt;="&amp;BFH6,tblProjectSchedule[[Finish]:[Finish]],"&gt;="&amp;BFH6)+SUMIFS(tblProjectSchedule[[Helpers]:[Helpers]],tblProjectSchedule[[Start]:[Start]],"&lt;="&amp;BFH6,tblProjectSchedule[[Finish]:[Finish]],"&gt;="&amp;BFH6))</f>
        <v>0</v>
      </c>
      <c r="BFI4" s="172">
        <f>IF(WEEKDAY(BFI6,12)&gt;=6,0,SUMIFS(tblProjectSchedule[[Skilled]:[Skilled]],tblProjectSchedule[[Start]:[Start]],"&lt;="&amp;BFI6,tblProjectSchedule[[Finish]:[Finish]],"&gt;="&amp;BFI6)+SUMIFS(tblProjectSchedule[[Helpers]:[Helpers]],tblProjectSchedule[[Start]:[Start]],"&lt;="&amp;BFI6,tblProjectSchedule[[Finish]:[Finish]],"&gt;="&amp;BFI6))</f>
        <v>0</v>
      </c>
      <c r="BFJ4" s="172">
        <f>IF(WEEKDAY(BFJ6,12)&gt;=6,0,SUMIFS(tblProjectSchedule[[Skilled]:[Skilled]],tblProjectSchedule[[Start]:[Start]],"&lt;="&amp;BFJ6,tblProjectSchedule[[Finish]:[Finish]],"&gt;="&amp;BFJ6)+SUMIFS(tblProjectSchedule[[Helpers]:[Helpers]],tblProjectSchedule[[Start]:[Start]],"&lt;="&amp;BFJ6,tblProjectSchedule[[Finish]:[Finish]],"&gt;="&amp;BFJ6))</f>
        <v>0</v>
      </c>
      <c r="BFK4" s="172">
        <f>IF(WEEKDAY(BFK6,12)&gt;=6,0,SUMIFS(tblProjectSchedule[[Skilled]:[Skilled]],tblProjectSchedule[[Start]:[Start]],"&lt;="&amp;BFK6,tblProjectSchedule[[Finish]:[Finish]],"&gt;="&amp;BFK6)+SUMIFS(tblProjectSchedule[[Helpers]:[Helpers]],tblProjectSchedule[[Start]:[Start]],"&lt;="&amp;BFK6,tblProjectSchedule[[Finish]:[Finish]],"&gt;="&amp;BFK6))</f>
        <v>0</v>
      </c>
      <c r="BFL4" s="172">
        <f>IF(WEEKDAY(BFL6,12)&gt;=6,0,SUMIFS(tblProjectSchedule[[Skilled]:[Skilled]],tblProjectSchedule[[Start]:[Start]],"&lt;="&amp;BFL6,tblProjectSchedule[[Finish]:[Finish]],"&gt;="&amp;BFL6)+SUMIFS(tblProjectSchedule[[Helpers]:[Helpers]],tblProjectSchedule[[Start]:[Start]],"&lt;="&amp;BFL6,tblProjectSchedule[[Finish]:[Finish]],"&gt;="&amp;BFL6))</f>
        <v>0</v>
      </c>
      <c r="BFM4" s="172">
        <f>IF(WEEKDAY(BFM6,12)&gt;=6,0,SUMIFS(tblProjectSchedule[[Skilled]:[Skilled]],tblProjectSchedule[[Start]:[Start]],"&lt;="&amp;BFM6,tblProjectSchedule[[Finish]:[Finish]],"&gt;="&amp;BFM6)+SUMIFS(tblProjectSchedule[[Helpers]:[Helpers]],tblProjectSchedule[[Start]:[Start]],"&lt;="&amp;BFM6,tblProjectSchedule[[Finish]:[Finish]],"&gt;="&amp;BFM6))</f>
        <v>0</v>
      </c>
      <c r="BFN4" s="174">
        <f>IF(WEEKDAY(BFN6,12)&gt;=6,0,SUMIFS(tblProjectSchedule[[Skilled]:[Skilled]],tblProjectSchedule[[Start]:[Start]],"&lt;="&amp;BFN6,tblProjectSchedule[[Finish]:[Finish]],"&gt;="&amp;BFN6)+SUMIFS(tblProjectSchedule[[Helpers]:[Helpers]],tblProjectSchedule[[Start]:[Start]],"&lt;="&amp;BFN6,tblProjectSchedule[[Finish]:[Finish]],"&gt;="&amp;BFN6))</f>
        <v>0</v>
      </c>
      <c r="BFO4" s="173">
        <f>IF(WEEKDAY(BFO6,12)&gt;=6,0,SUMIFS(tblProjectSchedule[[Skilled]:[Skilled]],tblProjectSchedule[[Start]:[Start]],"&lt;="&amp;BFO6,tblProjectSchedule[[Finish]:[Finish]],"&gt;="&amp;BFO6)+SUMIFS(tblProjectSchedule[[Helpers]:[Helpers]],tblProjectSchedule[[Start]:[Start]],"&lt;="&amp;BFO6,tblProjectSchedule[[Finish]:[Finish]],"&gt;="&amp;BFO6))</f>
        <v>0</v>
      </c>
      <c r="BFP4" s="172">
        <f>IF(WEEKDAY(BFP6,12)&gt;=6,0,SUMIFS(tblProjectSchedule[[Skilled]:[Skilled]],tblProjectSchedule[[Start]:[Start]],"&lt;="&amp;BFP6,tblProjectSchedule[[Finish]:[Finish]],"&gt;="&amp;BFP6)+SUMIFS(tblProjectSchedule[[Helpers]:[Helpers]],tblProjectSchedule[[Start]:[Start]],"&lt;="&amp;BFP6,tblProjectSchedule[[Finish]:[Finish]],"&gt;="&amp;BFP6))</f>
        <v>0</v>
      </c>
      <c r="BFQ4" s="172">
        <f>IF(WEEKDAY(BFQ6,12)&gt;=6,0,SUMIFS(tblProjectSchedule[[Skilled]:[Skilled]],tblProjectSchedule[[Start]:[Start]],"&lt;="&amp;BFQ6,tblProjectSchedule[[Finish]:[Finish]],"&gt;="&amp;BFQ6)+SUMIFS(tblProjectSchedule[[Helpers]:[Helpers]],tblProjectSchedule[[Start]:[Start]],"&lt;="&amp;BFQ6,tblProjectSchedule[[Finish]:[Finish]],"&gt;="&amp;BFQ6))</f>
        <v>0</v>
      </c>
      <c r="BFR4" s="172">
        <f>IF(WEEKDAY(BFR6,12)&gt;=6,0,SUMIFS(tblProjectSchedule[[Skilled]:[Skilled]],tblProjectSchedule[[Start]:[Start]],"&lt;="&amp;BFR6,tblProjectSchedule[[Finish]:[Finish]],"&gt;="&amp;BFR6)+SUMIFS(tblProjectSchedule[[Helpers]:[Helpers]],tblProjectSchedule[[Start]:[Start]],"&lt;="&amp;BFR6,tblProjectSchedule[[Finish]:[Finish]],"&gt;="&amp;BFR6))</f>
        <v>0</v>
      </c>
      <c r="BFS4" s="172">
        <f>IF(WEEKDAY(BFS6,12)&gt;=6,0,SUMIFS(tblProjectSchedule[[Skilled]:[Skilled]],tblProjectSchedule[[Start]:[Start]],"&lt;="&amp;BFS6,tblProjectSchedule[[Finish]:[Finish]],"&gt;="&amp;BFS6)+SUMIFS(tblProjectSchedule[[Helpers]:[Helpers]],tblProjectSchedule[[Start]:[Start]],"&lt;="&amp;BFS6,tblProjectSchedule[[Finish]:[Finish]],"&gt;="&amp;BFS6))</f>
        <v>0</v>
      </c>
      <c r="BFT4" s="172">
        <f>IF(WEEKDAY(BFT6,12)&gt;=6,0,SUMIFS(tblProjectSchedule[[Skilled]:[Skilled]],tblProjectSchedule[[Start]:[Start]],"&lt;="&amp;BFT6,tblProjectSchedule[[Finish]:[Finish]],"&gt;="&amp;BFT6)+SUMIFS(tblProjectSchedule[[Helpers]:[Helpers]],tblProjectSchedule[[Start]:[Start]],"&lt;="&amp;BFT6,tblProjectSchedule[[Finish]:[Finish]],"&gt;="&amp;BFT6))</f>
        <v>0</v>
      </c>
      <c r="BFU4" s="174">
        <f>IF(WEEKDAY(BFU6,12)&gt;=6,0,SUMIFS(tblProjectSchedule[[Skilled]:[Skilled]],tblProjectSchedule[[Start]:[Start]],"&lt;="&amp;BFU6,tblProjectSchedule[[Finish]:[Finish]],"&gt;="&amp;BFU6)+SUMIFS(tblProjectSchedule[[Helpers]:[Helpers]],tblProjectSchedule[[Start]:[Start]],"&lt;="&amp;BFU6,tblProjectSchedule[[Finish]:[Finish]],"&gt;="&amp;BFU6))</f>
        <v>0</v>
      </c>
      <c r="BFV4" s="173">
        <f>IF(WEEKDAY(BFV6,12)&gt;=6,0,SUMIFS(tblProjectSchedule[[Skilled]:[Skilled]],tblProjectSchedule[[Start]:[Start]],"&lt;="&amp;BFV6,tblProjectSchedule[[Finish]:[Finish]],"&gt;="&amp;BFV6)+SUMIFS(tblProjectSchedule[[Helpers]:[Helpers]],tblProjectSchedule[[Start]:[Start]],"&lt;="&amp;BFV6,tblProjectSchedule[[Finish]:[Finish]],"&gt;="&amp;BFV6))</f>
        <v>0</v>
      </c>
      <c r="BFW4" s="172">
        <f>IF(WEEKDAY(BFW6,12)&gt;=6,0,SUMIFS(tblProjectSchedule[[Skilled]:[Skilled]],tblProjectSchedule[[Start]:[Start]],"&lt;="&amp;BFW6,tblProjectSchedule[[Finish]:[Finish]],"&gt;="&amp;BFW6)+SUMIFS(tblProjectSchedule[[Helpers]:[Helpers]],tblProjectSchedule[[Start]:[Start]],"&lt;="&amp;BFW6,tblProjectSchedule[[Finish]:[Finish]],"&gt;="&amp;BFW6))</f>
        <v>0</v>
      </c>
      <c r="BFX4" s="172">
        <f>IF(WEEKDAY(BFX6,12)&gt;=6,0,SUMIFS(tblProjectSchedule[[Skilled]:[Skilled]],tblProjectSchedule[[Start]:[Start]],"&lt;="&amp;BFX6,tblProjectSchedule[[Finish]:[Finish]],"&gt;="&amp;BFX6)+SUMIFS(tblProjectSchedule[[Helpers]:[Helpers]],tblProjectSchedule[[Start]:[Start]],"&lt;="&amp;BFX6,tblProjectSchedule[[Finish]:[Finish]],"&gt;="&amp;BFX6))</f>
        <v>0</v>
      </c>
      <c r="BFY4" s="172">
        <f>IF(WEEKDAY(BFY6,12)&gt;=6,0,SUMIFS(tblProjectSchedule[[Skilled]:[Skilled]],tblProjectSchedule[[Start]:[Start]],"&lt;="&amp;BFY6,tblProjectSchedule[[Finish]:[Finish]],"&gt;="&amp;BFY6)+SUMIFS(tblProjectSchedule[[Helpers]:[Helpers]],tblProjectSchedule[[Start]:[Start]],"&lt;="&amp;BFY6,tblProjectSchedule[[Finish]:[Finish]],"&gt;="&amp;BFY6))</f>
        <v>0</v>
      </c>
      <c r="BFZ4" s="172">
        <f>IF(WEEKDAY(BFZ6,12)&gt;=6,0,SUMIFS(tblProjectSchedule[[Skilled]:[Skilled]],tblProjectSchedule[[Start]:[Start]],"&lt;="&amp;BFZ6,tblProjectSchedule[[Finish]:[Finish]],"&gt;="&amp;BFZ6)+SUMIFS(tblProjectSchedule[[Helpers]:[Helpers]],tblProjectSchedule[[Start]:[Start]],"&lt;="&amp;BFZ6,tblProjectSchedule[[Finish]:[Finish]],"&gt;="&amp;BFZ6))</f>
        <v>0</v>
      </c>
      <c r="BGA4" s="172">
        <f>IF(WEEKDAY(BGA6,12)&gt;=6,0,SUMIFS(tblProjectSchedule[[Skilled]:[Skilled]],tblProjectSchedule[[Start]:[Start]],"&lt;="&amp;BGA6,tblProjectSchedule[[Finish]:[Finish]],"&gt;="&amp;BGA6)+SUMIFS(tblProjectSchedule[[Helpers]:[Helpers]],tblProjectSchedule[[Start]:[Start]],"&lt;="&amp;BGA6,tblProjectSchedule[[Finish]:[Finish]],"&gt;="&amp;BGA6))</f>
        <v>0</v>
      </c>
      <c r="BGB4" s="174">
        <f>IF(WEEKDAY(BGB6,12)&gt;=6,0,SUMIFS(tblProjectSchedule[[Skilled]:[Skilled]],tblProjectSchedule[[Start]:[Start]],"&lt;="&amp;BGB6,tblProjectSchedule[[Finish]:[Finish]],"&gt;="&amp;BGB6)+SUMIFS(tblProjectSchedule[[Helpers]:[Helpers]],tblProjectSchedule[[Start]:[Start]],"&lt;="&amp;BGB6,tblProjectSchedule[[Finish]:[Finish]],"&gt;="&amp;BGB6))</f>
        <v>0</v>
      </c>
      <c r="BGC4" s="173">
        <f>IF(WEEKDAY(BGC6,12)&gt;=6,0,SUMIFS(tblProjectSchedule[[Skilled]:[Skilled]],tblProjectSchedule[[Start]:[Start]],"&lt;="&amp;BGC6,tblProjectSchedule[[Finish]:[Finish]],"&gt;="&amp;BGC6)+SUMIFS(tblProjectSchedule[[Helpers]:[Helpers]],tblProjectSchedule[[Start]:[Start]],"&lt;="&amp;BGC6,tblProjectSchedule[[Finish]:[Finish]],"&gt;="&amp;BGC6))</f>
        <v>0</v>
      </c>
      <c r="BGD4" s="172">
        <f>IF(WEEKDAY(BGD6,12)&gt;=6,0,SUMIFS(tblProjectSchedule[[Skilled]:[Skilled]],tblProjectSchedule[[Start]:[Start]],"&lt;="&amp;BGD6,tblProjectSchedule[[Finish]:[Finish]],"&gt;="&amp;BGD6)+SUMIFS(tblProjectSchedule[[Helpers]:[Helpers]],tblProjectSchedule[[Start]:[Start]],"&lt;="&amp;BGD6,tblProjectSchedule[[Finish]:[Finish]],"&gt;="&amp;BGD6))</f>
        <v>0</v>
      </c>
      <c r="BGE4" s="172">
        <f>IF(WEEKDAY(BGE6,12)&gt;=6,0,SUMIFS(tblProjectSchedule[[Skilled]:[Skilled]],tblProjectSchedule[[Start]:[Start]],"&lt;="&amp;BGE6,tblProjectSchedule[[Finish]:[Finish]],"&gt;="&amp;BGE6)+SUMIFS(tblProjectSchedule[[Helpers]:[Helpers]],tblProjectSchedule[[Start]:[Start]],"&lt;="&amp;BGE6,tblProjectSchedule[[Finish]:[Finish]],"&gt;="&amp;BGE6))</f>
        <v>0</v>
      </c>
      <c r="BGF4" s="172">
        <f>IF(WEEKDAY(BGF6,12)&gt;=6,0,SUMIFS(tblProjectSchedule[[Skilled]:[Skilled]],tblProjectSchedule[[Start]:[Start]],"&lt;="&amp;BGF6,tblProjectSchedule[[Finish]:[Finish]],"&gt;="&amp;BGF6)+SUMIFS(tblProjectSchedule[[Helpers]:[Helpers]],tblProjectSchedule[[Start]:[Start]],"&lt;="&amp;BGF6,tblProjectSchedule[[Finish]:[Finish]],"&gt;="&amp;BGF6))</f>
        <v>0</v>
      </c>
      <c r="BGG4" s="172">
        <f>IF(WEEKDAY(BGG6,12)&gt;=6,0,SUMIFS(tblProjectSchedule[[Skilled]:[Skilled]],tblProjectSchedule[[Start]:[Start]],"&lt;="&amp;BGG6,tblProjectSchedule[[Finish]:[Finish]],"&gt;="&amp;BGG6)+SUMIFS(tblProjectSchedule[[Helpers]:[Helpers]],tblProjectSchedule[[Start]:[Start]],"&lt;="&amp;BGG6,tblProjectSchedule[[Finish]:[Finish]],"&gt;="&amp;BGG6))</f>
        <v>0</v>
      </c>
      <c r="BGH4" s="172">
        <f>IF(WEEKDAY(BGH6,12)&gt;=6,0,SUMIFS(tblProjectSchedule[[Skilled]:[Skilled]],tblProjectSchedule[[Start]:[Start]],"&lt;="&amp;BGH6,tblProjectSchedule[[Finish]:[Finish]],"&gt;="&amp;BGH6)+SUMIFS(tblProjectSchedule[[Helpers]:[Helpers]],tblProjectSchedule[[Start]:[Start]],"&lt;="&amp;BGH6,tblProjectSchedule[[Finish]:[Finish]],"&gt;="&amp;BGH6))</f>
        <v>0</v>
      </c>
      <c r="BGI4" s="174">
        <f>IF(WEEKDAY(BGI6,12)&gt;=6,0,SUMIFS(tblProjectSchedule[[Skilled]:[Skilled]],tblProjectSchedule[[Start]:[Start]],"&lt;="&amp;BGI6,tblProjectSchedule[[Finish]:[Finish]],"&gt;="&amp;BGI6)+SUMIFS(tblProjectSchedule[[Helpers]:[Helpers]],tblProjectSchedule[[Start]:[Start]],"&lt;="&amp;BGI6,tblProjectSchedule[[Finish]:[Finish]],"&gt;="&amp;BGI6))</f>
        <v>0</v>
      </c>
      <c r="BGJ4" s="173">
        <f>IF(WEEKDAY(BGJ6,12)&gt;=6,0,SUMIFS(tblProjectSchedule[[Skilled]:[Skilled]],tblProjectSchedule[[Start]:[Start]],"&lt;="&amp;BGJ6,tblProjectSchedule[[Finish]:[Finish]],"&gt;="&amp;BGJ6)+SUMIFS(tblProjectSchedule[[Helpers]:[Helpers]],tblProjectSchedule[[Start]:[Start]],"&lt;="&amp;BGJ6,tblProjectSchedule[[Finish]:[Finish]],"&gt;="&amp;BGJ6))</f>
        <v>0</v>
      </c>
      <c r="BGK4" s="172">
        <f>IF(WEEKDAY(BGK6,12)&gt;=6,0,SUMIFS(tblProjectSchedule[[Skilled]:[Skilled]],tblProjectSchedule[[Start]:[Start]],"&lt;="&amp;BGK6,tblProjectSchedule[[Finish]:[Finish]],"&gt;="&amp;BGK6)+SUMIFS(tblProjectSchedule[[Helpers]:[Helpers]],tblProjectSchedule[[Start]:[Start]],"&lt;="&amp;BGK6,tblProjectSchedule[[Finish]:[Finish]],"&gt;="&amp;BGK6))</f>
        <v>0</v>
      </c>
      <c r="BGL4" s="172">
        <f>IF(WEEKDAY(BGL6,12)&gt;=6,0,SUMIFS(tblProjectSchedule[[Skilled]:[Skilled]],tblProjectSchedule[[Start]:[Start]],"&lt;="&amp;BGL6,tblProjectSchedule[[Finish]:[Finish]],"&gt;="&amp;BGL6)+SUMIFS(tblProjectSchedule[[Helpers]:[Helpers]],tblProjectSchedule[[Start]:[Start]],"&lt;="&amp;BGL6,tblProjectSchedule[[Finish]:[Finish]],"&gt;="&amp;BGL6))</f>
        <v>0</v>
      </c>
      <c r="BGM4" s="172">
        <f>IF(WEEKDAY(BGM6,12)&gt;=6,0,SUMIFS(tblProjectSchedule[[Skilled]:[Skilled]],tblProjectSchedule[[Start]:[Start]],"&lt;="&amp;BGM6,tblProjectSchedule[[Finish]:[Finish]],"&gt;="&amp;BGM6)+SUMIFS(tblProjectSchedule[[Helpers]:[Helpers]],tblProjectSchedule[[Start]:[Start]],"&lt;="&amp;BGM6,tblProjectSchedule[[Finish]:[Finish]],"&gt;="&amp;BGM6))</f>
        <v>0</v>
      </c>
      <c r="BGN4" s="172">
        <f>IF(WEEKDAY(BGN6,12)&gt;=6,0,SUMIFS(tblProjectSchedule[[Skilled]:[Skilled]],tblProjectSchedule[[Start]:[Start]],"&lt;="&amp;BGN6,tblProjectSchedule[[Finish]:[Finish]],"&gt;="&amp;BGN6)+SUMIFS(tblProjectSchedule[[Helpers]:[Helpers]],tblProjectSchedule[[Start]:[Start]],"&lt;="&amp;BGN6,tblProjectSchedule[[Finish]:[Finish]],"&gt;="&amp;BGN6))</f>
        <v>0</v>
      </c>
      <c r="BGO4" s="172">
        <f>IF(WEEKDAY(BGO6,12)&gt;=6,0,SUMIFS(tblProjectSchedule[[Skilled]:[Skilled]],tblProjectSchedule[[Start]:[Start]],"&lt;="&amp;BGO6,tblProjectSchedule[[Finish]:[Finish]],"&gt;="&amp;BGO6)+SUMIFS(tblProjectSchedule[[Helpers]:[Helpers]],tblProjectSchedule[[Start]:[Start]],"&lt;="&amp;BGO6,tblProjectSchedule[[Finish]:[Finish]],"&gt;="&amp;BGO6))</f>
        <v>0</v>
      </c>
      <c r="BGP4" s="174">
        <f>IF(WEEKDAY(BGP6,12)&gt;=6,0,SUMIFS(tblProjectSchedule[[Skilled]:[Skilled]],tblProjectSchedule[[Start]:[Start]],"&lt;="&amp;BGP6,tblProjectSchedule[[Finish]:[Finish]],"&gt;="&amp;BGP6)+SUMIFS(tblProjectSchedule[[Helpers]:[Helpers]],tblProjectSchedule[[Start]:[Start]],"&lt;="&amp;BGP6,tblProjectSchedule[[Finish]:[Finish]],"&gt;="&amp;BGP6))</f>
        <v>0</v>
      </c>
      <c r="BGQ4" s="173">
        <f>IF(WEEKDAY(BGQ6,12)&gt;=6,0,SUMIFS(tblProjectSchedule[[Skilled]:[Skilled]],tblProjectSchedule[[Start]:[Start]],"&lt;="&amp;BGQ6,tblProjectSchedule[[Finish]:[Finish]],"&gt;="&amp;BGQ6)+SUMIFS(tblProjectSchedule[[Helpers]:[Helpers]],tblProjectSchedule[[Start]:[Start]],"&lt;="&amp;BGQ6,tblProjectSchedule[[Finish]:[Finish]],"&gt;="&amp;BGQ6))</f>
        <v>0</v>
      </c>
      <c r="BGR4" s="172">
        <f>IF(WEEKDAY(BGR6,12)&gt;=6,0,SUMIFS(tblProjectSchedule[[Skilled]:[Skilled]],tblProjectSchedule[[Start]:[Start]],"&lt;="&amp;BGR6,tblProjectSchedule[[Finish]:[Finish]],"&gt;="&amp;BGR6)+SUMIFS(tblProjectSchedule[[Helpers]:[Helpers]],tblProjectSchedule[[Start]:[Start]],"&lt;="&amp;BGR6,tblProjectSchedule[[Finish]:[Finish]],"&gt;="&amp;BGR6))</f>
        <v>0</v>
      </c>
      <c r="BGS4" s="172">
        <f>IF(WEEKDAY(BGS6,12)&gt;=6,0,SUMIFS(tblProjectSchedule[[Skilled]:[Skilled]],tblProjectSchedule[[Start]:[Start]],"&lt;="&amp;BGS6,tblProjectSchedule[[Finish]:[Finish]],"&gt;="&amp;BGS6)+SUMIFS(tblProjectSchedule[[Helpers]:[Helpers]],tblProjectSchedule[[Start]:[Start]],"&lt;="&amp;BGS6,tblProjectSchedule[[Finish]:[Finish]],"&gt;="&amp;BGS6))</f>
        <v>0</v>
      </c>
      <c r="BGT4" s="172">
        <f>IF(WEEKDAY(BGT6,12)&gt;=6,0,SUMIFS(tblProjectSchedule[[Skilled]:[Skilled]],tblProjectSchedule[[Start]:[Start]],"&lt;="&amp;BGT6,tblProjectSchedule[[Finish]:[Finish]],"&gt;="&amp;BGT6)+SUMIFS(tblProjectSchedule[[Helpers]:[Helpers]],tblProjectSchedule[[Start]:[Start]],"&lt;="&amp;BGT6,tblProjectSchedule[[Finish]:[Finish]],"&gt;="&amp;BGT6))</f>
        <v>0</v>
      </c>
      <c r="BGU4" s="172">
        <f>IF(WEEKDAY(BGU6,12)&gt;=6,0,SUMIFS(tblProjectSchedule[[Skilled]:[Skilled]],tblProjectSchedule[[Start]:[Start]],"&lt;="&amp;BGU6,tblProjectSchedule[[Finish]:[Finish]],"&gt;="&amp;BGU6)+SUMIFS(tblProjectSchedule[[Helpers]:[Helpers]],tblProjectSchedule[[Start]:[Start]],"&lt;="&amp;BGU6,tblProjectSchedule[[Finish]:[Finish]],"&gt;="&amp;BGU6))</f>
        <v>0</v>
      </c>
      <c r="BGV4" s="172">
        <f>IF(WEEKDAY(BGV6,12)&gt;=6,0,SUMIFS(tblProjectSchedule[[Skilled]:[Skilled]],tblProjectSchedule[[Start]:[Start]],"&lt;="&amp;BGV6,tblProjectSchedule[[Finish]:[Finish]],"&gt;="&amp;BGV6)+SUMIFS(tblProjectSchedule[[Helpers]:[Helpers]],tblProjectSchedule[[Start]:[Start]],"&lt;="&amp;BGV6,tblProjectSchedule[[Finish]:[Finish]],"&gt;="&amp;BGV6))</f>
        <v>0</v>
      </c>
      <c r="BGW4" s="174">
        <f>IF(WEEKDAY(BGW6,12)&gt;=6,0,SUMIFS(tblProjectSchedule[[Skilled]:[Skilled]],tblProjectSchedule[[Start]:[Start]],"&lt;="&amp;BGW6,tblProjectSchedule[[Finish]:[Finish]],"&gt;="&amp;BGW6)+SUMIFS(tblProjectSchedule[[Helpers]:[Helpers]],tblProjectSchedule[[Start]:[Start]],"&lt;="&amp;BGW6,tblProjectSchedule[[Finish]:[Finish]],"&gt;="&amp;BGW6))</f>
        <v>0</v>
      </c>
      <c r="BGX4" s="173">
        <f>IF(WEEKDAY(BGX6,12)&gt;=6,0,SUMIFS(tblProjectSchedule[[Skilled]:[Skilled]],tblProjectSchedule[[Start]:[Start]],"&lt;="&amp;BGX6,tblProjectSchedule[[Finish]:[Finish]],"&gt;="&amp;BGX6)+SUMIFS(tblProjectSchedule[[Helpers]:[Helpers]],tblProjectSchedule[[Start]:[Start]],"&lt;="&amp;BGX6,tblProjectSchedule[[Finish]:[Finish]],"&gt;="&amp;BGX6))</f>
        <v>0</v>
      </c>
      <c r="BGY4" s="172">
        <f>IF(WEEKDAY(BGY6,12)&gt;=6,0,SUMIFS(tblProjectSchedule[[Skilled]:[Skilled]],tblProjectSchedule[[Start]:[Start]],"&lt;="&amp;BGY6,tblProjectSchedule[[Finish]:[Finish]],"&gt;="&amp;BGY6)+SUMIFS(tblProjectSchedule[[Helpers]:[Helpers]],tblProjectSchedule[[Start]:[Start]],"&lt;="&amp;BGY6,tblProjectSchedule[[Finish]:[Finish]],"&gt;="&amp;BGY6))</f>
        <v>0</v>
      </c>
      <c r="BGZ4" s="172">
        <f>IF(WEEKDAY(BGZ6,12)&gt;=6,0,SUMIFS(tblProjectSchedule[[Skilled]:[Skilled]],tblProjectSchedule[[Start]:[Start]],"&lt;="&amp;BGZ6,tblProjectSchedule[[Finish]:[Finish]],"&gt;="&amp;BGZ6)+SUMIFS(tblProjectSchedule[[Helpers]:[Helpers]],tblProjectSchedule[[Start]:[Start]],"&lt;="&amp;BGZ6,tblProjectSchedule[[Finish]:[Finish]],"&gt;="&amp;BGZ6))</f>
        <v>0</v>
      </c>
      <c r="BHA4" s="172">
        <f>IF(WEEKDAY(BHA6,12)&gt;=6,0,SUMIFS(tblProjectSchedule[[Skilled]:[Skilled]],tblProjectSchedule[[Start]:[Start]],"&lt;="&amp;BHA6,tblProjectSchedule[[Finish]:[Finish]],"&gt;="&amp;BHA6)+SUMIFS(tblProjectSchedule[[Helpers]:[Helpers]],tblProjectSchedule[[Start]:[Start]],"&lt;="&amp;BHA6,tblProjectSchedule[[Finish]:[Finish]],"&gt;="&amp;BHA6))</f>
        <v>0</v>
      </c>
      <c r="BHB4" s="172">
        <f>IF(WEEKDAY(BHB6,12)&gt;=6,0,SUMIFS(tblProjectSchedule[[Skilled]:[Skilled]],tblProjectSchedule[[Start]:[Start]],"&lt;="&amp;BHB6,tblProjectSchedule[[Finish]:[Finish]],"&gt;="&amp;BHB6)+SUMIFS(tblProjectSchedule[[Helpers]:[Helpers]],tblProjectSchedule[[Start]:[Start]],"&lt;="&amp;BHB6,tblProjectSchedule[[Finish]:[Finish]],"&gt;="&amp;BHB6))</f>
        <v>0</v>
      </c>
      <c r="BHC4" s="172">
        <f>IF(WEEKDAY(BHC6,12)&gt;=6,0,SUMIFS(tblProjectSchedule[[Skilled]:[Skilled]],tblProjectSchedule[[Start]:[Start]],"&lt;="&amp;BHC6,tblProjectSchedule[[Finish]:[Finish]],"&gt;="&amp;BHC6)+SUMIFS(tblProjectSchedule[[Helpers]:[Helpers]],tblProjectSchedule[[Start]:[Start]],"&lt;="&amp;BHC6,tblProjectSchedule[[Finish]:[Finish]],"&gt;="&amp;BHC6))</f>
        <v>0</v>
      </c>
      <c r="BHD4" s="174">
        <f>IF(WEEKDAY(BHD6,12)&gt;=6,0,SUMIFS(tblProjectSchedule[[Skilled]:[Skilled]],tblProjectSchedule[[Start]:[Start]],"&lt;="&amp;BHD6,tblProjectSchedule[[Finish]:[Finish]],"&gt;="&amp;BHD6)+SUMIFS(tblProjectSchedule[[Helpers]:[Helpers]],tblProjectSchedule[[Start]:[Start]],"&lt;="&amp;BHD6,tblProjectSchedule[[Finish]:[Finish]],"&gt;="&amp;BHD6))</f>
        <v>0</v>
      </c>
      <c r="BHE4" s="173">
        <f>IF(WEEKDAY(BHE6,12)&gt;=6,0,SUMIFS(tblProjectSchedule[[Skilled]:[Skilled]],tblProjectSchedule[[Start]:[Start]],"&lt;="&amp;BHE6,tblProjectSchedule[[Finish]:[Finish]],"&gt;="&amp;BHE6)+SUMIFS(tblProjectSchedule[[Helpers]:[Helpers]],tblProjectSchedule[[Start]:[Start]],"&lt;="&amp;BHE6,tblProjectSchedule[[Finish]:[Finish]],"&gt;="&amp;BHE6))</f>
        <v>0</v>
      </c>
      <c r="BHF4" s="172">
        <f>IF(WEEKDAY(BHF6,12)&gt;=6,0,SUMIFS(tblProjectSchedule[[Skilled]:[Skilled]],tblProjectSchedule[[Start]:[Start]],"&lt;="&amp;BHF6,tblProjectSchedule[[Finish]:[Finish]],"&gt;="&amp;BHF6)+SUMIFS(tblProjectSchedule[[Helpers]:[Helpers]],tblProjectSchedule[[Start]:[Start]],"&lt;="&amp;BHF6,tblProjectSchedule[[Finish]:[Finish]],"&gt;="&amp;BHF6))</f>
        <v>0</v>
      </c>
      <c r="BHG4" s="172">
        <f>IF(WEEKDAY(BHG6,12)&gt;=6,0,SUMIFS(tblProjectSchedule[[Skilled]:[Skilled]],tblProjectSchedule[[Start]:[Start]],"&lt;="&amp;BHG6,tblProjectSchedule[[Finish]:[Finish]],"&gt;="&amp;BHG6)+SUMIFS(tblProjectSchedule[[Helpers]:[Helpers]],tblProjectSchedule[[Start]:[Start]],"&lt;="&amp;BHG6,tblProjectSchedule[[Finish]:[Finish]],"&gt;="&amp;BHG6))</f>
        <v>0</v>
      </c>
      <c r="BHH4" s="172">
        <f>IF(WEEKDAY(BHH6,12)&gt;=6,0,SUMIFS(tblProjectSchedule[[Skilled]:[Skilled]],tblProjectSchedule[[Start]:[Start]],"&lt;="&amp;BHH6,tblProjectSchedule[[Finish]:[Finish]],"&gt;="&amp;BHH6)+SUMIFS(tblProjectSchedule[[Helpers]:[Helpers]],tblProjectSchedule[[Start]:[Start]],"&lt;="&amp;BHH6,tblProjectSchedule[[Finish]:[Finish]],"&gt;="&amp;BHH6))</f>
        <v>0</v>
      </c>
      <c r="BHI4" s="172">
        <f>IF(WEEKDAY(BHI6,12)&gt;=6,0,SUMIFS(tblProjectSchedule[[Skilled]:[Skilled]],tblProjectSchedule[[Start]:[Start]],"&lt;="&amp;BHI6,tblProjectSchedule[[Finish]:[Finish]],"&gt;="&amp;BHI6)+SUMIFS(tblProjectSchedule[[Helpers]:[Helpers]],tblProjectSchedule[[Start]:[Start]],"&lt;="&amp;BHI6,tblProjectSchedule[[Finish]:[Finish]],"&gt;="&amp;BHI6))</f>
        <v>0</v>
      </c>
      <c r="BHJ4" s="172">
        <f>IF(WEEKDAY(BHJ6,12)&gt;=6,0,SUMIFS(tblProjectSchedule[[Skilled]:[Skilled]],tblProjectSchedule[[Start]:[Start]],"&lt;="&amp;BHJ6,tblProjectSchedule[[Finish]:[Finish]],"&gt;="&amp;BHJ6)+SUMIFS(tblProjectSchedule[[Helpers]:[Helpers]],tblProjectSchedule[[Start]:[Start]],"&lt;="&amp;BHJ6,tblProjectSchedule[[Finish]:[Finish]],"&gt;="&amp;BHJ6))</f>
        <v>0</v>
      </c>
      <c r="BHK4" s="174">
        <f>IF(WEEKDAY(BHK6,12)&gt;=6,0,SUMIFS(tblProjectSchedule[[Skilled]:[Skilled]],tblProjectSchedule[[Start]:[Start]],"&lt;="&amp;BHK6,tblProjectSchedule[[Finish]:[Finish]],"&gt;="&amp;BHK6)+SUMIFS(tblProjectSchedule[[Helpers]:[Helpers]],tblProjectSchedule[[Start]:[Start]],"&lt;="&amp;BHK6,tblProjectSchedule[[Finish]:[Finish]],"&gt;="&amp;BHK6))</f>
        <v>0</v>
      </c>
      <c r="BHL4" s="173">
        <f>IF(WEEKDAY(BHL6,12)&gt;=6,0,SUMIFS(tblProjectSchedule[[Skilled]:[Skilled]],tblProjectSchedule[[Start]:[Start]],"&lt;="&amp;BHL6,tblProjectSchedule[[Finish]:[Finish]],"&gt;="&amp;BHL6)+SUMIFS(tblProjectSchedule[[Helpers]:[Helpers]],tblProjectSchedule[[Start]:[Start]],"&lt;="&amp;BHL6,tblProjectSchedule[[Finish]:[Finish]],"&gt;="&amp;BHL6))</f>
        <v>0</v>
      </c>
      <c r="BHM4" s="172">
        <f>IF(WEEKDAY(BHM6,12)&gt;=6,0,SUMIFS(tblProjectSchedule[[Skilled]:[Skilled]],tblProjectSchedule[[Start]:[Start]],"&lt;="&amp;BHM6,tblProjectSchedule[[Finish]:[Finish]],"&gt;="&amp;BHM6)+SUMIFS(tblProjectSchedule[[Helpers]:[Helpers]],tblProjectSchedule[[Start]:[Start]],"&lt;="&amp;BHM6,tblProjectSchedule[[Finish]:[Finish]],"&gt;="&amp;BHM6))</f>
        <v>0</v>
      </c>
      <c r="BHN4" s="172">
        <f>IF(WEEKDAY(BHN6,12)&gt;=6,0,SUMIFS(tblProjectSchedule[[Skilled]:[Skilled]],tblProjectSchedule[[Start]:[Start]],"&lt;="&amp;BHN6,tblProjectSchedule[[Finish]:[Finish]],"&gt;="&amp;BHN6)+SUMIFS(tblProjectSchedule[[Helpers]:[Helpers]],tblProjectSchedule[[Start]:[Start]],"&lt;="&amp;BHN6,tblProjectSchedule[[Finish]:[Finish]],"&gt;="&amp;BHN6))</f>
        <v>0</v>
      </c>
      <c r="BHO4" s="172">
        <f>IF(WEEKDAY(BHO6,12)&gt;=6,0,SUMIFS(tblProjectSchedule[[Skilled]:[Skilled]],tblProjectSchedule[[Start]:[Start]],"&lt;="&amp;BHO6,tblProjectSchedule[[Finish]:[Finish]],"&gt;="&amp;BHO6)+SUMIFS(tblProjectSchedule[[Helpers]:[Helpers]],tblProjectSchedule[[Start]:[Start]],"&lt;="&amp;BHO6,tblProjectSchedule[[Finish]:[Finish]],"&gt;="&amp;BHO6))</f>
        <v>0</v>
      </c>
      <c r="BHP4" s="172">
        <f>IF(WEEKDAY(BHP6,12)&gt;=6,0,SUMIFS(tblProjectSchedule[[Skilled]:[Skilled]],tblProjectSchedule[[Start]:[Start]],"&lt;="&amp;BHP6,tblProjectSchedule[[Finish]:[Finish]],"&gt;="&amp;BHP6)+SUMIFS(tblProjectSchedule[[Helpers]:[Helpers]],tblProjectSchedule[[Start]:[Start]],"&lt;="&amp;BHP6,tblProjectSchedule[[Finish]:[Finish]],"&gt;="&amp;BHP6))</f>
        <v>0</v>
      </c>
      <c r="BHQ4" s="172">
        <f>IF(WEEKDAY(BHQ6,12)&gt;=6,0,SUMIFS(tblProjectSchedule[[Skilled]:[Skilled]],tblProjectSchedule[[Start]:[Start]],"&lt;="&amp;BHQ6,tblProjectSchedule[[Finish]:[Finish]],"&gt;="&amp;BHQ6)+SUMIFS(tblProjectSchedule[[Helpers]:[Helpers]],tblProjectSchedule[[Start]:[Start]],"&lt;="&amp;BHQ6,tblProjectSchedule[[Finish]:[Finish]],"&gt;="&amp;BHQ6))</f>
        <v>0</v>
      </c>
      <c r="BHR4" s="174">
        <f>IF(WEEKDAY(BHR6,12)&gt;=6,0,SUMIFS(tblProjectSchedule[[Skilled]:[Skilled]],tblProjectSchedule[[Start]:[Start]],"&lt;="&amp;BHR6,tblProjectSchedule[[Finish]:[Finish]],"&gt;="&amp;BHR6)+SUMIFS(tblProjectSchedule[[Helpers]:[Helpers]],tblProjectSchedule[[Start]:[Start]],"&lt;="&amp;BHR6,tblProjectSchedule[[Finish]:[Finish]],"&gt;="&amp;BHR6))</f>
        <v>0</v>
      </c>
      <c r="BHS4" s="173">
        <f>IF(WEEKDAY(BHS6,12)&gt;=6,0,SUMIFS(tblProjectSchedule[[Skilled]:[Skilled]],tblProjectSchedule[[Start]:[Start]],"&lt;="&amp;BHS6,tblProjectSchedule[[Finish]:[Finish]],"&gt;="&amp;BHS6)+SUMIFS(tblProjectSchedule[[Helpers]:[Helpers]],tblProjectSchedule[[Start]:[Start]],"&lt;="&amp;BHS6,tblProjectSchedule[[Finish]:[Finish]],"&gt;="&amp;BHS6))</f>
        <v>0</v>
      </c>
      <c r="BHT4" s="172">
        <f>IF(WEEKDAY(BHT6,12)&gt;=6,0,SUMIFS(tblProjectSchedule[[Skilled]:[Skilled]],tblProjectSchedule[[Start]:[Start]],"&lt;="&amp;BHT6,tblProjectSchedule[[Finish]:[Finish]],"&gt;="&amp;BHT6)+SUMIFS(tblProjectSchedule[[Helpers]:[Helpers]],tblProjectSchedule[[Start]:[Start]],"&lt;="&amp;BHT6,tblProjectSchedule[[Finish]:[Finish]],"&gt;="&amp;BHT6))</f>
        <v>0</v>
      </c>
      <c r="BHU4" s="172">
        <f>IF(WEEKDAY(BHU6,12)&gt;=6,0,SUMIFS(tblProjectSchedule[[Skilled]:[Skilled]],tblProjectSchedule[[Start]:[Start]],"&lt;="&amp;BHU6,tblProjectSchedule[[Finish]:[Finish]],"&gt;="&amp;BHU6)+SUMIFS(tblProjectSchedule[[Helpers]:[Helpers]],tblProjectSchedule[[Start]:[Start]],"&lt;="&amp;BHU6,tblProjectSchedule[[Finish]:[Finish]],"&gt;="&amp;BHU6))</f>
        <v>0</v>
      </c>
      <c r="BHV4" s="172">
        <f>IF(WEEKDAY(BHV6,12)&gt;=6,0,SUMIFS(tblProjectSchedule[[Skilled]:[Skilled]],tblProjectSchedule[[Start]:[Start]],"&lt;="&amp;BHV6,tblProjectSchedule[[Finish]:[Finish]],"&gt;="&amp;BHV6)+SUMIFS(tblProjectSchedule[[Helpers]:[Helpers]],tblProjectSchedule[[Start]:[Start]],"&lt;="&amp;BHV6,tblProjectSchedule[[Finish]:[Finish]],"&gt;="&amp;BHV6))</f>
        <v>0</v>
      </c>
      <c r="BHW4" s="172">
        <f>IF(WEEKDAY(BHW6,12)&gt;=6,0,SUMIFS(tblProjectSchedule[[Skilled]:[Skilled]],tblProjectSchedule[[Start]:[Start]],"&lt;="&amp;BHW6,tblProjectSchedule[[Finish]:[Finish]],"&gt;="&amp;BHW6)+SUMIFS(tblProjectSchedule[[Helpers]:[Helpers]],tblProjectSchedule[[Start]:[Start]],"&lt;="&amp;BHW6,tblProjectSchedule[[Finish]:[Finish]],"&gt;="&amp;BHW6))</f>
        <v>0</v>
      </c>
      <c r="BHX4" s="172">
        <f>IF(WEEKDAY(BHX6,12)&gt;=6,0,SUMIFS(tblProjectSchedule[[Skilled]:[Skilled]],tblProjectSchedule[[Start]:[Start]],"&lt;="&amp;BHX6,tblProjectSchedule[[Finish]:[Finish]],"&gt;="&amp;BHX6)+SUMIFS(tblProjectSchedule[[Helpers]:[Helpers]],tblProjectSchedule[[Start]:[Start]],"&lt;="&amp;BHX6,tblProjectSchedule[[Finish]:[Finish]],"&gt;="&amp;BHX6))</f>
        <v>0</v>
      </c>
      <c r="BHY4" s="174">
        <f>IF(WEEKDAY(BHY6,12)&gt;=6,0,SUMIFS(tblProjectSchedule[[Skilled]:[Skilled]],tblProjectSchedule[[Start]:[Start]],"&lt;="&amp;BHY6,tblProjectSchedule[[Finish]:[Finish]],"&gt;="&amp;BHY6)+SUMIFS(tblProjectSchedule[[Helpers]:[Helpers]],tblProjectSchedule[[Start]:[Start]],"&lt;="&amp;BHY6,tblProjectSchedule[[Finish]:[Finish]],"&gt;="&amp;BHY6))</f>
        <v>0</v>
      </c>
      <c r="BHZ4" s="173">
        <f>IF(WEEKDAY(BHZ6,12)&gt;=6,0,SUMIFS(tblProjectSchedule[[Skilled]:[Skilled]],tblProjectSchedule[[Start]:[Start]],"&lt;="&amp;BHZ6,tblProjectSchedule[[Finish]:[Finish]],"&gt;="&amp;BHZ6)+SUMIFS(tblProjectSchedule[[Helpers]:[Helpers]],tblProjectSchedule[[Start]:[Start]],"&lt;="&amp;BHZ6,tblProjectSchedule[[Finish]:[Finish]],"&gt;="&amp;BHZ6))</f>
        <v>0</v>
      </c>
      <c r="BIA4" s="172">
        <f>IF(WEEKDAY(BIA6,12)&gt;=6,0,SUMIFS(tblProjectSchedule[[Skilled]:[Skilled]],tblProjectSchedule[[Start]:[Start]],"&lt;="&amp;BIA6,tblProjectSchedule[[Finish]:[Finish]],"&gt;="&amp;BIA6)+SUMIFS(tblProjectSchedule[[Helpers]:[Helpers]],tblProjectSchedule[[Start]:[Start]],"&lt;="&amp;BIA6,tblProjectSchedule[[Finish]:[Finish]],"&gt;="&amp;BIA6))</f>
        <v>0</v>
      </c>
      <c r="BIB4" s="172">
        <f>IF(WEEKDAY(BIB6,12)&gt;=6,0,SUMIFS(tblProjectSchedule[[Skilled]:[Skilled]],tblProjectSchedule[[Start]:[Start]],"&lt;="&amp;BIB6,tblProjectSchedule[[Finish]:[Finish]],"&gt;="&amp;BIB6)+SUMIFS(tblProjectSchedule[[Helpers]:[Helpers]],tblProjectSchedule[[Start]:[Start]],"&lt;="&amp;BIB6,tblProjectSchedule[[Finish]:[Finish]],"&gt;="&amp;BIB6))</f>
        <v>0</v>
      </c>
      <c r="BIC4" s="172">
        <f>IF(WEEKDAY(BIC6,12)&gt;=6,0,SUMIFS(tblProjectSchedule[[Skilled]:[Skilled]],tblProjectSchedule[[Start]:[Start]],"&lt;="&amp;BIC6,tblProjectSchedule[[Finish]:[Finish]],"&gt;="&amp;BIC6)+SUMIFS(tblProjectSchedule[[Helpers]:[Helpers]],tblProjectSchedule[[Start]:[Start]],"&lt;="&amp;BIC6,tblProjectSchedule[[Finish]:[Finish]],"&gt;="&amp;BIC6))</f>
        <v>0</v>
      </c>
      <c r="BID4" s="172">
        <f>IF(WEEKDAY(BID6,12)&gt;=6,0,SUMIFS(tblProjectSchedule[[Skilled]:[Skilled]],tblProjectSchedule[[Start]:[Start]],"&lt;="&amp;BID6,tblProjectSchedule[[Finish]:[Finish]],"&gt;="&amp;BID6)+SUMIFS(tblProjectSchedule[[Helpers]:[Helpers]],tblProjectSchedule[[Start]:[Start]],"&lt;="&amp;BID6,tblProjectSchedule[[Finish]:[Finish]],"&gt;="&amp;BID6))</f>
        <v>0</v>
      </c>
      <c r="BIE4" s="172">
        <f>IF(WEEKDAY(BIE6,12)&gt;=6,0,SUMIFS(tblProjectSchedule[[Skilled]:[Skilled]],tblProjectSchedule[[Start]:[Start]],"&lt;="&amp;BIE6,tblProjectSchedule[[Finish]:[Finish]],"&gt;="&amp;BIE6)+SUMIFS(tblProjectSchedule[[Helpers]:[Helpers]],tblProjectSchedule[[Start]:[Start]],"&lt;="&amp;BIE6,tblProjectSchedule[[Finish]:[Finish]],"&gt;="&amp;BIE6))</f>
        <v>0</v>
      </c>
      <c r="BIF4" s="174">
        <f>IF(WEEKDAY(BIF6,12)&gt;=6,0,SUMIFS(tblProjectSchedule[[Skilled]:[Skilled]],tblProjectSchedule[[Start]:[Start]],"&lt;="&amp;BIF6,tblProjectSchedule[[Finish]:[Finish]],"&gt;="&amp;BIF6)+SUMIFS(tblProjectSchedule[[Helpers]:[Helpers]],tblProjectSchedule[[Start]:[Start]],"&lt;="&amp;BIF6,tblProjectSchedule[[Finish]:[Finish]],"&gt;="&amp;BIF6))</f>
        <v>0</v>
      </c>
      <c r="BIG4" s="173">
        <f>IF(WEEKDAY(BIG6,12)&gt;=6,0,SUMIFS(tblProjectSchedule[[Skilled]:[Skilled]],tblProjectSchedule[[Start]:[Start]],"&lt;="&amp;BIG6,tblProjectSchedule[[Finish]:[Finish]],"&gt;="&amp;BIG6)+SUMIFS(tblProjectSchedule[[Helpers]:[Helpers]],tblProjectSchedule[[Start]:[Start]],"&lt;="&amp;BIG6,tblProjectSchedule[[Finish]:[Finish]],"&gt;="&amp;BIG6))</f>
        <v>0</v>
      </c>
      <c r="BIH4" s="172">
        <f>IF(WEEKDAY(BIH6,12)&gt;=6,0,SUMIFS(tblProjectSchedule[[Skilled]:[Skilled]],tblProjectSchedule[[Start]:[Start]],"&lt;="&amp;BIH6,tblProjectSchedule[[Finish]:[Finish]],"&gt;="&amp;BIH6)+SUMIFS(tblProjectSchedule[[Helpers]:[Helpers]],tblProjectSchedule[[Start]:[Start]],"&lt;="&amp;BIH6,tblProjectSchedule[[Finish]:[Finish]],"&gt;="&amp;BIH6))</f>
        <v>0</v>
      </c>
      <c r="BII4" s="172">
        <f>IF(WEEKDAY(BII6,12)&gt;=6,0,SUMIFS(tblProjectSchedule[[Skilled]:[Skilled]],tblProjectSchedule[[Start]:[Start]],"&lt;="&amp;BII6,tblProjectSchedule[[Finish]:[Finish]],"&gt;="&amp;BII6)+SUMIFS(tblProjectSchedule[[Helpers]:[Helpers]],tblProjectSchedule[[Start]:[Start]],"&lt;="&amp;BII6,tblProjectSchedule[[Finish]:[Finish]],"&gt;="&amp;BII6))</f>
        <v>0</v>
      </c>
      <c r="BIJ4" s="172">
        <f>IF(WEEKDAY(BIJ6,12)&gt;=6,0,SUMIFS(tblProjectSchedule[[Skilled]:[Skilled]],tblProjectSchedule[[Start]:[Start]],"&lt;="&amp;BIJ6,tblProjectSchedule[[Finish]:[Finish]],"&gt;="&amp;BIJ6)+SUMIFS(tblProjectSchedule[[Helpers]:[Helpers]],tblProjectSchedule[[Start]:[Start]],"&lt;="&amp;BIJ6,tblProjectSchedule[[Finish]:[Finish]],"&gt;="&amp;BIJ6))</f>
        <v>0</v>
      </c>
      <c r="BIK4" s="172">
        <f>IF(WEEKDAY(BIK6,12)&gt;=6,0,SUMIFS(tblProjectSchedule[[Skilled]:[Skilled]],tblProjectSchedule[[Start]:[Start]],"&lt;="&amp;BIK6,tblProjectSchedule[[Finish]:[Finish]],"&gt;="&amp;BIK6)+SUMIFS(tblProjectSchedule[[Helpers]:[Helpers]],tblProjectSchedule[[Start]:[Start]],"&lt;="&amp;BIK6,tblProjectSchedule[[Finish]:[Finish]],"&gt;="&amp;BIK6))</f>
        <v>0</v>
      </c>
      <c r="BIL4" s="172">
        <f>IF(WEEKDAY(BIL6,12)&gt;=6,0,SUMIFS(tblProjectSchedule[[Skilled]:[Skilled]],tblProjectSchedule[[Start]:[Start]],"&lt;="&amp;BIL6,tblProjectSchedule[[Finish]:[Finish]],"&gt;="&amp;BIL6)+SUMIFS(tblProjectSchedule[[Helpers]:[Helpers]],tblProjectSchedule[[Start]:[Start]],"&lt;="&amp;BIL6,tblProjectSchedule[[Finish]:[Finish]],"&gt;="&amp;BIL6))</f>
        <v>0</v>
      </c>
      <c r="BIM4" s="174">
        <f>IF(WEEKDAY(BIM6,12)&gt;=6,0,SUMIFS(tblProjectSchedule[[Skilled]:[Skilled]],tblProjectSchedule[[Start]:[Start]],"&lt;="&amp;BIM6,tblProjectSchedule[[Finish]:[Finish]],"&gt;="&amp;BIM6)+SUMIFS(tblProjectSchedule[[Helpers]:[Helpers]],tblProjectSchedule[[Start]:[Start]],"&lt;="&amp;BIM6,tblProjectSchedule[[Finish]:[Finish]],"&gt;="&amp;BIM6))</f>
        <v>0</v>
      </c>
      <c r="BIN4" s="173">
        <f>IF(WEEKDAY(BIN6,12)&gt;=6,0,SUMIFS(tblProjectSchedule[[Skilled]:[Skilled]],tblProjectSchedule[[Start]:[Start]],"&lt;="&amp;BIN6,tblProjectSchedule[[Finish]:[Finish]],"&gt;="&amp;BIN6)+SUMIFS(tblProjectSchedule[[Helpers]:[Helpers]],tblProjectSchedule[[Start]:[Start]],"&lt;="&amp;BIN6,tblProjectSchedule[[Finish]:[Finish]],"&gt;="&amp;BIN6))</f>
        <v>0</v>
      </c>
      <c r="BIO4" s="172">
        <f>IF(WEEKDAY(BIO6,12)&gt;=6,0,SUMIFS(tblProjectSchedule[[Skilled]:[Skilled]],tblProjectSchedule[[Start]:[Start]],"&lt;="&amp;BIO6,tblProjectSchedule[[Finish]:[Finish]],"&gt;="&amp;BIO6)+SUMIFS(tblProjectSchedule[[Helpers]:[Helpers]],tblProjectSchedule[[Start]:[Start]],"&lt;="&amp;BIO6,tblProjectSchedule[[Finish]:[Finish]],"&gt;="&amp;BIO6))</f>
        <v>0</v>
      </c>
      <c r="BIP4" s="172">
        <f>IF(WEEKDAY(BIP6,12)&gt;=6,0,SUMIFS(tblProjectSchedule[[Skilled]:[Skilled]],tblProjectSchedule[[Start]:[Start]],"&lt;="&amp;BIP6,tblProjectSchedule[[Finish]:[Finish]],"&gt;="&amp;BIP6)+SUMIFS(tblProjectSchedule[[Helpers]:[Helpers]],tblProjectSchedule[[Start]:[Start]],"&lt;="&amp;BIP6,tblProjectSchedule[[Finish]:[Finish]],"&gt;="&amp;BIP6))</f>
        <v>0</v>
      </c>
      <c r="BIQ4" s="172">
        <f>IF(WEEKDAY(BIQ6,12)&gt;=6,0,SUMIFS(tblProjectSchedule[[Skilled]:[Skilled]],tblProjectSchedule[[Start]:[Start]],"&lt;="&amp;BIQ6,tblProjectSchedule[[Finish]:[Finish]],"&gt;="&amp;BIQ6)+SUMIFS(tblProjectSchedule[[Helpers]:[Helpers]],tblProjectSchedule[[Start]:[Start]],"&lt;="&amp;BIQ6,tblProjectSchedule[[Finish]:[Finish]],"&gt;="&amp;BIQ6))</f>
        <v>0</v>
      </c>
      <c r="BIR4" s="172">
        <f>IF(WEEKDAY(BIR6,12)&gt;=6,0,SUMIFS(tblProjectSchedule[[Skilled]:[Skilled]],tblProjectSchedule[[Start]:[Start]],"&lt;="&amp;BIR6,tblProjectSchedule[[Finish]:[Finish]],"&gt;="&amp;BIR6)+SUMIFS(tblProjectSchedule[[Helpers]:[Helpers]],tblProjectSchedule[[Start]:[Start]],"&lt;="&amp;BIR6,tblProjectSchedule[[Finish]:[Finish]],"&gt;="&amp;BIR6))</f>
        <v>0</v>
      </c>
      <c r="BIS4" s="172">
        <f>IF(WEEKDAY(BIS6,12)&gt;=6,0,SUMIFS(tblProjectSchedule[[Skilled]:[Skilled]],tblProjectSchedule[[Start]:[Start]],"&lt;="&amp;BIS6,tblProjectSchedule[[Finish]:[Finish]],"&gt;="&amp;BIS6)+SUMIFS(tblProjectSchedule[[Helpers]:[Helpers]],tblProjectSchedule[[Start]:[Start]],"&lt;="&amp;BIS6,tblProjectSchedule[[Finish]:[Finish]],"&gt;="&amp;BIS6))</f>
        <v>0</v>
      </c>
      <c r="BIT4" s="174">
        <f>IF(WEEKDAY(BIT6,12)&gt;=6,0,SUMIFS(tblProjectSchedule[[Skilled]:[Skilled]],tblProjectSchedule[[Start]:[Start]],"&lt;="&amp;BIT6,tblProjectSchedule[[Finish]:[Finish]],"&gt;="&amp;BIT6)+SUMIFS(tblProjectSchedule[[Helpers]:[Helpers]],tblProjectSchedule[[Start]:[Start]],"&lt;="&amp;BIT6,tblProjectSchedule[[Finish]:[Finish]],"&gt;="&amp;BIT6))</f>
        <v>0</v>
      </c>
      <c r="BIU4" s="173">
        <f>IF(WEEKDAY(BIU6,12)&gt;=6,0,SUMIFS(tblProjectSchedule[[Skilled]:[Skilled]],tblProjectSchedule[[Start]:[Start]],"&lt;="&amp;BIU6,tblProjectSchedule[[Finish]:[Finish]],"&gt;="&amp;BIU6)+SUMIFS(tblProjectSchedule[[Helpers]:[Helpers]],tblProjectSchedule[[Start]:[Start]],"&lt;="&amp;BIU6,tblProjectSchedule[[Finish]:[Finish]],"&gt;="&amp;BIU6))</f>
        <v>0</v>
      </c>
      <c r="BIV4" s="172">
        <f>IF(WEEKDAY(BIV6,12)&gt;=6,0,SUMIFS(tblProjectSchedule[[Skilled]:[Skilled]],tblProjectSchedule[[Start]:[Start]],"&lt;="&amp;BIV6,tblProjectSchedule[[Finish]:[Finish]],"&gt;="&amp;BIV6)+SUMIFS(tblProjectSchedule[[Helpers]:[Helpers]],tblProjectSchedule[[Start]:[Start]],"&lt;="&amp;BIV6,tblProjectSchedule[[Finish]:[Finish]],"&gt;="&amp;BIV6))</f>
        <v>0</v>
      </c>
      <c r="BIW4" s="172">
        <f>IF(WEEKDAY(BIW6,12)&gt;=6,0,SUMIFS(tblProjectSchedule[[Skilled]:[Skilled]],tblProjectSchedule[[Start]:[Start]],"&lt;="&amp;BIW6,tblProjectSchedule[[Finish]:[Finish]],"&gt;="&amp;BIW6)+SUMIFS(tblProjectSchedule[[Helpers]:[Helpers]],tblProjectSchedule[[Start]:[Start]],"&lt;="&amp;BIW6,tblProjectSchedule[[Finish]:[Finish]],"&gt;="&amp;BIW6))</f>
        <v>0</v>
      </c>
      <c r="BIX4" s="172">
        <f>IF(WEEKDAY(BIX6,12)&gt;=6,0,SUMIFS(tblProjectSchedule[[Skilled]:[Skilled]],tblProjectSchedule[[Start]:[Start]],"&lt;="&amp;BIX6,tblProjectSchedule[[Finish]:[Finish]],"&gt;="&amp;BIX6)+SUMIFS(tblProjectSchedule[[Helpers]:[Helpers]],tblProjectSchedule[[Start]:[Start]],"&lt;="&amp;BIX6,tblProjectSchedule[[Finish]:[Finish]],"&gt;="&amp;BIX6))</f>
        <v>0</v>
      </c>
      <c r="BIY4" s="172">
        <f>IF(WEEKDAY(BIY6,12)&gt;=6,0,SUMIFS(tblProjectSchedule[[Skilled]:[Skilled]],tblProjectSchedule[[Start]:[Start]],"&lt;="&amp;BIY6,tblProjectSchedule[[Finish]:[Finish]],"&gt;="&amp;BIY6)+SUMIFS(tblProjectSchedule[[Helpers]:[Helpers]],tblProjectSchedule[[Start]:[Start]],"&lt;="&amp;BIY6,tblProjectSchedule[[Finish]:[Finish]],"&gt;="&amp;BIY6))</f>
        <v>0</v>
      </c>
      <c r="BIZ4" s="172">
        <f>IF(WEEKDAY(BIZ6,12)&gt;=6,0,SUMIFS(tblProjectSchedule[[Skilled]:[Skilled]],tblProjectSchedule[[Start]:[Start]],"&lt;="&amp;BIZ6,tblProjectSchedule[[Finish]:[Finish]],"&gt;="&amp;BIZ6)+SUMIFS(tblProjectSchedule[[Helpers]:[Helpers]],tblProjectSchedule[[Start]:[Start]],"&lt;="&amp;BIZ6,tblProjectSchedule[[Finish]:[Finish]],"&gt;="&amp;BIZ6))</f>
        <v>0</v>
      </c>
      <c r="BJA4" s="174">
        <f>IF(WEEKDAY(BJA6,12)&gt;=6,0,SUMIFS(tblProjectSchedule[[Skilled]:[Skilled]],tblProjectSchedule[[Start]:[Start]],"&lt;="&amp;BJA6,tblProjectSchedule[[Finish]:[Finish]],"&gt;="&amp;BJA6)+SUMIFS(tblProjectSchedule[[Helpers]:[Helpers]],tblProjectSchedule[[Start]:[Start]],"&lt;="&amp;BJA6,tblProjectSchedule[[Finish]:[Finish]],"&gt;="&amp;BJA6))</f>
        <v>0</v>
      </c>
      <c r="BJB4" s="173">
        <f>IF(WEEKDAY(BJB6,12)&gt;=6,0,SUMIFS(tblProjectSchedule[[Skilled]:[Skilled]],tblProjectSchedule[[Start]:[Start]],"&lt;="&amp;BJB6,tblProjectSchedule[[Finish]:[Finish]],"&gt;="&amp;BJB6)+SUMIFS(tblProjectSchedule[[Helpers]:[Helpers]],tblProjectSchedule[[Start]:[Start]],"&lt;="&amp;BJB6,tblProjectSchedule[[Finish]:[Finish]],"&gt;="&amp;BJB6))</f>
        <v>0</v>
      </c>
      <c r="BJC4" s="172">
        <f>IF(WEEKDAY(BJC6,12)&gt;=6,0,SUMIFS(tblProjectSchedule[[Skilled]:[Skilled]],tblProjectSchedule[[Start]:[Start]],"&lt;="&amp;BJC6,tblProjectSchedule[[Finish]:[Finish]],"&gt;="&amp;BJC6)+SUMIFS(tblProjectSchedule[[Helpers]:[Helpers]],tblProjectSchedule[[Start]:[Start]],"&lt;="&amp;BJC6,tblProjectSchedule[[Finish]:[Finish]],"&gt;="&amp;BJC6))</f>
        <v>0</v>
      </c>
      <c r="BJD4" s="172">
        <f>IF(WEEKDAY(BJD6,12)&gt;=6,0,SUMIFS(tblProjectSchedule[[Skilled]:[Skilled]],tblProjectSchedule[[Start]:[Start]],"&lt;="&amp;BJD6,tblProjectSchedule[[Finish]:[Finish]],"&gt;="&amp;BJD6)+SUMIFS(tblProjectSchedule[[Helpers]:[Helpers]],tblProjectSchedule[[Start]:[Start]],"&lt;="&amp;BJD6,tblProjectSchedule[[Finish]:[Finish]],"&gt;="&amp;BJD6))</f>
        <v>0</v>
      </c>
      <c r="BJE4" s="172">
        <f>IF(WEEKDAY(BJE6,12)&gt;=6,0,SUMIFS(tblProjectSchedule[[Skilled]:[Skilled]],tblProjectSchedule[[Start]:[Start]],"&lt;="&amp;BJE6,tblProjectSchedule[[Finish]:[Finish]],"&gt;="&amp;BJE6)+SUMIFS(tblProjectSchedule[[Helpers]:[Helpers]],tblProjectSchedule[[Start]:[Start]],"&lt;="&amp;BJE6,tblProjectSchedule[[Finish]:[Finish]],"&gt;="&amp;BJE6))</f>
        <v>0</v>
      </c>
      <c r="BJF4" s="172">
        <f>IF(WEEKDAY(BJF6,12)&gt;=6,0,SUMIFS(tblProjectSchedule[[Skilled]:[Skilled]],tblProjectSchedule[[Start]:[Start]],"&lt;="&amp;BJF6,tblProjectSchedule[[Finish]:[Finish]],"&gt;="&amp;BJF6)+SUMIFS(tblProjectSchedule[[Helpers]:[Helpers]],tblProjectSchedule[[Start]:[Start]],"&lt;="&amp;BJF6,tblProjectSchedule[[Finish]:[Finish]],"&gt;="&amp;BJF6))</f>
        <v>0</v>
      </c>
      <c r="BJG4" s="172">
        <f>IF(WEEKDAY(BJG6,12)&gt;=6,0,SUMIFS(tblProjectSchedule[[Skilled]:[Skilled]],tblProjectSchedule[[Start]:[Start]],"&lt;="&amp;BJG6,tblProjectSchedule[[Finish]:[Finish]],"&gt;="&amp;BJG6)+SUMIFS(tblProjectSchedule[[Helpers]:[Helpers]],tblProjectSchedule[[Start]:[Start]],"&lt;="&amp;BJG6,tblProjectSchedule[[Finish]:[Finish]],"&gt;="&amp;BJG6))</f>
        <v>0</v>
      </c>
      <c r="BJH4" s="174">
        <f>IF(WEEKDAY(BJH6,12)&gt;=6,0,SUMIFS(tblProjectSchedule[[Skilled]:[Skilled]],tblProjectSchedule[[Start]:[Start]],"&lt;="&amp;BJH6,tblProjectSchedule[[Finish]:[Finish]],"&gt;="&amp;BJH6)+SUMIFS(tblProjectSchedule[[Helpers]:[Helpers]],tblProjectSchedule[[Start]:[Start]],"&lt;="&amp;BJH6,tblProjectSchedule[[Finish]:[Finish]],"&gt;="&amp;BJH6))</f>
        <v>0</v>
      </c>
      <c r="BJI4" s="173">
        <f>IF(WEEKDAY(BJI6,12)&gt;=6,0,SUMIFS(tblProjectSchedule[[Skilled]:[Skilled]],tblProjectSchedule[[Start]:[Start]],"&lt;="&amp;BJI6,tblProjectSchedule[[Finish]:[Finish]],"&gt;="&amp;BJI6)+SUMIFS(tblProjectSchedule[[Helpers]:[Helpers]],tblProjectSchedule[[Start]:[Start]],"&lt;="&amp;BJI6,tblProjectSchedule[[Finish]:[Finish]],"&gt;="&amp;BJI6))</f>
        <v>0</v>
      </c>
      <c r="BJJ4" s="172">
        <f>IF(WEEKDAY(BJJ6,12)&gt;=6,0,SUMIFS(tblProjectSchedule[[Skilled]:[Skilled]],tblProjectSchedule[[Start]:[Start]],"&lt;="&amp;BJJ6,tblProjectSchedule[[Finish]:[Finish]],"&gt;="&amp;BJJ6)+SUMIFS(tblProjectSchedule[[Helpers]:[Helpers]],tblProjectSchedule[[Start]:[Start]],"&lt;="&amp;BJJ6,tblProjectSchedule[[Finish]:[Finish]],"&gt;="&amp;BJJ6))</f>
        <v>0</v>
      </c>
      <c r="BJK4" s="172">
        <f>IF(WEEKDAY(BJK6,12)&gt;=6,0,SUMIFS(tblProjectSchedule[[Skilled]:[Skilled]],tblProjectSchedule[[Start]:[Start]],"&lt;="&amp;BJK6,tblProjectSchedule[[Finish]:[Finish]],"&gt;="&amp;BJK6)+SUMIFS(tblProjectSchedule[[Helpers]:[Helpers]],tblProjectSchedule[[Start]:[Start]],"&lt;="&amp;BJK6,tblProjectSchedule[[Finish]:[Finish]],"&gt;="&amp;BJK6))</f>
        <v>0</v>
      </c>
      <c r="BJL4" s="172">
        <f>IF(WEEKDAY(BJL6,12)&gt;=6,0,SUMIFS(tblProjectSchedule[[Skilled]:[Skilled]],tblProjectSchedule[[Start]:[Start]],"&lt;="&amp;BJL6,tblProjectSchedule[[Finish]:[Finish]],"&gt;="&amp;BJL6)+SUMIFS(tblProjectSchedule[[Helpers]:[Helpers]],tblProjectSchedule[[Start]:[Start]],"&lt;="&amp;BJL6,tblProjectSchedule[[Finish]:[Finish]],"&gt;="&amp;BJL6))</f>
        <v>0</v>
      </c>
      <c r="BJM4" s="172">
        <f>IF(WEEKDAY(BJM6,12)&gt;=6,0,SUMIFS(tblProjectSchedule[[Skilled]:[Skilled]],tblProjectSchedule[[Start]:[Start]],"&lt;="&amp;BJM6,tblProjectSchedule[[Finish]:[Finish]],"&gt;="&amp;BJM6)+SUMIFS(tblProjectSchedule[[Helpers]:[Helpers]],tblProjectSchedule[[Start]:[Start]],"&lt;="&amp;BJM6,tblProjectSchedule[[Finish]:[Finish]],"&gt;="&amp;BJM6))</f>
        <v>0</v>
      </c>
      <c r="BJN4" s="172">
        <f>IF(WEEKDAY(BJN6,12)&gt;=6,0,SUMIFS(tblProjectSchedule[[Skilled]:[Skilled]],tblProjectSchedule[[Start]:[Start]],"&lt;="&amp;BJN6,tblProjectSchedule[[Finish]:[Finish]],"&gt;="&amp;BJN6)+SUMIFS(tblProjectSchedule[[Helpers]:[Helpers]],tblProjectSchedule[[Start]:[Start]],"&lt;="&amp;BJN6,tblProjectSchedule[[Finish]:[Finish]],"&gt;="&amp;BJN6))</f>
        <v>0</v>
      </c>
      <c r="BJO4" s="174">
        <f>IF(WEEKDAY(BJO6,12)&gt;=6,0,SUMIFS(tblProjectSchedule[[Skilled]:[Skilled]],tblProjectSchedule[[Start]:[Start]],"&lt;="&amp;BJO6,tblProjectSchedule[[Finish]:[Finish]],"&gt;="&amp;BJO6)+SUMIFS(tblProjectSchedule[[Helpers]:[Helpers]],tblProjectSchedule[[Start]:[Start]],"&lt;="&amp;BJO6,tblProjectSchedule[[Finish]:[Finish]],"&gt;="&amp;BJO6))</f>
        <v>0</v>
      </c>
      <c r="BJP4" s="173">
        <f>IF(WEEKDAY(BJP6,12)&gt;=6,0,SUMIFS(tblProjectSchedule[[Skilled]:[Skilled]],tblProjectSchedule[[Start]:[Start]],"&lt;="&amp;BJP6,tblProjectSchedule[[Finish]:[Finish]],"&gt;="&amp;BJP6)+SUMIFS(tblProjectSchedule[[Helpers]:[Helpers]],tblProjectSchedule[[Start]:[Start]],"&lt;="&amp;BJP6,tblProjectSchedule[[Finish]:[Finish]],"&gt;="&amp;BJP6))</f>
        <v>0</v>
      </c>
      <c r="BJQ4" s="172">
        <f>IF(WEEKDAY(BJQ6,12)&gt;=6,0,SUMIFS(tblProjectSchedule[[Skilled]:[Skilled]],tblProjectSchedule[[Start]:[Start]],"&lt;="&amp;BJQ6,tblProjectSchedule[[Finish]:[Finish]],"&gt;="&amp;BJQ6)+SUMIFS(tblProjectSchedule[[Helpers]:[Helpers]],tblProjectSchedule[[Start]:[Start]],"&lt;="&amp;BJQ6,tblProjectSchedule[[Finish]:[Finish]],"&gt;="&amp;BJQ6))</f>
        <v>0</v>
      </c>
      <c r="BJR4" s="172">
        <f>IF(WEEKDAY(BJR6,12)&gt;=6,0,SUMIFS(tblProjectSchedule[[Skilled]:[Skilled]],tblProjectSchedule[[Start]:[Start]],"&lt;="&amp;BJR6,tblProjectSchedule[[Finish]:[Finish]],"&gt;="&amp;BJR6)+SUMIFS(tblProjectSchedule[[Helpers]:[Helpers]],tblProjectSchedule[[Start]:[Start]],"&lt;="&amp;BJR6,tblProjectSchedule[[Finish]:[Finish]],"&gt;="&amp;BJR6))</f>
        <v>0</v>
      </c>
      <c r="BJS4" s="172">
        <f>IF(WEEKDAY(BJS6,12)&gt;=6,0,SUMIFS(tblProjectSchedule[[Skilled]:[Skilled]],tblProjectSchedule[[Start]:[Start]],"&lt;="&amp;BJS6,tblProjectSchedule[[Finish]:[Finish]],"&gt;="&amp;BJS6)+SUMIFS(tblProjectSchedule[[Helpers]:[Helpers]],tblProjectSchedule[[Start]:[Start]],"&lt;="&amp;BJS6,tblProjectSchedule[[Finish]:[Finish]],"&gt;="&amp;BJS6))</f>
        <v>0</v>
      </c>
      <c r="BJT4" s="172">
        <f>IF(WEEKDAY(BJT6,12)&gt;=6,0,SUMIFS(tblProjectSchedule[[Skilled]:[Skilled]],tblProjectSchedule[[Start]:[Start]],"&lt;="&amp;BJT6,tblProjectSchedule[[Finish]:[Finish]],"&gt;="&amp;BJT6)+SUMIFS(tblProjectSchedule[[Helpers]:[Helpers]],tblProjectSchedule[[Start]:[Start]],"&lt;="&amp;BJT6,tblProjectSchedule[[Finish]:[Finish]],"&gt;="&amp;BJT6))</f>
        <v>0</v>
      </c>
      <c r="BJU4" s="172">
        <f>IF(WEEKDAY(BJU6,12)&gt;=6,0,SUMIFS(tblProjectSchedule[[Skilled]:[Skilled]],tblProjectSchedule[[Start]:[Start]],"&lt;="&amp;BJU6,tblProjectSchedule[[Finish]:[Finish]],"&gt;="&amp;BJU6)+SUMIFS(tblProjectSchedule[[Helpers]:[Helpers]],tblProjectSchedule[[Start]:[Start]],"&lt;="&amp;BJU6,tblProjectSchedule[[Finish]:[Finish]],"&gt;="&amp;BJU6))</f>
        <v>0</v>
      </c>
      <c r="BJV4" s="174">
        <f>IF(WEEKDAY(BJV6,12)&gt;=6,0,SUMIFS(tblProjectSchedule[[Skilled]:[Skilled]],tblProjectSchedule[[Start]:[Start]],"&lt;="&amp;BJV6,tblProjectSchedule[[Finish]:[Finish]],"&gt;="&amp;BJV6)+SUMIFS(tblProjectSchedule[[Helpers]:[Helpers]],tblProjectSchedule[[Start]:[Start]],"&lt;="&amp;BJV6,tblProjectSchedule[[Finish]:[Finish]],"&gt;="&amp;BJV6))</f>
        <v>0</v>
      </c>
      <c r="BJW4" s="173">
        <f>IF(WEEKDAY(BJW6,12)&gt;=6,0,SUMIFS(tblProjectSchedule[[Skilled]:[Skilled]],tblProjectSchedule[[Start]:[Start]],"&lt;="&amp;BJW6,tblProjectSchedule[[Finish]:[Finish]],"&gt;="&amp;BJW6)+SUMIFS(tblProjectSchedule[[Helpers]:[Helpers]],tblProjectSchedule[[Start]:[Start]],"&lt;="&amp;BJW6,tblProjectSchedule[[Finish]:[Finish]],"&gt;="&amp;BJW6))</f>
        <v>0</v>
      </c>
      <c r="BJX4" s="172">
        <f>IF(WEEKDAY(BJX6,12)&gt;=6,0,SUMIFS(tblProjectSchedule[[Skilled]:[Skilled]],tblProjectSchedule[[Start]:[Start]],"&lt;="&amp;BJX6,tblProjectSchedule[[Finish]:[Finish]],"&gt;="&amp;BJX6)+SUMIFS(tblProjectSchedule[[Helpers]:[Helpers]],tblProjectSchedule[[Start]:[Start]],"&lt;="&amp;BJX6,tblProjectSchedule[[Finish]:[Finish]],"&gt;="&amp;BJX6))</f>
        <v>0</v>
      </c>
      <c r="BJY4" s="172">
        <f>IF(WEEKDAY(BJY6,12)&gt;=6,0,SUMIFS(tblProjectSchedule[[Skilled]:[Skilled]],tblProjectSchedule[[Start]:[Start]],"&lt;="&amp;BJY6,tblProjectSchedule[[Finish]:[Finish]],"&gt;="&amp;BJY6)+SUMIFS(tblProjectSchedule[[Helpers]:[Helpers]],tblProjectSchedule[[Start]:[Start]],"&lt;="&amp;BJY6,tblProjectSchedule[[Finish]:[Finish]],"&gt;="&amp;BJY6))</f>
        <v>0</v>
      </c>
      <c r="BJZ4" s="172">
        <f>IF(WEEKDAY(BJZ6,12)&gt;=6,0,SUMIFS(tblProjectSchedule[[Skilled]:[Skilled]],tblProjectSchedule[[Start]:[Start]],"&lt;="&amp;BJZ6,tblProjectSchedule[[Finish]:[Finish]],"&gt;="&amp;BJZ6)+SUMIFS(tblProjectSchedule[[Helpers]:[Helpers]],tblProjectSchedule[[Start]:[Start]],"&lt;="&amp;BJZ6,tblProjectSchedule[[Finish]:[Finish]],"&gt;="&amp;BJZ6))</f>
        <v>0</v>
      </c>
      <c r="BKA4" s="172">
        <f>IF(WEEKDAY(BKA6,12)&gt;=6,0,SUMIFS(tblProjectSchedule[[Skilled]:[Skilled]],tblProjectSchedule[[Start]:[Start]],"&lt;="&amp;BKA6,tblProjectSchedule[[Finish]:[Finish]],"&gt;="&amp;BKA6)+SUMIFS(tblProjectSchedule[[Helpers]:[Helpers]],tblProjectSchedule[[Start]:[Start]],"&lt;="&amp;BKA6,tblProjectSchedule[[Finish]:[Finish]],"&gt;="&amp;BKA6))</f>
        <v>0</v>
      </c>
      <c r="BKB4" s="172">
        <f>IF(WEEKDAY(BKB6,12)&gt;=6,0,SUMIFS(tblProjectSchedule[[Skilled]:[Skilled]],tblProjectSchedule[[Start]:[Start]],"&lt;="&amp;BKB6,tblProjectSchedule[[Finish]:[Finish]],"&gt;="&amp;BKB6)+SUMIFS(tblProjectSchedule[[Helpers]:[Helpers]],tblProjectSchedule[[Start]:[Start]],"&lt;="&amp;BKB6,tblProjectSchedule[[Finish]:[Finish]],"&gt;="&amp;BKB6))</f>
        <v>0</v>
      </c>
      <c r="BKC4" s="174">
        <f>IF(WEEKDAY(BKC6,12)&gt;=6,0,SUMIFS(tblProjectSchedule[[Skilled]:[Skilled]],tblProjectSchedule[[Start]:[Start]],"&lt;="&amp;BKC6,tblProjectSchedule[[Finish]:[Finish]],"&gt;="&amp;BKC6)+SUMIFS(tblProjectSchedule[[Helpers]:[Helpers]],tblProjectSchedule[[Start]:[Start]],"&lt;="&amp;BKC6,tblProjectSchedule[[Finish]:[Finish]],"&gt;="&amp;BKC6))</f>
        <v>0</v>
      </c>
      <c r="BKD4" s="173">
        <f>IF(WEEKDAY(BKD6,12)&gt;=6,0,SUMIFS(tblProjectSchedule[[Skilled]:[Skilled]],tblProjectSchedule[[Start]:[Start]],"&lt;="&amp;BKD6,tblProjectSchedule[[Finish]:[Finish]],"&gt;="&amp;BKD6)+SUMIFS(tblProjectSchedule[[Helpers]:[Helpers]],tblProjectSchedule[[Start]:[Start]],"&lt;="&amp;BKD6,tblProjectSchedule[[Finish]:[Finish]],"&gt;="&amp;BKD6))</f>
        <v>0</v>
      </c>
      <c r="BKE4" s="172">
        <f>IF(WEEKDAY(BKE6,12)&gt;=6,0,SUMIFS(tblProjectSchedule[[Skilled]:[Skilled]],tblProjectSchedule[[Start]:[Start]],"&lt;="&amp;BKE6,tblProjectSchedule[[Finish]:[Finish]],"&gt;="&amp;BKE6)+SUMIFS(tblProjectSchedule[[Helpers]:[Helpers]],tblProjectSchedule[[Start]:[Start]],"&lt;="&amp;BKE6,tblProjectSchedule[[Finish]:[Finish]],"&gt;="&amp;BKE6))</f>
        <v>0</v>
      </c>
      <c r="BKF4" s="172">
        <f>IF(WEEKDAY(BKF6,12)&gt;=6,0,SUMIFS(tblProjectSchedule[[Skilled]:[Skilled]],tblProjectSchedule[[Start]:[Start]],"&lt;="&amp;BKF6,tblProjectSchedule[[Finish]:[Finish]],"&gt;="&amp;BKF6)+SUMIFS(tblProjectSchedule[[Helpers]:[Helpers]],tblProjectSchedule[[Start]:[Start]],"&lt;="&amp;BKF6,tblProjectSchedule[[Finish]:[Finish]],"&gt;="&amp;BKF6))</f>
        <v>0</v>
      </c>
      <c r="BKG4" s="172">
        <f>IF(WEEKDAY(BKG6,12)&gt;=6,0,SUMIFS(tblProjectSchedule[[Skilled]:[Skilled]],tblProjectSchedule[[Start]:[Start]],"&lt;="&amp;BKG6,tblProjectSchedule[[Finish]:[Finish]],"&gt;="&amp;BKG6)+SUMIFS(tblProjectSchedule[[Helpers]:[Helpers]],tblProjectSchedule[[Start]:[Start]],"&lt;="&amp;BKG6,tblProjectSchedule[[Finish]:[Finish]],"&gt;="&amp;BKG6))</f>
        <v>0</v>
      </c>
      <c r="BKH4" s="172">
        <f>IF(WEEKDAY(BKH6,12)&gt;=6,0,SUMIFS(tblProjectSchedule[[Skilled]:[Skilled]],tblProjectSchedule[[Start]:[Start]],"&lt;="&amp;BKH6,tblProjectSchedule[[Finish]:[Finish]],"&gt;="&amp;BKH6)+SUMIFS(tblProjectSchedule[[Helpers]:[Helpers]],tblProjectSchedule[[Start]:[Start]],"&lt;="&amp;BKH6,tblProjectSchedule[[Finish]:[Finish]],"&gt;="&amp;BKH6))</f>
        <v>0</v>
      </c>
      <c r="BKI4" s="172">
        <f>IF(WEEKDAY(BKI6,12)&gt;=6,0,SUMIFS(tblProjectSchedule[[Skilled]:[Skilled]],tblProjectSchedule[[Start]:[Start]],"&lt;="&amp;BKI6,tblProjectSchedule[[Finish]:[Finish]],"&gt;="&amp;BKI6)+SUMIFS(tblProjectSchedule[[Helpers]:[Helpers]],tblProjectSchedule[[Start]:[Start]],"&lt;="&amp;BKI6,tblProjectSchedule[[Finish]:[Finish]],"&gt;="&amp;BKI6))</f>
        <v>0</v>
      </c>
      <c r="BKJ4" s="174">
        <f>IF(WEEKDAY(BKJ6,12)&gt;=6,0,SUMIFS(tblProjectSchedule[[Skilled]:[Skilled]],tblProjectSchedule[[Start]:[Start]],"&lt;="&amp;BKJ6,tblProjectSchedule[[Finish]:[Finish]],"&gt;="&amp;BKJ6)+SUMIFS(tblProjectSchedule[[Helpers]:[Helpers]],tblProjectSchedule[[Start]:[Start]],"&lt;="&amp;BKJ6,tblProjectSchedule[[Finish]:[Finish]],"&gt;="&amp;BKJ6))</f>
        <v>0</v>
      </c>
      <c r="BKK4" s="173">
        <f>IF(WEEKDAY(BKK6,12)&gt;=6,0,SUMIFS(tblProjectSchedule[[Skilled]:[Skilled]],tblProjectSchedule[[Start]:[Start]],"&lt;="&amp;BKK6,tblProjectSchedule[[Finish]:[Finish]],"&gt;="&amp;BKK6)+SUMIFS(tblProjectSchedule[[Helpers]:[Helpers]],tblProjectSchedule[[Start]:[Start]],"&lt;="&amp;BKK6,tblProjectSchedule[[Finish]:[Finish]],"&gt;="&amp;BKK6))</f>
        <v>0</v>
      </c>
      <c r="BKL4" s="172">
        <f>IF(WEEKDAY(BKL6,12)&gt;=6,0,SUMIFS(tblProjectSchedule[[Skilled]:[Skilled]],tblProjectSchedule[[Start]:[Start]],"&lt;="&amp;BKL6,tblProjectSchedule[[Finish]:[Finish]],"&gt;="&amp;BKL6)+SUMIFS(tblProjectSchedule[[Helpers]:[Helpers]],tblProjectSchedule[[Start]:[Start]],"&lt;="&amp;BKL6,tblProjectSchedule[[Finish]:[Finish]],"&gt;="&amp;BKL6))</f>
        <v>0</v>
      </c>
      <c r="BKM4" s="172">
        <f>IF(WEEKDAY(BKM6,12)&gt;=6,0,SUMIFS(tblProjectSchedule[[Skilled]:[Skilled]],tblProjectSchedule[[Start]:[Start]],"&lt;="&amp;BKM6,tblProjectSchedule[[Finish]:[Finish]],"&gt;="&amp;BKM6)+SUMIFS(tblProjectSchedule[[Helpers]:[Helpers]],tblProjectSchedule[[Start]:[Start]],"&lt;="&amp;BKM6,tblProjectSchedule[[Finish]:[Finish]],"&gt;="&amp;BKM6))</f>
        <v>0</v>
      </c>
      <c r="BKN4" s="172">
        <f>IF(WEEKDAY(BKN6,12)&gt;=6,0,SUMIFS(tblProjectSchedule[[Skilled]:[Skilled]],tblProjectSchedule[[Start]:[Start]],"&lt;="&amp;BKN6,tblProjectSchedule[[Finish]:[Finish]],"&gt;="&amp;BKN6)+SUMIFS(tblProjectSchedule[[Helpers]:[Helpers]],tblProjectSchedule[[Start]:[Start]],"&lt;="&amp;BKN6,tblProjectSchedule[[Finish]:[Finish]],"&gt;="&amp;BKN6))</f>
        <v>0</v>
      </c>
      <c r="BKO4" s="172">
        <f>IF(WEEKDAY(BKO6,12)&gt;=6,0,SUMIFS(tblProjectSchedule[[Skilled]:[Skilled]],tblProjectSchedule[[Start]:[Start]],"&lt;="&amp;BKO6,tblProjectSchedule[[Finish]:[Finish]],"&gt;="&amp;BKO6)+SUMIFS(tblProjectSchedule[[Helpers]:[Helpers]],tblProjectSchedule[[Start]:[Start]],"&lt;="&amp;BKO6,tblProjectSchedule[[Finish]:[Finish]],"&gt;="&amp;BKO6))</f>
        <v>0</v>
      </c>
      <c r="BKP4" s="172">
        <f>IF(WEEKDAY(BKP6,12)&gt;=6,0,SUMIFS(tblProjectSchedule[[Skilled]:[Skilled]],tblProjectSchedule[[Start]:[Start]],"&lt;="&amp;BKP6,tblProjectSchedule[[Finish]:[Finish]],"&gt;="&amp;BKP6)+SUMIFS(tblProjectSchedule[[Helpers]:[Helpers]],tblProjectSchedule[[Start]:[Start]],"&lt;="&amp;BKP6,tblProjectSchedule[[Finish]:[Finish]],"&gt;="&amp;BKP6))</f>
        <v>0</v>
      </c>
      <c r="BKQ4" s="174">
        <f>IF(WEEKDAY(BKQ6,12)&gt;=6,0,SUMIFS(tblProjectSchedule[[Skilled]:[Skilled]],tblProjectSchedule[[Start]:[Start]],"&lt;="&amp;BKQ6,tblProjectSchedule[[Finish]:[Finish]],"&gt;="&amp;BKQ6)+SUMIFS(tblProjectSchedule[[Helpers]:[Helpers]],tblProjectSchedule[[Start]:[Start]],"&lt;="&amp;BKQ6,tblProjectSchedule[[Finish]:[Finish]],"&gt;="&amp;BKQ6))</f>
        <v>0</v>
      </c>
      <c r="BKR4" s="173">
        <f>IF(WEEKDAY(BKR6,12)&gt;=6,0,SUMIFS(tblProjectSchedule[[Skilled]:[Skilled]],tblProjectSchedule[[Start]:[Start]],"&lt;="&amp;BKR6,tblProjectSchedule[[Finish]:[Finish]],"&gt;="&amp;BKR6)+SUMIFS(tblProjectSchedule[[Helpers]:[Helpers]],tblProjectSchedule[[Start]:[Start]],"&lt;="&amp;BKR6,tblProjectSchedule[[Finish]:[Finish]],"&gt;="&amp;BKR6))</f>
        <v>0</v>
      </c>
      <c r="BKS4" s="172">
        <f>IF(WEEKDAY(BKS6,12)&gt;=6,0,SUMIFS(tblProjectSchedule[[Skilled]:[Skilled]],tblProjectSchedule[[Start]:[Start]],"&lt;="&amp;BKS6,tblProjectSchedule[[Finish]:[Finish]],"&gt;="&amp;BKS6)+SUMIFS(tblProjectSchedule[[Helpers]:[Helpers]],tblProjectSchedule[[Start]:[Start]],"&lt;="&amp;BKS6,tblProjectSchedule[[Finish]:[Finish]],"&gt;="&amp;BKS6))</f>
        <v>0</v>
      </c>
      <c r="BKT4" s="172">
        <f>IF(WEEKDAY(BKT6,12)&gt;=6,0,SUMIFS(tblProjectSchedule[[Skilled]:[Skilled]],tblProjectSchedule[[Start]:[Start]],"&lt;="&amp;BKT6,tblProjectSchedule[[Finish]:[Finish]],"&gt;="&amp;BKT6)+SUMIFS(tblProjectSchedule[[Helpers]:[Helpers]],tblProjectSchedule[[Start]:[Start]],"&lt;="&amp;BKT6,tblProjectSchedule[[Finish]:[Finish]],"&gt;="&amp;BKT6))</f>
        <v>0</v>
      </c>
      <c r="BKU4" s="172">
        <f>IF(WEEKDAY(BKU6,12)&gt;=6,0,SUMIFS(tblProjectSchedule[[Skilled]:[Skilled]],tblProjectSchedule[[Start]:[Start]],"&lt;="&amp;BKU6,tblProjectSchedule[[Finish]:[Finish]],"&gt;="&amp;BKU6)+SUMIFS(tblProjectSchedule[[Helpers]:[Helpers]],tblProjectSchedule[[Start]:[Start]],"&lt;="&amp;BKU6,tblProjectSchedule[[Finish]:[Finish]],"&gt;="&amp;BKU6))</f>
        <v>0</v>
      </c>
      <c r="BKV4" s="172">
        <f>IF(WEEKDAY(BKV6,12)&gt;=6,0,SUMIFS(tblProjectSchedule[[Skilled]:[Skilled]],tblProjectSchedule[[Start]:[Start]],"&lt;="&amp;BKV6,tblProjectSchedule[[Finish]:[Finish]],"&gt;="&amp;BKV6)+SUMIFS(tblProjectSchedule[[Helpers]:[Helpers]],tblProjectSchedule[[Start]:[Start]],"&lt;="&amp;BKV6,tblProjectSchedule[[Finish]:[Finish]],"&gt;="&amp;BKV6))</f>
        <v>0</v>
      </c>
      <c r="BKW4" s="172">
        <f>IF(WEEKDAY(BKW6,12)&gt;=6,0,SUMIFS(tblProjectSchedule[[Skilled]:[Skilled]],tblProjectSchedule[[Start]:[Start]],"&lt;="&amp;BKW6,tblProjectSchedule[[Finish]:[Finish]],"&gt;="&amp;BKW6)+SUMIFS(tblProjectSchedule[[Helpers]:[Helpers]],tblProjectSchedule[[Start]:[Start]],"&lt;="&amp;BKW6,tblProjectSchedule[[Finish]:[Finish]],"&gt;="&amp;BKW6))</f>
        <v>0</v>
      </c>
      <c r="BKX4" s="174">
        <f>IF(WEEKDAY(BKX6,12)&gt;=6,0,SUMIFS(tblProjectSchedule[[Skilled]:[Skilled]],tblProjectSchedule[[Start]:[Start]],"&lt;="&amp;BKX6,tblProjectSchedule[[Finish]:[Finish]],"&gt;="&amp;BKX6)+SUMIFS(tblProjectSchedule[[Helpers]:[Helpers]],tblProjectSchedule[[Start]:[Start]],"&lt;="&amp;BKX6,tblProjectSchedule[[Finish]:[Finish]],"&gt;="&amp;BKX6))</f>
        <v>0</v>
      </c>
      <c r="BKY4" s="173">
        <f>IF(WEEKDAY(BKY6,12)&gt;=6,0,SUMIFS(tblProjectSchedule[[Skilled]:[Skilled]],tblProjectSchedule[[Start]:[Start]],"&lt;="&amp;BKY6,tblProjectSchedule[[Finish]:[Finish]],"&gt;="&amp;BKY6)+SUMIFS(tblProjectSchedule[[Helpers]:[Helpers]],tblProjectSchedule[[Start]:[Start]],"&lt;="&amp;BKY6,tblProjectSchedule[[Finish]:[Finish]],"&gt;="&amp;BKY6))</f>
        <v>0</v>
      </c>
      <c r="BKZ4" s="172">
        <f>IF(WEEKDAY(BKZ6,12)&gt;=6,0,SUMIFS(tblProjectSchedule[[Skilled]:[Skilled]],tblProjectSchedule[[Start]:[Start]],"&lt;="&amp;BKZ6,tblProjectSchedule[[Finish]:[Finish]],"&gt;="&amp;BKZ6)+SUMIFS(tblProjectSchedule[[Helpers]:[Helpers]],tblProjectSchedule[[Start]:[Start]],"&lt;="&amp;BKZ6,tblProjectSchedule[[Finish]:[Finish]],"&gt;="&amp;BKZ6))</f>
        <v>0</v>
      </c>
      <c r="BLA4" s="172">
        <f>IF(WEEKDAY(BLA6,12)&gt;=6,0,SUMIFS(tblProjectSchedule[[Skilled]:[Skilled]],tblProjectSchedule[[Start]:[Start]],"&lt;="&amp;BLA6,tblProjectSchedule[[Finish]:[Finish]],"&gt;="&amp;BLA6)+SUMIFS(tblProjectSchedule[[Helpers]:[Helpers]],tblProjectSchedule[[Start]:[Start]],"&lt;="&amp;BLA6,tblProjectSchedule[[Finish]:[Finish]],"&gt;="&amp;BLA6))</f>
        <v>0</v>
      </c>
      <c r="BLB4" s="172">
        <f>IF(WEEKDAY(BLB6,12)&gt;=6,0,SUMIFS(tblProjectSchedule[[Skilled]:[Skilled]],tblProjectSchedule[[Start]:[Start]],"&lt;="&amp;BLB6,tblProjectSchedule[[Finish]:[Finish]],"&gt;="&amp;BLB6)+SUMIFS(tblProjectSchedule[[Helpers]:[Helpers]],tblProjectSchedule[[Start]:[Start]],"&lt;="&amp;BLB6,tblProjectSchedule[[Finish]:[Finish]],"&gt;="&amp;BLB6))</f>
        <v>0</v>
      </c>
      <c r="BLC4" s="172">
        <f>IF(WEEKDAY(BLC6,12)&gt;=6,0,SUMIFS(tblProjectSchedule[[Skilled]:[Skilled]],tblProjectSchedule[[Start]:[Start]],"&lt;="&amp;BLC6,tblProjectSchedule[[Finish]:[Finish]],"&gt;="&amp;BLC6)+SUMIFS(tblProjectSchedule[[Helpers]:[Helpers]],tblProjectSchedule[[Start]:[Start]],"&lt;="&amp;BLC6,tblProjectSchedule[[Finish]:[Finish]],"&gt;="&amp;BLC6))</f>
        <v>0</v>
      </c>
      <c r="BLD4" s="172">
        <f>IF(WEEKDAY(BLD6,12)&gt;=6,0,SUMIFS(tblProjectSchedule[[Skilled]:[Skilled]],tblProjectSchedule[[Start]:[Start]],"&lt;="&amp;BLD6,tblProjectSchedule[[Finish]:[Finish]],"&gt;="&amp;BLD6)+SUMIFS(tblProjectSchedule[[Helpers]:[Helpers]],tblProjectSchedule[[Start]:[Start]],"&lt;="&amp;BLD6,tblProjectSchedule[[Finish]:[Finish]],"&gt;="&amp;BLD6))</f>
        <v>0</v>
      </c>
      <c r="BLE4" s="174">
        <f>IF(WEEKDAY(BLE6,12)&gt;=6,0,SUMIFS(tblProjectSchedule[[Skilled]:[Skilled]],tblProjectSchedule[[Start]:[Start]],"&lt;="&amp;BLE6,tblProjectSchedule[[Finish]:[Finish]],"&gt;="&amp;BLE6)+SUMIFS(tblProjectSchedule[[Helpers]:[Helpers]],tblProjectSchedule[[Start]:[Start]],"&lt;="&amp;BLE6,tblProjectSchedule[[Finish]:[Finish]],"&gt;="&amp;BLE6))</f>
        <v>0</v>
      </c>
      <c r="BLF4" s="173">
        <f>IF(WEEKDAY(BLF6,12)&gt;=6,0,SUMIFS(tblProjectSchedule[[Skilled]:[Skilled]],tblProjectSchedule[[Start]:[Start]],"&lt;="&amp;BLF6,tblProjectSchedule[[Finish]:[Finish]],"&gt;="&amp;BLF6)+SUMIFS(tblProjectSchedule[[Helpers]:[Helpers]],tblProjectSchedule[[Start]:[Start]],"&lt;="&amp;BLF6,tblProjectSchedule[[Finish]:[Finish]],"&gt;="&amp;BLF6))</f>
        <v>0</v>
      </c>
      <c r="BLG4" s="172">
        <f>IF(WEEKDAY(BLG6,12)&gt;=6,0,SUMIFS(tblProjectSchedule[[Skilled]:[Skilled]],tblProjectSchedule[[Start]:[Start]],"&lt;="&amp;BLG6,tblProjectSchedule[[Finish]:[Finish]],"&gt;="&amp;BLG6)+SUMIFS(tblProjectSchedule[[Helpers]:[Helpers]],tblProjectSchedule[[Start]:[Start]],"&lt;="&amp;BLG6,tblProjectSchedule[[Finish]:[Finish]],"&gt;="&amp;BLG6))</f>
        <v>0</v>
      </c>
      <c r="BLH4" s="172">
        <f>IF(WEEKDAY(BLH6,12)&gt;=6,0,SUMIFS(tblProjectSchedule[[Skilled]:[Skilled]],tblProjectSchedule[[Start]:[Start]],"&lt;="&amp;BLH6,tblProjectSchedule[[Finish]:[Finish]],"&gt;="&amp;BLH6)+SUMIFS(tblProjectSchedule[[Helpers]:[Helpers]],tblProjectSchedule[[Start]:[Start]],"&lt;="&amp;BLH6,tblProjectSchedule[[Finish]:[Finish]],"&gt;="&amp;BLH6))</f>
        <v>0</v>
      </c>
      <c r="BLI4" s="172">
        <f>IF(WEEKDAY(BLI6,12)&gt;=6,0,SUMIFS(tblProjectSchedule[[Skilled]:[Skilled]],tblProjectSchedule[[Start]:[Start]],"&lt;="&amp;BLI6,tblProjectSchedule[[Finish]:[Finish]],"&gt;="&amp;BLI6)+SUMIFS(tblProjectSchedule[[Helpers]:[Helpers]],tblProjectSchedule[[Start]:[Start]],"&lt;="&amp;BLI6,tblProjectSchedule[[Finish]:[Finish]],"&gt;="&amp;BLI6))</f>
        <v>0</v>
      </c>
      <c r="BLJ4" s="172">
        <f>IF(WEEKDAY(BLJ6,12)&gt;=6,0,SUMIFS(tblProjectSchedule[[Skilled]:[Skilled]],tblProjectSchedule[[Start]:[Start]],"&lt;="&amp;BLJ6,tblProjectSchedule[[Finish]:[Finish]],"&gt;="&amp;BLJ6)+SUMIFS(tblProjectSchedule[[Helpers]:[Helpers]],tblProjectSchedule[[Start]:[Start]],"&lt;="&amp;BLJ6,tblProjectSchedule[[Finish]:[Finish]],"&gt;="&amp;BLJ6))</f>
        <v>0</v>
      </c>
      <c r="BLK4" s="172">
        <f>IF(WEEKDAY(BLK6,12)&gt;=6,0,SUMIFS(tblProjectSchedule[[Skilled]:[Skilled]],tblProjectSchedule[[Start]:[Start]],"&lt;="&amp;BLK6,tblProjectSchedule[[Finish]:[Finish]],"&gt;="&amp;BLK6)+SUMIFS(tblProjectSchedule[[Helpers]:[Helpers]],tblProjectSchedule[[Start]:[Start]],"&lt;="&amp;BLK6,tblProjectSchedule[[Finish]:[Finish]],"&gt;="&amp;BLK6))</f>
        <v>0</v>
      </c>
      <c r="BLL4" s="174">
        <f>IF(WEEKDAY(BLL6,12)&gt;=6,0,SUMIFS(tblProjectSchedule[[Skilled]:[Skilled]],tblProjectSchedule[[Start]:[Start]],"&lt;="&amp;BLL6,tblProjectSchedule[[Finish]:[Finish]],"&gt;="&amp;BLL6)+SUMIFS(tblProjectSchedule[[Helpers]:[Helpers]],tblProjectSchedule[[Start]:[Start]],"&lt;="&amp;BLL6,tblProjectSchedule[[Finish]:[Finish]],"&gt;="&amp;BLL6))</f>
        <v>0</v>
      </c>
      <c r="BLM4" s="173">
        <f>IF(WEEKDAY(BLM6,12)&gt;=6,0,SUMIFS(tblProjectSchedule[[Skilled]:[Skilled]],tblProjectSchedule[[Start]:[Start]],"&lt;="&amp;BLM6,tblProjectSchedule[[Finish]:[Finish]],"&gt;="&amp;BLM6)+SUMIFS(tblProjectSchedule[[Helpers]:[Helpers]],tblProjectSchedule[[Start]:[Start]],"&lt;="&amp;BLM6,tblProjectSchedule[[Finish]:[Finish]],"&gt;="&amp;BLM6))</f>
        <v>0</v>
      </c>
      <c r="BLN4" s="172">
        <f>IF(WEEKDAY(BLN6,12)&gt;=6,0,SUMIFS(tblProjectSchedule[[Skilled]:[Skilled]],tblProjectSchedule[[Start]:[Start]],"&lt;="&amp;BLN6,tblProjectSchedule[[Finish]:[Finish]],"&gt;="&amp;BLN6)+SUMIFS(tblProjectSchedule[[Helpers]:[Helpers]],tblProjectSchedule[[Start]:[Start]],"&lt;="&amp;BLN6,tblProjectSchedule[[Finish]:[Finish]],"&gt;="&amp;BLN6))</f>
        <v>0</v>
      </c>
      <c r="BLO4" s="172">
        <f>IF(WEEKDAY(BLO6,12)&gt;=6,0,SUMIFS(tblProjectSchedule[[Skilled]:[Skilled]],tblProjectSchedule[[Start]:[Start]],"&lt;="&amp;BLO6,tblProjectSchedule[[Finish]:[Finish]],"&gt;="&amp;BLO6)+SUMIFS(tblProjectSchedule[[Helpers]:[Helpers]],tblProjectSchedule[[Start]:[Start]],"&lt;="&amp;BLO6,tblProjectSchedule[[Finish]:[Finish]],"&gt;="&amp;BLO6))</f>
        <v>0</v>
      </c>
      <c r="BLP4" s="172">
        <f>IF(WEEKDAY(BLP6,12)&gt;=6,0,SUMIFS(tblProjectSchedule[[Skilled]:[Skilled]],tblProjectSchedule[[Start]:[Start]],"&lt;="&amp;BLP6,tblProjectSchedule[[Finish]:[Finish]],"&gt;="&amp;BLP6)+SUMIFS(tblProjectSchedule[[Helpers]:[Helpers]],tblProjectSchedule[[Start]:[Start]],"&lt;="&amp;BLP6,tblProjectSchedule[[Finish]:[Finish]],"&gt;="&amp;BLP6))</f>
        <v>0</v>
      </c>
      <c r="BLQ4" s="172">
        <f>IF(WEEKDAY(BLQ6,12)&gt;=6,0,SUMIFS(tblProjectSchedule[[Skilled]:[Skilled]],tblProjectSchedule[[Start]:[Start]],"&lt;="&amp;BLQ6,tblProjectSchedule[[Finish]:[Finish]],"&gt;="&amp;BLQ6)+SUMIFS(tblProjectSchedule[[Helpers]:[Helpers]],tblProjectSchedule[[Start]:[Start]],"&lt;="&amp;BLQ6,tblProjectSchedule[[Finish]:[Finish]],"&gt;="&amp;BLQ6))</f>
        <v>0</v>
      </c>
      <c r="BLR4" s="172">
        <f>IF(WEEKDAY(BLR6,12)&gt;=6,0,SUMIFS(tblProjectSchedule[[Skilled]:[Skilled]],tblProjectSchedule[[Start]:[Start]],"&lt;="&amp;BLR6,tblProjectSchedule[[Finish]:[Finish]],"&gt;="&amp;BLR6)+SUMIFS(tblProjectSchedule[[Helpers]:[Helpers]],tblProjectSchedule[[Start]:[Start]],"&lt;="&amp;BLR6,tblProjectSchedule[[Finish]:[Finish]],"&gt;="&amp;BLR6))</f>
        <v>0</v>
      </c>
      <c r="BLS4" s="174">
        <f>IF(WEEKDAY(BLS6,12)&gt;=6,0,SUMIFS(tblProjectSchedule[[Skilled]:[Skilled]],tblProjectSchedule[[Start]:[Start]],"&lt;="&amp;BLS6,tblProjectSchedule[[Finish]:[Finish]],"&gt;="&amp;BLS6)+SUMIFS(tblProjectSchedule[[Helpers]:[Helpers]],tblProjectSchedule[[Start]:[Start]],"&lt;="&amp;BLS6,tblProjectSchedule[[Finish]:[Finish]],"&gt;="&amp;BLS6))</f>
        <v>0</v>
      </c>
      <c r="BLT4" s="173">
        <f>IF(WEEKDAY(BLT6,12)&gt;=6,0,SUMIFS(tblProjectSchedule[[Skilled]:[Skilled]],tblProjectSchedule[[Start]:[Start]],"&lt;="&amp;BLT6,tblProjectSchedule[[Finish]:[Finish]],"&gt;="&amp;BLT6)+SUMIFS(tblProjectSchedule[[Helpers]:[Helpers]],tblProjectSchedule[[Start]:[Start]],"&lt;="&amp;BLT6,tblProjectSchedule[[Finish]:[Finish]],"&gt;="&amp;BLT6))</f>
        <v>0</v>
      </c>
      <c r="BLU4" s="172">
        <f>IF(WEEKDAY(BLU6,12)&gt;=6,0,SUMIFS(tblProjectSchedule[[Skilled]:[Skilled]],tblProjectSchedule[[Start]:[Start]],"&lt;="&amp;BLU6,tblProjectSchedule[[Finish]:[Finish]],"&gt;="&amp;BLU6)+SUMIFS(tblProjectSchedule[[Helpers]:[Helpers]],tblProjectSchedule[[Start]:[Start]],"&lt;="&amp;BLU6,tblProjectSchedule[[Finish]:[Finish]],"&gt;="&amp;BLU6))</f>
        <v>0</v>
      </c>
      <c r="BLV4" s="172">
        <f>IF(WEEKDAY(BLV6,12)&gt;=6,0,SUMIFS(tblProjectSchedule[[Skilled]:[Skilled]],tblProjectSchedule[[Start]:[Start]],"&lt;="&amp;BLV6,tblProjectSchedule[[Finish]:[Finish]],"&gt;="&amp;BLV6)+SUMIFS(tblProjectSchedule[[Helpers]:[Helpers]],tblProjectSchedule[[Start]:[Start]],"&lt;="&amp;BLV6,tblProjectSchedule[[Finish]:[Finish]],"&gt;="&amp;BLV6))</f>
        <v>0</v>
      </c>
      <c r="BLW4" s="172">
        <f>IF(WEEKDAY(BLW6,12)&gt;=6,0,SUMIFS(tblProjectSchedule[[Skilled]:[Skilled]],tblProjectSchedule[[Start]:[Start]],"&lt;="&amp;BLW6,tblProjectSchedule[[Finish]:[Finish]],"&gt;="&amp;BLW6)+SUMIFS(tblProjectSchedule[[Helpers]:[Helpers]],tblProjectSchedule[[Start]:[Start]],"&lt;="&amp;BLW6,tblProjectSchedule[[Finish]:[Finish]],"&gt;="&amp;BLW6))</f>
        <v>0</v>
      </c>
      <c r="BLX4" s="172">
        <f>IF(WEEKDAY(BLX6,12)&gt;=6,0,SUMIFS(tblProjectSchedule[[Skilled]:[Skilled]],tblProjectSchedule[[Start]:[Start]],"&lt;="&amp;BLX6,tblProjectSchedule[[Finish]:[Finish]],"&gt;="&amp;BLX6)+SUMIFS(tblProjectSchedule[[Helpers]:[Helpers]],tblProjectSchedule[[Start]:[Start]],"&lt;="&amp;BLX6,tblProjectSchedule[[Finish]:[Finish]],"&gt;="&amp;BLX6))</f>
        <v>0</v>
      </c>
      <c r="BLY4" s="172">
        <f>IF(WEEKDAY(BLY6,12)&gt;=6,0,SUMIFS(tblProjectSchedule[[Skilled]:[Skilled]],tblProjectSchedule[[Start]:[Start]],"&lt;="&amp;BLY6,tblProjectSchedule[[Finish]:[Finish]],"&gt;="&amp;BLY6)+SUMIFS(tblProjectSchedule[[Helpers]:[Helpers]],tblProjectSchedule[[Start]:[Start]],"&lt;="&amp;BLY6,tblProjectSchedule[[Finish]:[Finish]],"&gt;="&amp;BLY6))</f>
        <v>0</v>
      </c>
      <c r="BLZ4" s="174">
        <f>IF(WEEKDAY(BLZ6,12)&gt;=6,0,SUMIFS(tblProjectSchedule[[Skilled]:[Skilled]],tblProjectSchedule[[Start]:[Start]],"&lt;="&amp;BLZ6,tblProjectSchedule[[Finish]:[Finish]],"&gt;="&amp;BLZ6)+SUMIFS(tblProjectSchedule[[Helpers]:[Helpers]],tblProjectSchedule[[Start]:[Start]],"&lt;="&amp;BLZ6,tblProjectSchedule[[Finish]:[Finish]],"&gt;="&amp;BLZ6))</f>
        <v>0</v>
      </c>
      <c r="BMA4" s="173">
        <f>IF(WEEKDAY(BMA6,12)&gt;=6,0,SUMIFS(tblProjectSchedule[[Skilled]:[Skilled]],tblProjectSchedule[[Start]:[Start]],"&lt;="&amp;BMA6,tblProjectSchedule[[Finish]:[Finish]],"&gt;="&amp;BMA6)+SUMIFS(tblProjectSchedule[[Helpers]:[Helpers]],tblProjectSchedule[[Start]:[Start]],"&lt;="&amp;BMA6,tblProjectSchedule[[Finish]:[Finish]],"&gt;="&amp;BMA6))</f>
        <v>0</v>
      </c>
      <c r="BMB4" s="172">
        <f>IF(WEEKDAY(BMB6,12)&gt;=6,0,SUMIFS(tblProjectSchedule[[Skilled]:[Skilled]],tblProjectSchedule[[Start]:[Start]],"&lt;="&amp;BMB6,tblProjectSchedule[[Finish]:[Finish]],"&gt;="&amp;BMB6)+SUMIFS(tblProjectSchedule[[Helpers]:[Helpers]],tblProjectSchedule[[Start]:[Start]],"&lt;="&amp;BMB6,tblProjectSchedule[[Finish]:[Finish]],"&gt;="&amp;BMB6))</f>
        <v>0</v>
      </c>
      <c r="BMC4" s="172">
        <f>IF(WEEKDAY(BMC6,12)&gt;=6,0,SUMIFS(tblProjectSchedule[[Skilled]:[Skilled]],tblProjectSchedule[[Start]:[Start]],"&lt;="&amp;BMC6,tblProjectSchedule[[Finish]:[Finish]],"&gt;="&amp;BMC6)+SUMIFS(tblProjectSchedule[[Helpers]:[Helpers]],tblProjectSchedule[[Start]:[Start]],"&lt;="&amp;BMC6,tblProjectSchedule[[Finish]:[Finish]],"&gt;="&amp;BMC6))</f>
        <v>0</v>
      </c>
      <c r="BMD4" s="172">
        <f>IF(WEEKDAY(BMD6,12)&gt;=6,0,SUMIFS(tblProjectSchedule[[Skilled]:[Skilled]],tblProjectSchedule[[Start]:[Start]],"&lt;="&amp;BMD6,tblProjectSchedule[[Finish]:[Finish]],"&gt;="&amp;BMD6)+SUMIFS(tblProjectSchedule[[Helpers]:[Helpers]],tblProjectSchedule[[Start]:[Start]],"&lt;="&amp;BMD6,tblProjectSchedule[[Finish]:[Finish]],"&gt;="&amp;BMD6))</f>
        <v>0</v>
      </c>
      <c r="BME4" s="172">
        <f>IF(WEEKDAY(BME6,12)&gt;=6,0,SUMIFS(tblProjectSchedule[[Skilled]:[Skilled]],tblProjectSchedule[[Start]:[Start]],"&lt;="&amp;BME6,tblProjectSchedule[[Finish]:[Finish]],"&gt;="&amp;BME6)+SUMIFS(tblProjectSchedule[[Helpers]:[Helpers]],tblProjectSchedule[[Start]:[Start]],"&lt;="&amp;BME6,tblProjectSchedule[[Finish]:[Finish]],"&gt;="&amp;BME6))</f>
        <v>0</v>
      </c>
      <c r="BMF4" s="172">
        <f>IF(WEEKDAY(BMF6,12)&gt;=6,0,SUMIFS(tblProjectSchedule[[Skilled]:[Skilled]],tblProjectSchedule[[Start]:[Start]],"&lt;="&amp;BMF6,tblProjectSchedule[[Finish]:[Finish]],"&gt;="&amp;BMF6)+SUMIFS(tblProjectSchedule[[Helpers]:[Helpers]],tblProjectSchedule[[Start]:[Start]],"&lt;="&amp;BMF6,tblProjectSchedule[[Finish]:[Finish]],"&gt;="&amp;BMF6))</f>
        <v>0</v>
      </c>
      <c r="BMG4" s="174">
        <f>IF(WEEKDAY(BMG6,12)&gt;=6,0,SUMIFS(tblProjectSchedule[[Skilled]:[Skilled]],tblProjectSchedule[[Start]:[Start]],"&lt;="&amp;BMG6,tblProjectSchedule[[Finish]:[Finish]],"&gt;="&amp;BMG6)+SUMIFS(tblProjectSchedule[[Helpers]:[Helpers]],tblProjectSchedule[[Start]:[Start]],"&lt;="&amp;BMG6,tblProjectSchedule[[Finish]:[Finish]],"&gt;="&amp;BMG6))</f>
        <v>0</v>
      </c>
      <c r="BMH4" s="173">
        <f>IF(WEEKDAY(BMH6,12)&gt;=6,0,SUMIFS(tblProjectSchedule[[Skilled]:[Skilled]],tblProjectSchedule[[Start]:[Start]],"&lt;="&amp;BMH6,tblProjectSchedule[[Finish]:[Finish]],"&gt;="&amp;BMH6)+SUMIFS(tblProjectSchedule[[Helpers]:[Helpers]],tblProjectSchedule[[Start]:[Start]],"&lt;="&amp;BMH6,tblProjectSchedule[[Finish]:[Finish]],"&gt;="&amp;BMH6))</f>
        <v>0</v>
      </c>
      <c r="BMI4" s="172">
        <f>IF(WEEKDAY(BMI6,12)&gt;=6,0,SUMIFS(tblProjectSchedule[[Skilled]:[Skilled]],tblProjectSchedule[[Start]:[Start]],"&lt;="&amp;BMI6,tblProjectSchedule[[Finish]:[Finish]],"&gt;="&amp;BMI6)+SUMIFS(tblProjectSchedule[[Helpers]:[Helpers]],tblProjectSchedule[[Start]:[Start]],"&lt;="&amp;BMI6,tblProjectSchedule[[Finish]:[Finish]],"&gt;="&amp;BMI6))</f>
        <v>0</v>
      </c>
      <c r="BMJ4" s="172">
        <f>IF(WEEKDAY(BMJ6,12)&gt;=6,0,SUMIFS(tblProjectSchedule[[Skilled]:[Skilled]],tblProjectSchedule[[Start]:[Start]],"&lt;="&amp;BMJ6,tblProjectSchedule[[Finish]:[Finish]],"&gt;="&amp;BMJ6)+SUMIFS(tblProjectSchedule[[Helpers]:[Helpers]],tblProjectSchedule[[Start]:[Start]],"&lt;="&amp;BMJ6,tblProjectSchedule[[Finish]:[Finish]],"&gt;="&amp;BMJ6))</f>
        <v>0</v>
      </c>
      <c r="BMK4" s="172">
        <f>IF(WEEKDAY(BMK6,12)&gt;=6,0,SUMIFS(tblProjectSchedule[[Skilled]:[Skilled]],tblProjectSchedule[[Start]:[Start]],"&lt;="&amp;BMK6,tblProjectSchedule[[Finish]:[Finish]],"&gt;="&amp;BMK6)+SUMIFS(tblProjectSchedule[[Helpers]:[Helpers]],tblProjectSchedule[[Start]:[Start]],"&lt;="&amp;BMK6,tblProjectSchedule[[Finish]:[Finish]],"&gt;="&amp;BMK6))</f>
        <v>0</v>
      </c>
      <c r="BML4" s="172">
        <f>IF(WEEKDAY(BML6,12)&gt;=6,0,SUMIFS(tblProjectSchedule[[Skilled]:[Skilled]],tblProjectSchedule[[Start]:[Start]],"&lt;="&amp;BML6,tblProjectSchedule[[Finish]:[Finish]],"&gt;="&amp;BML6)+SUMIFS(tblProjectSchedule[[Helpers]:[Helpers]],tblProjectSchedule[[Start]:[Start]],"&lt;="&amp;BML6,tblProjectSchedule[[Finish]:[Finish]],"&gt;="&amp;BML6))</f>
        <v>0</v>
      </c>
      <c r="BMM4" s="172">
        <f>IF(WEEKDAY(BMM6,12)&gt;=6,0,SUMIFS(tblProjectSchedule[[Skilled]:[Skilled]],tblProjectSchedule[[Start]:[Start]],"&lt;="&amp;BMM6,tblProjectSchedule[[Finish]:[Finish]],"&gt;="&amp;BMM6)+SUMIFS(tblProjectSchedule[[Helpers]:[Helpers]],tblProjectSchedule[[Start]:[Start]],"&lt;="&amp;BMM6,tblProjectSchedule[[Finish]:[Finish]],"&gt;="&amp;BMM6))</f>
        <v>0</v>
      </c>
      <c r="BMN4" s="174">
        <f>IF(WEEKDAY(BMN6,12)&gt;=6,0,SUMIFS(tblProjectSchedule[[Skilled]:[Skilled]],tblProjectSchedule[[Start]:[Start]],"&lt;="&amp;BMN6,tblProjectSchedule[[Finish]:[Finish]],"&gt;="&amp;BMN6)+SUMIFS(tblProjectSchedule[[Helpers]:[Helpers]],tblProjectSchedule[[Start]:[Start]],"&lt;="&amp;BMN6,tblProjectSchedule[[Finish]:[Finish]],"&gt;="&amp;BMN6))</f>
        <v>0</v>
      </c>
      <c r="BMO4" s="173">
        <f>IF(WEEKDAY(BMO6,12)&gt;=6,0,SUMIFS(tblProjectSchedule[[Skilled]:[Skilled]],tblProjectSchedule[[Start]:[Start]],"&lt;="&amp;BMO6,tblProjectSchedule[[Finish]:[Finish]],"&gt;="&amp;BMO6)+SUMIFS(tblProjectSchedule[[Helpers]:[Helpers]],tblProjectSchedule[[Start]:[Start]],"&lt;="&amp;BMO6,tblProjectSchedule[[Finish]:[Finish]],"&gt;="&amp;BMO6))</f>
        <v>0</v>
      </c>
      <c r="BMP4" s="172">
        <f>IF(WEEKDAY(BMP6,12)&gt;=6,0,SUMIFS(tblProjectSchedule[[Skilled]:[Skilled]],tblProjectSchedule[[Start]:[Start]],"&lt;="&amp;BMP6,tblProjectSchedule[[Finish]:[Finish]],"&gt;="&amp;BMP6)+SUMIFS(tblProjectSchedule[[Helpers]:[Helpers]],tblProjectSchedule[[Start]:[Start]],"&lt;="&amp;BMP6,tblProjectSchedule[[Finish]:[Finish]],"&gt;="&amp;BMP6))</f>
        <v>0</v>
      </c>
      <c r="BMQ4" s="172">
        <f>IF(WEEKDAY(BMQ6,12)&gt;=6,0,SUMIFS(tblProjectSchedule[[Skilled]:[Skilled]],tblProjectSchedule[[Start]:[Start]],"&lt;="&amp;BMQ6,tblProjectSchedule[[Finish]:[Finish]],"&gt;="&amp;BMQ6)+SUMIFS(tblProjectSchedule[[Helpers]:[Helpers]],tblProjectSchedule[[Start]:[Start]],"&lt;="&amp;BMQ6,tblProjectSchedule[[Finish]:[Finish]],"&gt;="&amp;BMQ6))</f>
        <v>0</v>
      </c>
      <c r="BMR4" s="172">
        <f>IF(WEEKDAY(BMR6,12)&gt;=6,0,SUMIFS(tblProjectSchedule[[Skilled]:[Skilled]],tblProjectSchedule[[Start]:[Start]],"&lt;="&amp;BMR6,tblProjectSchedule[[Finish]:[Finish]],"&gt;="&amp;BMR6)+SUMIFS(tblProjectSchedule[[Helpers]:[Helpers]],tblProjectSchedule[[Start]:[Start]],"&lt;="&amp;BMR6,tblProjectSchedule[[Finish]:[Finish]],"&gt;="&amp;BMR6))</f>
        <v>0</v>
      </c>
      <c r="BMS4" s="172">
        <f>IF(WEEKDAY(BMS6,12)&gt;=6,0,SUMIFS(tblProjectSchedule[[Skilled]:[Skilled]],tblProjectSchedule[[Start]:[Start]],"&lt;="&amp;BMS6,tblProjectSchedule[[Finish]:[Finish]],"&gt;="&amp;BMS6)+SUMIFS(tblProjectSchedule[[Helpers]:[Helpers]],tblProjectSchedule[[Start]:[Start]],"&lt;="&amp;BMS6,tblProjectSchedule[[Finish]:[Finish]],"&gt;="&amp;BMS6))</f>
        <v>0</v>
      </c>
      <c r="BMT4" s="172">
        <f>IF(WEEKDAY(BMT6,12)&gt;=6,0,SUMIFS(tblProjectSchedule[[Skilled]:[Skilled]],tblProjectSchedule[[Start]:[Start]],"&lt;="&amp;BMT6,tblProjectSchedule[[Finish]:[Finish]],"&gt;="&amp;BMT6)+SUMIFS(tblProjectSchedule[[Helpers]:[Helpers]],tblProjectSchedule[[Start]:[Start]],"&lt;="&amp;BMT6,tblProjectSchedule[[Finish]:[Finish]],"&gt;="&amp;BMT6))</f>
        <v>0</v>
      </c>
      <c r="BMU4" s="174">
        <f>IF(WEEKDAY(BMU6,12)&gt;=6,0,SUMIFS(tblProjectSchedule[[Skilled]:[Skilled]],tblProjectSchedule[[Start]:[Start]],"&lt;="&amp;BMU6,tblProjectSchedule[[Finish]:[Finish]],"&gt;="&amp;BMU6)+SUMIFS(tblProjectSchedule[[Helpers]:[Helpers]],tblProjectSchedule[[Start]:[Start]],"&lt;="&amp;BMU6,tblProjectSchedule[[Finish]:[Finish]],"&gt;="&amp;BMU6))</f>
        <v>0</v>
      </c>
      <c r="BMV4" s="173">
        <f>IF(WEEKDAY(BMV6,12)&gt;=6,0,SUMIFS(tblProjectSchedule[[Skilled]:[Skilled]],tblProjectSchedule[[Start]:[Start]],"&lt;="&amp;BMV6,tblProjectSchedule[[Finish]:[Finish]],"&gt;="&amp;BMV6)+SUMIFS(tblProjectSchedule[[Helpers]:[Helpers]],tblProjectSchedule[[Start]:[Start]],"&lt;="&amp;BMV6,tblProjectSchedule[[Finish]:[Finish]],"&gt;="&amp;BMV6))</f>
        <v>0</v>
      </c>
      <c r="BMW4" s="172">
        <f>IF(WEEKDAY(BMW6,12)&gt;=6,0,SUMIFS(tblProjectSchedule[[Skilled]:[Skilled]],tblProjectSchedule[[Start]:[Start]],"&lt;="&amp;BMW6,tblProjectSchedule[[Finish]:[Finish]],"&gt;="&amp;BMW6)+SUMIFS(tblProjectSchedule[[Helpers]:[Helpers]],tblProjectSchedule[[Start]:[Start]],"&lt;="&amp;BMW6,tblProjectSchedule[[Finish]:[Finish]],"&gt;="&amp;BMW6))</f>
        <v>0</v>
      </c>
      <c r="BMX4" s="172">
        <f>IF(WEEKDAY(BMX6,12)&gt;=6,0,SUMIFS(tblProjectSchedule[[Skilled]:[Skilled]],tblProjectSchedule[[Start]:[Start]],"&lt;="&amp;BMX6,tblProjectSchedule[[Finish]:[Finish]],"&gt;="&amp;BMX6)+SUMIFS(tblProjectSchedule[[Helpers]:[Helpers]],tblProjectSchedule[[Start]:[Start]],"&lt;="&amp;BMX6,tblProjectSchedule[[Finish]:[Finish]],"&gt;="&amp;BMX6))</f>
        <v>0</v>
      </c>
      <c r="BMY4" s="172">
        <f>IF(WEEKDAY(BMY6,12)&gt;=6,0,SUMIFS(tblProjectSchedule[[Skilled]:[Skilled]],tblProjectSchedule[[Start]:[Start]],"&lt;="&amp;BMY6,tblProjectSchedule[[Finish]:[Finish]],"&gt;="&amp;BMY6)+SUMIFS(tblProjectSchedule[[Helpers]:[Helpers]],tblProjectSchedule[[Start]:[Start]],"&lt;="&amp;BMY6,tblProjectSchedule[[Finish]:[Finish]],"&gt;="&amp;BMY6))</f>
        <v>0</v>
      </c>
      <c r="BMZ4" s="172">
        <f>IF(WEEKDAY(BMZ6,12)&gt;=6,0,SUMIFS(tblProjectSchedule[[Skilled]:[Skilled]],tblProjectSchedule[[Start]:[Start]],"&lt;="&amp;BMZ6,tblProjectSchedule[[Finish]:[Finish]],"&gt;="&amp;BMZ6)+SUMIFS(tblProjectSchedule[[Helpers]:[Helpers]],tblProjectSchedule[[Start]:[Start]],"&lt;="&amp;BMZ6,tblProjectSchedule[[Finish]:[Finish]],"&gt;="&amp;BMZ6))</f>
        <v>0</v>
      </c>
      <c r="BNA4" s="172">
        <f>IF(WEEKDAY(BNA6,12)&gt;=6,0,SUMIFS(tblProjectSchedule[[Skilled]:[Skilled]],tblProjectSchedule[[Start]:[Start]],"&lt;="&amp;BNA6,tblProjectSchedule[[Finish]:[Finish]],"&gt;="&amp;BNA6)+SUMIFS(tblProjectSchedule[[Helpers]:[Helpers]],tblProjectSchedule[[Start]:[Start]],"&lt;="&amp;BNA6,tblProjectSchedule[[Finish]:[Finish]],"&gt;="&amp;BNA6))</f>
        <v>0</v>
      </c>
      <c r="BNB4" s="174">
        <f>IF(WEEKDAY(BNB6,12)&gt;=6,0,SUMIFS(tblProjectSchedule[[Skilled]:[Skilled]],tblProjectSchedule[[Start]:[Start]],"&lt;="&amp;BNB6,tblProjectSchedule[[Finish]:[Finish]],"&gt;="&amp;BNB6)+SUMIFS(tblProjectSchedule[[Helpers]:[Helpers]],tblProjectSchedule[[Start]:[Start]],"&lt;="&amp;BNB6,tblProjectSchedule[[Finish]:[Finish]],"&gt;="&amp;BNB6))</f>
        <v>0</v>
      </c>
      <c r="BNC4" s="173">
        <f>IF(WEEKDAY(BNC6,12)&gt;=6,0,SUMIFS(tblProjectSchedule[[Skilled]:[Skilled]],tblProjectSchedule[[Start]:[Start]],"&lt;="&amp;BNC6,tblProjectSchedule[[Finish]:[Finish]],"&gt;="&amp;BNC6)+SUMIFS(tblProjectSchedule[[Helpers]:[Helpers]],tblProjectSchedule[[Start]:[Start]],"&lt;="&amp;BNC6,tblProjectSchedule[[Finish]:[Finish]],"&gt;="&amp;BNC6))</f>
        <v>0</v>
      </c>
      <c r="BND4" s="172">
        <f>IF(WEEKDAY(BND6,12)&gt;=6,0,SUMIFS(tblProjectSchedule[[Skilled]:[Skilled]],tblProjectSchedule[[Start]:[Start]],"&lt;="&amp;BND6,tblProjectSchedule[[Finish]:[Finish]],"&gt;="&amp;BND6)+SUMIFS(tblProjectSchedule[[Helpers]:[Helpers]],tblProjectSchedule[[Start]:[Start]],"&lt;="&amp;BND6,tblProjectSchedule[[Finish]:[Finish]],"&gt;="&amp;BND6))</f>
        <v>0</v>
      </c>
      <c r="BNE4" s="172">
        <f>IF(WEEKDAY(BNE6,12)&gt;=6,0,SUMIFS(tblProjectSchedule[[Skilled]:[Skilled]],tblProjectSchedule[[Start]:[Start]],"&lt;="&amp;BNE6,tblProjectSchedule[[Finish]:[Finish]],"&gt;="&amp;BNE6)+SUMIFS(tblProjectSchedule[[Helpers]:[Helpers]],tblProjectSchedule[[Start]:[Start]],"&lt;="&amp;BNE6,tblProjectSchedule[[Finish]:[Finish]],"&gt;="&amp;BNE6))</f>
        <v>0</v>
      </c>
      <c r="BNF4" s="172">
        <f>IF(WEEKDAY(BNF6,12)&gt;=6,0,SUMIFS(tblProjectSchedule[[Skilled]:[Skilled]],tblProjectSchedule[[Start]:[Start]],"&lt;="&amp;BNF6,tblProjectSchedule[[Finish]:[Finish]],"&gt;="&amp;BNF6)+SUMIFS(tblProjectSchedule[[Helpers]:[Helpers]],tblProjectSchedule[[Start]:[Start]],"&lt;="&amp;BNF6,tblProjectSchedule[[Finish]:[Finish]],"&gt;="&amp;BNF6))</f>
        <v>0</v>
      </c>
      <c r="BNG4" s="172">
        <f>IF(WEEKDAY(BNG6,12)&gt;=6,0,SUMIFS(tblProjectSchedule[[Skilled]:[Skilled]],tblProjectSchedule[[Start]:[Start]],"&lt;="&amp;BNG6,tblProjectSchedule[[Finish]:[Finish]],"&gt;="&amp;BNG6)+SUMIFS(tblProjectSchedule[[Helpers]:[Helpers]],tblProjectSchedule[[Start]:[Start]],"&lt;="&amp;BNG6,tblProjectSchedule[[Finish]:[Finish]],"&gt;="&amp;BNG6))</f>
        <v>0</v>
      </c>
      <c r="BNH4" s="172">
        <f>IF(WEEKDAY(BNH6,12)&gt;=6,0,SUMIFS(tblProjectSchedule[[Skilled]:[Skilled]],tblProjectSchedule[[Start]:[Start]],"&lt;="&amp;BNH6,tblProjectSchedule[[Finish]:[Finish]],"&gt;="&amp;BNH6)+SUMIFS(tblProjectSchedule[[Helpers]:[Helpers]],tblProjectSchedule[[Start]:[Start]],"&lt;="&amp;BNH6,tblProjectSchedule[[Finish]:[Finish]],"&gt;="&amp;BNH6))</f>
        <v>0</v>
      </c>
      <c r="BNI4" s="174">
        <f>IF(WEEKDAY(BNI6,12)&gt;=6,0,SUMIFS(tblProjectSchedule[[Skilled]:[Skilled]],tblProjectSchedule[[Start]:[Start]],"&lt;="&amp;BNI6,tblProjectSchedule[[Finish]:[Finish]],"&gt;="&amp;BNI6)+SUMIFS(tblProjectSchedule[[Helpers]:[Helpers]],tblProjectSchedule[[Start]:[Start]],"&lt;="&amp;BNI6,tblProjectSchedule[[Finish]:[Finish]],"&gt;="&amp;BNI6))</f>
        <v>0</v>
      </c>
      <c r="BNJ4" s="173">
        <f>IF(WEEKDAY(BNJ6,12)&gt;=6,0,SUMIFS(tblProjectSchedule[[Skilled]:[Skilled]],tblProjectSchedule[[Start]:[Start]],"&lt;="&amp;BNJ6,tblProjectSchedule[[Finish]:[Finish]],"&gt;="&amp;BNJ6)+SUMIFS(tblProjectSchedule[[Helpers]:[Helpers]],tblProjectSchedule[[Start]:[Start]],"&lt;="&amp;BNJ6,tblProjectSchedule[[Finish]:[Finish]],"&gt;="&amp;BNJ6))</f>
        <v>0</v>
      </c>
      <c r="BNK4" s="172">
        <f>IF(WEEKDAY(BNK6,12)&gt;=6,0,SUMIFS(tblProjectSchedule[[Skilled]:[Skilled]],tblProjectSchedule[[Start]:[Start]],"&lt;="&amp;BNK6,tblProjectSchedule[[Finish]:[Finish]],"&gt;="&amp;BNK6)+SUMIFS(tblProjectSchedule[[Helpers]:[Helpers]],tblProjectSchedule[[Start]:[Start]],"&lt;="&amp;BNK6,tblProjectSchedule[[Finish]:[Finish]],"&gt;="&amp;BNK6))</f>
        <v>0</v>
      </c>
      <c r="BNL4" s="172">
        <f>IF(WEEKDAY(BNL6,12)&gt;=6,0,SUMIFS(tblProjectSchedule[[Skilled]:[Skilled]],tblProjectSchedule[[Start]:[Start]],"&lt;="&amp;BNL6,tblProjectSchedule[[Finish]:[Finish]],"&gt;="&amp;BNL6)+SUMIFS(tblProjectSchedule[[Helpers]:[Helpers]],tblProjectSchedule[[Start]:[Start]],"&lt;="&amp;BNL6,tblProjectSchedule[[Finish]:[Finish]],"&gt;="&amp;BNL6))</f>
        <v>0</v>
      </c>
      <c r="BNM4" s="172">
        <f>IF(WEEKDAY(BNM6,12)&gt;=6,0,SUMIFS(tblProjectSchedule[[Skilled]:[Skilled]],tblProjectSchedule[[Start]:[Start]],"&lt;="&amp;BNM6,tblProjectSchedule[[Finish]:[Finish]],"&gt;="&amp;BNM6)+SUMIFS(tblProjectSchedule[[Helpers]:[Helpers]],tblProjectSchedule[[Start]:[Start]],"&lt;="&amp;BNM6,tblProjectSchedule[[Finish]:[Finish]],"&gt;="&amp;BNM6))</f>
        <v>0</v>
      </c>
      <c r="BNN4" s="172">
        <f>IF(WEEKDAY(BNN6,12)&gt;=6,0,SUMIFS(tblProjectSchedule[[Skilled]:[Skilled]],tblProjectSchedule[[Start]:[Start]],"&lt;="&amp;BNN6,tblProjectSchedule[[Finish]:[Finish]],"&gt;="&amp;BNN6)+SUMIFS(tblProjectSchedule[[Helpers]:[Helpers]],tblProjectSchedule[[Start]:[Start]],"&lt;="&amp;BNN6,tblProjectSchedule[[Finish]:[Finish]],"&gt;="&amp;BNN6))</f>
        <v>0</v>
      </c>
      <c r="BNO4" s="172">
        <f>IF(WEEKDAY(BNO6,12)&gt;=6,0,SUMIFS(tblProjectSchedule[[Skilled]:[Skilled]],tblProjectSchedule[[Start]:[Start]],"&lt;="&amp;BNO6,tblProjectSchedule[[Finish]:[Finish]],"&gt;="&amp;BNO6)+SUMIFS(tblProjectSchedule[[Helpers]:[Helpers]],tblProjectSchedule[[Start]:[Start]],"&lt;="&amp;BNO6,tblProjectSchedule[[Finish]:[Finish]],"&gt;="&amp;BNO6))</f>
        <v>0</v>
      </c>
      <c r="BNP4" s="174">
        <f>IF(WEEKDAY(BNP6,12)&gt;=6,0,SUMIFS(tblProjectSchedule[[Skilled]:[Skilled]],tblProjectSchedule[[Start]:[Start]],"&lt;="&amp;BNP6,tblProjectSchedule[[Finish]:[Finish]],"&gt;="&amp;BNP6)+SUMIFS(tblProjectSchedule[[Helpers]:[Helpers]],tblProjectSchedule[[Start]:[Start]],"&lt;="&amp;BNP6,tblProjectSchedule[[Finish]:[Finish]],"&gt;="&amp;BNP6))</f>
        <v>0</v>
      </c>
      <c r="BNQ4" s="173">
        <f>IF(WEEKDAY(BNQ6,12)&gt;=6,0,SUMIFS(tblProjectSchedule[[Skilled]:[Skilled]],tblProjectSchedule[[Start]:[Start]],"&lt;="&amp;BNQ6,tblProjectSchedule[[Finish]:[Finish]],"&gt;="&amp;BNQ6)+SUMIFS(tblProjectSchedule[[Helpers]:[Helpers]],tblProjectSchedule[[Start]:[Start]],"&lt;="&amp;BNQ6,tblProjectSchedule[[Finish]:[Finish]],"&gt;="&amp;BNQ6))</f>
        <v>0</v>
      </c>
      <c r="BNR4" s="172">
        <f>IF(WEEKDAY(BNR6,12)&gt;=6,0,SUMIFS(tblProjectSchedule[[Skilled]:[Skilled]],tblProjectSchedule[[Start]:[Start]],"&lt;="&amp;BNR6,tblProjectSchedule[[Finish]:[Finish]],"&gt;="&amp;BNR6)+SUMIFS(tblProjectSchedule[[Helpers]:[Helpers]],tblProjectSchedule[[Start]:[Start]],"&lt;="&amp;BNR6,tblProjectSchedule[[Finish]:[Finish]],"&gt;="&amp;BNR6))</f>
        <v>0</v>
      </c>
      <c r="BNS4" s="172">
        <f>IF(WEEKDAY(BNS6,12)&gt;=6,0,SUMIFS(tblProjectSchedule[[Skilled]:[Skilled]],tblProjectSchedule[[Start]:[Start]],"&lt;="&amp;BNS6,tblProjectSchedule[[Finish]:[Finish]],"&gt;="&amp;BNS6)+SUMIFS(tblProjectSchedule[[Helpers]:[Helpers]],tblProjectSchedule[[Start]:[Start]],"&lt;="&amp;BNS6,tblProjectSchedule[[Finish]:[Finish]],"&gt;="&amp;BNS6))</f>
        <v>0</v>
      </c>
      <c r="BNT4" s="172">
        <f>IF(WEEKDAY(BNT6,12)&gt;=6,0,SUMIFS(tblProjectSchedule[[Skilled]:[Skilled]],tblProjectSchedule[[Start]:[Start]],"&lt;="&amp;BNT6,tblProjectSchedule[[Finish]:[Finish]],"&gt;="&amp;BNT6)+SUMIFS(tblProjectSchedule[[Helpers]:[Helpers]],tblProjectSchedule[[Start]:[Start]],"&lt;="&amp;BNT6,tblProjectSchedule[[Finish]:[Finish]],"&gt;="&amp;BNT6))</f>
        <v>0</v>
      </c>
      <c r="BNU4" s="172">
        <f>IF(WEEKDAY(BNU6,12)&gt;=6,0,SUMIFS(tblProjectSchedule[[Skilled]:[Skilled]],tblProjectSchedule[[Start]:[Start]],"&lt;="&amp;BNU6,tblProjectSchedule[[Finish]:[Finish]],"&gt;="&amp;BNU6)+SUMIFS(tblProjectSchedule[[Helpers]:[Helpers]],tblProjectSchedule[[Start]:[Start]],"&lt;="&amp;BNU6,tblProjectSchedule[[Finish]:[Finish]],"&gt;="&amp;BNU6))</f>
        <v>0</v>
      </c>
      <c r="BNV4" s="172">
        <f>IF(WEEKDAY(BNV6,12)&gt;=6,0,SUMIFS(tblProjectSchedule[[Skilled]:[Skilled]],tblProjectSchedule[[Start]:[Start]],"&lt;="&amp;BNV6,tblProjectSchedule[[Finish]:[Finish]],"&gt;="&amp;BNV6)+SUMIFS(tblProjectSchedule[[Helpers]:[Helpers]],tblProjectSchedule[[Start]:[Start]],"&lt;="&amp;BNV6,tblProjectSchedule[[Finish]:[Finish]],"&gt;="&amp;BNV6))</f>
        <v>0</v>
      </c>
      <c r="BNW4" s="174">
        <f>IF(WEEKDAY(BNW6,12)&gt;=6,0,SUMIFS(tblProjectSchedule[[Skilled]:[Skilled]],tblProjectSchedule[[Start]:[Start]],"&lt;="&amp;BNW6,tblProjectSchedule[[Finish]:[Finish]],"&gt;="&amp;BNW6)+SUMIFS(tblProjectSchedule[[Helpers]:[Helpers]],tblProjectSchedule[[Start]:[Start]],"&lt;="&amp;BNW6,tblProjectSchedule[[Finish]:[Finish]],"&gt;="&amp;BNW6))</f>
        <v>0</v>
      </c>
      <c r="BNX4" s="173">
        <f>IF(WEEKDAY(BNX6,12)&gt;=6,0,SUMIFS(tblProjectSchedule[[Skilled]:[Skilled]],tblProjectSchedule[[Start]:[Start]],"&lt;="&amp;BNX6,tblProjectSchedule[[Finish]:[Finish]],"&gt;="&amp;BNX6)+SUMIFS(tblProjectSchedule[[Helpers]:[Helpers]],tblProjectSchedule[[Start]:[Start]],"&lt;="&amp;BNX6,tblProjectSchedule[[Finish]:[Finish]],"&gt;="&amp;BNX6))</f>
        <v>0</v>
      </c>
      <c r="BNY4" s="172">
        <f>IF(WEEKDAY(BNY6,12)&gt;=6,0,SUMIFS(tblProjectSchedule[[Skilled]:[Skilled]],tblProjectSchedule[[Start]:[Start]],"&lt;="&amp;BNY6,tblProjectSchedule[[Finish]:[Finish]],"&gt;="&amp;BNY6)+SUMIFS(tblProjectSchedule[[Helpers]:[Helpers]],tblProjectSchedule[[Start]:[Start]],"&lt;="&amp;BNY6,tblProjectSchedule[[Finish]:[Finish]],"&gt;="&amp;BNY6))</f>
        <v>0</v>
      </c>
      <c r="BNZ4" s="172">
        <f>IF(WEEKDAY(BNZ6,12)&gt;=6,0,SUMIFS(tblProjectSchedule[[Skilled]:[Skilled]],tblProjectSchedule[[Start]:[Start]],"&lt;="&amp;BNZ6,tblProjectSchedule[[Finish]:[Finish]],"&gt;="&amp;BNZ6)+SUMIFS(tblProjectSchedule[[Helpers]:[Helpers]],tblProjectSchedule[[Start]:[Start]],"&lt;="&amp;BNZ6,tblProjectSchedule[[Finish]:[Finish]],"&gt;="&amp;BNZ6))</f>
        <v>0</v>
      </c>
      <c r="BOA4" s="172">
        <f>IF(WEEKDAY(BOA6,12)&gt;=6,0,SUMIFS(tblProjectSchedule[[Skilled]:[Skilled]],tblProjectSchedule[[Start]:[Start]],"&lt;="&amp;BOA6,tblProjectSchedule[[Finish]:[Finish]],"&gt;="&amp;BOA6)+SUMIFS(tblProjectSchedule[[Helpers]:[Helpers]],tblProjectSchedule[[Start]:[Start]],"&lt;="&amp;BOA6,tblProjectSchedule[[Finish]:[Finish]],"&gt;="&amp;BOA6))</f>
        <v>0</v>
      </c>
      <c r="BOB4" s="172">
        <f>IF(WEEKDAY(BOB6,12)&gt;=6,0,SUMIFS(tblProjectSchedule[[Skilled]:[Skilled]],tblProjectSchedule[[Start]:[Start]],"&lt;="&amp;BOB6,tblProjectSchedule[[Finish]:[Finish]],"&gt;="&amp;BOB6)+SUMIFS(tblProjectSchedule[[Helpers]:[Helpers]],tblProjectSchedule[[Start]:[Start]],"&lt;="&amp;BOB6,tblProjectSchedule[[Finish]:[Finish]],"&gt;="&amp;BOB6))</f>
        <v>0</v>
      </c>
      <c r="BOC4" s="172">
        <f>IF(WEEKDAY(BOC6,12)&gt;=6,0,SUMIFS(tblProjectSchedule[[Skilled]:[Skilled]],tblProjectSchedule[[Start]:[Start]],"&lt;="&amp;BOC6,tblProjectSchedule[[Finish]:[Finish]],"&gt;="&amp;BOC6)+SUMIFS(tblProjectSchedule[[Helpers]:[Helpers]],tblProjectSchedule[[Start]:[Start]],"&lt;="&amp;BOC6,tblProjectSchedule[[Finish]:[Finish]],"&gt;="&amp;BOC6))</f>
        <v>0</v>
      </c>
      <c r="BOD4" s="174">
        <f>IF(WEEKDAY(BOD6,12)&gt;=6,0,SUMIFS(tblProjectSchedule[[Skilled]:[Skilled]],tblProjectSchedule[[Start]:[Start]],"&lt;="&amp;BOD6,tblProjectSchedule[[Finish]:[Finish]],"&gt;="&amp;BOD6)+SUMIFS(tblProjectSchedule[[Helpers]:[Helpers]],tblProjectSchedule[[Start]:[Start]],"&lt;="&amp;BOD6,tblProjectSchedule[[Finish]:[Finish]],"&gt;="&amp;BOD6))</f>
        <v>0</v>
      </c>
      <c r="BOE4" s="173">
        <f>IF(WEEKDAY(BOE6,12)&gt;=6,0,SUMIFS(tblProjectSchedule[[Skilled]:[Skilled]],tblProjectSchedule[[Start]:[Start]],"&lt;="&amp;BOE6,tblProjectSchedule[[Finish]:[Finish]],"&gt;="&amp;BOE6)+SUMIFS(tblProjectSchedule[[Helpers]:[Helpers]],tblProjectSchedule[[Start]:[Start]],"&lt;="&amp;BOE6,tblProjectSchedule[[Finish]:[Finish]],"&gt;="&amp;BOE6))</f>
        <v>0</v>
      </c>
      <c r="BOF4" s="172">
        <f>IF(WEEKDAY(BOF6,12)&gt;=6,0,SUMIFS(tblProjectSchedule[[Skilled]:[Skilled]],tblProjectSchedule[[Start]:[Start]],"&lt;="&amp;BOF6,tblProjectSchedule[[Finish]:[Finish]],"&gt;="&amp;BOF6)+SUMIFS(tblProjectSchedule[[Helpers]:[Helpers]],tblProjectSchedule[[Start]:[Start]],"&lt;="&amp;BOF6,tblProjectSchedule[[Finish]:[Finish]],"&gt;="&amp;BOF6))</f>
        <v>0</v>
      </c>
      <c r="BOG4" s="172">
        <f>IF(WEEKDAY(BOG6,12)&gt;=6,0,SUMIFS(tblProjectSchedule[[Skilled]:[Skilled]],tblProjectSchedule[[Start]:[Start]],"&lt;="&amp;BOG6,tblProjectSchedule[[Finish]:[Finish]],"&gt;="&amp;BOG6)+SUMIFS(tblProjectSchedule[[Helpers]:[Helpers]],tblProjectSchedule[[Start]:[Start]],"&lt;="&amp;BOG6,tblProjectSchedule[[Finish]:[Finish]],"&gt;="&amp;BOG6))</f>
        <v>0</v>
      </c>
      <c r="BOH4" s="172">
        <f>IF(WEEKDAY(BOH6,12)&gt;=6,0,SUMIFS(tblProjectSchedule[[Skilled]:[Skilled]],tblProjectSchedule[[Start]:[Start]],"&lt;="&amp;BOH6,tblProjectSchedule[[Finish]:[Finish]],"&gt;="&amp;BOH6)+SUMIFS(tblProjectSchedule[[Helpers]:[Helpers]],tblProjectSchedule[[Start]:[Start]],"&lt;="&amp;BOH6,tblProjectSchedule[[Finish]:[Finish]],"&gt;="&amp;BOH6))</f>
        <v>0</v>
      </c>
      <c r="BOI4" s="172">
        <f>IF(WEEKDAY(BOI6,12)&gt;=6,0,SUMIFS(tblProjectSchedule[[Skilled]:[Skilled]],tblProjectSchedule[[Start]:[Start]],"&lt;="&amp;BOI6,tblProjectSchedule[[Finish]:[Finish]],"&gt;="&amp;BOI6)+SUMIFS(tblProjectSchedule[[Helpers]:[Helpers]],tblProjectSchedule[[Start]:[Start]],"&lt;="&amp;BOI6,tblProjectSchedule[[Finish]:[Finish]],"&gt;="&amp;BOI6))</f>
        <v>0</v>
      </c>
      <c r="BOJ4" s="172">
        <f>IF(WEEKDAY(BOJ6,12)&gt;=6,0,SUMIFS(tblProjectSchedule[[Skilled]:[Skilled]],tblProjectSchedule[[Start]:[Start]],"&lt;="&amp;BOJ6,tblProjectSchedule[[Finish]:[Finish]],"&gt;="&amp;BOJ6)+SUMIFS(tblProjectSchedule[[Helpers]:[Helpers]],tblProjectSchedule[[Start]:[Start]],"&lt;="&amp;BOJ6,tblProjectSchedule[[Finish]:[Finish]],"&gt;="&amp;BOJ6))</f>
        <v>0</v>
      </c>
      <c r="BOK4" s="174">
        <f>IF(WEEKDAY(BOK6,12)&gt;=6,0,SUMIFS(tblProjectSchedule[[Skilled]:[Skilled]],tblProjectSchedule[[Start]:[Start]],"&lt;="&amp;BOK6,tblProjectSchedule[[Finish]:[Finish]],"&gt;="&amp;BOK6)+SUMIFS(tblProjectSchedule[[Helpers]:[Helpers]],tblProjectSchedule[[Start]:[Start]],"&lt;="&amp;BOK6,tblProjectSchedule[[Finish]:[Finish]],"&gt;="&amp;BOK6))</f>
        <v>0</v>
      </c>
      <c r="BOL4" s="173">
        <f>IF(WEEKDAY(BOL6,12)&gt;=6,0,SUMIFS(tblProjectSchedule[[Skilled]:[Skilled]],tblProjectSchedule[[Start]:[Start]],"&lt;="&amp;BOL6,tblProjectSchedule[[Finish]:[Finish]],"&gt;="&amp;BOL6)+SUMIFS(tblProjectSchedule[[Helpers]:[Helpers]],tblProjectSchedule[[Start]:[Start]],"&lt;="&amp;BOL6,tblProjectSchedule[[Finish]:[Finish]],"&gt;="&amp;BOL6))</f>
        <v>0</v>
      </c>
      <c r="BOM4" s="172">
        <f>IF(WEEKDAY(BOM6,12)&gt;=6,0,SUMIFS(tblProjectSchedule[[Skilled]:[Skilled]],tblProjectSchedule[[Start]:[Start]],"&lt;="&amp;BOM6,tblProjectSchedule[[Finish]:[Finish]],"&gt;="&amp;BOM6)+SUMIFS(tblProjectSchedule[[Helpers]:[Helpers]],tblProjectSchedule[[Start]:[Start]],"&lt;="&amp;BOM6,tblProjectSchedule[[Finish]:[Finish]],"&gt;="&amp;BOM6))</f>
        <v>0</v>
      </c>
      <c r="BON4" s="172">
        <f>IF(WEEKDAY(BON6,12)&gt;=6,0,SUMIFS(tblProjectSchedule[[Skilled]:[Skilled]],tblProjectSchedule[[Start]:[Start]],"&lt;="&amp;BON6,tblProjectSchedule[[Finish]:[Finish]],"&gt;="&amp;BON6)+SUMIFS(tblProjectSchedule[[Helpers]:[Helpers]],tblProjectSchedule[[Start]:[Start]],"&lt;="&amp;BON6,tblProjectSchedule[[Finish]:[Finish]],"&gt;="&amp;BON6))</f>
        <v>0</v>
      </c>
      <c r="BOO4" s="172">
        <f>IF(WEEKDAY(BOO6,12)&gt;=6,0,SUMIFS(tblProjectSchedule[[Skilled]:[Skilled]],tblProjectSchedule[[Start]:[Start]],"&lt;="&amp;BOO6,tblProjectSchedule[[Finish]:[Finish]],"&gt;="&amp;BOO6)+SUMIFS(tblProjectSchedule[[Helpers]:[Helpers]],tblProjectSchedule[[Start]:[Start]],"&lt;="&amp;BOO6,tblProjectSchedule[[Finish]:[Finish]],"&gt;="&amp;BOO6))</f>
        <v>0</v>
      </c>
      <c r="BOP4" s="172">
        <f>IF(WEEKDAY(BOP6,12)&gt;=6,0,SUMIFS(tblProjectSchedule[[Skilled]:[Skilled]],tblProjectSchedule[[Start]:[Start]],"&lt;="&amp;BOP6,tblProjectSchedule[[Finish]:[Finish]],"&gt;="&amp;BOP6)+SUMIFS(tblProjectSchedule[[Helpers]:[Helpers]],tblProjectSchedule[[Start]:[Start]],"&lt;="&amp;BOP6,tblProjectSchedule[[Finish]:[Finish]],"&gt;="&amp;BOP6))</f>
        <v>0</v>
      </c>
      <c r="BOQ4" s="172">
        <f>IF(WEEKDAY(BOQ6,12)&gt;=6,0,SUMIFS(tblProjectSchedule[[Skilled]:[Skilled]],tblProjectSchedule[[Start]:[Start]],"&lt;="&amp;BOQ6,tblProjectSchedule[[Finish]:[Finish]],"&gt;="&amp;BOQ6)+SUMIFS(tblProjectSchedule[[Helpers]:[Helpers]],tblProjectSchedule[[Start]:[Start]],"&lt;="&amp;BOQ6,tblProjectSchedule[[Finish]:[Finish]],"&gt;="&amp;BOQ6))</f>
        <v>0</v>
      </c>
      <c r="BOR4" s="174">
        <f>IF(WEEKDAY(BOR6,12)&gt;=6,0,SUMIFS(tblProjectSchedule[[Skilled]:[Skilled]],tblProjectSchedule[[Start]:[Start]],"&lt;="&amp;BOR6,tblProjectSchedule[[Finish]:[Finish]],"&gt;="&amp;BOR6)+SUMIFS(tblProjectSchedule[[Helpers]:[Helpers]],tblProjectSchedule[[Start]:[Start]],"&lt;="&amp;BOR6,tblProjectSchedule[[Finish]:[Finish]],"&gt;="&amp;BOR6))</f>
        <v>0</v>
      </c>
      <c r="BOS4" s="173">
        <f>IF(WEEKDAY(BOS6,12)&gt;=6,0,SUMIFS(tblProjectSchedule[[Skilled]:[Skilled]],tblProjectSchedule[[Start]:[Start]],"&lt;="&amp;BOS6,tblProjectSchedule[[Finish]:[Finish]],"&gt;="&amp;BOS6)+SUMIFS(tblProjectSchedule[[Helpers]:[Helpers]],tblProjectSchedule[[Start]:[Start]],"&lt;="&amp;BOS6,tblProjectSchedule[[Finish]:[Finish]],"&gt;="&amp;BOS6))</f>
        <v>0</v>
      </c>
      <c r="BOT4" s="172">
        <f>IF(WEEKDAY(BOT6,12)&gt;=6,0,SUMIFS(tblProjectSchedule[[Skilled]:[Skilled]],tblProjectSchedule[[Start]:[Start]],"&lt;="&amp;BOT6,tblProjectSchedule[[Finish]:[Finish]],"&gt;="&amp;BOT6)+SUMIFS(tblProjectSchedule[[Helpers]:[Helpers]],tblProjectSchedule[[Start]:[Start]],"&lt;="&amp;BOT6,tblProjectSchedule[[Finish]:[Finish]],"&gt;="&amp;BOT6))</f>
        <v>0</v>
      </c>
      <c r="BOU4" s="172">
        <f>IF(WEEKDAY(BOU6,12)&gt;=6,0,SUMIFS(tblProjectSchedule[[Skilled]:[Skilled]],tblProjectSchedule[[Start]:[Start]],"&lt;="&amp;BOU6,tblProjectSchedule[[Finish]:[Finish]],"&gt;="&amp;BOU6)+SUMIFS(tblProjectSchedule[[Helpers]:[Helpers]],tblProjectSchedule[[Start]:[Start]],"&lt;="&amp;BOU6,tblProjectSchedule[[Finish]:[Finish]],"&gt;="&amp;BOU6))</f>
        <v>0</v>
      </c>
      <c r="BOV4" s="172">
        <f>IF(WEEKDAY(BOV6,12)&gt;=6,0,SUMIFS(tblProjectSchedule[[Skilled]:[Skilled]],tblProjectSchedule[[Start]:[Start]],"&lt;="&amp;BOV6,tblProjectSchedule[[Finish]:[Finish]],"&gt;="&amp;BOV6)+SUMIFS(tblProjectSchedule[[Helpers]:[Helpers]],tblProjectSchedule[[Start]:[Start]],"&lt;="&amp;BOV6,tblProjectSchedule[[Finish]:[Finish]],"&gt;="&amp;BOV6))</f>
        <v>0</v>
      </c>
      <c r="BOW4" s="172">
        <f>IF(WEEKDAY(BOW6,12)&gt;=6,0,SUMIFS(tblProjectSchedule[[Skilled]:[Skilled]],tblProjectSchedule[[Start]:[Start]],"&lt;="&amp;BOW6,tblProjectSchedule[[Finish]:[Finish]],"&gt;="&amp;BOW6)+SUMIFS(tblProjectSchedule[[Helpers]:[Helpers]],tblProjectSchedule[[Start]:[Start]],"&lt;="&amp;BOW6,tblProjectSchedule[[Finish]:[Finish]],"&gt;="&amp;BOW6))</f>
        <v>0</v>
      </c>
      <c r="BOX4" s="172">
        <f>IF(WEEKDAY(BOX6,12)&gt;=6,0,SUMIFS(tblProjectSchedule[[Skilled]:[Skilled]],tblProjectSchedule[[Start]:[Start]],"&lt;="&amp;BOX6,tblProjectSchedule[[Finish]:[Finish]],"&gt;="&amp;BOX6)+SUMIFS(tblProjectSchedule[[Helpers]:[Helpers]],tblProjectSchedule[[Start]:[Start]],"&lt;="&amp;BOX6,tblProjectSchedule[[Finish]:[Finish]],"&gt;="&amp;BOX6))</f>
        <v>0</v>
      </c>
      <c r="BOY4" s="174">
        <f>IF(WEEKDAY(BOY6,12)&gt;=6,0,SUMIFS(tblProjectSchedule[[Skilled]:[Skilled]],tblProjectSchedule[[Start]:[Start]],"&lt;="&amp;BOY6,tblProjectSchedule[[Finish]:[Finish]],"&gt;="&amp;BOY6)+SUMIFS(tblProjectSchedule[[Helpers]:[Helpers]],tblProjectSchedule[[Start]:[Start]],"&lt;="&amp;BOY6,tblProjectSchedule[[Finish]:[Finish]],"&gt;="&amp;BOY6))</f>
        <v>0</v>
      </c>
      <c r="BOZ4" s="173">
        <f>IF(WEEKDAY(BOZ6,12)&gt;=6,0,SUMIFS(tblProjectSchedule[[Skilled]:[Skilled]],tblProjectSchedule[[Start]:[Start]],"&lt;="&amp;BOZ6,tblProjectSchedule[[Finish]:[Finish]],"&gt;="&amp;BOZ6)+SUMIFS(tblProjectSchedule[[Helpers]:[Helpers]],tblProjectSchedule[[Start]:[Start]],"&lt;="&amp;BOZ6,tblProjectSchedule[[Finish]:[Finish]],"&gt;="&amp;BOZ6))</f>
        <v>0</v>
      </c>
      <c r="BPA4" s="172">
        <f>IF(WEEKDAY(BPA6,12)&gt;=6,0,SUMIFS(tblProjectSchedule[[Skilled]:[Skilled]],tblProjectSchedule[[Start]:[Start]],"&lt;="&amp;BPA6,tblProjectSchedule[[Finish]:[Finish]],"&gt;="&amp;BPA6)+SUMIFS(tblProjectSchedule[[Helpers]:[Helpers]],tblProjectSchedule[[Start]:[Start]],"&lt;="&amp;BPA6,tblProjectSchedule[[Finish]:[Finish]],"&gt;="&amp;BPA6))</f>
        <v>0</v>
      </c>
      <c r="BPB4" s="172">
        <f>IF(WEEKDAY(BPB6,12)&gt;=6,0,SUMIFS(tblProjectSchedule[[Skilled]:[Skilled]],tblProjectSchedule[[Start]:[Start]],"&lt;="&amp;BPB6,tblProjectSchedule[[Finish]:[Finish]],"&gt;="&amp;BPB6)+SUMIFS(tblProjectSchedule[[Helpers]:[Helpers]],tblProjectSchedule[[Start]:[Start]],"&lt;="&amp;BPB6,tblProjectSchedule[[Finish]:[Finish]],"&gt;="&amp;BPB6))</f>
        <v>0</v>
      </c>
      <c r="BPC4" s="172">
        <f>IF(WEEKDAY(BPC6,12)&gt;=6,0,SUMIFS(tblProjectSchedule[[Skilled]:[Skilled]],tblProjectSchedule[[Start]:[Start]],"&lt;="&amp;BPC6,tblProjectSchedule[[Finish]:[Finish]],"&gt;="&amp;BPC6)+SUMIFS(tblProjectSchedule[[Helpers]:[Helpers]],tblProjectSchedule[[Start]:[Start]],"&lt;="&amp;BPC6,tblProjectSchedule[[Finish]:[Finish]],"&gt;="&amp;BPC6))</f>
        <v>0</v>
      </c>
      <c r="BPD4" s="172">
        <f>IF(WEEKDAY(BPD6,12)&gt;=6,0,SUMIFS(tblProjectSchedule[[Skilled]:[Skilled]],tblProjectSchedule[[Start]:[Start]],"&lt;="&amp;BPD6,tblProjectSchedule[[Finish]:[Finish]],"&gt;="&amp;BPD6)+SUMIFS(tblProjectSchedule[[Helpers]:[Helpers]],tblProjectSchedule[[Start]:[Start]],"&lt;="&amp;BPD6,tblProjectSchedule[[Finish]:[Finish]],"&gt;="&amp;BPD6))</f>
        <v>0</v>
      </c>
      <c r="BPE4" s="172">
        <f>IF(WEEKDAY(BPE6,12)&gt;=6,0,SUMIFS(tblProjectSchedule[[Skilled]:[Skilled]],tblProjectSchedule[[Start]:[Start]],"&lt;="&amp;BPE6,tblProjectSchedule[[Finish]:[Finish]],"&gt;="&amp;BPE6)+SUMIFS(tblProjectSchedule[[Helpers]:[Helpers]],tblProjectSchedule[[Start]:[Start]],"&lt;="&amp;BPE6,tblProjectSchedule[[Finish]:[Finish]],"&gt;="&amp;BPE6))</f>
        <v>0</v>
      </c>
      <c r="BPF4" s="174">
        <f>IF(WEEKDAY(BPF6,12)&gt;=6,0,SUMIFS(tblProjectSchedule[[Skilled]:[Skilled]],tblProjectSchedule[[Start]:[Start]],"&lt;="&amp;BPF6,tblProjectSchedule[[Finish]:[Finish]],"&gt;="&amp;BPF6)+SUMIFS(tblProjectSchedule[[Helpers]:[Helpers]],tblProjectSchedule[[Start]:[Start]],"&lt;="&amp;BPF6,tblProjectSchedule[[Finish]:[Finish]],"&gt;="&amp;BPF6))</f>
        <v>0</v>
      </c>
      <c r="BPG4" s="173">
        <f>IF(WEEKDAY(BPG6,12)&gt;=6,0,SUMIFS(tblProjectSchedule[[Skilled]:[Skilled]],tblProjectSchedule[[Start]:[Start]],"&lt;="&amp;BPG6,tblProjectSchedule[[Finish]:[Finish]],"&gt;="&amp;BPG6)+SUMIFS(tblProjectSchedule[[Helpers]:[Helpers]],tblProjectSchedule[[Start]:[Start]],"&lt;="&amp;BPG6,tblProjectSchedule[[Finish]:[Finish]],"&gt;="&amp;BPG6))</f>
        <v>0</v>
      </c>
      <c r="BPH4" s="172">
        <f>IF(WEEKDAY(BPH6,12)&gt;=6,0,SUMIFS(tblProjectSchedule[[Skilled]:[Skilled]],tblProjectSchedule[[Start]:[Start]],"&lt;="&amp;BPH6,tblProjectSchedule[[Finish]:[Finish]],"&gt;="&amp;BPH6)+SUMIFS(tblProjectSchedule[[Helpers]:[Helpers]],tblProjectSchedule[[Start]:[Start]],"&lt;="&amp;BPH6,tblProjectSchedule[[Finish]:[Finish]],"&gt;="&amp;BPH6))</f>
        <v>0</v>
      </c>
      <c r="BPI4" s="172">
        <f>IF(WEEKDAY(BPI6,12)&gt;=6,0,SUMIFS(tblProjectSchedule[[Skilled]:[Skilled]],tblProjectSchedule[[Start]:[Start]],"&lt;="&amp;BPI6,tblProjectSchedule[[Finish]:[Finish]],"&gt;="&amp;BPI6)+SUMIFS(tblProjectSchedule[[Helpers]:[Helpers]],tblProjectSchedule[[Start]:[Start]],"&lt;="&amp;BPI6,tblProjectSchedule[[Finish]:[Finish]],"&gt;="&amp;BPI6))</f>
        <v>0</v>
      </c>
      <c r="BPJ4" s="172">
        <f>IF(WEEKDAY(BPJ6,12)&gt;=6,0,SUMIFS(tblProjectSchedule[[Skilled]:[Skilled]],tblProjectSchedule[[Start]:[Start]],"&lt;="&amp;BPJ6,tblProjectSchedule[[Finish]:[Finish]],"&gt;="&amp;BPJ6)+SUMIFS(tblProjectSchedule[[Helpers]:[Helpers]],tblProjectSchedule[[Start]:[Start]],"&lt;="&amp;BPJ6,tblProjectSchedule[[Finish]:[Finish]],"&gt;="&amp;BPJ6))</f>
        <v>0</v>
      </c>
      <c r="BPK4" s="172">
        <f>IF(WEEKDAY(BPK6,12)&gt;=6,0,SUMIFS(tblProjectSchedule[[Skilled]:[Skilled]],tblProjectSchedule[[Start]:[Start]],"&lt;="&amp;BPK6,tblProjectSchedule[[Finish]:[Finish]],"&gt;="&amp;BPK6)+SUMIFS(tblProjectSchedule[[Helpers]:[Helpers]],tblProjectSchedule[[Start]:[Start]],"&lt;="&amp;BPK6,tblProjectSchedule[[Finish]:[Finish]],"&gt;="&amp;BPK6))</f>
        <v>0</v>
      </c>
      <c r="BPL4" s="172">
        <f>IF(WEEKDAY(BPL6,12)&gt;=6,0,SUMIFS(tblProjectSchedule[[Skilled]:[Skilled]],tblProjectSchedule[[Start]:[Start]],"&lt;="&amp;BPL6,tblProjectSchedule[[Finish]:[Finish]],"&gt;="&amp;BPL6)+SUMIFS(tblProjectSchedule[[Helpers]:[Helpers]],tblProjectSchedule[[Start]:[Start]],"&lt;="&amp;BPL6,tblProjectSchedule[[Finish]:[Finish]],"&gt;="&amp;BPL6))</f>
        <v>0</v>
      </c>
      <c r="BPM4" s="174">
        <f>IF(WEEKDAY(BPM6,12)&gt;=6,0,SUMIFS(tblProjectSchedule[[Skilled]:[Skilled]],tblProjectSchedule[[Start]:[Start]],"&lt;="&amp;BPM6,tblProjectSchedule[[Finish]:[Finish]],"&gt;="&amp;BPM6)+SUMIFS(tblProjectSchedule[[Helpers]:[Helpers]],tblProjectSchedule[[Start]:[Start]],"&lt;="&amp;BPM6,tblProjectSchedule[[Finish]:[Finish]],"&gt;="&amp;BPM6))</f>
        <v>0</v>
      </c>
      <c r="BPN4" s="173">
        <f>IF(WEEKDAY(BPN6,12)&gt;=6,0,SUMIFS(tblProjectSchedule[[Skilled]:[Skilled]],tblProjectSchedule[[Start]:[Start]],"&lt;="&amp;BPN6,tblProjectSchedule[[Finish]:[Finish]],"&gt;="&amp;BPN6)+SUMIFS(tblProjectSchedule[[Helpers]:[Helpers]],tblProjectSchedule[[Start]:[Start]],"&lt;="&amp;BPN6,tblProjectSchedule[[Finish]:[Finish]],"&gt;="&amp;BPN6))</f>
        <v>0</v>
      </c>
      <c r="BPO4" s="172">
        <f>IF(WEEKDAY(BPO6,12)&gt;=6,0,SUMIFS(tblProjectSchedule[[Skilled]:[Skilled]],tblProjectSchedule[[Start]:[Start]],"&lt;="&amp;BPO6,tblProjectSchedule[[Finish]:[Finish]],"&gt;="&amp;BPO6)+SUMIFS(tblProjectSchedule[[Helpers]:[Helpers]],tblProjectSchedule[[Start]:[Start]],"&lt;="&amp;BPO6,tblProjectSchedule[[Finish]:[Finish]],"&gt;="&amp;BPO6))</f>
        <v>0</v>
      </c>
      <c r="BPP4" s="172">
        <f>IF(WEEKDAY(BPP6,12)&gt;=6,0,SUMIFS(tblProjectSchedule[[Skilled]:[Skilled]],tblProjectSchedule[[Start]:[Start]],"&lt;="&amp;BPP6,tblProjectSchedule[[Finish]:[Finish]],"&gt;="&amp;BPP6)+SUMIFS(tblProjectSchedule[[Helpers]:[Helpers]],tblProjectSchedule[[Start]:[Start]],"&lt;="&amp;BPP6,tblProjectSchedule[[Finish]:[Finish]],"&gt;="&amp;BPP6))</f>
        <v>0</v>
      </c>
      <c r="BPQ4" s="172">
        <f>IF(WEEKDAY(BPQ6,12)&gt;=6,0,SUMIFS(tblProjectSchedule[[Skilled]:[Skilled]],tblProjectSchedule[[Start]:[Start]],"&lt;="&amp;BPQ6,tblProjectSchedule[[Finish]:[Finish]],"&gt;="&amp;BPQ6)+SUMIFS(tblProjectSchedule[[Helpers]:[Helpers]],tblProjectSchedule[[Start]:[Start]],"&lt;="&amp;BPQ6,tblProjectSchedule[[Finish]:[Finish]],"&gt;="&amp;BPQ6))</f>
        <v>0</v>
      </c>
      <c r="BPR4" s="172">
        <f>IF(WEEKDAY(BPR6,12)&gt;=6,0,SUMIFS(tblProjectSchedule[[Skilled]:[Skilled]],tblProjectSchedule[[Start]:[Start]],"&lt;="&amp;BPR6,tblProjectSchedule[[Finish]:[Finish]],"&gt;="&amp;BPR6)+SUMIFS(tblProjectSchedule[[Helpers]:[Helpers]],tblProjectSchedule[[Start]:[Start]],"&lt;="&amp;BPR6,tblProjectSchedule[[Finish]:[Finish]],"&gt;="&amp;BPR6))</f>
        <v>0</v>
      </c>
      <c r="BPS4" s="172">
        <f>IF(WEEKDAY(BPS6,12)&gt;=6,0,SUMIFS(tblProjectSchedule[[Skilled]:[Skilled]],tblProjectSchedule[[Start]:[Start]],"&lt;="&amp;BPS6,tblProjectSchedule[[Finish]:[Finish]],"&gt;="&amp;BPS6)+SUMIFS(tblProjectSchedule[[Helpers]:[Helpers]],tblProjectSchedule[[Start]:[Start]],"&lt;="&amp;BPS6,tblProjectSchedule[[Finish]:[Finish]],"&gt;="&amp;BPS6))</f>
        <v>0</v>
      </c>
      <c r="BPT4" s="174">
        <f>IF(WEEKDAY(BPT6,12)&gt;=6,0,SUMIFS(tblProjectSchedule[[Skilled]:[Skilled]],tblProjectSchedule[[Start]:[Start]],"&lt;="&amp;BPT6,tblProjectSchedule[[Finish]:[Finish]],"&gt;="&amp;BPT6)+SUMIFS(tblProjectSchedule[[Helpers]:[Helpers]],tblProjectSchedule[[Start]:[Start]],"&lt;="&amp;BPT6,tblProjectSchedule[[Finish]:[Finish]],"&gt;="&amp;BPT6))</f>
        <v>0</v>
      </c>
      <c r="BPU4" s="173">
        <f>IF(WEEKDAY(BPU6,12)&gt;=6,0,SUMIFS(tblProjectSchedule[[Skilled]:[Skilled]],tblProjectSchedule[[Start]:[Start]],"&lt;="&amp;BPU6,tblProjectSchedule[[Finish]:[Finish]],"&gt;="&amp;BPU6)+SUMIFS(tblProjectSchedule[[Helpers]:[Helpers]],tblProjectSchedule[[Start]:[Start]],"&lt;="&amp;BPU6,tblProjectSchedule[[Finish]:[Finish]],"&gt;="&amp;BPU6))</f>
        <v>0</v>
      </c>
      <c r="BPV4" s="172">
        <f>IF(WEEKDAY(BPV6,12)&gt;=6,0,SUMIFS(tblProjectSchedule[[Skilled]:[Skilled]],tblProjectSchedule[[Start]:[Start]],"&lt;="&amp;BPV6,tblProjectSchedule[[Finish]:[Finish]],"&gt;="&amp;BPV6)+SUMIFS(tblProjectSchedule[[Helpers]:[Helpers]],tblProjectSchedule[[Start]:[Start]],"&lt;="&amp;BPV6,tblProjectSchedule[[Finish]:[Finish]],"&gt;="&amp;BPV6))</f>
        <v>0</v>
      </c>
      <c r="BPW4" s="172">
        <f>IF(WEEKDAY(BPW6,12)&gt;=6,0,SUMIFS(tblProjectSchedule[[Skilled]:[Skilled]],tblProjectSchedule[[Start]:[Start]],"&lt;="&amp;BPW6,tblProjectSchedule[[Finish]:[Finish]],"&gt;="&amp;BPW6)+SUMIFS(tblProjectSchedule[[Helpers]:[Helpers]],tblProjectSchedule[[Start]:[Start]],"&lt;="&amp;BPW6,tblProjectSchedule[[Finish]:[Finish]],"&gt;="&amp;BPW6))</f>
        <v>0</v>
      </c>
      <c r="BPX4" s="172">
        <f>IF(WEEKDAY(BPX6,12)&gt;=6,0,SUMIFS(tblProjectSchedule[[Skilled]:[Skilled]],tblProjectSchedule[[Start]:[Start]],"&lt;="&amp;BPX6,tblProjectSchedule[[Finish]:[Finish]],"&gt;="&amp;BPX6)+SUMIFS(tblProjectSchedule[[Helpers]:[Helpers]],tblProjectSchedule[[Start]:[Start]],"&lt;="&amp;BPX6,tblProjectSchedule[[Finish]:[Finish]],"&gt;="&amp;BPX6))</f>
        <v>0</v>
      </c>
      <c r="BPY4" s="172">
        <f>IF(WEEKDAY(BPY6,12)&gt;=6,0,SUMIFS(tblProjectSchedule[[Skilled]:[Skilled]],tblProjectSchedule[[Start]:[Start]],"&lt;="&amp;BPY6,tblProjectSchedule[[Finish]:[Finish]],"&gt;="&amp;BPY6)+SUMIFS(tblProjectSchedule[[Helpers]:[Helpers]],tblProjectSchedule[[Start]:[Start]],"&lt;="&amp;BPY6,tblProjectSchedule[[Finish]:[Finish]],"&gt;="&amp;BPY6))</f>
        <v>0</v>
      </c>
      <c r="BPZ4" s="172">
        <f>IF(WEEKDAY(BPZ6,12)&gt;=6,0,SUMIFS(tblProjectSchedule[[Skilled]:[Skilled]],tblProjectSchedule[[Start]:[Start]],"&lt;="&amp;BPZ6,tblProjectSchedule[[Finish]:[Finish]],"&gt;="&amp;BPZ6)+SUMIFS(tblProjectSchedule[[Helpers]:[Helpers]],tblProjectSchedule[[Start]:[Start]],"&lt;="&amp;BPZ6,tblProjectSchedule[[Finish]:[Finish]],"&gt;="&amp;BPZ6))</f>
        <v>0</v>
      </c>
      <c r="BQA4" s="174">
        <f>IF(WEEKDAY(BQA6,12)&gt;=6,0,SUMIFS(tblProjectSchedule[[Skilled]:[Skilled]],tblProjectSchedule[[Start]:[Start]],"&lt;="&amp;BQA6,tblProjectSchedule[[Finish]:[Finish]],"&gt;="&amp;BQA6)+SUMIFS(tblProjectSchedule[[Helpers]:[Helpers]],tblProjectSchedule[[Start]:[Start]],"&lt;="&amp;BQA6,tblProjectSchedule[[Finish]:[Finish]],"&gt;="&amp;BQA6))</f>
        <v>0</v>
      </c>
      <c r="BQB4" s="173">
        <f>IF(WEEKDAY(BQB6,12)&gt;=6,0,SUMIFS(tblProjectSchedule[[Skilled]:[Skilled]],tblProjectSchedule[[Start]:[Start]],"&lt;="&amp;BQB6,tblProjectSchedule[[Finish]:[Finish]],"&gt;="&amp;BQB6)+SUMIFS(tblProjectSchedule[[Helpers]:[Helpers]],tblProjectSchedule[[Start]:[Start]],"&lt;="&amp;BQB6,tblProjectSchedule[[Finish]:[Finish]],"&gt;="&amp;BQB6))</f>
        <v>0</v>
      </c>
      <c r="BQC4" s="172">
        <f>IF(WEEKDAY(BQC6,12)&gt;=6,0,SUMIFS(tblProjectSchedule[[Skilled]:[Skilled]],tblProjectSchedule[[Start]:[Start]],"&lt;="&amp;BQC6,tblProjectSchedule[[Finish]:[Finish]],"&gt;="&amp;BQC6)+SUMIFS(tblProjectSchedule[[Helpers]:[Helpers]],tblProjectSchedule[[Start]:[Start]],"&lt;="&amp;BQC6,tblProjectSchedule[[Finish]:[Finish]],"&gt;="&amp;BQC6))</f>
        <v>0</v>
      </c>
      <c r="BQD4" s="172">
        <f>IF(WEEKDAY(BQD6,12)&gt;=6,0,SUMIFS(tblProjectSchedule[[Skilled]:[Skilled]],tblProjectSchedule[[Start]:[Start]],"&lt;="&amp;BQD6,tblProjectSchedule[[Finish]:[Finish]],"&gt;="&amp;BQD6)+SUMIFS(tblProjectSchedule[[Helpers]:[Helpers]],tblProjectSchedule[[Start]:[Start]],"&lt;="&amp;BQD6,tblProjectSchedule[[Finish]:[Finish]],"&gt;="&amp;BQD6))</f>
        <v>0</v>
      </c>
      <c r="BQE4" s="172">
        <f>IF(WEEKDAY(BQE6,12)&gt;=6,0,SUMIFS(tblProjectSchedule[[Skilled]:[Skilled]],tblProjectSchedule[[Start]:[Start]],"&lt;="&amp;BQE6,tblProjectSchedule[[Finish]:[Finish]],"&gt;="&amp;BQE6)+SUMIFS(tblProjectSchedule[[Helpers]:[Helpers]],tblProjectSchedule[[Start]:[Start]],"&lt;="&amp;BQE6,tblProjectSchedule[[Finish]:[Finish]],"&gt;="&amp;BQE6))</f>
        <v>0</v>
      </c>
      <c r="BQF4" s="172">
        <f>IF(WEEKDAY(BQF6,12)&gt;=6,0,SUMIFS(tblProjectSchedule[[Skilled]:[Skilled]],tblProjectSchedule[[Start]:[Start]],"&lt;="&amp;BQF6,tblProjectSchedule[[Finish]:[Finish]],"&gt;="&amp;BQF6)+SUMIFS(tblProjectSchedule[[Helpers]:[Helpers]],tblProjectSchedule[[Start]:[Start]],"&lt;="&amp;BQF6,tblProjectSchedule[[Finish]:[Finish]],"&gt;="&amp;BQF6))</f>
        <v>0</v>
      </c>
      <c r="BQG4" s="172">
        <f>IF(WEEKDAY(BQG6,12)&gt;=6,0,SUMIFS(tblProjectSchedule[[Skilled]:[Skilled]],tblProjectSchedule[[Start]:[Start]],"&lt;="&amp;BQG6,tblProjectSchedule[[Finish]:[Finish]],"&gt;="&amp;BQG6)+SUMIFS(tblProjectSchedule[[Helpers]:[Helpers]],tblProjectSchedule[[Start]:[Start]],"&lt;="&amp;BQG6,tblProjectSchedule[[Finish]:[Finish]],"&gt;="&amp;BQG6))</f>
        <v>0</v>
      </c>
      <c r="BQH4" s="174">
        <f>IF(WEEKDAY(BQH6,12)&gt;=6,0,SUMIFS(tblProjectSchedule[[Skilled]:[Skilled]],tblProjectSchedule[[Start]:[Start]],"&lt;="&amp;BQH6,tblProjectSchedule[[Finish]:[Finish]],"&gt;="&amp;BQH6)+SUMIFS(tblProjectSchedule[[Helpers]:[Helpers]],tblProjectSchedule[[Start]:[Start]],"&lt;="&amp;BQH6,tblProjectSchedule[[Finish]:[Finish]],"&gt;="&amp;BQH6))</f>
        <v>0</v>
      </c>
      <c r="BQI4" s="173">
        <f>IF(WEEKDAY(BQI6,12)&gt;=6,0,SUMIFS(tblProjectSchedule[[Skilled]:[Skilled]],tblProjectSchedule[[Start]:[Start]],"&lt;="&amp;BQI6,tblProjectSchedule[[Finish]:[Finish]],"&gt;="&amp;BQI6)+SUMIFS(tblProjectSchedule[[Helpers]:[Helpers]],tblProjectSchedule[[Start]:[Start]],"&lt;="&amp;BQI6,tblProjectSchedule[[Finish]:[Finish]],"&gt;="&amp;BQI6))</f>
        <v>0</v>
      </c>
      <c r="BQJ4" s="172">
        <f>IF(WEEKDAY(BQJ6,12)&gt;=6,0,SUMIFS(tblProjectSchedule[[Skilled]:[Skilled]],tblProjectSchedule[[Start]:[Start]],"&lt;="&amp;BQJ6,tblProjectSchedule[[Finish]:[Finish]],"&gt;="&amp;BQJ6)+SUMIFS(tblProjectSchedule[[Helpers]:[Helpers]],tblProjectSchedule[[Start]:[Start]],"&lt;="&amp;BQJ6,tblProjectSchedule[[Finish]:[Finish]],"&gt;="&amp;BQJ6))</f>
        <v>0</v>
      </c>
      <c r="BQK4" s="172">
        <f>IF(WEEKDAY(BQK6,12)&gt;=6,0,SUMIFS(tblProjectSchedule[[Skilled]:[Skilled]],tblProjectSchedule[[Start]:[Start]],"&lt;="&amp;BQK6,tblProjectSchedule[[Finish]:[Finish]],"&gt;="&amp;BQK6)+SUMIFS(tblProjectSchedule[[Helpers]:[Helpers]],tblProjectSchedule[[Start]:[Start]],"&lt;="&amp;BQK6,tblProjectSchedule[[Finish]:[Finish]],"&gt;="&amp;BQK6))</f>
        <v>0</v>
      </c>
      <c r="BQL4" s="172">
        <f>IF(WEEKDAY(BQL6,12)&gt;=6,0,SUMIFS(tblProjectSchedule[[Skilled]:[Skilled]],tblProjectSchedule[[Start]:[Start]],"&lt;="&amp;BQL6,tblProjectSchedule[[Finish]:[Finish]],"&gt;="&amp;BQL6)+SUMIFS(tblProjectSchedule[[Helpers]:[Helpers]],tblProjectSchedule[[Start]:[Start]],"&lt;="&amp;BQL6,tblProjectSchedule[[Finish]:[Finish]],"&gt;="&amp;BQL6))</f>
        <v>0</v>
      </c>
      <c r="BQM4" s="172">
        <f>IF(WEEKDAY(BQM6,12)&gt;=6,0,SUMIFS(tblProjectSchedule[[Skilled]:[Skilled]],tblProjectSchedule[[Start]:[Start]],"&lt;="&amp;BQM6,tblProjectSchedule[[Finish]:[Finish]],"&gt;="&amp;BQM6)+SUMIFS(tblProjectSchedule[[Helpers]:[Helpers]],tblProjectSchedule[[Start]:[Start]],"&lt;="&amp;BQM6,tblProjectSchedule[[Finish]:[Finish]],"&gt;="&amp;BQM6))</f>
        <v>0</v>
      </c>
      <c r="BQN4" s="172">
        <f>IF(WEEKDAY(BQN6,12)&gt;=6,0,SUMIFS(tblProjectSchedule[[Skilled]:[Skilled]],tblProjectSchedule[[Start]:[Start]],"&lt;="&amp;BQN6,tblProjectSchedule[[Finish]:[Finish]],"&gt;="&amp;BQN6)+SUMIFS(tblProjectSchedule[[Helpers]:[Helpers]],tblProjectSchedule[[Start]:[Start]],"&lt;="&amp;BQN6,tblProjectSchedule[[Finish]:[Finish]],"&gt;="&amp;BQN6))</f>
        <v>0</v>
      </c>
      <c r="BQO4" s="174">
        <f>IF(WEEKDAY(BQO6,12)&gt;=6,0,SUMIFS(tblProjectSchedule[[Skilled]:[Skilled]],tblProjectSchedule[[Start]:[Start]],"&lt;="&amp;BQO6,tblProjectSchedule[[Finish]:[Finish]],"&gt;="&amp;BQO6)+SUMIFS(tblProjectSchedule[[Helpers]:[Helpers]],tblProjectSchedule[[Start]:[Start]],"&lt;="&amp;BQO6,tblProjectSchedule[[Finish]:[Finish]],"&gt;="&amp;BQO6))</f>
        <v>0</v>
      </c>
      <c r="BQP4" s="173">
        <f>IF(WEEKDAY(BQP6,12)&gt;=6,0,SUMIFS(tblProjectSchedule[[Skilled]:[Skilled]],tblProjectSchedule[[Start]:[Start]],"&lt;="&amp;BQP6,tblProjectSchedule[[Finish]:[Finish]],"&gt;="&amp;BQP6)+SUMIFS(tblProjectSchedule[[Helpers]:[Helpers]],tblProjectSchedule[[Start]:[Start]],"&lt;="&amp;BQP6,tblProjectSchedule[[Finish]:[Finish]],"&gt;="&amp;BQP6))</f>
        <v>0</v>
      </c>
      <c r="BQQ4" s="172">
        <f>IF(WEEKDAY(BQQ6,12)&gt;=6,0,SUMIFS(tblProjectSchedule[[Skilled]:[Skilled]],tblProjectSchedule[[Start]:[Start]],"&lt;="&amp;BQQ6,tblProjectSchedule[[Finish]:[Finish]],"&gt;="&amp;BQQ6)+SUMIFS(tblProjectSchedule[[Helpers]:[Helpers]],tblProjectSchedule[[Start]:[Start]],"&lt;="&amp;BQQ6,tblProjectSchedule[[Finish]:[Finish]],"&gt;="&amp;BQQ6))</f>
        <v>0</v>
      </c>
      <c r="BQR4" s="172">
        <f>IF(WEEKDAY(BQR6,12)&gt;=6,0,SUMIFS(tblProjectSchedule[[Skilled]:[Skilled]],tblProjectSchedule[[Start]:[Start]],"&lt;="&amp;BQR6,tblProjectSchedule[[Finish]:[Finish]],"&gt;="&amp;BQR6)+SUMIFS(tblProjectSchedule[[Helpers]:[Helpers]],tblProjectSchedule[[Start]:[Start]],"&lt;="&amp;BQR6,tblProjectSchedule[[Finish]:[Finish]],"&gt;="&amp;BQR6))</f>
        <v>0</v>
      </c>
      <c r="BQS4" s="172">
        <f>IF(WEEKDAY(BQS6,12)&gt;=6,0,SUMIFS(tblProjectSchedule[[Skilled]:[Skilled]],tblProjectSchedule[[Start]:[Start]],"&lt;="&amp;BQS6,tblProjectSchedule[[Finish]:[Finish]],"&gt;="&amp;BQS6)+SUMIFS(tblProjectSchedule[[Helpers]:[Helpers]],tblProjectSchedule[[Start]:[Start]],"&lt;="&amp;BQS6,tblProjectSchedule[[Finish]:[Finish]],"&gt;="&amp;BQS6))</f>
        <v>0</v>
      </c>
      <c r="BQT4" s="172">
        <f>IF(WEEKDAY(BQT6,12)&gt;=6,0,SUMIFS(tblProjectSchedule[[Skilled]:[Skilled]],tblProjectSchedule[[Start]:[Start]],"&lt;="&amp;BQT6,tblProjectSchedule[[Finish]:[Finish]],"&gt;="&amp;BQT6)+SUMIFS(tblProjectSchedule[[Helpers]:[Helpers]],tblProjectSchedule[[Start]:[Start]],"&lt;="&amp;BQT6,tblProjectSchedule[[Finish]:[Finish]],"&gt;="&amp;BQT6))</f>
        <v>0</v>
      </c>
      <c r="BQU4" s="172">
        <f>IF(WEEKDAY(BQU6,12)&gt;=6,0,SUMIFS(tblProjectSchedule[[Skilled]:[Skilled]],tblProjectSchedule[[Start]:[Start]],"&lt;="&amp;BQU6,tblProjectSchedule[[Finish]:[Finish]],"&gt;="&amp;BQU6)+SUMIFS(tblProjectSchedule[[Helpers]:[Helpers]],tblProjectSchedule[[Start]:[Start]],"&lt;="&amp;BQU6,tblProjectSchedule[[Finish]:[Finish]],"&gt;="&amp;BQU6))</f>
        <v>0</v>
      </c>
      <c r="BQV4" s="174">
        <f>IF(WEEKDAY(BQV6,12)&gt;=6,0,SUMIFS(tblProjectSchedule[[Skilled]:[Skilled]],tblProjectSchedule[[Start]:[Start]],"&lt;="&amp;BQV6,tblProjectSchedule[[Finish]:[Finish]],"&gt;="&amp;BQV6)+SUMIFS(tblProjectSchedule[[Helpers]:[Helpers]],tblProjectSchedule[[Start]:[Start]],"&lt;="&amp;BQV6,tblProjectSchedule[[Finish]:[Finish]],"&gt;="&amp;BQV6))</f>
        <v>0</v>
      </c>
      <c r="BQW4" s="173">
        <f>IF(WEEKDAY(BQW6,12)&gt;=6,0,SUMIFS(tblProjectSchedule[[Skilled]:[Skilled]],tblProjectSchedule[[Start]:[Start]],"&lt;="&amp;BQW6,tblProjectSchedule[[Finish]:[Finish]],"&gt;="&amp;BQW6)+SUMIFS(tblProjectSchedule[[Helpers]:[Helpers]],tblProjectSchedule[[Start]:[Start]],"&lt;="&amp;BQW6,tblProjectSchedule[[Finish]:[Finish]],"&gt;="&amp;BQW6))</f>
        <v>0</v>
      </c>
      <c r="BQX4" s="172">
        <f>IF(WEEKDAY(BQX6,12)&gt;=6,0,SUMIFS(tblProjectSchedule[[Skilled]:[Skilled]],tblProjectSchedule[[Start]:[Start]],"&lt;="&amp;BQX6,tblProjectSchedule[[Finish]:[Finish]],"&gt;="&amp;BQX6)+SUMIFS(tblProjectSchedule[[Helpers]:[Helpers]],tblProjectSchedule[[Start]:[Start]],"&lt;="&amp;BQX6,tblProjectSchedule[[Finish]:[Finish]],"&gt;="&amp;BQX6))</f>
        <v>0</v>
      </c>
      <c r="BQY4" s="172">
        <f>IF(WEEKDAY(BQY6,12)&gt;=6,0,SUMIFS(tblProjectSchedule[[Skilled]:[Skilled]],tblProjectSchedule[[Start]:[Start]],"&lt;="&amp;BQY6,tblProjectSchedule[[Finish]:[Finish]],"&gt;="&amp;BQY6)+SUMIFS(tblProjectSchedule[[Helpers]:[Helpers]],tblProjectSchedule[[Start]:[Start]],"&lt;="&amp;BQY6,tblProjectSchedule[[Finish]:[Finish]],"&gt;="&amp;BQY6))</f>
        <v>0</v>
      </c>
      <c r="BQZ4" s="172">
        <f>IF(WEEKDAY(BQZ6,12)&gt;=6,0,SUMIFS(tblProjectSchedule[[Skilled]:[Skilled]],tblProjectSchedule[[Start]:[Start]],"&lt;="&amp;BQZ6,tblProjectSchedule[[Finish]:[Finish]],"&gt;="&amp;BQZ6)+SUMIFS(tblProjectSchedule[[Helpers]:[Helpers]],tblProjectSchedule[[Start]:[Start]],"&lt;="&amp;BQZ6,tblProjectSchedule[[Finish]:[Finish]],"&gt;="&amp;BQZ6))</f>
        <v>0</v>
      </c>
      <c r="BRA4" s="172">
        <f>IF(WEEKDAY(BRA6,12)&gt;=6,0,SUMIFS(tblProjectSchedule[[Skilled]:[Skilled]],tblProjectSchedule[[Start]:[Start]],"&lt;="&amp;BRA6,tblProjectSchedule[[Finish]:[Finish]],"&gt;="&amp;BRA6)+SUMIFS(tblProjectSchedule[[Helpers]:[Helpers]],tblProjectSchedule[[Start]:[Start]],"&lt;="&amp;BRA6,tblProjectSchedule[[Finish]:[Finish]],"&gt;="&amp;BRA6))</f>
        <v>0</v>
      </c>
      <c r="BRB4" s="172">
        <f>IF(WEEKDAY(BRB6,12)&gt;=6,0,SUMIFS(tblProjectSchedule[[Skilled]:[Skilled]],tblProjectSchedule[[Start]:[Start]],"&lt;="&amp;BRB6,tblProjectSchedule[[Finish]:[Finish]],"&gt;="&amp;BRB6)+SUMIFS(tblProjectSchedule[[Helpers]:[Helpers]],tblProjectSchedule[[Start]:[Start]],"&lt;="&amp;BRB6,tblProjectSchedule[[Finish]:[Finish]],"&gt;="&amp;BRB6))</f>
        <v>0</v>
      </c>
      <c r="BRC4" s="174">
        <f>IF(WEEKDAY(BRC6,12)&gt;=6,0,SUMIFS(tblProjectSchedule[[Skilled]:[Skilled]],tblProjectSchedule[[Start]:[Start]],"&lt;="&amp;BRC6,tblProjectSchedule[[Finish]:[Finish]],"&gt;="&amp;BRC6)+SUMIFS(tblProjectSchedule[[Helpers]:[Helpers]],tblProjectSchedule[[Start]:[Start]],"&lt;="&amp;BRC6,tblProjectSchedule[[Finish]:[Finish]],"&gt;="&amp;BRC6))</f>
        <v>0</v>
      </c>
      <c r="BRD4" s="173">
        <f>IF(WEEKDAY(BRD6,12)&gt;=6,0,SUMIFS(tblProjectSchedule[[Skilled]:[Skilled]],tblProjectSchedule[[Start]:[Start]],"&lt;="&amp;BRD6,tblProjectSchedule[[Finish]:[Finish]],"&gt;="&amp;BRD6)+SUMIFS(tblProjectSchedule[[Helpers]:[Helpers]],tblProjectSchedule[[Start]:[Start]],"&lt;="&amp;BRD6,tblProjectSchedule[[Finish]:[Finish]],"&gt;="&amp;BRD6))</f>
        <v>0</v>
      </c>
      <c r="BRE4" s="172">
        <f>IF(WEEKDAY(BRE6,12)&gt;=6,0,SUMIFS(tblProjectSchedule[[Skilled]:[Skilled]],tblProjectSchedule[[Start]:[Start]],"&lt;="&amp;BRE6,tblProjectSchedule[[Finish]:[Finish]],"&gt;="&amp;BRE6)+SUMIFS(tblProjectSchedule[[Helpers]:[Helpers]],tblProjectSchedule[[Start]:[Start]],"&lt;="&amp;BRE6,tblProjectSchedule[[Finish]:[Finish]],"&gt;="&amp;BRE6))</f>
        <v>0</v>
      </c>
      <c r="BRF4" s="172">
        <f>IF(WEEKDAY(BRF6,12)&gt;=6,0,SUMIFS(tblProjectSchedule[[Skilled]:[Skilled]],tblProjectSchedule[[Start]:[Start]],"&lt;="&amp;BRF6,tblProjectSchedule[[Finish]:[Finish]],"&gt;="&amp;BRF6)+SUMIFS(tblProjectSchedule[[Helpers]:[Helpers]],tblProjectSchedule[[Start]:[Start]],"&lt;="&amp;BRF6,tblProjectSchedule[[Finish]:[Finish]],"&gt;="&amp;BRF6))</f>
        <v>0</v>
      </c>
      <c r="BRG4" s="172">
        <f>IF(WEEKDAY(BRG6,12)&gt;=6,0,SUMIFS(tblProjectSchedule[[Skilled]:[Skilled]],tblProjectSchedule[[Start]:[Start]],"&lt;="&amp;BRG6,tblProjectSchedule[[Finish]:[Finish]],"&gt;="&amp;BRG6)+SUMIFS(tblProjectSchedule[[Helpers]:[Helpers]],tblProjectSchedule[[Start]:[Start]],"&lt;="&amp;BRG6,tblProjectSchedule[[Finish]:[Finish]],"&gt;="&amp;BRG6))</f>
        <v>0</v>
      </c>
      <c r="BRH4" s="172">
        <f>IF(WEEKDAY(BRH6,12)&gt;=6,0,SUMIFS(tblProjectSchedule[[Skilled]:[Skilled]],tblProjectSchedule[[Start]:[Start]],"&lt;="&amp;BRH6,tblProjectSchedule[[Finish]:[Finish]],"&gt;="&amp;BRH6)+SUMIFS(tblProjectSchedule[[Helpers]:[Helpers]],tblProjectSchedule[[Start]:[Start]],"&lt;="&amp;BRH6,tblProjectSchedule[[Finish]:[Finish]],"&gt;="&amp;BRH6))</f>
        <v>0</v>
      </c>
      <c r="BRI4" s="172">
        <f>IF(WEEKDAY(BRI6,12)&gt;=6,0,SUMIFS(tblProjectSchedule[[Skilled]:[Skilled]],tblProjectSchedule[[Start]:[Start]],"&lt;="&amp;BRI6,tblProjectSchedule[[Finish]:[Finish]],"&gt;="&amp;BRI6)+SUMIFS(tblProjectSchedule[[Helpers]:[Helpers]],tblProjectSchedule[[Start]:[Start]],"&lt;="&amp;BRI6,tblProjectSchedule[[Finish]:[Finish]],"&gt;="&amp;BRI6))</f>
        <v>0</v>
      </c>
      <c r="BRJ4" s="174">
        <f>IF(WEEKDAY(BRJ6,12)&gt;=6,0,SUMIFS(tblProjectSchedule[[Skilled]:[Skilled]],tblProjectSchedule[[Start]:[Start]],"&lt;="&amp;BRJ6,tblProjectSchedule[[Finish]:[Finish]],"&gt;="&amp;BRJ6)+SUMIFS(tblProjectSchedule[[Helpers]:[Helpers]],tblProjectSchedule[[Start]:[Start]],"&lt;="&amp;BRJ6,tblProjectSchedule[[Finish]:[Finish]],"&gt;="&amp;BRJ6))</f>
        <v>0</v>
      </c>
      <c r="BRK4" s="173">
        <f>IF(WEEKDAY(BRK6,12)&gt;=6,0,SUMIFS(tblProjectSchedule[[Skilled]:[Skilled]],tblProjectSchedule[[Start]:[Start]],"&lt;="&amp;BRK6,tblProjectSchedule[[Finish]:[Finish]],"&gt;="&amp;BRK6)+SUMIFS(tblProjectSchedule[[Helpers]:[Helpers]],tblProjectSchedule[[Start]:[Start]],"&lt;="&amp;BRK6,tblProjectSchedule[[Finish]:[Finish]],"&gt;="&amp;BRK6))</f>
        <v>0</v>
      </c>
      <c r="BRL4" s="172">
        <f>IF(WEEKDAY(BRL6,12)&gt;=6,0,SUMIFS(tblProjectSchedule[[Skilled]:[Skilled]],tblProjectSchedule[[Start]:[Start]],"&lt;="&amp;BRL6,tblProjectSchedule[[Finish]:[Finish]],"&gt;="&amp;BRL6)+SUMIFS(tblProjectSchedule[[Helpers]:[Helpers]],tblProjectSchedule[[Start]:[Start]],"&lt;="&amp;BRL6,tblProjectSchedule[[Finish]:[Finish]],"&gt;="&amp;BRL6))</f>
        <v>0</v>
      </c>
      <c r="BRM4" s="172">
        <f>IF(WEEKDAY(BRM6,12)&gt;=6,0,SUMIFS(tblProjectSchedule[[Skilled]:[Skilled]],tblProjectSchedule[[Start]:[Start]],"&lt;="&amp;BRM6,tblProjectSchedule[[Finish]:[Finish]],"&gt;="&amp;BRM6)+SUMIFS(tblProjectSchedule[[Helpers]:[Helpers]],tblProjectSchedule[[Start]:[Start]],"&lt;="&amp;BRM6,tblProjectSchedule[[Finish]:[Finish]],"&gt;="&amp;BRM6))</f>
        <v>0</v>
      </c>
      <c r="BRN4" s="172">
        <f>IF(WEEKDAY(BRN6,12)&gt;=6,0,SUMIFS(tblProjectSchedule[[Skilled]:[Skilled]],tblProjectSchedule[[Start]:[Start]],"&lt;="&amp;BRN6,tblProjectSchedule[[Finish]:[Finish]],"&gt;="&amp;BRN6)+SUMIFS(tblProjectSchedule[[Helpers]:[Helpers]],tblProjectSchedule[[Start]:[Start]],"&lt;="&amp;BRN6,tblProjectSchedule[[Finish]:[Finish]],"&gt;="&amp;BRN6))</f>
        <v>0</v>
      </c>
      <c r="BRO4" s="172">
        <f>IF(WEEKDAY(BRO6,12)&gt;=6,0,SUMIFS(tblProjectSchedule[[Skilled]:[Skilled]],tblProjectSchedule[[Start]:[Start]],"&lt;="&amp;BRO6,tblProjectSchedule[[Finish]:[Finish]],"&gt;="&amp;BRO6)+SUMIFS(tblProjectSchedule[[Helpers]:[Helpers]],tblProjectSchedule[[Start]:[Start]],"&lt;="&amp;BRO6,tblProjectSchedule[[Finish]:[Finish]],"&gt;="&amp;BRO6))</f>
        <v>0</v>
      </c>
      <c r="BRP4" s="172">
        <f>IF(WEEKDAY(BRP6,12)&gt;=6,0,SUMIFS(tblProjectSchedule[[Skilled]:[Skilled]],tblProjectSchedule[[Start]:[Start]],"&lt;="&amp;BRP6,tblProjectSchedule[[Finish]:[Finish]],"&gt;="&amp;BRP6)+SUMIFS(tblProjectSchedule[[Helpers]:[Helpers]],tblProjectSchedule[[Start]:[Start]],"&lt;="&amp;BRP6,tblProjectSchedule[[Finish]:[Finish]],"&gt;="&amp;BRP6))</f>
        <v>0</v>
      </c>
      <c r="BRQ4" s="174">
        <f>IF(WEEKDAY(BRQ6,12)&gt;=6,0,SUMIFS(tblProjectSchedule[[Skilled]:[Skilled]],tblProjectSchedule[[Start]:[Start]],"&lt;="&amp;BRQ6,tblProjectSchedule[[Finish]:[Finish]],"&gt;="&amp;BRQ6)+SUMIFS(tblProjectSchedule[[Helpers]:[Helpers]],tblProjectSchedule[[Start]:[Start]],"&lt;="&amp;BRQ6,tblProjectSchedule[[Finish]:[Finish]],"&gt;="&amp;BRQ6))</f>
        <v>0</v>
      </c>
      <c r="BRR4" s="173">
        <f>IF(WEEKDAY(BRR6,12)&gt;=6,0,SUMIFS(tblProjectSchedule[[Skilled]:[Skilled]],tblProjectSchedule[[Start]:[Start]],"&lt;="&amp;BRR6,tblProjectSchedule[[Finish]:[Finish]],"&gt;="&amp;BRR6)+SUMIFS(tblProjectSchedule[[Helpers]:[Helpers]],tblProjectSchedule[[Start]:[Start]],"&lt;="&amp;BRR6,tblProjectSchedule[[Finish]:[Finish]],"&gt;="&amp;BRR6))</f>
        <v>0</v>
      </c>
      <c r="BRS4" s="172">
        <f>IF(WEEKDAY(BRS6,12)&gt;=6,0,SUMIFS(tblProjectSchedule[[Skilled]:[Skilled]],tblProjectSchedule[[Start]:[Start]],"&lt;="&amp;BRS6,tblProjectSchedule[[Finish]:[Finish]],"&gt;="&amp;BRS6)+SUMIFS(tblProjectSchedule[[Helpers]:[Helpers]],tblProjectSchedule[[Start]:[Start]],"&lt;="&amp;BRS6,tblProjectSchedule[[Finish]:[Finish]],"&gt;="&amp;BRS6))</f>
        <v>0</v>
      </c>
      <c r="BRT4" s="172">
        <f>IF(WEEKDAY(BRT6,12)&gt;=6,0,SUMIFS(tblProjectSchedule[[Skilled]:[Skilled]],tblProjectSchedule[[Start]:[Start]],"&lt;="&amp;BRT6,tblProjectSchedule[[Finish]:[Finish]],"&gt;="&amp;BRT6)+SUMIFS(tblProjectSchedule[[Helpers]:[Helpers]],tblProjectSchedule[[Start]:[Start]],"&lt;="&amp;BRT6,tblProjectSchedule[[Finish]:[Finish]],"&gt;="&amp;BRT6))</f>
        <v>0</v>
      </c>
      <c r="BRU4" s="172">
        <f>IF(WEEKDAY(BRU6,12)&gt;=6,0,SUMIFS(tblProjectSchedule[[Skilled]:[Skilled]],tblProjectSchedule[[Start]:[Start]],"&lt;="&amp;BRU6,tblProjectSchedule[[Finish]:[Finish]],"&gt;="&amp;BRU6)+SUMIFS(tblProjectSchedule[[Helpers]:[Helpers]],tblProjectSchedule[[Start]:[Start]],"&lt;="&amp;BRU6,tblProjectSchedule[[Finish]:[Finish]],"&gt;="&amp;BRU6))</f>
        <v>0</v>
      </c>
      <c r="BRV4" s="172">
        <f>IF(WEEKDAY(BRV6,12)&gt;=6,0,SUMIFS(tblProjectSchedule[[Skilled]:[Skilled]],tblProjectSchedule[[Start]:[Start]],"&lt;="&amp;BRV6,tblProjectSchedule[[Finish]:[Finish]],"&gt;="&amp;BRV6)+SUMIFS(tblProjectSchedule[[Helpers]:[Helpers]],tblProjectSchedule[[Start]:[Start]],"&lt;="&amp;BRV6,tblProjectSchedule[[Finish]:[Finish]],"&gt;="&amp;BRV6))</f>
        <v>0</v>
      </c>
      <c r="BRW4" s="172">
        <f>IF(WEEKDAY(BRW6,12)&gt;=6,0,SUMIFS(tblProjectSchedule[[Skilled]:[Skilled]],tblProjectSchedule[[Start]:[Start]],"&lt;="&amp;BRW6,tblProjectSchedule[[Finish]:[Finish]],"&gt;="&amp;BRW6)+SUMIFS(tblProjectSchedule[[Helpers]:[Helpers]],tblProjectSchedule[[Start]:[Start]],"&lt;="&amp;BRW6,tblProjectSchedule[[Finish]:[Finish]],"&gt;="&amp;BRW6))</f>
        <v>0</v>
      </c>
      <c r="BRX4" s="174">
        <f>IF(WEEKDAY(BRX6,12)&gt;=6,0,SUMIFS(tblProjectSchedule[[Skilled]:[Skilled]],tblProjectSchedule[[Start]:[Start]],"&lt;="&amp;BRX6,tblProjectSchedule[[Finish]:[Finish]],"&gt;="&amp;BRX6)+SUMIFS(tblProjectSchedule[[Helpers]:[Helpers]],tblProjectSchedule[[Start]:[Start]],"&lt;="&amp;BRX6,tblProjectSchedule[[Finish]:[Finish]],"&gt;="&amp;BRX6))</f>
        <v>0</v>
      </c>
      <c r="BRY4" s="173">
        <f>IF(WEEKDAY(BRY6,12)&gt;=6,0,SUMIFS(tblProjectSchedule[[Skilled]:[Skilled]],tblProjectSchedule[[Start]:[Start]],"&lt;="&amp;BRY6,tblProjectSchedule[[Finish]:[Finish]],"&gt;="&amp;BRY6)+SUMIFS(tblProjectSchedule[[Helpers]:[Helpers]],tblProjectSchedule[[Start]:[Start]],"&lt;="&amp;BRY6,tblProjectSchedule[[Finish]:[Finish]],"&gt;="&amp;BRY6))</f>
        <v>0</v>
      </c>
      <c r="BRZ4" s="172">
        <f>IF(WEEKDAY(BRZ6,12)&gt;=6,0,SUMIFS(tblProjectSchedule[[Skilled]:[Skilled]],tblProjectSchedule[[Start]:[Start]],"&lt;="&amp;BRZ6,tblProjectSchedule[[Finish]:[Finish]],"&gt;="&amp;BRZ6)+SUMIFS(tblProjectSchedule[[Helpers]:[Helpers]],tblProjectSchedule[[Start]:[Start]],"&lt;="&amp;BRZ6,tblProjectSchedule[[Finish]:[Finish]],"&gt;="&amp;BRZ6))</f>
        <v>0</v>
      </c>
      <c r="BSA4" s="172">
        <f>IF(WEEKDAY(BSA6,12)&gt;=6,0,SUMIFS(tblProjectSchedule[[Skilled]:[Skilled]],tblProjectSchedule[[Start]:[Start]],"&lt;="&amp;BSA6,tblProjectSchedule[[Finish]:[Finish]],"&gt;="&amp;BSA6)+SUMIFS(tblProjectSchedule[[Helpers]:[Helpers]],tblProjectSchedule[[Start]:[Start]],"&lt;="&amp;BSA6,tblProjectSchedule[[Finish]:[Finish]],"&gt;="&amp;BSA6))</f>
        <v>0</v>
      </c>
      <c r="BSB4" s="172">
        <f>IF(WEEKDAY(BSB6,12)&gt;=6,0,SUMIFS(tblProjectSchedule[[Skilled]:[Skilled]],tblProjectSchedule[[Start]:[Start]],"&lt;="&amp;BSB6,tblProjectSchedule[[Finish]:[Finish]],"&gt;="&amp;BSB6)+SUMIFS(tblProjectSchedule[[Helpers]:[Helpers]],tblProjectSchedule[[Start]:[Start]],"&lt;="&amp;BSB6,tblProjectSchedule[[Finish]:[Finish]],"&gt;="&amp;BSB6))</f>
        <v>0</v>
      </c>
      <c r="BSC4" s="172">
        <f>IF(WEEKDAY(BSC6,12)&gt;=6,0,SUMIFS(tblProjectSchedule[[Skilled]:[Skilled]],tblProjectSchedule[[Start]:[Start]],"&lt;="&amp;BSC6,tblProjectSchedule[[Finish]:[Finish]],"&gt;="&amp;BSC6)+SUMIFS(tblProjectSchedule[[Helpers]:[Helpers]],tblProjectSchedule[[Start]:[Start]],"&lt;="&amp;BSC6,tblProjectSchedule[[Finish]:[Finish]],"&gt;="&amp;BSC6))</f>
        <v>0</v>
      </c>
      <c r="BSD4" s="172">
        <f>IF(WEEKDAY(BSD6,12)&gt;=6,0,SUMIFS(tblProjectSchedule[[Skilled]:[Skilled]],tblProjectSchedule[[Start]:[Start]],"&lt;="&amp;BSD6,tblProjectSchedule[[Finish]:[Finish]],"&gt;="&amp;BSD6)+SUMIFS(tblProjectSchedule[[Helpers]:[Helpers]],tblProjectSchedule[[Start]:[Start]],"&lt;="&amp;BSD6,tblProjectSchedule[[Finish]:[Finish]],"&gt;="&amp;BSD6))</f>
        <v>0</v>
      </c>
      <c r="BSE4" s="174">
        <f>IF(WEEKDAY(BSE6,12)&gt;=6,0,SUMIFS(tblProjectSchedule[[Skilled]:[Skilled]],tblProjectSchedule[[Start]:[Start]],"&lt;="&amp;BSE6,tblProjectSchedule[[Finish]:[Finish]],"&gt;="&amp;BSE6)+SUMIFS(tblProjectSchedule[[Helpers]:[Helpers]],tblProjectSchedule[[Start]:[Start]],"&lt;="&amp;BSE6,tblProjectSchedule[[Finish]:[Finish]],"&gt;="&amp;BSE6))</f>
        <v>0</v>
      </c>
      <c r="BSF4" s="173">
        <f>IF(WEEKDAY(BSF6,12)&gt;=6,0,SUMIFS(tblProjectSchedule[[Skilled]:[Skilled]],tblProjectSchedule[[Start]:[Start]],"&lt;="&amp;BSF6,tblProjectSchedule[[Finish]:[Finish]],"&gt;="&amp;BSF6)+SUMIFS(tblProjectSchedule[[Helpers]:[Helpers]],tblProjectSchedule[[Start]:[Start]],"&lt;="&amp;BSF6,tblProjectSchedule[[Finish]:[Finish]],"&gt;="&amp;BSF6))</f>
        <v>0</v>
      </c>
      <c r="BSG4" s="172">
        <f>IF(WEEKDAY(BSG6,12)&gt;=6,0,SUMIFS(tblProjectSchedule[[Skilled]:[Skilled]],tblProjectSchedule[[Start]:[Start]],"&lt;="&amp;BSG6,tblProjectSchedule[[Finish]:[Finish]],"&gt;="&amp;BSG6)+SUMIFS(tblProjectSchedule[[Helpers]:[Helpers]],tblProjectSchedule[[Start]:[Start]],"&lt;="&amp;BSG6,tblProjectSchedule[[Finish]:[Finish]],"&gt;="&amp;BSG6))</f>
        <v>0</v>
      </c>
      <c r="BSH4" s="172">
        <f>IF(WEEKDAY(BSH6,12)&gt;=6,0,SUMIFS(tblProjectSchedule[[Skilled]:[Skilled]],tblProjectSchedule[[Start]:[Start]],"&lt;="&amp;BSH6,tblProjectSchedule[[Finish]:[Finish]],"&gt;="&amp;BSH6)+SUMIFS(tblProjectSchedule[[Helpers]:[Helpers]],tblProjectSchedule[[Start]:[Start]],"&lt;="&amp;BSH6,tblProjectSchedule[[Finish]:[Finish]],"&gt;="&amp;BSH6))</f>
        <v>0</v>
      </c>
      <c r="BSI4" s="172">
        <f>IF(WEEKDAY(BSI6,12)&gt;=6,0,SUMIFS(tblProjectSchedule[[Skilled]:[Skilled]],tblProjectSchedule[[Start]:[Start]],"&lt;="&amp;BSI6,tblProjectSchedule[[Finish]:[Finish]],"&gt;="&amp;BSI6)+SUMIFS(tblProjectSchedule[[Helpers]:[Helpers]],tblProjectSchedule[[Start]:[Start]],"&lt;="&amp;BSI6,tblProjectSchedule[[Finish]:[Finish]],"&gt;="&amp;BSI6))</f>
        <v>0</v>
      </c>
      <c r="BSJ4" s="172">
        <f>IF(WEEKDAY(BSJ6,12)&gt;=6,0,SUMIFS(tblProjectSchedule[[Skilled]:[Skilled]],tblProjectSchedule[[Start]:[Start]],"&lt;="&amp;BSJ6,tblProjectSchedule[[Finish]:[Finish]],"&gt;="&amp;BSJ6)+SUMIFS(tblProjectSchedule[[Helpers]:[Helpers]],tblProjectSchedule[[Start]:[Start]],"&lt;="&amp;BSJ6,tblProjectSchedule[[Finish]:[Finish]],"&gt;="&amp;BSJ6))</f>
        <v>0</v>
      </c>
      <c r="BSK4" s="172">
        <f>IF(WEEKDAY(BSK6,12)&gt;=6,0,SUMIFS(tblProjectSchedule[[Skilled]:[Skilled]],tblProjectSchedule[[Start]:[Start]],"&lt;="&amp;BSK6,tblProjectSchedule[[Finish]:[Finish]],"&gt;="&amp;BSK6)+SUMIFS(tblProjectSchedule[[Helpers]:[Helpers]],tblProjectSchedule[[Start]:[Start]],"&lt;="&amp;BSK6,tblProjectSchedule[[Finish]:[Finish]],"&gt;="&amp;BSK6))</f>
        <v>0</v>
      </c>
      <c r="BSL4" s="174">
        <f>IF(WEEKDAY(BSL6,12)&gt;=6,0,SUMIFS(tblProjectSchedule[[Skilled]:[Skilled]],tblProjectSchedule[[Start]:[Start]],"&lt;="&amp;BSL6,tblProjectSchedule[[Finish]:[Finish]],"&gt;="&amp;BSL6)+SUMIFS(tblProjectSchedule[[Helpers]:[Helpers]],tblProjectSchedule[[Start]:[Start]],"&lt;="&amp;BSL6,tblProjectSchedule[[Finish]:[Finish]],"&gt;="&amp;BSL6))</f>
        <v>0</v>
      </c>
      <c r="BSM4" s="173">
        <f>IF(WEEKDAY(BSM6,12)&gt;=6,0,SUMIFS(tblProjectSchedule[[Skilled]:[Skilled]],tblProjectSchedule[[Start]:[Start]],"&lt;="&amp;BSM6,tblProjectSchedule[[Finish]:[Finish]],"&gt;="&amp;BSM6)+SUMIFS(tblProjectSchedule[[Helpers]:[Helpers]],tblProjectSchedule[[Start]:[Start]],"&lt;="&amp;BSM6,tblProjectSchedule[[Finish]:[Finish]],"&gt;="&amp;BSM6))</f>
        <v>0</v>
      </c>
      <c r="BSN4" s="172">
        <f>IF(WEEKDAY(BSN6,12)&gt;=6,0,SUMIFS(tblProjectSchedule[[Skilled]:[Skilled]],tblProjectSchedule[[Start]:[Start]],"&lt;="&amp;BSN6,tblProjectSchedule[[Finish]:[Finish]],"&gt;="&amp;BSN6)+SUMIFS(tblProjectSchedule[[Helpers]:[Helpers]],tblProjectSchedule[[Start]:[Start]],"&lt;="&amp;BSN6,tblProjectSchedule[[Finish]:[Finish]],"&gt;="&amp;BSN6))</f>
        <v>0</v>
      </c>
      <c r="BSO4" s="172">
        <f>IF(WEEKDAY(BSO6,12)&gt;=6,0,SUMIFS(tblProjectSchedule[[Skilled]:[Skilled]],tblProjectSchedule[[Start]:[Start]],"&lt;="&amp;BSO6,tblProjectSchedule[[Finish]:[Finish]],"&gt;="&amp;BSO6)+SUMIFS(tblProjectSchedule[[Helpers]:[Helpers]],tblProjectSchedule[[Start]:[Start]],"&lt;="&amp;BSO6,tblProjectSchedule[[Finish]:[Finish]],"&gt;="&amp;BSO6))</f>
        <v>0</v>
      </c>
      <c r="BSP4" s="172">
        <f>IF(WEEKDAY(BSP6,12)&gt;=6,0,SUMIFS(tblProjectSchedule[[Skilled]:[Skilled]],tblProjectSchedule[[Start]:[Start]],"&lt;="&amp;BSP6,tblProjectSchedule[[Finish]:[Finish]],"&gt;="&amp;BSP6)+SUMIFS(tblProjectSchedule[[Helpers]:[Helpers]],tblProjectSchedule[[Start]:[Start]],"&lt;="&amp;BSP6,tblProjectSchedule[[Finish]:[Finish]],"&gt;="&amp;BSP6))</f>
        <v>0</v>
      </c>
      <c r="BSQ4" s="172">
        <f>IF(WEEKDAY(BSQ6,12)&gt;=6,0,SUMIFS(tblProjectSchedule[[Skilled]:[Skilled]],tblProjectSchedule[[Start]:[Start]],"&lt;="&amp;BSQ6,tblProjectSchedule[[Finish]:[Finish]],"&gt;="&amp;BSQ6)+SUMIFS(tblProjectSchedule[[Helpers]:[Helpers]],tblProjectSchedule[[Start]:[Start]],"&lt;="&amp;BSQ6,tblProjectSchedule[[Finish]:[Finish]],"&gt;="&amp;BSQ6))</f>
        <v>0</v>
      </c>
      <c r="BSR4" s="172">
        <f>IF(WEEKDAY(BSR6,12)&gt;=6,0,SUMIFS(tblProjectSchedule[[Skilled]:[Skilled]],tblProjectSchedule[[Start]:[Start]],"&lt;="&amp;BSR6,tblProjectSchedule[[Finish]:[Finish]],"&gt;="&amp;BSR6)+SUMIFS(tblProjectSchedule[[Helpers]:[Helpers]],tblProjectSchedule[[Start]:[Start]],"&lt;="&amp;BSR6,tblProjectSchedule[[Finish]:[Finish]],"&gt;="&amp;BSR6))</f>
        <v>0</v>
      </c>
      <c r="BSS4" s="174">
        <f>IF(WEEKDAY(BSS6,12)&gt;=6,0,SUMIFS(tblProjectSchedule[[Skilled]:[Skilled]],tblProjectSchedule[[Start]:[Start]],"&lt;="&amp;BSS6,tblProjectSchedule[[Finish]:[Finish]],"&gt;="&amp;BSS6)+SUMIFS(tblProjectSchedule[[Helpers]:[Helpers]],tblProjectSchedule[[Start]:[Start]],"&lt;="&amp;BSS6,tblProjectSchedule[[Finish]:[Finish]],"&gt;="&amp;BSS6))</f>
        <v>0</v>
      </c>
      <c r="BST4" s="173">
        <f>IF(WEEKDAY(BST6,12)&gt;=6,0,SUMIFS(tblProjectSchedule[[Skilled]:[Skilled]],tblProjectSchedule[[Start]:[Start]],"&lt;="&amp;BST6,tblProjectSchedule[[Finish]:[Finish]],"&gt;="&amp;BST6)+SUMIFS(tblProjectSchedule[[Helpers]:[Helpers]],tblProjectSchedule[[Start]:[Start]],"&lt;="&amp;BST6,tblProjectSchedule[[Finish]:[Finish]],"&gt;="&amp;BST6))</f>
        <v>0</v>
      </c>
      <c r="BSU4" s="172">
        <f>IF(WEEKDAY(BSU6,12)&gt;=6,0,SUMIFS(tblProjectSchedule[[Skilled]:[Skilled]],tblProjectSchedule[[Start]:[Start]],"&lt;="&amp;BSU6,tblProjectSchedule[[Finish]:[Finish]],"&gt;="&amp;BSU6)+SUMIFS(tblProjectSchedule[[Helpers]:[Helpers]],tblProjectSchedule[[Start]:[Start]],"&lt;="&amp;BSU6,tblProjectSchedule[[Finish]:[Finish]],"&gt;="&amp;BSU6))</f>
        <v>0</v>
      </c>
      <c r="BSV4" s="172">
        <f>IF(WEEKDAY(BSV6,12)&gt;=6,0,SUMIFS(tblProjectSchedule[[Skilled]:[Skilled]],tblProjectSchedule[[Start]:[Start]],"&lt;="&amp;BSV6,tblProjectSchedule[[Finish]:[Finish]],"&gt;="&amp;BSV6)+SUMIFS(tblProjectSchedule[[Helpers]:[Helpers]],tblProjectSchedule[[Start]:[Start]],"&lt;="&amp;BSV6,tblProjectSchedule[[Finish]:[Finish]],"&gt;="&amp;BSV6))</f>
        <v>0</v>
      </c>
      <c r="BSW4" s="172">
        <f>IF(WEEKDAY(BSW6,12)&gt;=6,0,SUMIFS(tblProjectSchedule[[Skilled]:[Skilled]],tblProjectSchedule[[Start]:[Start]],"&lt;="&amp;BSW6,tblProjectSchedule[[Finish]:[Finish]],"&gt;="&amp;BSW6)+SUMIFS(tblProjectSchedule[[Helpers]:[Helpers]],tblProjectSchedule[[Start]:[Start]],"&lt;="&amp;BSW6,tblProjectSchedule[[Finish]:[Finish]],"&gt;="&amp;BSW6))</f>
        <v>0</v>
      </c>
      <c r="BSX4" s="172">
        <f>IF(WEEKDAY(BSX6,12)&gt;=6,0,SUMIFS(tblProjectSchedule[[Skilled]:[Skilled]],tblProjectSchedule[[Start]:[Start]],"&lt;="&amp;BSX6,tblProjectSchedule[[Finish]:[Finish]],"&gt;="&amp;BSX6)+SUMIFS(tblProjectSchedule[[Helpers]:[Helpers]],tblProjectSchedule[[Start]:[Start]],"&lt;="&amp;BSX6,tblProjectSchedule[[Finish]:[Finish]],"&gt;="&amp;BSX6))</f>
        <v>0</v>
      </c>
      <c r="BSY4" s="172">
        <f>IF(WEEKDAY(BSY6,12)&gt;=6,0,SUMIFS(tblProjectSchedule[[Skilled]:[Skilled]],tblProjectSchedule[[Start]:[Start]],"&lt;="&amp;BSY6,tblProjectSchedule[[Finish]:[Finish]],"&gt;="&amp;BSY6)+SUMIFS(tblProjectSchedule[[Helpers]:[Helpers]],tblProjectSchedule[[Start]:[Start]],"&lt;="&amp;BSY6,tblProjectSchedule[[Finish]:[Finish]],"&gt;="&amp;BSY6))</f>
        <v>0</v>
      </c>
      <c r="BSZ4" s="174">
        <f>IF(WEEKDAY(BSZ6,12)&gt;=6,0,SUMIFS(tblProjectSchedule[[Skilled]:[Skilled]],tblProjectSchedule[[Start]:[Start]],"&lt;="&amp;BSZ6,tblProjectSchedule[[Finish]:[Finish]],"&gt;="&amp;BSZ6)+SUMIFS(tblProjectSchedule[[Helpers]:[Helpers]],tblProjectSchedule[[Start]:[Start]],"&lt;="&amp;BSZ6,tblProjectSchedule[[Finish]:[Finish]],"&gt;="&amp;BSZ6))</f>
        <v>0</v>
      </c>
      <c r="BTA4" s="173">
        <f>IF(WEEKDAY(BTA6,12)&gt;=6,0,SUMIFS(tblProjectSchedule[[Skilled]:[Skilled]],tblProjectSchedule[[Start]:[Start]],"&lt;="&amp;BTA6,tblProjectSchedule[[Finish]:[Finish]],"&gt;="&amp;BTA6)+SUMIFS(tblProjectSchedule[[Helpers]:[Helpers]],tblProjectSchedule[[Start]:[Start]],"&lt;="&amp;BTA6,tblProjectSchedule[[Finish]:[Finish]],"&gt;="&amp;BTA6))</f>
        <v>0</v>
      </c>
      <c r="BTB4" s="172">
        <f>IF(WEEKDAY(BTB6,12)&gt;=6,0,SUMIFS(tblProjectSchedule[[Skilled]:[Skilled]],tblProjectSchedule[[Start]:[Start]],"&lt;="&amp;BTB6,tblProjectSchedule[[Finish]:[Finish]],"&gt;="&amp;BTB6)+SUMIFS(tblProjectSchedule[[Helpers]:[Helpers]],tblProjectSchedule[[Start]:[Start]],"&lt;="&amp;BTB6,tblProjectSchedule[[Finish]:[Finish]],"&gt;="&amp;BTB6))</f>
        <v>0</v>
      </c>
      <c r="BTC4" s="172">
        <f>IF(WEEKDAY(BTC6,12)&gt;=6,0,SUMIFS(tblProjectSchedule[[Skilled]:[Skilled]],tblProjectSchedule[[Start]:[Start]],"&lt;="&amp;BTC6,tblProjectSchedule[[Finish]:[Finish]],"&gt;="&amp;BTC6)+SUMIFS(tblProjectSchedule[[Helpers]:[Helpers]],tblProjectSchedule[[Start]:[Start]],"&lt;="&amp;BTC6,tblProjectSchedule[[Finish]:[Finish]],"&gt;="&amp;BTC6))</f>
        <v>0</v>
      </c>
      <c r="BTD4" s="172">
        <f>IF(WEEKDAY(BTD6,12)&gt;=6,0,SUMIFS(tblProjectSchedule[[Skilled]:[Skilled]],tblProjectSchedule[[Start]:[Start]],"&lt;="&amp;BTD6,tblProjectSchedule[[Finish]:[Finish]],"&gt;="&amp;BTD6)+SUMIFS(tblProjectSchedule[[Helpers]:[Helpers]],tblProjectSchedule[[Start]:[Start]],"&lt;="&amp;BTD6,tblProjectSchedule[[Finish]:[Finish]],"&gt;="&amp;BTD6))</f>
        <v>0</v>
      </c>
      <c r="BTE4" s="172">
        <f>IF(WEEKDAY(BTE6,12)&gt;=6,0,SUMIFS(tblProjectSchedule[[Skilled]:[Skilled]],tblProjectSchedule[[Start]:[Start]],"&lt;="&amp;BTE6,tblProjectSchedule[[Finish]:[Finish]],"&gt;="&amp;BTE6)+SUMIFS(tblProjectSchedule[[Helpers]:[Helpers]],tblProjectSchedule[[Start]:[Start]],"&lt;="&amp;BTE6,tblProjectSchedule[[Finish]:[Finish]],"&gt;="&amp;BTE6))</f>
        <v>0</v>
      </c>
      <c r="BTF4" s="172">
        <f>IF(WEEKDAY(BTF6,12)&gt;=6,0,SUMIFS(tblProjectSchedule[[Skilled]:[Skilled]],tblProjectSchedule[[Start]:[Start]],"&lt;="&amp;BTF6,tblProjectSchedule[[Finish]:[Finish]],"&gt;="&amp;BTF6)+SUMIFS(tblProjectSchedule[[Helpers]:[Helpers]],tblProjectSchedule[[Start]:[Start]],"&lt;="&amp;BTF6,tblProjectSchedule[[Finish]:[Finish]],"&gt;="&amp;BTF6))</f>
        <v>0</v>
      </c>
      <c r="BTG4" s="174">
        <f>IF(WEEKDAY(BTG6,12)&gt;=6,0,SUMIFS(tblProjectSchedule[[Skilled]:[Skilled]],tblProjectSchedule[[Start]:[Start]],"&lt;="&amp;BTG6,tblProjectSchedule[[Finish]:[Finish]],"&gt;="&amp;BTG6)+SUMIFS(tblProjectSchedule[[Helpers]:[Helpers]],tblProjectSchedule[[Start]:[Start]],"&lt;="&amp;BTG6,tblProjectSchedule[[Finish]:[Finish]],"&gt;="&amp;BTG6))</f>
        <v>0</v>
      </c>
      <c r="BTH4" s="173">
        <f>IF(WEEKDAY(BTH6,12)&gt;=6,0,SUMIFS(tblProjectSchedule[[Skilled]:[Skilled]],tblProjectSchedule[[Start]:[Start]],"&lt;="&amp;BTH6,tblProjectSchedule[[Finish]:[Finish]],"&gt;="&amp;BTH6)+SUMIFS(tblProjectSchedule[[Helpers]:[Helpers]],tblProjectSchedule[[Start]:[Start]],"&lt;="&amp;BTH6,tblProjectSchedule[[Finish]:[Finish]],"&gt;="&amp;BTH6))</f>
        <v>0</v>
      </c>
      <c r="BTI4" s="172">
        <f>IF(WEEKDAY(BTI6,12)&gt;=6,0,SUMIFS(tblProjectSchedule[[Skilled]:[Skilled]],tblProjectSchedule[[Start]:[Start]],"&lt;="&amp;BTI6,tblProjectSchedule[[Finish]:[Finish]],"&gt;="&amp;BTI6)+SUMIFS(tblProjectSchedule[[Helpers]:[Helpers]],tblProjectSchedule[[Start]:[Start]],"&lt;="&amp;BTI6,tblProjectSchedule[[Finish]:[Finish]],"&gt;="&amp;BTI6))</f>
        <v>0</v>
      </c>
      <c r="BTJ4" s="172">
        <f>IF(WEEKDAY(BTJ6,12)&gt;=6,0,SUMIFS(tblProjectSchedule[[Skilled]:[Skilled]],tblProjectSchedule[[Start]:[Start]],"&lt;="&amp;BTJ6,tblProjectSchedule[[Finish]:[Finish]],"&gt;="&amp;BTJ6)+SUMIFS(tblProjectSchedule[[Helpers]:[Helpers]],tblProjectSchedule[[Start]:[Start]],"&lt;="&amp;BTJ6,tblProjectSchedule[[Finish]:[Finish]],"&gt;="&amp;BTJ6))</f>
        <v>0</v>
      </c>
      <c r="BTK4" s="172">
        <f>IF(WEEKDAY(BTK6,12)&gt;=6,0,SUMIFS(tblProjectSchedule[[Skilled]:[Skilled]],tblProjectSchedule[[Start]:[Start]],"&lt;="&amp;BTK6,tblProjectSchedule[[Finish]:[Finish]],"&gt;="&amp;BTK6)+SUMIFS(tblProjectSchedule[[Helpers]:[Helpers]],tblProjectSchedule[[Start]:[Start]],"&lt;="&amp;BTK6,tblProjectSchedule[[Finish]:[Finish]],"&gt;="&amp;BTK6))</f>
        <v>0</v>
      </c>
      <c r="BTL4" s="172">
        <f>IF(WEEKDAY(BTL6,12)&gt;=6,0,SUMIFS(tblProjectSchedule[[Skilled]:[Skilled]],tblProjectSchedule[[Start]:[Start]],"&lt;="&amp;BTL6,tblProjectSchedule[[Finish]:[Finish]],"&gt;="&amp;BTL6)+SUMIFS(tblProjectSchedule[[Helpers]:[Helpers]],tblProjectSchedule[[Start]:[Start]],"&lt;="&amp;BTL6,tblProjectSchedule[[Finish]:[Finish]],"&gt;="&amp;BTL6))</f>
        <v>0</v>
      </c>
      <c r="BTM4" s="172">
        <f>IF(WEEKDAY(BTM6,12)&gt;=6,0,SUMIFS(tblProjectSchedule[[Skilled]:[Skilled]],tblProjectSchedule[[Start]:[Start]],"&lt;="&amp;BTM6,tblProjectSchedule[[Finish]:[Finish]],"&gt;="&amp;BTM6)+SUMIFS(tblProjectSchedule[[Helpers]:[Helpers]],tblProjectSchedule[[Start]:[Start]],"&lt;="&amp;BTM6,tblProjectSchedule[[Finish]:[Finish]],"&gt;="&amp;BTM6))</f>
        <v>0</v>
      </c>
      <c r="BTN4" s="174">
        <f>IF(WEEKDAY(BTN6,12)&gt;=6,0,SUMIFS(tblProjectSchedule[[Skilled]:[Skilled]],tblProjectSchedule[[Start]:[Start]],"&lt;="&amp;BTN6,tblProjectSchedule[[Finish]:[Finish]],"&gt;="&amp;BTN6)+SUMIFS(tblProjectSchedule[[Helpers]:[Helpers]],tblProjectSchedule[[Start]:[Start]],"&lt;="&amp;BTN6,tblProjectSchedule[[Finish]:[Finish]],"&gt;="&amp;BTN6))</f>
        <v>0</v>
      </c>
      <c r="BTO4" s="173">
        <f>IF(WEEKDAY(BTO6,12)&gt;=6,0,SUMIFS(tblProjectSchedule[[Skilled]:[Skilled]],tblProjectSchedule[[Start]:[Start]],"&lt;="&amp;BTO6,tblProjectSchedule[[Finish]:[Finish]],"&gt;="&amp;BTO6)+SUMIFS(tblProjectSchedule[[Helpers]:[Helpers]],tblProjectSchedule[[Start]:[Start]],"&lt;="&amp;BTO6,tblProjectSchedule[[Finish]:[Finish]],"&gt;="&amp;BTO6))</f>
        <v>0</v>
      </c>
      <c r="BTP4" s="172">
        <f>IF(WEEKDAY(BTP6,12)&gt;=6,0,SUMIFS(tblProjectSchedule[[Skilled]:[Skilled]],tblProjectSchedule[[Start]:[Start]],"&lt;="&amp;BTP6,tblProjectSchedule[[Finish]:[Finish]],"&gt;="&amp;BTP6)+SUMIFS(tblProjectSchedule[[Helpers]:[Helpers]],tblProjectSchedule[[Start]:[Start]],"&lt;="&amp;BTP6,tblProjectSchedule[[Finish]:[Finish]],"&gt;="&amp;BTP6))</f>
        <v>0</v>
      </c>
      <c r="BTQ4" s="172">
        <f>IF(WEEKDAY(BTQ6,12)&gt;=6,0,SUMIFS(tblProjectSchedule[[Skilled]:[Skilled]],tblProjectSchedule[[Start]:[Start]],"&lt;="&amp;BTQ6,tblProjectSchedule[[Finish]:[Finish]],"&gt;="&amp;BTQ6)+SUMIFS(tblProjectSchedule[[Helpers]:[Helpers]],tblProjectSchedule[[Start]:[Start]],"&lt;="&amp;BTQ6,tblProjectSchedule[[Finish]:[Finish]],"&gt;="&amp;BTQ6))</f>
        <v>0</v>
      </c>
      <c r="BTR4" s="172">
        <f>IF(WEEKDAY(BTR6,12)&gt;=6,0,SUMIFS(tblProjectSchedule[[Skilled]:[Skilled]],tblProjectSchedule[[Start]:[Start]],"&lt;="&amp;BTR6,tblProjectSchedule[[Finish]:[Finish]],"&gt;="&amp;BTR6)+SUMIFS(tblProjectSchedule[[Helpers]:[Helpers]],tblProjectSchedule[[Start]:[Start]],"&lt;="&amp;BTR6,tblProjectSchedule[[Finish]:[Finish]],"&gt;="&amp;BTR6))</f>
        <v>0</v>
      </c>
      <c r="BTS4" s="172">
        <f>IF(WEEKDAY(BTS6,12)&gt;=6,0,SUMIFS(tblProjectSchedule[[Skilled]:[Skilled]],tblProjectSchedule[[Start]:[Start]],"&lt;="&amp;BTS6,tblProjectSchedule[[Finish]:[Finish]],"&gt;="&amp;BTS6)+SUMIFS(tblProjectSchedule[[Helpers]:[Helpers]],tblProjectSchedule[[Start]:[Start]],"&lt;="&amp;BTS6,tblProjectSchedule[[Finish]:[Finish]],"&gt;="&amp;BTS6))</f>
        <v>0</v>
      </c>
      <c r="BTT4" s="172">
        <f>IF(WEEKDAY(BTT6,12)&gt;=6,0,SUMIFS(tblProjectSchedule[[Skilled]:[Skilled]],tblProjectSchedule[[Start]:[Start]],"&lt;="&amp;BTT6,tblProjectSchedule[[Finish]:[Finish]],"&gt;="&amp;BTT6)+SUMIFS(tblProjectSchedule[[Helpers]:[Helpers]],tblProjectSchedule[[Start]:[Start]],"&lt;="&amp;BTT6,tblProjectSchedule[[Finish]:[Finish]],"&gt;="&amp;BTT6))</f>
        <v>0</v>
      </c>
      <c r="BTU4" s="174">
        <f>IF(WEEKDAY(BTU6,12)&gt;=6,0,SUMIFS(tblProjectSchedule[[Skilled]:[Skilled]],tblProjectSchedule[[Start]:[Start]],"&lt;="&amp;BTU6,tblProjectSchedule[[Finish]:[Finish]],"&gt;="&amp;BTU6)+SUMIFS(tblProjectSchedule[[Helpers]:[Helpers]],tblProjectSchedule[[Start]:[Start]],"&lt;="&amp;BTU6,tblProjectSchedule[[Finish]:[Finish]],"&gt;="&amp;BTU6))</f>
        <v>0</v>
      </c>
      <c r="BTV4" s="173">
        <f>IF(WEEKDAY(BTV6,12)&gt;=6,0,SUMIFS(tblProjectSchedule[[Skilled]:[Skilled]],tblProjectSchedule[[Start]:[Start]],"&lt;="&amp;BTV6,tblProjectSchedule[[Finish]:[Finish]],"&gt;="&amp;BTV6)+SUMIFS(tblProjectSchedule[[Helpers]:[Helpers]],tblProjectSchedule[[Start]:[Start]],"&lt;="&amp;BTV6,tblProjectSchedule[[Finish]:[Finish]],"&gt;="&amp;BTV6))</f>
        <v>0</v>
      </c>
      <c r="BTW4" s="172">
        <f>IF(WEEKDAY(BTW6,12)&gt;=6,0,SUMIFS(tblProjectSchedule[[Skilled]:[Skilled]],tblProjectSchedule[[Start]:[Start]],"&lt;="&amp;BTW6,tblProjectSchedule[[Finish]:[Finish]],"&gt;="&amp;BTW6)+SUMIFS(tblProjectSchedule[[Helpers]:[Helpers]],tblProjectSchedule[[Start]:[Start]],"&lt;="&amp;BTW6,tblProjectSchedule[[Finish]:[Finish]],"&gt;="&amp;BTW6))</f>
        <v>0</v>
      </c>
      <c r="BTX4" s="172">
        <f>IF(WEEKDAY(BTX6,12)&gt;=6,0,SUMIFS(tblProjectSchedule[[Skilled]:[Skilled]],tblProjectSchedule[[Start]:[Start]],"&lt;="&amp;BTX6,tblProjectSchedule[[Finish]:[Finish]],"&gt;="&amp;BTX6)+SUMIFS(tblProjectSchedule[[Helpers]:[Helpers]],tblProjectSchedule[[Start]:[Start]],"&lt;="&amp;BTX6,tblProjectSchedule[[Finish]:[Finish]],"&gt;="&amp;BTX6))</f>
        <v>0</v>
      </c>
      <c r="BTY4" s="172">
        <f>IF(WEEKDAY(BTY6,12)&gt;=6,0,SUMIFS(tblProjectSchedule[[Skilled]:[Skilled]],tblProjectSchedule[[Start]:[Start]],"&lt;="&amp;BTY6,tblProjectSchedule[[Finish]:[Finish]],"&gt;="&amp;BTY6)+SUMIFS(tblProjectSchedule[[Helpers]:[Helpers]],tblProjectSchedule[[Start]:[Start]],"&lt;="&amp;BTY6,tblProjectSchedule[[Finish]:[Finish]],"&gt;="&amp;BTY6))</f>
        <v>0</v>
      </c>
      <c r="BTZ4" s="172">
        <f>IF(WEEKDAY(BTZ6,12)&gt;=6,0,SUMIFS(tblProjectSchedule[[Skilled]:[Skilled]],tblProjectSchedule[[Start]:[Start]],"&lt;="&amp;BTZ6,tblProjectSchedule[[Finish]:[Finish]],"&gt;="&amp;BTZ6)+SUMIFS(tblProjectSchedule[[Helpers]:[Helpers]],tblProjectSchedule[[Start]:[Start]],"&lt;="&amp;BTZ6,tblProjectSchedule[[Finish]:[Finish]],"&gt;="&amp;BTZ6))</f>
        <v>0</v>
      </c>
      <c r="BUA4" s="172">
        <f>IF(WEEKDAY(BUA6,12)&gt;=6,0,SUMIFS(tblProjectSchedule[[Skilled]:[Skilled]],tblProjectSchedule[[Start]:[Start]],"&lt;="&amp;BUA6,tblProjectSchedule[[Finish]:[Finish]],"&gt;="&amp;BUA6)+SUMIFS(tblProjectSchedule[[Helpers]:[Helpers]],tblProjectSchedule[[Start]:[Start]],"&lt;="&amp;BUA6,tblProjectSchedule[[Finish]:[Finish]],"&gt;="&amp;BUA6))</f>
        <v>0</v>
      </c>
      <c r="BUB4" s="174">
        <f>IF(WEEKDAY(BUB6,12)&gt;=6,0,SUMIFS(tblProjectSchedule[[Skilled]:[Skilled]],tblProjectSchedule[[Start]:[Start]],"&lt;="&amp;BUB6,tblProjectSchedule[[Finish]:[Finish]],"&gt;="&amp;BUB6)+SUMIFS(tblProjectSchedule[[Helpers]:[Helpers]],tblProjectSchedule[[Start]:[Start]],"&lt;="&amp;BUB6,tblProjectSchedule[[Finish]:[Finish]],"&gt;="&amp;BUB6))</f>
        <v>0</v>
      </c>
      <c r="BUC4" s="173">
        <f>IF(WEEKDAY(BUC6,12)&gt;=6,0,SUMIFS(tblProjectSchedule[[Skilled]:[Skilled]],tblProjectSchedule[[Start]:[Start]],"&lt;="&amp;BUC6,tblProjectSchedule[[Finish]:[Finish]],"&gt;="&amp;BUC6)+SUMIFS(tblProjectSchedule[[Helpers]:[Helpers]],tblProjectSchedule[[Start]:[Start]],"&lt;="&amp;BUC6,tblProjectSchedule[[Finish]:[Finish]],"&gt;="&amp;BUC6))</f>
        <v>0</v>
      </c>
      <c r="BUD4" s="172">
        <f>IF(WEEKDAY(BUD6,12)&gt;=6,0,SUMIFS(tblProjectSchedule[[Skilled]:[Skilled]],tblProjectSchedule[[Start]:[Start]],"&lt;="&amp;BUD6,tblProjectSchedule[[Finish]:[Finish]],"&gt;="&amp;BUD6)+SUMIFS(tblProjectSchedule[[Helpers]:[Helpers]],tblProjectSchedule[[Start]:[Start]],"&lt;="&amp;BUD6,tblProjectSchedule[[Finish]:[Finish]],"&gt;="&amp;BUD6))</f>
        <v>0</v>
      </c>
      <c r="BUE4" s="172">
        <f>IF(WEEKDAY(BUE6,12)&gt;=6,0,SUMIFS(tblProjectSchedule[[Skilled]:[Skilled]],tblProjectSchedule[[Start]:[Start]],"&lt;="&amp;BUE6,tblProjectSchedule[[Finish]:[Finish]],"&gt;="&amp;BUE6)+SUMIFS(tblProjectSchedule[[Helpers]:[Helpers]],tblProjectSchedule[[Start]:[Start]],"&lt;="&amp;BUE6,tblProjectSchedule[[Finish]:[Finish]],"&gt;="&amp;BUE6))</f>
        <v>0</v>
      </c>
      <c r="BUF4" s="172">
        <f>IF(WEEKDAY(BUF6,12)&gt;=6,0,SUMIFS(tblProjectSchedule[[Skilled]:[Skilled]],tblProjectSchedule[[Start]:[Start]],"&lt;="&amp;BUF6,tblProjectSchedule[[Finish]:[Finish]],"&gt;="&amp;BUF6)+SUMIFS(tblProjectSchedule[[Helpers]:[Helpers]],tblProjectSchedule[[Start]:[Start]],"&lt;="&amp;BUF6,tblProjectSchedule[[Finish]:[Finish]],"&gt;="&amp;BUF6))</f>
        <v>0</v>
      </c>
      <c r="BUG4" s="172">
        <f>IF(WEEKDAY(BUG6,12)&gt;=6,0,SUMIFS(tblProjectSchedule[[Skilled]:[Skilled]],tblProjectSchedule[[Start]:[Start]],"&lt;="&amp;BUG6,tblProjectSchedule[[Finish]:[Finish]],"&gt;="&amp;BUG6)+SUMIFS(tblProjectSchedule[[Helpers]:[Helpers]],tblProjectSchedule[[Start]:[Start]],"&lt;="&amp;BUG6,tblProjectSchedule[[Finish]:[Finish]],"&gt;="&amp;BUG6))</f>
        <v>0</v>
      </c>
      <c r="BUH4" s="172">
        <f>IF(WEEKDAY(BUH6,12)&gt;=6,0,SUMIFS(tblProjectSchedule[[Skilled]:[Skilled]],tblProjectSchedule[[Start]:[Start]],"&lt;="&amp;BUH6,tblProjectSchedule[[Finish]:[Finish]],"&gt;="&amp;BUH6)+SUMIFS(tblProjectSchedule[[Helpers]:[Helpers]],tblProjectSchedule[[Start]:[Start]],"&lt;="&amp;BUH6,tblProjectSchedule[[Finish]:[Finish]],"&gt;="&amp;BUH6))</f>
        <v>0</v>
      </c>
      <c r="BUI4" s="174">
        <f>IF(WEEKDAY(BUI6,12)&gt;=6,0,SUMIFS(tblProjectSchedule[[Skilled]:[Skilled]],tblProjectSchedule[[Start]:[Start]],"&lt;="&amp;BUI6,tblProjectSchedule[[Finish]:[Finish]],"&gt;="&amp;BUI6)+SUMIFS(tblProjectSchedule[[Helpers]:[Helpers]],tblProjectSchedule[[Start]:[Start]],"&lt;="&amp;BUI6,tblProjectSchedule[[Finish]:[Finish]],"&gt;="&amp;BUI6))</f>
        <v>0</v>
      </c>
      <c r="BUJ4" s="173">
        <f>IF(WEEKDAY(BUJ6,12)&gt;=6,0,SUMIFS(tblProjectSchedule[[Skilled]:[Skilled]],tblProjectSchedule[[Start]:[Start]],"&lt;="&amp;BUJ6,tblProjectSchedule[[Finish]:[Finish]],"&gt;="&amp;BUJ6)+SUMIFS(tblProjectSchedule[[Helpers]:[Helpers]],tblProjectSchedule[[Start]:[Start]],"&lt;="&amp;BUJ6,tblProjectSchedule[[Finish]:[Finish]],"&gt;="&amp;BUJ6))</f>
        <v>0</v>
      </c>
      <c r="BUK4" s="172">
        <f>IF(WEEKDAY(BUK6,12)&gt;=6,0,SUMIFS(tblProjectSchedule[[Skilled]:[Skilled]],tblProjectSchedule[[Start]:[Start]],"&lt;="&amp;BUK6,tblProjectSchedule[[Finish]:[Finish]],"&gt;="&amp;BUK6)+SUMIFS(tblProjectSchedule[[Helpers]:[Helpers]],tblProjectSchedule[[Start]:[Start]],"&lt;="&amp;BUK6,tblProjectSchedule[[Finish]:[Finish]],"&gt;="&amp;BUK6))</f>
        <v>0</v>
      </c>
      <c r="BUL4" s="172">
        <f>IF(WEEKDAY(BUL6,12)&gt;=6,0,SUMIFS(tblProjectSchedule[[Skilled]:[Skilled]],tblProjectSchedule[[Start]:[Start]],"&lt;="&amp;BUL6,tblProjectSchedule[[Finish]:[Finish]],"&gt;="&amp;BUL6)+SUMIFS(tblProjectSchedule[[Helpers]:[Helpers]],tblProjectSchedule[[Start]:[Start]],"&lt;="&amp;BUL6,tblProjectSchedule[[Finish]:[Finish]],"&gt;="&amp;BUL6))</f>
        <v>0</v>
      </c>
      <c r="BUM4" s="172">
        <f>IF(WEEKDAY(BUM6,12)&gt;=6,0,SUMIFS(tblProjectSchedule[[Skilled]:[Skilled]],tblProjectSchedule[[Start]:[Start]],"&lt;="&amp;BUM6,tblProjectSchedule[[Finish]:[Finish]],"&gt;="&amp;BUM6)+SUMIFS(tblProjectSchedule[[Helpers]:[Helpers]],tblProjectSchedule[[Start]:[Start]],"&lt;="&amp;BUM6,tblProjectSchedule[[Finish]:[Finish]],"&gt;="&amp;BUM6))</f>
        <v>0</v>
      </c>
      <c r="BUN4" s="172">
        <f>IF(WEEKDAY(BUN6,12)&gt;=6,0,SUMIFS(tblProjectSchedule[[Skilled]:[Skilled]],tblProjectSchedule[[Start]:[Start]],"&lt;="&amp;BUN6,tblProjectSchedule[[Finish]:[Finish]],"&gt;="&amp;BUN6)+SUMIFS(tblProjectSchedule[[Helpers]:[Helpers]],tblProjectSchedule[[Start]:[Start]],"&lt;="&amp;BUN6,tblProjectSchedule[[Finish]:[Finish]],"&gt;="&amp;BUN6))</f>
        <v>0</v>
      </c>
      <c r="BUO4" s="172">
        <f>IF(WEEKDAY(BUO6,12)&gt;=6,0,SUMIFS(tblProjectSchedule[[Skilled]:[Skilled]],tblProjectSchedule[[Start]:[Start]],"&lt;="&amp;BUO6,tblProjectSchedule[[Finish]:[Finish]],"&gt;="&amp;BUO6)+SUMIFS(tblProjectSchedule[[Helpers]:[Helpers]],tblProjectSchedule[[Start]:[Start]],"&lt;="&amp;BUO6,tblProjectSchedule[[Finish]:[Finish]],"&gt;="&amp;BUO6))</f>
        <v>0</v>
      </c>
      <c r="BUP4" s="174">
        <f>IF(WEEKDAY(BUP6,12)&gt;=6,0,SUMIFS(tblProjectSchedule[[Skilled]:[Skilled]],tblProjectSchedule[[Start]:[Start]],"&lt;="&amp;BUP6,tblProjectSchedule[[Finish]:[Finish]],"&gt;="&amp;BUP6)+SUMIFS(tblProjectSchedule[[Helpers]:[Helpers]],tblProjectSchedule[[Start]:[Start]],"&lt;="&amp;BUP6,tblProjectSchedule[[Finish]:[Finish]],"&gt;="&amp;BUP6))</f>
        <v>0</v>
      </c>
      <c r="BUQ4" s="173">
        <f>IF(WEEKDAY(BUQ6,12)&gt;=6,0,SUMIFS(tblProjectSchedule[[Skilled]:[Skilled]],tblProjectSchedule[[Start]:[Start]],"&lt;="&amp;BUQ6,tblProjectSchedule[[Finish]:[Finish]],"&gt;="&amp;BUQ6)+SUMIFS(tblProjectSchedule[[Helpers]:[Helpers]],tblProjectSchedule[[Start]:[Start]],"&lt;="&amp;BUQ6,tblProjectSchedule[[Finish]:[Finish]],"&gt;="&amp;BUQ6))</f>
        <v>0</v>
      </c>
      <c r="BUR4" s="172">
        <f>IF(WEEKDAY(BUR6,12)&gt;=6,0,SUMIFS(tblProjectSchedule[[Skilled]:[Skilled]],tblProjectSchedule[[Start]:[Start]],"&lt;="&amp;BUR6,tblProjectSchedule[[Finish]:[Finish]],"&gt;="&amp;BUR6)+SUMIFS(tblProjectSchedule[[Helpers]:[Helpers]],tblProjectSchedule[[Start]:[Start]],"&lt;="&amp;BUR6,tblProjectSchedule[[Finish]:[Finish]],"&gt;="&amp;BUR6))</f>
        <v>0</v>
      </c>
      <c r="BUS4" s="172">
        <f>IF(WEEKDAY(BUS6,12)&gt;=6,0,SUMIFS(tblProjectSchedule[[Skilled]:[Skilled]],tblProjectSchedule[[Start]:[Start]],"&lt;="&amp;BUS6,tblProjectSchedule[[Finish]:[Finish]],"&gt;="&amp;BUS6)+SUMIFS(tblProjectSchedule[[Helpers]:[Helpers]],tblProjectSchedule[[Start]:[Start]],"&lt;="&amp;BUS6,tblProjectSchedule[[Finish]:[Finish]],"&gt;="&amp;BUS6))</f>
        <v>0</v>
      </c>
      <c r="BUT4" s="172">
        <f>IF(WEEKDAY(BUT6,12)&gt;=6,0,SUMIFS(tblProjectSchedule[[Skilled]:[Skilled]],tblProjectSchedule[[Start]:[Start]],"&lt;="&amp;BUT6,tblProjectSchedule[[Finish]:[Finish]],"&gt;="&amp;BUT6)+SUMIFS(tblProjectSchedule[[Helpers]:[Helpers]],tblProjectSchedule[[Start]:[Start]],"&lt;="&amp;BUT6,tblProjectSchedule[[Finish]:[Finish]],"&gt;="&amp;BUT6))</f>
        <v>0</v>
      </c>
      <c r="BUU4" s="172">
        <f>IF(WEEKDAY(BUU6,12)&gt;=6,0,SUMIFS(tblProjectSchedule[[Skilled]:[Skilled]],tblProjectSchedule[[Start]:[Start]],"&lt;="&amp;BUU6,tblProjectSchedule[[Finish]:[Finish]],"&gt;="&amp;BUU6)+SUMIFS(tblProjectSchedule[[Helpers]:[Helpers]],tblProjectSchedule[[Start]:[Start]],"&lt;="&amp;BUU6,tblProjectSchedule[[Finish]:[Finish]],"&gt;="&amp;BUU6))</f>
        <v>0</v>
      </c>
      <c r="BUV4" s="172">
        <f>IF(WEEKDAY(BUV6,12)&gt;=6,0,SUMIFS(tblProjectSchedule[[Skilled]:[Skilled]],tblProjectSchedule[[Start]:[Start]],"&lt;="&amp;BUV6,tblProjectSchedule[[Finish]:[Finish]],"&gt;="&amp;BUV6)+SUMIFS(tblProjectSchedule[[Helpers]:[Helpers]],tblProjectSchedule[[Start]:[Start]],"&lt;="&amp;BUV6,tblProjectSchedule[[Finish]:[Finish]],"&gt;="&amp;BUV6))</f>
        <v>0</v>
      </c>
      <c r="BUW4" s="174">
        <f>IF(WEEKDAY(BUW6,12)&gt;=6,0,SUMIFS(tblProjectSchedule[[Skilled]:[Skilled]],tblProjectSchedule[[Start]:[Start]],"&lt;="&amp;BUW6,tblProjectSchedule[[Finish]:[Finish]],"&gt;="&amp;BUW6)+SUMIFS(tblProjectSchedule[[Helpers]:[Helpers]],tblProjectSchedule[[Start]:[Start]],"&lt;="&amp;BUW6,tblProjectSchedule[[Finish]:[Finish]],"&gt;="&amp;BUW6))</f>
        <v>0</v>
      </c>
      <c r="BUX4" s="173">
        <f>IF(WEEKDAY(BUX6,12)&gt;=6,0,SUMIFS(tblProjectSchedule[[Skilled]:[Skilled]],tblProjectSchedule[[Start]:[Start]],"&lt;="&amp;BUX6,tblProjectSchedule[[Finish]:[Finish]],"&gt;="&amp;BUX6)+SUMIFS(tblProjectSchedule[[Helpers]:[Helpers]],tblProjectSchedule[[Start]:[Start]],"&lt;="&amp;BUX6,tblProjectSchedule[[Finish]:[Finish]],"&gt;="&amp;BUX6))</f>
        <v>0</v>
      </c>
      <c r="BUY4" s="172">
        <f>IF(WEEKDAY(BUY6,12)&gt;=6,0,SUMIFS(tblProjectSchedule[[Skilled]:[Skilled]],tblProjectSchedule[[Start]:[Start]],"&lt;="&amp;BUY6,tblProjectSchedule[[Finish]:[Finish]],"&gt;="&amp;BUY6)+SUMIFS(tblProjectSchedule[[Helpers]:[Helpers]],tblProjectSchedule[[Start]:[Start]],"&lt;="&amp;BUY6,tblProjectSchedule[[Finish]:[Finish]],"&gt;="&amp;BUY6))</f>
        <v>0</v>
      </c>
      <c r="BUZ4" s="172">
        <f>IF(WEEKDAY(BUZ6,12)&gt;=6,0,SUMIFS(tblProjectSchedule[[Skilled]:[Skilled]],tblProjectSchedule[[Start]:[Start]],"&lt;="&amp;BUZ6,tblProjectSchedule[[Finish]:[Finish]],"&gt;="&amp;BUZ6)+SUMIFS(tblProjectSchedule[[Helpers]:[Helpers]],tblProjectSchedule[[Start]:[Start]],"&lt;="&amp;BUZ6,tblProjectSchedule[[Finish]:[Finish]],"&gt;="&amp;BUZ6))</f>
        <v>0</v>
      </c>
      <c r="BVA4" s="172">
        <f>IF(WEEKDAY(BVA6,12)&gt;=6,0,SUMIFS(tblProjectSchedule[[Skilled]:[Skilled]],tblProjectSchedule[[Start]:[Start]],"&lt;="&amp;BVA6,tblProjectSchedule[[Finish]:[Finish]],"&gt;="&amp;BVA6)+SUMIFS(tblProjectSchedule[[Helpers]:[Helpers]],tblProjectSchedule[[Start]:[Start]],"&lt;="&amp;BVA6,tblProjectSchedule[[Finish]:[Finish]],"&gt;="&amp;BVA6))</f>
        <v>0</v>
      </c>
      <c r="BVB4" s="172">
        <f>IF(WEEKDAY(BVB6,12)&gt;=6,0,SUMIFS(tblProjectSchedule[[Skilled]:[Skilled]],tblProjectSchedule[[Start]:[Start]],"&lt;="&amp;BVB6,tblProjectSchedule[[Finish]:[Finish]],"&gt;="&amp;BVB6)+SUMIFS(tblProjectSchedule[[Helpers]:[Helpers]],tblProjectSchedule[[Start]:[Start]],"&lt;="&amp;BVB6,tblProjectSchedule[[Finish]:[Finish]],"&gt;="&amp;BVB6))</f>
        <v>0</v>
      </c>
      <c r="BVC4" s="172">
        <f>IF(WEEKDAY(BVC6,12)&gt;=6,0,SUMIFS(tblProjectSchedule[[Skilled]:[Skilled]],tblProjectSchedule[[Start]:[Start]],"&lt;="&amp;BVC6,tblProjectSchedule[[Finish]:[Finish]],"&gt;="&amp;BVC6)+SUMIFS(tblProjectSchedule[[Helpers]:[Helpers]],tblProjectSchedule[[Start]:[Start]],"&lt;="&amp;BVC6,tblProjectSchedule[[Finish]:[Finish]],"&gt;="&amp;BVC6))</f>
        <v>0</v>
      </c>
      <c r="BVD4" s="174">
        <f>IF(WEEKDAY(BVD6,12)&gt;=6,0,SUMIFS(tblProjectSchedule[[Skilled]:[Skilled]],tblProjectSchedule[[Start]:[Start]],"&lt;="&amp;BVD6,tblProjectSchedule[[Finish]:[Finish]],"&gt;="&amp;BVD6)+SUMIFS(tblProjectSchedule[[Helpers]:[Helpers]],tblProjectSchedule[[Start]:[Start]],"&lt;="&amp;BVD6,tblProjectSchedule[[Finish]:[Finish]],"&gt;="&amp;BVD6))</f>
        <v>0</v>
      </c>
      <c r="BVE4" s="173">
        <f>IF(WEEKDAY(BVE6,12)&gt;=6,0,SUMIFS(tblProjectSchedule[[Skilled]:[Skilled]],tblProjectSchedule[[Start]:[Start]],"&lt;="&amp;BVE6,tblProjectSchedule[[Finish]:[Finish]],"&gt;="&amp;BVE6)+SUMIFS(tblProjectSchedule[[Helpers]:[Helpers]],tblProjectSchedule[[Start]:[Start]],"&lt;="&amp;BVE6,tblProjectSchedule[[Finish]:[Finish]],"&gt;="&amp;BVE6))</f>
        <v>0</v>
      </c>
      <c r="BVF4" s="172">
        <f>IF(WEEKDAY(BVF6,12)&gt;=6,0,SUMIFS(tblProjectSchedule[[Skilled]:[Skilled]],tblProjectSchedule[[Start]:[Start]],"&lt;="&amp;BVF6,tblProjectSchedule[[Finish]:[Finish]],"&gt;="&amp;BVF6)+SUMIFS(tblProjectSchedule[[Helpers]:[Helpers]],tblProjectSchedule[[Start]:[Start]],"&lt;="&amp;BVF6,tblProjectSchedule[[Finish]:[Finish]],"&gt;="&amp;BVF6))</f>
        <v>0</v>
      </c>
      <c r="BVG4" s="172">
        <f>IF(WEEKDAY(BVG6,12)&gt;=6,0,SUMIFS(tblProjectSchedule[[Skilled]:[Skilled]],tblProjectSchedule[[Start]:[Start]],"&lt;="&amp;BVG6,tblProjectSchedule[[Finish]:[Finish]],"&gt;="&amp;BVG6)+SUMIFS(tblProjectSchedule[[Helpers]:[Helpers]],tblProjectSchedule[[Start]:[Start]],"&lt;="&amp;BVG6,tblProjectSchedule[[Finish]:[Finish]],"&gt;="&amp;BVG6))</f>
        <v>0</v>
      </c>
      <c r="BVH4" s="172">
        <f>IF(WEEKDAY(BVH6,12)&gt;=6,0,SUMIFS(tblProjectSchedule[[Skilled]:[Skilled]],tblProjectSchedule[[Start]:[Start]],"&lt;="&amp;BVH6,tblProjectSchedule[[Finish]:[Finish]],"&gt;="&amp;BVH6)+SUMIFS(tblProjectSchedule[[Helpers]:[Helpers]],tblProjectSchedule[[Start]:[Start]],"&lt;="&amp;BVH6,tblProjectSchedule[[Finish]:[Finish]],"&gt;="&amp;BVH6))</f>
        <v>0</v>
      </c>
      <c r="BVI4" s="172">
        <f>IF(WEEKDAY(BVI6,12)&gt;=6,0,SUMIFS(tblProjectSchedule[[Skilled]:[Skilled]],tblProjectSchedule[[Start]:[Start]],"&lt;="&amp;BVI6,tblProjectSchedule[[Finish]:[Finish]],"&gt;="&amp;BVI6)+SUMIFS(tblProjectSchedule[[Helpers]:[Helpers]],tblProjectSchedule[[Start]:[Start]],"&lt;="&amp;BVI6,tblProjectSchedule[[Finish]:[Finish]],"&gt;="&amp;BVI6))</f>
        <v>0</v>
      </c>
      <c r="BVJ4" s="172">
        <f>IF(WEEKDAY(BVJ6,12)&gt;=6,0,SUMIFS(tblProjectSchedule[[Skilled]:[Skilled]],tblProjectSchedule[[Start]:[Start]],"&lt;="&amp;BVJ6,tblProjectSchedule[[Finish]:[Finish]],"&gt;="&amp;BVJ6)+SUMIFS(tblProjectSchedule[[Helpers]:[Helpers]],tblProjectSchedule[[Start]:[Start]],"&lt;="&amp;BVJ6,tblProjectSchedule[[Finish]:[Finish]],"&gt;="&amp;BVJ6))</f>
        <v>0</v>
      </c>
      <c r="BVK4" s="174">
        <f>IF(WEEKDAY(BVK6,12)&gt;=6,0,SUMIFS(tblProjectSchedule[[Skilled]:[Skilled]],tblProjectSchedule[[Start]:[Start]],"&lt;="&amp;BVK6,tblProjectSchedule[[Finish]:[Finish]],"&gt;="&amp;BVK6)+SUMIFS(tblProjectSchedule[[Helpers]:[Helpers]],tblProjectSchedule[[Start]:[Start]],"&lt;="&amp;BVK6,tblProjectSchedule[[Finish]:[Finish]],"&gt;="&amp;BVK6))</f>
        <v>0</v>
      </c>
      <c r="BVL4" s="173">
        <f>IF(WEEKDAY(BVL6,12)&gt;=6,0,SUMIFS(tblProjectSchedule[[Skilled]:[Skilled]],tblProjectSchedule[[Start]:[Start]],"&lt;="&amp;BVL6,tblProjectSchedule[[Finish]:[Finish]],"&gt;="&amp;BVL6)+SUMIFS(tblProjectSchedule[[Helpers]:[Helpers]],tblProjectSchedule[[Start]:[Start]],"&lt;="&amp;BVL6,tblProjectSchedule[[Finish]:[Finish]],"&gt;="&amp;BVL6))</f>
        <v>0</v>
      </c>
      <c r="BVM4" s="172">
        <f>IF(WEEKDAY(BVM6,12)&gt;=6,0,SUMIFS(tblProjectSchedule[[Skilled]:[Skilled]],tblProjectSchedule[[Start]:[Start]],"&lt;="&amp;BVM6,tblProjectSchedule[[Finish]:[Finish]],"&gt;="&amp;BVM6)+SUMIFS(tblProjectSchedule[[Helpers]:[Helpers]],tblProjectSchedule[[Start]:[Start]],"&lt;="&amp;BVM6,tblProjectSchedule[[Finish]:[Finish]],"&gt;="&amp;BVM6))</f>
        <v>0</v>
      </c>
      <c r="BVN4" s="172">
        <f>IF(WEEKDAY(BVN6,12)&gt;=6,0,SUMIFS(tblProjectSchedule[[Skilled]:[Skilled]],tblProjectSchedule[[Start]:[Start]],"&lt;="&amp;BVN6,tblProjectSchedule[[Finish]:[Finish]],"&gt;="&amp;BVN6)+SUMIFS(tblProjectSchedule[[Helpers]:[Helpers]],tblProjectSchedule[[Start]:[Start]],"&lt;="&amp;BVN6,tblProjectSchedule[[Finish]:[Finish]],"&gt;="&amp;BVN6))</f>
        <v>0</v>
      </c>
      <c r="BVO4" s="172">
        <f>IF(WEEKDAY(BVO6,12)&gt;=6,0,SUMIFS(tblProjectSchedule[[Skilled]:[Skilled]],tblProjectSchedule[[Start]:[Start]],"&lt;="&amp;BVO6,tblProjectSchedule[[Finish]:[Finish]],"&gt;="&amp;BVO6)+SUMIFS(tblProjectSchedule[[Helpers]:[Helpers]],tblProjectSchedule[[Start]:[Start]],"&lt;="&amp;BVO6,tblProjectSchedule[[Finish]:[Finish]],"&gt;="&amp;BVO6))</f>
        <v>0</v>
      </c>
      <c r="BVP4" s="172">
        <f>IF(WEEKDAY(BVP6,12)&gt;=6,0,SUMIFS(tblProjectSchedule[[Skilled]:[Skilled]],tblProjectSchedule[[Start]:[Start]],"&lt;="&amp;BVP6,tblProjectSchedule[[Finish]:[Finish]],"&gt;="&amp;BVP6)+SUMIFS(tblProjectSchedule[[Helpers]:[Helpers]],tblProjectSchedule[[Start]:[Start]],"&lt;="&amp;BVP6,tblProjectSchedule[[Finish]:[Finish]],"&gt;="&amp;BVP6))</f>
        <v>0</v>
      </c>
      <c r="BVQ4" s="172">
        <f>IF(WEEKDAY(BVQ6,12)&gt;=6,0,SUMIFS(tblProjectSchedule[[Skilled]:[Skilled]],tblProjectSchedule[[Start]:[Start]],"&lt;="&amp;BVQ6,tblProjectSchedule[[Finish]:[Finish]],"&gt;="&amp;BVQ6)+SUMIFS(tblProjectSchedule[[Helpers]:[Helpers]],tblProjectSchedule[[Start]:[Start]],"&lt;="&amp;BVQ6,tblProjectSchedule[[Finish]:[Finish]],"&gt;="&amp;BVQ6))</f>
        <v>0</v>
      </c>
      <c r="BVR4" s="174">
        <f>IF(WEEKDAY(BVR6,12)&gt;=6,0,SUMIFS(tblProjectSchedule[[Skilled]:[Skilled]],tblProjectSchedule[[Start]:[Start]],"&lt;="&amp;BVR6,tblProjectSchedule[[Finish]:[Finish]],"&gt;="&amp;BVR6)+SUMIFS(tblProjectSchedule[[Helpers]:[Helpers]],tblProjectSchedule[[Start]:[Start]],"&lt;="&amp;BVR6,tblProjectSchedule[[Finish]:[Finish]],"&gt;="&amp;BVR6))</f>
        <v>0</v>
      </c>
      <c r="BVS4" s="173">
        <f>IF(WEEKDAY(BVS6,12)&gt;=6,0,SUMIFS(tblProjectSchedule[[Skilled]:[Skilled]],tblProjectSchedule[[Start]:[Start]],"&lt;="&amp;BVS6,tblProjectSchedule[[Finish]:[Finish]],"&gt;="&amp;BVS6)+SUMIFS(tblProjectSchedule[[Helpers]:[Helpers]],tblProjectSchedule[[Start]:[Start]],"&lt;="&amp;BVS6,tblProjectSchedule[[Finish]:[Finish]],"&gt;="&amp;BVS6))</f>
        <v>0</v>
      </c>
      <c r="BVT4" s="172">
        <f>IF(WEEKDAY(BVT6,12)&gt;=6,0,SUMIFS(tblProjectSchedule[[Skilled]:[Skilled]],tblProjectSchedule[[Start]:[Start]],"&lt;="&amp;BVT6,tblProjectSchedule[[Finish]:[Finish]],"&gt;="&amp;BVT6)+SUMIFS(tblProjectSchedule[[Helpers]:[Helpers]],tblProjectSchedule[[Start]:[Start]],"&lt;="&amp;BVT6,tblProjectSchedule[[Finish]:[Finish]],"&gt;="&amp;BVT6))</f>
        <v>0</v>
      </c>
      <c r="BVU4" s="172">
        <f>IF(WEEKDAY(BVU6,12)&gt;=6,0,SUMIFS(tblProjectSchedule[[Skilled]:[Skilled]],tblProjectSchedule[[Start]:[Start]],"&lt;="&amp;BVU6,tblProjectSchedule[[Finish]:[Finish]],"&gt;="&amp;BVU6)+SUMIFS(tblProjectSchedule[[Helpers]:[Helpers]],tblProjectSchedule[[Start]:[Start]],"&lt;="&amp;BVU6,tblProjectSchedule[[Finish]:[Finish]],"&gt;="&amp;BVU6))</f>
        <v>0</v>
      </c>
      <c r="BVV4" s="172">
        <f>IF(WEEKDAY(BVV6,12)&gt;=6,0,SUMIFS(tblProjectSchedule[[Skilled]:[Skilled]],tblProjectSchedule[[Start]:[Start]],"&lt;="&amp;BVV6,tblProjectSchedule[[Finish]:[Finish]],"&gt;="&amp;BVV6)+SUMIFS(tblProjectSchedule[[Helpers]:[Helpers]],tblProjectSchedule[[Start]:[Start]],"&lt;="&amp;BVV6,tblProjectSchedule[[Finish]:[Finish]],"&gt;="&amp;BVV6))</f>
        <v>0</v>
      </c>
      <c r="BVW4" s="172">
        <f>IF(WEEKDAY(BVW6,12)&gt;=6,0,SUMIFS(tblProjectSchedule[[Skilled]:[Skilled]],tblProjectSchedule[[Start]:[Start]],"&lt;="&amp;BVW6,tblProjectSchedule[[Finish]:[Finish]],"&gt;="&amp;BVW6)+SUMIFS(tblProjectSchedule[[Helpers]:[Helpers]],tblProjectSchedule[[Start]:[Start]],"&lt;="&amp;BVW6,tblProjectSchedule[[Finish]:[Finish]],"&gt;="&amp;BVW6))</f>
        <v>0</v>
      </c>
      <c r="BVX4" s="172">
        <f>IF(WEEKDAY(BVX6,12)&gt;=6,0,SUMIFS(tblProjectSchedule[[Skilled]:[Skilled]],tblProjectSchedule[[Start]:[Start]],"&lt;="&amp;BVX6,tblProjectSchedule[[Finish]:[Finish]],"&gt;="&amp;BVX6)+SUMIFS(tblProjectSchedule[[Helpers]:[Helpers]],tblProjectSchedule[[Start]:[Start]],"&lt;="&amp;BVX6,tblProjectSchedule[[Finish]:[Finish]],"&gt;="&amp;BVX6))</f>
        <v>0</v>
      </c>
      <c r="BVY4" s="174">
        <f>IF(WEEKDAY(BVY6,12)&gt;=6,0,SUMIFS(tblProjectSchedule[[Skilled]:[Skilled]],tblProjectSchedule[[Start]:[Start]],"&lt;="&amp;BVY6,tblProjectSchedule[[Finish]:[Finish]],"&gt;="&amp;BVY6)+SUMIFS(tblProjectSchedule[[Helpers]:[Helpers]],tblProjectSchedule[[Start]:[Start]],"&lt;="&amp;BVY6,tblProjectSchedule[[Finish]:[Finish]],"&gt;="&amp;BVY6))</f>
        <v>0</v>
      </c>
      <c r="BVZ4" s="173">
        <f>IF(WEEKDAY(BVZ6,12)&gt;=6,0,SUMIFS(tblProjectSchedule[[Skilled]:[Skilled]],tblProjectSchedule[[Start]:[Start]],"&lt;="&amp;BVZ6,tblProjectSchedule[[Finish]:[Finish]],"&gt;="&amp;BVZ6)+SUMIFS(tblProjectSchedule[[Helpers]:[Helpers]],tblProjectSchedule[[Start]:[Start]],"&lt;="&amp;BVZ6,tblProjectSchedule[[Finish]:[Finish]],"&gt;="&amp;BVZ6))</f>
        <v>0</v>
      </c>
      <c r="BWA4" s="172">
        <f>IF(WEEKDAY(BWA6,12)&gt;=6,0,SUMIFS(tblProjectSchedule[[Skilled]:[Skilled]],tblProjectSchedule[[Start]:[Start]],"&lt;="&amp;BWA6,tblProjectSchedule[[Finish]:[Finish]],"&gt;="&amp;BWA6)+SUMIFS(tblProjectSchedule[[Helpers]:[Helpers]],tblProjectSchedule[[Start]:[Start]],"&lt;="&amp;BWA6,tblProjectSchedule[[Finish]:[Finish]],"&gt;="&amp;BWA6))</f>
        <v>0</v>
      </c>
      <c r="BWB4" s="172">
        <f>IF(WEEKDAY(BWB6,12)&gt;=6,0,SUMIFS(tblProjectSchedule[[Skilled]:[Skilled]],tblProjectSchedule[[Start]:[Start]],"&lt;="&amp;BWB6,tblProjectSchedule[[Finish]:[Finish]],"&gt;="&amp;BWB6)+SUMIFS(tblProjectSchedule[[Helpers]:[Helpers]],tblProjectSchedule[[Start]:[Start]],"&lt;="&amp;BWB6,tblProjectSchedule[[Finish]:[Finish]],"&gt;="&amp;BWB6))</f>
        <v>0</v>
      </c>
      <c r="BWC4" s="172">
        <f>IF(WEEKDAY(BWC6,12)&gt;=6,0,SUMIFS(tblProjectSchedule[[Skilled]:[Skilled]],tblProjectSchedule[[Start]:[Start]],"&lt;="&amp;BWC6,tblProjectSchedule[[Finish]:[Finish]],"&gt;="&amp;BWC6)+SUMIFS(tblProjectSchedule[[Helpers]:[Helpers]],tblProjectSchedule[[Start]:[Start]],"&lt;="&amp;BWC6,tblProjectSchedule[[Finish]:[Finish]],"&gt;="&amp;BWC6))</f>
        <v>0</v>
      </c>
      <c r="BWD4" s="172">
        <f>IF(WEEKDAY(BWD6,12)&gt;=6,0,SUMIFS(tblProjectSchedule[[Skilled]:[Skilled]],tblProjectSchedule[[Start]:[Start]],"&lt;="&amp;BWD6,tblProjectSchedule[[Finish]:[Finish]],"&gt;="&amp;BWD6)+SUMIFS(tblProjectSchedule[[Helpers]:[Helpers]],tblProjectSchedule[[Start]:[Start]],"&lt;="&amp;BWD6,tblProjectSchedule[[Finish]:[Finish]],"&gt;="&amp;BWD6))</f>
        <v>0</v>
      </c>
      <c r="BWE4" s="172">
        <f>IF(WEEKDAY(BWE6,12)&gt;=6,0,SUMIFS(tblProjectSchedule[[Skilled]:[Skilled]],tblProjectSchedule[[Start]:[Start]],"&lt;="&amp;BWE6,tblProjectSchedule[[Finish]:[Finish]],"&gt;="&amp;BWE6)+SUMIFS(tblProjectSchedule[[Helpers]:[Helpers]],tblProjectSchedule[[Start]:[Start]],"&lt;="&amp;BWE6,tblProjectSchedule[[Finish]:[Finish]],"&gt;="&amp;BWE6))</f>
        <v>0</v>
      </c>
      <c r="BWF4" s="174">
        <f>IF(WEEKDAY(BWF6,12)&gt;=6,0,SUMIFS(tblProjectSchedule[[Skilled]:[Skilled]],tblProjectSchedule[[Start]:[Start]],"&lt;="&amp;BWF6,tblProjectSchedule[[Finish]:[Finish]],"&gt;="&amp;BWF6)+SUMIFS(tblProjectSchedule[[Helpers]:[Helpers]],tblProjectSchedule[[Start]:[Start]],"&lt;="&amp;BWF6,tblProjectSchedule[[Finish]:[Finish]],"&gt;="&amp;BWF6))</f>
        <v>0</v>
      </c>
      <c r="BWG4" s="173">
        <f>IF(WEEKDAY(BWG6,12)&gt;=6,0,SUMIFS(tblProjectSchedule[[Skilled]:[Skilled]],tblProjectSchedule[[Start]:[Start]],"&lt;="&amp;BWG6,tblProjectSchedule[[Finish]:[Finish]],"&gt;="&amp;BWG6)+SUMIFS(tblProjectSchedule[[Helpers]:[Helpers]],tblProjectSchedule[[Start]:[Start]],"&lt;="&amp;BWG6,tblProjectSchedule[[Finish]:[Finish]],"&gt;="&amp;BWG6))</f>
        <v>0</v>
      </c>
      <c r="BWH4" s="172">
        <f>IF(WEEKDAY(BWH6,12)&gt;=6,0,SUMIFS(tblProjectSchedule[[Skilled]:[Skilled]],tblProjectSchedule[[Start]:[Start]],"&lt;="&amp;BWH6,tblProjectSchedule[[Finish]:[Finish]],"&gt;="&amp;BWH6)+SUMIFS(tblProjectSchedule[[Helpers]:[Helpers]],tblProjectSchedule[[Start]:[Start]],"&lt;="&amp;BWH6,tblProjectSchedule[[Finish]:[Finish]],"&gt;="&amp;BWH6))</f>
        <v>0</v>
      </c>
      <c r="BWI4" s="172">
        <f>IF(WEEKDAY(BWI6,12)&gt;=6,0,SUMIFS(tblProjectSchedule[[Skilled]:[Skilled]],tblProjectSchedule[[Start]:[Start]],"&lt;="&amp;BWI6,tblProjectSchedule[[Finish]:[Finish]],"&gt;="&amp;BWI6)+SUMIFS(tblProjectSchedule[[Helpers]:[Helpers]],tblProjectSchedule[[Start]:[Start]],"&lt;="&amp;BWI6,tblProjectSchedule[[Finish]:[Finish]],"&gt;="&amp;BWI6))</f>
        <v>0</v>
      </c>
      <c r="BWJ4" s="172">
        <f>IF(WEEKDAY(BWJ6,12)&gt;=6,0,SUMIFS(tblProjectSchedule[[Skilled]:[Skilled]],tblProjectSchedule[[Start]:[Start]],"&lt;="&amp;BWJ6,tblProjectSchedule[[Finish]:[Finish]],"&gt;="&amp;BWJ6)+SUMIFS(tblProjectSchedule[[Helpers]:[Helpers]],tblProjectSchedule[[Start]:[Start]],"&lt;="&amp;BWJ6,tblProjectSchedule[[Finish]:[Finish]],"&gt;="&amp;BWJ6))</f>
        <v>0</v>
      </c>
      <c r="BWK4" s="172">
        <f>IF(WEEKDAY(BWK6,12)&gt;=6,0,SUMIFS(tblProjectSchedule[[Skilled]:[Skilled]],tblProjectSchedule[[Start]:[Start]],"&lt;="&amp;BWK6,tblProjectSchedule[[Finish]:[Finish]],"&gt;="&amp;BWK6)+SUMIFS(tblProjectSchedule[[Helpers]:[Helpers]],tblProjectSchedule[[Start]:[Start]],"&lt;="&amp;BWK6,tblProjectSchedule[[Finish]:[Finish]],"&gt;="&amp;BWK6))</f>
        <v>0</v>
      </c>
      <c r="BWL4" s="172">
        <f>IF(WEEKDAY(BWL6,12)&gt;=6,0,SUMIFS(tblProjectSchedule[[Skilled]:[Skilled]],tblProjectSchedule[[Start]:[Start]],"&lt;="&amp;BWL6,tblProjectSchedule[[Finish]:[Finish]],"&gt;="&amp;BWL6)+SUMIFS(tblProjectSchedule[[Helpers]:[Helpers]],tblProjectSchedule[[Start]:[Start]],"&lt;="&amp;BWL6,tblProjectSchedule[[Finish]:[Finish]],"&gt;="&amp;BWL6))</f>
        <v>0</v>
      </c>
      <c r="BWM4" s="174">
        <f>IF(WEEKDAY(BWM6,12)&gt;=6,0,SUMIFS(tblProjectSchedule[[Skilled]:[Skilled]],tblProjectSchedule[[Start]:[Start]],"&lt;="&amp;BWM6,tblProjectSchedule[[Finish]:[Finish]],"&gt;="&amp;BWM6)+SUMIFS(tblProjectSchedule[[Helpers]:[Helpers]],tblProjectSchedule[[Start]:[Start]],"&lt;="&amp;BWM6,tblProjectSchedule[[Finish]:[Finish]],"&gt;="&amp;BWM6))</f>
        <v>0</v>
      </c>
      <c r="BWN4" s="173">
        <f>IF(WEEKDAY(BWN6,12)&gt;=6,0,SUMIFS(tblProjectSchedule[[Skilled]:[Skilled]],tblProjectSchedule[[Start]:[Start]],"&lt;="&amp;BWN6,tblProjectSchedule[[Finish]:[Finish]],"&gt;="&amp;BWN6)+SUMIFS(tblProjectSchedule[[Helpers]:[Helpers]],tblProjectSchedule[[Start]:[Start]],"&lt;="&amp;BWN6,tblProjectSchedule[[Finish]:[Finish]],"&gt;="&amp;BWN6))</f>
        <v>0</v>
      </c>
      <c r="BWO4" s="172">
        <f>IF(WEEKDAY(BWO6,12)&gt;=6,0,SUMIFS(tblProjectSchedule[[Skilled]:[Skilled]],tblProjectSchedule[[Start]:[Start]],"&lt;="&amp;BWO6,tblProjectSchedule[[Finish]:[Finish]],"&gt;="&amp;BWO6)+SUMIFS(tblProjectSchedule[[Helpers]:[Helpers]],tblProjectSchedule[[Start]:[Start]],"&lt;="&amp;BWO6,tblProjectSchedule[[Finish]:[Finish]],"&gt;="&amp;BWO6))</f>
        <v>0</v>
      </c>
      <c r="BWP4" s="172">
        <f>IF(WEEKDAY(BWP6,12)&gt;=6,0,SUMIFS(tblProjectSchedule[[Skilled]:[Skilled]],tblProjectSchedule[[Start]:[Start]],"&lt;="&amp;BWP6,tblProjectSchedule[[Finish]:[Finish]],"&gt;="&amp;BWP6)+SUMIFS(tblProjectSchedule[[Helpers]:[Helpers]],tblProjectSchedule[[Start]:[Start]],"&lt;="&amp;BWP6,tblProjectSchedule[[Finish]:[Finish]],"&gt;="&amp;BWP6))</f>
        <v>0</v>
      </c>
      <c r="BWQ4" s="172">
        <f>IF(WEEKDAY(BWQ6,12)&gt;=6,0,SUMIFS(tblProjectSchedule[[Skilled]:[Skilled]],tblProjectSchedule[[Start]:[Start]],"&lt;="&amp;BWQ6,tblProjectSchedule[[Finish]:[Finish]],"&gt;="&amp;BWQ6)+SUMIFS(tblProjectSchedule[[Helpers]:[Helpers]],tblProjectSchedule[[Start]:[Start]],"&lt;="&amp;BWQ6,tblProjectSchedule[[Finish]:[Finish]],"&gt;="&amp;BWQ6))</f>
        <v>0</v>
      </c>
      <c r="BWR4" s="172">
        <f>IF(WEEKDAY(BWR6,12)&gt;=6,0,SUMIFS(tblProjectSchedule[[Skilled]:[Skilled]],tblProjectSchedule[[Start]:[Start]],"&lt;="&amp;BWR6,tblProjectSchedule[[Finish]:[Finish]],"&gt;="&amp;BWR6)+SUMIFS(tblProjectSchedule[[Helpers]:[Helpers]],tblProjectSchedule[[Start]:[Start]],"&lt;="&amp;BWR6,tblProjectSchedule[[Finish]:[Finish]],"&gt;="&amp;BWR6))</f>
        <v>0</v>
      </c>
      <c r="BWS4" s="172">
        <f>IF(WEEKDAY(BWS6,12)&gt;=6,0,SUMIFS(tblProjectSchedule[[Skilled]:[Skilled]],tblProjectSchedule[[Start]:[Start]],"&lt;="&amp;BWS6,tblProjectSchedule[[Finish]:[Finish]],"&gt;="&amp;BWS6)+SUMIFS(tblProjectSchedule[[Helpers]:[Helpers]],tblProjectSchedule[[Start]:[Start]],"&lt;="&amp;BWS6,tblProjectSchedule[[Finish]:[Finish]],"&gt;="&amp;BWS6))</f>
        <v>0</v>
      </c>
      <c r="BWT4" s="174">
        <f>IF(WEEKDAY(BWT6,12)&gt;=6,0,SUMIFS(tblProjectSchedule[[Skilled]:[Skilled]],tblProjectSchedule[[Start]:[Start]],"&lt;="&amp;BWT6,tblProjectSchedule[[Finish]:[Finish]],"&gt;="&amp;BWT6)+SUMIFS(tblProjectSchedule[[Helpers]:[Helpers]],tblProjectSchedule[[Start]:[Start]],"&lt;="&amp;BWT6,tblProjectSchedule[[Finish]:[Finish]],"&gt;="&amp;BWT6))</f>
        <v>0</v>
      </c>
      <c r="BWU4" s="173">
        <f>IF(WEEKDAY(BWU6,12)&gt;=6,0,SUMIFS(tblProjectSchedule[[Skilled]:[Skilled]],tblProjectSchedule[[Start]:[Start]],"&lt;="&amp;BWU6,tblProjectSchedule[[Finish]:[Finish]],"&gt;="&amp;BWU6)+SUMIFS(tblProjectSchedule[[Helpers]:[Helpers]],tblProjectSchedule[[Start]:[Start]],"&lt;="&amp;BWU6,tblProjectSchedule[[Finish]:[Finish]],"&gt;="&amp;BWU6))</f>
        <v>0</v>
      </c>
      <c r="BWV4" s="172">
        <f>IF(WEEKDAY(BWV6,12)&gt;=6,0,SUMIFS(tblProjectSchedule[[Skilled]:[Skilled]],tblProjectSchedule[[Start]:[Start]],"&lt;="&amp;BWV6,tblProjectSchedule[[Finish]:[Finish]],"&gt;="&amp;BWV6)+SUMIFS(tblProjectSchedule[[Helpers]:[Helpers]],tblProjectSchedule[[Start]:[Start]],"&lt;="&amp;BWV6,tblProjectSchedule[[Finish]:[Finish]],"&gt;="&amp;BWV6))</f>
        <v>0</v>
      </c>
      <c r="BWW4" s="172">
        <f>IF(WEEKDAY(BWW6,12)&gt;=6,0,SUMIFS(tblProjectSchedule[[Skilled]:[Skilled]],tblProjectSchedule[[Start]:[Start]],"&lt;="&amp;BWW6,tblProjectSchedule[[Finish]:[Finish]],"&gt;="&amp;BWW6)+SUMIFS(tblProjectSchedule[[Helpers]:[Helpers]],tblProjectSchedule[[Start]:[Start]],"&lt;="&amp;BWW6,tblProjectSchedule[[Finish]:[Finish]],"&gt;="&amp;BWW6))</f>
        <v>0</v>
      </c>
      <c r="BWX4" s="172">
        <f>IF(WEEKDAY(BWX6,12)&gt;=6,0,SUMIFS(tblProjectSchedule[[Skilled]:[Skilled]],tblProjectSchedule[[Start]:[Start]],"&lt;="&amp;BWX6,tblProjectSchedule[[Finish]:[Finish]],"&gt;="&amp;BWX6)+SUMIFS(tblProjectSchedule[[Helpers]:[Helpers]],tblProjectSchedule[[Start]:[Start]],"&lt;="&amp;BWX6,tblProjectSchedule[[Finish]:[Finish]],"&gt;="&amp;BWX6))</f>
        <v>0</v>
      </c>
      <c r="BWY4" s="172">
        <f>IF(WEEKDAY(BWY6,12)&gt;=6,0,SUMIFS(tblProjectSchedule[[Skilled]:[Skilled]],tblProjectSchedule[[Start]:[Start]],"&lt;="&amp;BWY6,tblProjectSchedule[[Finish]:[Finish]],"&gt;="&amp;BWY6)+SUMIFS(tblProjectSchedule[[Helpers]:[Helpers]],tblProjectSchedule[[Start]:[Start]],"&lt;="&amp;BWY6,tblProjectSchedule[[Finish]:[Finish]],"&gt;="&amp;BWY6))</f>
        <v>0</v>
      </c>
      <c r="BWZ4" s="172">
        <f>IF(WEEKDAY(BWZ6,12)&gt;=6,0,SUMIFS(tblProjectSchedule[[Skilled]:[Skilled]],tblProjectSchedule[[Start]:[Start]],"&lt;="&amp;BWZ6,tblProjectSchedule[[Finish]:[Finish]],"&gt;="&amp;BWZ6)+SUMIFS(tblProjectSchedule[[Helpers]:[Helpers]],tblProjectSchedule[[Start]:[Start]],"&lt;="&amp;BWZ6,tblProjectSchedule[[Finish]:[Finish]],"&gt;="&amp;BWZ6))</f>
        <v>0</v>
      </c>
      <c r="BXA4" s="174">
        <f>IF(WEEKDAY(BXA6,12)&gt;=6,0,SUMIFS(tblProjectSchedule[[Skilled]:[Skilled]],tblProjectSchedule[[Start]:[Start]],"&lt;="&amp;BXA6,tblProjectSchedule[[Finish]:[Finish]],"&gt;="&amp;BXA6)+SUMIFS(tblProjectSchedule[[Helpers]:[Helpers]],tblProjectSchedule[[Start]:[Start]],"&lt;="&amp;BXA6,tblProjectSchedule[[Finish]:[Finish]],"&gt;="&amp;BXA6))</f>
        <v>0</v>
      </c>
      <c r="BXB4" s="173">
        <f>IF(WEEKDAY(BXB6,12)&gt;=6,0,SUMIFS(tblProjectSchedule[[Skilled]:[Skilled]],tblProjectSchedule[[Start]:[Start]],"&lt;="&amp;BXB6,tblProjectSchedule[[Finish]:[Finish]],"&gt;="&amp;BXB6)+SUMIFS(tblProjectSchedule[[Helpers]:[Helpers]],tblProjectSchedule[[Start]:[Start]],"&lt;="&amp;BXB6,tblProjectSchedule[[Finish]:[Finish]],"&gt;="&amp;BXB6))</f>
        <v>0</v>
      </c>
      <c r="BXC4" s="172">
        <f>IF(WEEKDAY(BXC6,12)&gt;=6,0,SUMIFS(tblProjectSchedule[[Skilled]:[Skilled]],tblProjectSchedule[[Start]:[Start]],"&lt;="&amp;BXC6,tblProjectSchedule[[Finish]:[Finish]],"&gt;="&amp;BXC6)+SUMIFS(tblProjectSchedule[[Helpers]:[Helpers]],tblProjectSchedule[[Start]:[Start]],"&lt;="&amp;BXC6,tblProjectSchedule[[Finish]:[Finish]],"&gt;="&amp;BXC6))</f>
        <v>0</v>
      </c>
      <c r="BXD4" s="172">
        <f>IF(WEEKDAY(BXD6,12)&gt;=6,0,SUMIFS(tblProjectSchedule[[Skilled]:[Skilled]],tblProjectSchedule[[Start]:[Start]],"&lt;="&amp;BXD6,tblProjectSchedule[[Finish]:[Finish]],"&gt;="&amp;BXD6)+SUMIFS(tblProjectSchedule[[Helpers]:[Helpers]],tblProjectSchedule[[Start]:[Start]],"&lt;="&amp;BXD6,tblProjectSchedule[[Finish]:[Finish]],"&gt;="&amp;BXD6))</f>
        <v>0</v>
      </c>
      <c r="BXE4" s="172">
        <f>IF(WEEKDAY(BXE6,12)&gt;=6,0,SUMIFS(tblProjectSchedule[[Skilled]:[Skilled]],tblProjectSchedule[[Start]:[Start]],"&lt;="&amp;BXE6,tblProjectSchedule[[Finish]:[Finish]],"&gt;="&amp;BXE6)+SUMIFS(tblProjectSchedule[[Helpers]:[Helpers]],tblProjectSchedule[[Start]:[Start]],"&lt;="&amp;BXE6,tblProjectSchedule[[Finish]:[Finish]],"&gt;="&amp;BXE6))</f>
        <v>0</v>
      </c>
      <c r="BXF4" s="172">
        <f>IF(WEEKDAY(BXF6,12)&gt;=6,0,SUMIFS(tblProjectSchedule[[Skilled]:[Skilled]],tblProjectSchedule[[Start]:[Start]],"&lt;="&amp;BXF6,tblProjectSchedule[[Finish]:[Finish]],"&gt;="&amp;BXF6)+SUMIFS(tblProjectSchedule[[Helpers]:[Helpers]],tblProjectSchedule[[Start]:[Start]],"&lt;="&amp;BXF6,tblProjectSchedule[[Finish]:[Finish]],"&gt;="&amp;BXF6))</f>
        <v>0</v>
      </c>
      <c r="BXG4" s="172">
        <f>IF(WEEKDAY(BXG6,12)&gt;=6,0,SUMIFS(tblProjectSchedule[[Skilled]:[Skilled]],tblProjectSchedule[[Start]:[Start]],"&lt;="&amp;BXG6,tblProjectSchedule[[Finish]:[Finish]],"&gt;="&amp;BXG6)+SUMIFS(tblProjectSchedule[[Helpers]:[Helpers]],tblProjectSchedule[[Start]:[Start]],"&lt;="&amp;BXG6,tblProjectSchedule[[Finish]:[Finish]],"&gt;="&amp;BXG6))</f>
        <v>0</v>
      </c>
      <c r="BXH4" s="174">
        <f>IF(WEEKDAY(BXH6,12)&gt;=6,0,SUMIFS(tblProjectSchedule[[Skilled]:[Skilled]],tblProjectSchedule[[Start]:[Start]],"&lt;="&amp;BXH6,tblProjectSchedule[[Finish]:[Finish]],"&gt;="&amp;BXH6)+SUMIFS(tblProjectSchedule[[Helpers]:[Helpers]],tblProjectSchedule[[Start]:[Start]],"&lt;="&amp;BXH6,tblProjectSchedule[[Finish]:[Finish]],"&gt;="&amp;BXH6))</f>
        <v>0</v>
      </c>
      <c r="BXI4" s="173">
        <f>IF(WEEKDAY(BXI6,12)&gt;=6,0,SUMIFS(tblProjectSchedule[[Skilled]:[Skilled]],tblProjectSchedule[[Start]:[Start]],"&lt;="&amp;BXI6,tblProjectSchedule[[Finish]:[Finish]],"&gt;="&amp;BXI6)+SUMIFS(tblProjectSchedule[[Helpers]:[Helpers]],tblProjectSchedule[[Start]:[Start]],"&lt;="&amp;BXI6,tblProjectSchedule[[Finish]:[Finish]],"&gt;="&amp;BXI6))</f>
        <v>0</v>
      </c>
      <c r="BXJ4" s="172">
        <f>IF(WEEKDAY(BXJ6,12)&gt;=6,0,SUMIFS(tblProjectSchedule[[Skilled]:[Skilled]],tblProjectSchedule[[Start]:[Start]],"&lt;="&amp;BXJ6,tblProjectSchedule[[Finish]:[Finish]],"&gt;="&amp;BXJ6)+SUMIFS(tblProjectSchedule[[Helpers]:[Helpers]],tblProjectSchedule[[Start]:[Start]],"&lt;="&amp;BXJ6,tblProjectSchedule[[Finish]:[Finish]],"&gt;="&amp;BXJ6))</f>
        <v>0</v>
      </c>
      <c r="BXK4" s="172">
        <f>IF(WEEKDAY(BXK6,12)&gt;=6,0,SUMIFS(tblProjectSchedule[[Skilled]:[Skilled]],tblProjectSchedule[[Start]:[Start]],"&lt;="&amp;BXK6,tblProjectSchedule[[Finish]:[Finish]],"&gt;="&amp;BXK6)+SUMIFS(tblProjectSchedule[[Helpers]:[Helpers]],tblProjectSchedule[[Start]:[Start]],"&lt;="&amp;BXK6,tblProjectSchedule[[Finish]:[Finish]],"&gt;="&amp;BXK6))</f>
        <v>0</v>
      </c>
      <c r="BXL4" s="172">
        <f>IF(WEEKDAY(BXL6,12)&gt;=6,0,SUMIFS(tblProjectSchedule[[Skilled]:[Skilled]],tblProjectSchedule[[Start]:[Start]],"&lt;="&amp;BXL6,tblProjectSchedule[[Finish]:[Finish]],"&gt;="&amp;BXL6)+SUMIFS(tblProjectSchedule[[Helpers]:[Helpers]],tblProjectSchedule[[Start]:[Start]],"&lt;="&amp;BXL6,tblProjectSchedule[[Finish]:[Finish]],"&gt;="&amp;BXL6))</f>
        <v>0</v>
      </c>
      <c r="BXM4" s="172">
        <f>IF(WEEKDAY(BXM6,12)&gt;=6,0,SUMIFS(tblProjectSchedule[[Skilled]:[Skilled]],tblProjectSchedule[[Start]:[Start]],"&lt;="&amp;BXM6,tblProjectSchedule[[Finish]:[Finish]],"&gt;="&amp;BXM6)+SUMIFS(tblProjectSchedule[[Helpers]:[Helpers]],tblProjectSchedule[[Start]:[Start]],"&lt;="&amp;BXM6,tblProjectSchedule[[Finish]:[Finish]],"&gt;="&amp;BXM6))</f>
        <v>0</v>
      </c>
      <c r="BXN4" s="172">
        <f>IF(WEEKDAY(BXN6,12)&gt;=6,0,SUMIFS(tblProjectSchedule[[Skilled]:[Skilled]],tblProjectSchedule[[Start]:[Start]],"&lt;="&amp;BXN6,tblProjectSchedule[[Finish]:[Finish]],"&gt;="&amp;BXN6)+SUMIFS(tblProjectSchedule[[Helpers]:[Helpers]],tblProjectSchedule[[Start]:[Start]],"&lt;="&amp;BXN6,tblProjectSchedule[[Finish]:[Finish]],"&gt;="&amp;BXN6))</f>
        <v>0</v>
      </c>
      <c r="BXO4" s="174">
        <f>IF(WEEKDAY(BXO6,12)&gt;=6,0,SUMIFS(tblProjectSchedule[[Skilled]:[Skilled]],tblProjectSchedule[[Start]:[Start]],"&lt;="&amp;BXO6,tblProjectSchedule[[Finish]:[Finish]],"&gt;="&amp;BXO6)+SUMIFS(tblProjectSchedule[[Helpers]:[Helpers]],tblProjectSchedule[[Start]:[Start]],"&lt;="&amp;BXO6,tblProjectSchedule[[Finish]:[Finish]],"&gt;="&amp;BXO6))</f>
        <v>0</v>
      </c>
      <c r="BXP4" s="173">
        <f>IF(WEEKDAY(BXP6,12)&gt;=6,0,SUMIFS(tblProjectSchedule[[Skilled]:[Skilled]],tblProjectSchedule[[Start]:[Start]],"&lt;="&amp;BXP6,tblProjectSchedule[[Finish]:[Finish]],"&gt;="&amp;BXP6)+SUMIFS(tblProjectSchedule[[Helpers]:[Helpers]],tblProjectSchedule[[Start]:[Start]],"&lt;="&amp;BXP6,tblProjectSchedule[[Finish]:[Finish]],"&gt;="&amp;BXP6))</f>
        <v>0</v>
      </c>
      <c r="BXQ4" s="172">
        <f>IF(WEEKDAY(BXQ6,12)&gt;=6,0,SUMIFS(tblProjectSchedule[[Skilled]:[Skilled]],tblProjectSchedule[[Start]:[Start]],"&lt;="&amp;BXQ6,tblProjectSchedule[[Finish]:[Finish]],"&gt;="&amp;BXQ6)+SUMIFS(tblProjectSchedule[[Helpers]:[Helpers]],tblProjectSchedule[[Start]:[Start]],"&lt;="&amp;BXQ6,tblProjectSchedule[[Finish]:[Finish]],"&gt;="&amp;BXQ6))</f>
        <v>0</v>
      </c>
      <c r="BXR4" s="172">
        <f>IF(WEEKDAY(BXR6,12)&gt;=6,0,SUMIFS(tblProjectSchedule[[Skilled]:[Skilled]],tblProjectSchedule[[Start]:[Start]],"&lt;="&amp;BXR6,tblProjectSchedule[[Finish]:[Finish]],"&gt;="&amp;BXR6)+SUMIFS(tblProjectSchedule[[Helpers]:[Helpers]],tblProjectSchedule[[Start]:[Start]],"&lt;="&amp;BXR6,tblProjectSchedule[[Finish]:[Finish]],"&gt;="&amp;BXR6))</f>
        <v>0</v>
      </c>
      <c r="BXS4" s="172">
        <f>IF(WEEKDAY(BXS6,12)&gt;=6,0,SUMIFS(tblProjectSchedule[[Skilled]:[Skilled]],tblProjectSchedule[[Start]:[Start]],"&lt;="&amp;BXS6,tblProjectSchedule[[Finish]:[Finish]],"&gt;="&amp;BXS6)+SUMIFS(tblProjectSchedule[[Helpers]:[Helpers]],tblProjectSchedule[[Start]:[Start]],"&lt;="&amp;BXS6,tblProjectSchedule[[Finish]:[Finish]],"&gt;="&amp;BXS6))</f>
        <v>0</v>
      </c>
      <c r="BXT4" s="172">
        <f>IF(WEEKDAY(BXT6,12)&gt;=6,0,SUMIFS(tblProjectSchedule[[Skilled]:[Skilled]],tblProjectSchedule[[Start]:[Start]],"&lt;="&amp;BXT6,tblProjectSchedule[[Finish]:[Finish]],"&gt;="&amp;BXT6)+SUMIFS(tblProjectSchedule[[Helpers]:[Helpers]],tblProjectSchedule[[Start]:[Start]],"&lt;="&amp;BXT6,tblProjectSchedule[[Finish]:[Finish]],"&gt;="&amp;BXT6))</f>
        <v>0</v>
      </c>
      <c r="BXU4" s="172">
        <f>IF(WEEKDAY(BXU6,12)&gt;=6,0,SUMIFS(tblProjectSchedule[[Skilled]:[Skilled]],tblProjectSchedule[[Start]:[Start]],"&lt;="&amp;BXU6,tblProjectSchedule[[Finish]:[Finish]],"&gt;="&amp;BXU6)+SUMIFS(tblProjectSchedule[[Helpers]:[Helpers]],tblProjectSchedule[[Start]:[Start]],"&lt;="&amp;BXU6,tblProjectSchedule[[Finish]:[Finish]],"&gt;="&amp;BXU6))</f>
        <v>0</v>
      </c>
      <c r="BXV4" s="174">
        <f>IF(WEEKDAY(BXV6,12)&gt;=6,0,SUMIFS(tblProjectSchedule[[Skilled]:[Skilled]],tblProjectSchedule[[Start]:[Start]],"&lt;="&amp;BXV6,tblProjectSchedule[[Finish]:[Finish]],"&gt;="&amp;BXV6)+SUMIFS(tblProjectSchedule[[Helpers]:[Helpers]],tblProjectSchedule[[Start]:[Start]],"&lt;="&amp;BXV6,tblProjectSchedule[[Finish]:[Finish]],"&gt;="&amp;BXV6))</f>
        <v>0</v>
      </c>
      <c r="BXW4" s="173">
        <f>IF(WEEKDAY(BXW6,12)&gt;=6,0,SUMIFS(tblProjectSchedule[[Skilled]:[Skilled]],tblProjectSchedule[[Start]:[Start]],"&lt;="&amp;BXW6,tblProjectSchedule[[Finish]:[Finish]],"&gt;="&amp;BXW6)+SUMIFS(tblProjectSchedule[[Helpers]:[Helpers]],tblProjectSchedule[[Start]:[Start]],"&lt;="&amp;BXW6,tblProjectSchedule[[Finish]:[Finish]],"&gt;="&amp;BXW6))</f>
        <v>0</v>
      </c>
      <c r="BXX4" s="172">
        <f>IF(WEEKDAY(BXX6,12)&gt;=6,0,SUMIFS(tblProjectSchedule[[Skilled]:[Skilled]],tblProjectSchedule[[Start]:[Start]],"&lt;="&amp;BXX6,tblProjectSchedule[[Finish]:[Finish]],"&gt;="&amp;BXX6)+SUMIFS(tblProjectSchedule[[Helpers]:[Helpers]],tblProjectSchedule[[Start]:[Start]],"&lt;="&amp;BXX6,tblProjectSchedule[[Finish]:[Finish]],"&gt;="&amp;BXX6))</f>
        <v>0</v>
      </c>
      <c r="BXY4" s="172">
        <f>IF(WEEKDAY(BXY6,12)&gt;=6,0,SUMIFS(tblProjectSchedule[[Skilled]:[Skilled]],tblProjectSchedule[[Start]:[Start]],"&lt;="&amp;BXY6,tblProjectSchedule[[Finish]:[Finish]],"&gt;="&amp;BXY6)+SUMIFS(tblProjectSchedule[[Helpers]:[Helpers]],tblProjectSchedule[[Start]:[Start]],"&lt;="&amp;BXY6,tblProjectSchedule[[Finish]:[Finish]],"&gt;="&amp;BXY6))</f>
        <v>0</v>
      </c>
      <c r="BXZ4" s="172">
        <f>IF(WEEKDAY(BXZ6,12)&gt;=6,0,SUMIFS(tblProjectSchedule[[Skilled]:[Skilled]],tblProjectSchedule[[Start]:[Start]],"&lt;="&amp;BXZ6,tblProjectSchedule[[Finish]:[Finish]],"&gt;="&amp;BXZ6)+SUMIFS(tblProjectSchedule[[Helpers]:[Helpers]],tblProjectSchedule[[Start]:[Start]],"&lt;="&amp;BXZ6,tblProjectSchedule[[Finish]:[Finish]],"&gt;="&amp;BXZ6))</f>
        <v>0</v>
      </c>
      <c r="BYA4" s="172">
        <f>IF(WEEKDAY(BYA6,12)&gt;=6,0,SUMIFS(tblProjectSchedule[[Skilled]:[Skilled]],tblProjectSchedule[[Start]:[Start]],"&lt;="&amp;BYA6,tblProjectSchedule[[Finish]:[Finish]],"&gt;="&amp;BYA6)+SUMIFS(tblProjectSchedule[[Helpers]:[Helpers]],tblProjectSchedule[[Start]:[Start]],"&lt;="&amp;BYA6,tblProjectSchedule[[Finish]:[Finish]],"&gt;="&amp;BYA6))</f>
        <v>0</v>
      </c>
      <c r="BYB4" s="172">
        <f>IF(WEEKDAY(BYB6,12)&gt;=6,0,SUMIFS(tblProjectSchedule[[Skilled]:[Skilled]],tblProjectSchedule[[Start]:[Start]],"&lt;="&amp;BYB6,tblProjectSchedule[[Finish]:[Finish]],"&gt;="&amp;BYB6)+SUMIFS(tblProjectSchedule[[Helpers]:[Helpers]],tblProjectSchedule[[Start]:[Start]],"&lt;="&amp;BYB6,tblProjectSchedule[[Finish]:[Finish]],"&gt;="&amp;BYB6))</f>
        <v>0</v>
      </c>
      <c r="BYC4" s="174">
        <f>IF(WEEKDAY(BYC6,12)&gt;=6,0,SUMIFS(tblProjectSchedule[[Skilled]:[Skilled]],tblProjectSchedule[[Start]:[Start]],"&lt;="&amp;BYC6,tblProjectSchedule[[Finish]:[Finish]],"&gt;="&amp;BYC6)+SUMIFS(tblProjectSchedule[[Helpers]:[Helpers]],tblProjectSchedule[[Start]:[Start]],"&lt;="&amp;BYC6,tblProjectSchedule[[Finish]:[Finish]],"&gt;="&amp;BYC6))</f>
        <v>0</v>
      </c>
      <c r="BYD4" s="173">
        <f>IF(WEEKDAY(BYD6,12)&gt;=6,0,SUMIFS(tblProjectSchedule[[Skilled]:[Skilled]],tblProjectSchedule[[Start]:[Start]],"&lt;="&amp;BYD6,tblProjectSchedule[[Finish]:[Finish]],"&gt;="&amp;BYD6)+SUMIFS(tblProjectSchedule[[Helpers]:[Helpers]],tblProjectSchedule[[Start]:[Start]],"&lt;="&amp;BYD6,tblProjectSchedule[[Finish]:[Finish]],"&gt;="&amp;BYD6))</f>
        <v>0</v>
      </c>
      <c r="BYE4" s="172">
        <f>IF(WEEKDAY(BYE6,12)&gt;=6,0,SUMIFS(tblProjectSchedule[[Skilled]:[Skilled]],tblProjectSchedule[[Start]:[Start]],"&lt;="&amp;BYE6,tblProjectSchedule[[Finish]:[Finish]],"&gt;="&amp;BYE6)+SUMIFS(tblProjectSchedule[[Helpers]:[Helpers]],tblProjectSchedule[[Start]:[Start]],"&lt;="&amp;BYE6,tblProjectSchedule[[Finish]:[Finish]],"&gt;="&amp;BYE6))</f>
        <v>0</v>
      </c>
      <c r="BYF4" s="172">
        <f>IF(WEEKDAY(BYF6,12)&gt;=6,0,SUMIFS(tblProjectSchedule[[Skilled]:[Skilled]],tblProjectSchedule[[Start]:[Start]],"&lt;="&amp;BYF6,tblProjectSchedule[[Finish]:[Finish]],"&gt;="&amp;BYF6)+SUMIFS(tblProjectSchedule[[Helpers]:[Helpers]],tblProjectSchedule[[Start]:[Start]],"&lt;="&amp;BYF6,tblProjectSchedule[[Finish]:[Finish]],"&gt;="&amp;BYF6))</f>
        <v>0</v>
      </c>
      <c r="BYG4" s="172">
        <f>IF(WEEKDAY(BYG6,12)&gt;=6,0,SUMIFS(tblProjectSchedule[[Skilled]:[Skilled]],tblProjectSchedule[[Start]:[Start]],"&lt;="&amp;BYG6,tblProjectSchedule[[Finish]:[Finish]],"&gt;="&amp;BYG6)+SUMIFS(tblProjectSchedule[[Helpers]:[Helpers]],tblProjectSchedule[[Start]:[Start]],"&lt;="&amp;BYG6,tblProjectSchedule[[Finish]:[Finish]],"&gt;="&amp;BYG6))</f>
        <v>0</v>
      </c>
      <c r="BYH4" s="172">
        <f>IF(WEEKDAY(BYH6,12)&gt;=6,0,SUMIFS(tblProjectSchedule[[Skilled]:[Skilled]],tblProjectSchedule[[Start]:[Start]],"&lt;="&amp;BYH6,tblProjectSchedule[[Finish]:[Finish]],"&gt;="&amp;BYH6)+SUMIFS(tblProjectSchedule[[Helpers]:[Helpers]],tblProjectSchedule[[Start]:[Start]],"&lt;="&amp;BYH6,tblProjectSchedule[[Finish]:[Finish]],"&gt;="&amp;BYH6))</f>
        <v>0</v>
      </c>
      <c r="BYI4" s="172">
        <f>IF(WEEKDAY(BYI6,12)&gt;=6,0,SUMIFS(tblProjectSchedule[[Skilled]:[Skilled]],tblProjectSchedule[[Start]:[Start]],"&lt;="&amp;BYI6,tblProjectSchedule[[Finish]:[Finish]],"&gt;="&amp;BYI6)+SUMIFS(tblProjectSchedule[[Helpers]:[Helpers]],tblProjectSchedule[[Start]:[Start]],"&lt;="&amp;BYI6,tblProjectSchedule[[Finish]:[Finish]],"&gt;="&amp;BYI6))</f>
        <v>0</v>
      </c>
      <c r="BYJ4" s="174">
        <f>IF(WEEKDAY(BYJ6,12)&gt;=6,0,SUMIFS(tblProjectSchedule[[Skilled]:[Skilled]],tblProjectSchedule[[Start]:[Start]],"&lt;="&amp;BYJ6,tblProjectSchedule[[Finish]:[Finish]],"&gt;="&amp;BYJ6)+SUMIFS(tblProjectSchedule[[Helpers]:[Helpers]],tblProjectSchedule[[Start]:[Start]],"&lt;="&amp;BYJ6,tblProjectSchedule[[Finish]:[Finish]],"&gt;="&amp;BYJ6))</f>
        <v>0</v>
      </c>
      <c r="BYK4" s="173">
        <f>IF(WEEKDAY(BYK6,12)&gt;=6,0,SUMIFS(tblProjectSchedule[[Skilled]:[Skilled]],tblProjectSchedule[[Start]:[Start]],"&lt;="&amp;BYK6,tblProjectSchedule[[Finish]:[Finish]],"&gt;="&amp;BYK6)+SUMIFS(tblProjectSchedule[[Helpers]:[Helpers]],tblProjectSchedule[[Start]:[Start]],"&lt;="&amp;BYK6,tblProjectSchedule[[Finish]:[Finish]],"&gt;="&amp;BYK6))</f>
        <v>0</v>
      </c>
      <c r="BYL4" s="172">
        <f>IF(WEEKDAY(BYL6,12)&gt;=6,0,SUMIFS(tblProjectSchedule[[Skilled]:[Skilled]],tblProjectSchedule[[Start]:[Start]],"&lt;="&amp;BYL6,tblProjectSchedule[[Finish]:[Finish]],"&gt;="&amp;BYL6)+SUMIFS(tblProjectSchedule[[Helpers]:[Helpers]],tblProjectSchedule[[Start]:[Start]],"&lt;="&amp;BYL6,tblProjectSchedule[[Finish]:[Finish]],"&gt;="&amp;BYL6))</f>
        <v>0</v>
      </c>
      <c r="BYM4" s="172">
        <f>IF(WEEKDAY(BYM6,12)&gt;=6,0,SUMIFS(tblProjectSchedule[[Skilled]:[Skilled]],tblProjectSchedule[[Start]:[Start]],"&lt;="&amp;BYM6,tblProjectSchedule[[Finish]:[Finish]],"&gt;="&amp;BYM6)+SUMIFS(tblProjectSchedule[[Helpers]:[Helpers]],tblProjectSchedule[[Start]:[Start]],"&lt;="&amp;BYM6,tblProjectSchedule[[Finish]:[Finish]],"&gt;="&amp;BYM6))</f>
        <v>0</v>
      </c>
      <c r="BYN4" s="172">
        <f>IF(WEEKDAY(BYN6,12)&gt;=6,0,SUMIFS(tblProjectSchedule[[Skilled]:[Skilled]],tblProjectSchedule[[Start]:[Start]],"&lt;="&amp;BYN6,tblProjectSchedule[[Finish]:[Finish]],"&gt;="&amp;BYN6)+SUMIFS(tblProjectSchedule[[Helpers]:[Helpers]],tblProjectSchedule[[Start]:[Start]],"&lt;="&amp;BYN6,tblProjectSchedule[[Finish]:[Finish]],"&gt;="&amp;BYN6))</f>
        <v>0</v>
      </c>
      <c r="BYO4" s="172">
        <f>IF(WEEKDAY(BYO6,12)&gt;=6,0,SUMIFS(tblProjectSchedule[[Skilled]:[Skilled]],tblProjectSchedule[[Start]:[Start]],"&lt;="&amp;BYO6,tblProjectSchedule[[Finish]:[Finish]],"&gt;="&amp;BYO6)+SUMIFS(tblProjectSchedule[[Helpers]:[Helpers]],tblProjectSchedule[[Start]:[Start]],"&lt;="&amp;BYO6,tblProjectSchedule[[Finish]:[Finish]],"&gt;="&amp;BYO6))</f>
        <v>0</v>
      </c>
      <c r="BYP4" s="172">
        <f>IF(WEEKDAY(BYP6,12)&gt;=6,0,SUMIFS(tblProjectSchedule[[Skilled]:[Skilled]],tblProjectSchedule[[Start]:[Start]],"&lt;="&amp;BYP6,tblProjectSchedule[[Finish]:[Finish]],"&gt;="&amp;BYP6)+SUMIFS(tblProjectSchedule[[Helpers]:[Helpers]],tblProjectSchedule[[Start]:[Start]],"&lt;="&amp;BYP6,tblProjectSchedule[[Finish]:[Finish]],"&gt;="&amp;BYP6))</f>
        <v>0</v>
      </c>
      <c r="BYQ4" s="174">
        <f>IF(WEEKDAY(BYQ6,12)&gt;=6,0,SUMIFS(tblProjectSchedule[[Skilled]:[Skilled]],tblProjectSchedule[[Start]:[Start]],"&lt;="&amp;BYQ6,tblProjectSchedule[[Finish]:[Finish]],"&gt;="&amp;BYQ6)+SUMIFS(tblProjectSchedule[[Helpers]:[Helpers]],tblProjectSchedule[[Start]:[Start]],"&lt;="&amp;BYQ6,tblProjectSchedule[[Finish]:[Finish]],"&gt;="&amp;BYQ6))</f>
        <v>0</v>
      </c>
      <c r="BYR4" s="173">
        <f>IF(WEEKDAY(BYR6,12)&gt;=6,0,SUMIFS(tblProjectSchedule[[Skilled]:[Skilled]],tblProjectSchedule[[Start]:[Start]],"&lt;="&amp;BYR6,tblProjectSchedule[[Finish]:[Finish]],"&gt;="&amp;BYR6)+SUMIFS(tblProjectSchedule[[Helpers]:[Helpers]],tblProjectSchedule[[Start]:[Start]],"&lt;="&amp;BYR6,tblProjectSchedule[[Finish]:[Finish]],"&gt;="&amp;BYR6))</f>
        <v>0</v>
      </c>
      <c r="BYS4" s="172">
        <f>IF(WEEKDAY(BYS6,12)&gt;=6,0,SUMIFS(tblProjectSchedule[[Skilled]:[Skilled]],tblProjectSchedule[[Start]:[Start]],"&lt;="&amp;BYS6,tblProjectSchedule[[Finish]:[Finish]],"&gt;="&amp;BYS6)+SUMIFS(tblProjectSchedule[[Helpers]:[Helpers]],tblProjectSchedule[[Start]:[Start]],"&lt;="&amp;BYS6,tblProjectSchedule[[Finish]:[Finish]],"&gt;="&amp;BYS6))</f>
        <v>0</v>
      </c>
      <c r="BYT4" s="172">
        <f>IF(WEEKDAY(BYT6,12)&gt;=6,0,SUMIFS(tblProjectSchedule[[Skilled]:[Skilled]],tblProjectSchedule[[Start]:[Start]],"&lt;="&amp;BYT6,tblProjectSchedule[[Finish]:[Finish]],"&gt;="&amp;BYT6)+SUMIFS(tblProjectSchedule[[Helpers]:[Helpers]],tblProjectSchedule[[Start]:[Start]],"&lt;="&amp;BYT6,tblProjectSchedule[[Finish]:[Finish]],"&gt;="&amp;BYT6))</f>
        <v>0</v>
      </c>
      <c r="BYU4" s="172">
        <f>IF(WEEKDAY(BYU6,12)&gt;=6,0,SUMIFS(tblProjectSchedule[[Skilled]:[Skilled]],tblProjectSchedule[[Start]:[Start]],"&lt;="&amp;BYU6,tblProjectSchedule[[Finish]:[Finish]],"&gt;="&amp;BYU6)+SUMIFS(tblProjectSchedule[[Helpers]:[Helpers]],tblProjectSchedule[[Start]:[Start]],"&lt;="&amp;BYU6,tblProjectSchedule[[Finish]:[Finish]],"&gt;="&amp;BYU6))</f>
        <v>0</v>
      </c>
      <c r="BYV4" s="172">
        <f>IF(WEEKDAY(BYV6,12)&gt;=6,0,SUMIFS(tblProjectSchedule[[Skilled]:[Skilled]],tblProjectSchedule[[Start]:[Start]],"&lt;="&amp;BYV6,tblProjectSchedule[[Finish]:[Finish]],"&gt;="&amp;BYV6)+SUMIFS(tblProjectSchedule[[Helpers]:[Helpers]],tblProjectSchedule[[Start]:[Start]],"&lt;="&amp;BYV6,tblProjectSchedule[[Finish]:[Finish]],"&gt;="&amp;BYV6))</f>
        <v>0</v>
      </c>
      <c r="BYW4" s="172">
        <f>IF(WEEKDAY(BYW6,12)&gt;=6,0,SUMIFS(tblProjectSchedule[[Skilled]:[Skilled]],tblProjectSchedule[[Start]:[Start]],"&lt;="&amp;BYW6,tblProjectSchedule[[Finish]:[Finish]],"&gt;="&amp;BYW6)+SUMIFS(tblProjectSchedule[[Helpers]:[Helpers]],tblProjectSchedule[[Start]:[Start]],"&lt;="&amp;BYW6,tblProjectSchedule[[Finish]:[Finish]],"&gt;="&amp;BYW6))</f>
        <v>0</v>
      </c>
      <c r="BYX4" s="174">
        <f>IF(WEEKDAY(BYX6,12)&gt;=6,0,SUMIFS(tblProjectSchedule[[Skilled]:[Skilled]],tblProjectSchedule[[Start]:[Start]],"&lt;="&amp;BYX6,tblProjectSchedule[[Finish]:[Finish]],"&gt;="&amp;BYX6)+SUMIFS(tblProjectSchedule[[Helpers]:[Helpers]],tblProjectSchedule[[Start]:[Start]],"&lt;="&amp;BYX6,tblProjectSchedule[[Finish]:[Finish]],"&gt;="&amp;BYX6))</f>
        <v>0</v>
      </c>
      <c r="BYY4" s="173">
        <f>IF(WEEKDAY(BYY6,12)&gt;=6,0,SUMIFS(tblProjectSchedule[[Skilled]:[Skilled]],tblProjectSchedule[[Start]:[Start]],"&lt;="&amp;BYY6,tblProjectSchedule[[Finish]:[Finish]],"&gt;="&amp;BYY6)+SUMIFS(tblProjectSchedule[[Helpers]:[Helpers]],tblProjectSchedule[[Start]:[Start]],"&lt;="&amp;BYY6,tblProjectSchedule[[Finish]:[Finish]],"&gt;="&amp;BYY6))</f>
        <v>0</v>
      </c>
      <c r="BYZ4" s="172">
        <f>IF(WEEKDAY(BYZ6,12)&gt;=6,0,SUMIFS(tblProjectSchedule[[Skilled]:[Skilled]],tblProjectSchedule[[Start]:[Start]],"&lt;="&amp;BYZ6,tblProjectSchedule[[Finish]:[Finish]],"&gt;="&amp;BYZ6)+SUMIFS(tblProjectSchedule[[Helpers]:[Helpers]],tblProjectSchedule[[Start]:[Start]],"&lt;="&amp;BYZ6,tblProjectSchedule[[Finish]:[Finish]],"&gt;="&amp;BYZ6))</f>
        <v>0</v>
      </c>
      <c r="BZA4" s="172">
        <f>IF(WEEKDAY(BZA6,12)&gt;=6,0,SUMIFS(tblProjectSchedule[[Skilled]:[Skilled]],tblProjectSchedule[[Start]:[Start]],"&lt;="&amp;BZA6,tblProjectSchedule[[Finish]:[Finish]],"&gt;="&amp;BZA6)+SUMIFS(tblProjectSchedule[[Helpers]:[Helpers]],tblProjectSchedule[[Start]:[Start]],"&lt;="&amp;BZA6,tblProjectSchedule[[Finish]:[Finish]],"&gt;="&amp;BZA6))</f>
        <v>0</v>
      </c>
      <c r="BZB4" s="172">
        <f>IF(WEEKDAY(BZB6,12)&gt;=6,0,SUMIFS(tblProjectSchedule[[Skilled]:[Skilled]],tblProjectSchedule[[Start]:[Start]],"&lt;="&amp;BZB6,tblProjectSchedule[[Finish]:[Finish]],"&gt;="&amp;BZB6)+SUMIFS(tblProjectSchedule[[Helpers]:[Helpers]],tblProjectSchedule[[Start]:[Start]],"&lt;="&amp;BZB6,tblProjectSchedule[[Finish]:[Finish]],"&gt;="&amp;BZB6))</f>
        <v>0</v>
      </c>
      <c r="BZC4" s="172">
        <f>IF(WEEKDAY(BZC6,12)&gt;=6,0,SUMIFS(tblProjectSchedule[[Skilled]:[Skilled]],tblProjectSchedule[[Start]:[Start]],"&lt;="&amp;BZC6,tblProjectSchedule[[Finish]:[Finish]],"&gt;="&amp;BZC6)+SUMIFS(tblProjectSchedule[[Helpers]:[Helpers]],tblProjectSchedule[[Start]:[Start]],"&lt;="&amp;BZC6,tblProjectSchedule[[Finish]:[Finish]],"&gt;="&amp;BZC6))</f>
        <v>0</v>
      </c>
      <c r="BZD4" s="172">
        <f>IF(WEEKDAY(BZD6,12)&gt;=6,0,SUMIFS(tblProjectSchedule[[Skilled]:[Skilled]],tblProjectSchedule[[Start]:[Start]],"&lt;="&amp;BZD6,tblProjectSchedule[[Finish]:[Finish]],"&gt;="&amp;BZD6)+SUMIFS(tblProjectSchedule[[Helpers]:[Helpers]],tblProjectSchedule[[Start]:[Start]],"&lt;="&amp;BZD6,tblProjectSchedule[[Finish]:[Finish]],"&gt;="&amp;BZD6))</f>
        <v>0</v>
      </c>
      <c r="BZE4" s="174">
        <f>IF(WEEKDAY(BZE6,12)&gt;=6,0,SUMIFS(tblProjectSchedule[[Skilled]:[Skilled]],tblProjectSchedule[[Start]:[Start]],"&lt;="&amp;BZE6,tblProjectSchedule[[Finish]:[Finish]],"&gt;="&amp;BZE6)+SUMIFS(tblProjectSchedule[[Helpers]:[Helpers]],tblProjectSchedule[[Start]:[Start]],"&lt;="&amp;BZE6,tblProjectSchedule[[Finish]:[Finish]],"&gt;="&amp;BZE6))</f>
        <v>0</v>
      </c>
      <c r="BZF4" s="173">
        <f>IF(WEEKDAY(BZF6,12)&gt;=6,0,SUMIFS(tblProjectSchedule[[Skilled]:[Skilled]],tblProjectSchedule[[Start]:[Start]],"&lt;="&amp;BZF6,tblProjectSchedule[[Finish]:[Finish]],"&gt;="&amp;BZF6)+SUMIFS(tblProjectSchedule[[Helpers]:[Helpers]],tblProjectSchedule[[Start]:[Start]],"&lt;="&amp;BZF6,tblProjectSchedule[[Finish]:[Finish]],"&gt;="&amp;BZF6))</f>
        <v>0</v>
      </c>
      <c r="BZG4" s="172">
        <f>IF(WEEKDAY(BZG6,12)&gt;=6,0,SUMIFS(tblProjectSchedule[[Skilled]:[Skilled]],tblProjectSchedule[[Start]:[Start]],"&lt;="&amp;BZG6,tblProjectSchedule[[Finish]:[Finish]],"&gt;="&amp;BZG6)+SUMIFS(tblProjectSchedule[[Helpers]:[Helpers]],tblProjectSchedule[[Start]:[Start]],"&lt;="&amp;BZG6,tblProjectSchedule[[Finish]:[Finish]],"&gt;="&amp;BZG6))</f>
        <v>0</v>
      </c>
      <c r="BZH4" s="172">
        <f>IF(WEEKDAY(BZH6,12)&gt;=6,0,SUMIFS(tblProjectSchedule[[Skilled]:[Skilled]],tblProjectSchedule[[Start]:[Start]],"&lt;="&amp;BZH6,tblProjectSchedule[[Finish]:[Finish]],"&gt;="&amp;BZH6)+SUMIFS(tblProjectSchedule[[Helpers]:[Helpers]],tblProjectSchedule[[Start]:[Start]],"&lt;="&amp;BZH6,tblProjectSchedule[[Finish]:[Finish]],"&gt;="&amp;BZH6))</f>
        <v>0</v>
      </c>
      <c r="BZI4" s="172">
        <f>IF(WEEKDAY(BZI6,12)&gt;=6,0,SUMIFS(tblProjectSchedule[[Skilled]:[Skilled]],tblProjectSchedule[[Start]:[Start]],"&lt;="&amp;BZI6,tblProjectSchedule[[Finish]:[Finish]],"&gt;="&amp;BZI6)+SUMIFS(tblProjectSchedule[[Helpers]:[Helpers]],tblProjectSchedule[[Start]:[Start]],"&lt;="&amp;BZI6,tblProjectSchedule[[Finish]:[Finish]],"&gt;="&amp;BZI6))</f>
        <v>0</v>
      </c>
      <c r="BZJ4" s="172">
        <f>IF(WEEKDAY(BZJ6,12)&gt;=6,0,SUMIFS(tblProjectSchedule[[Skilled]:[Skilled]],tblProjectSchedule[[Start]:[Start]],"&lt;="&amp;BZJ6,tblProjectSchedule[[Finish]:[Finish]],"&gt;="&amp;BZJ6)+SUMIFS(tblProjectSchedule[[Helpers]:[Helpers]],tblProjectSchedule[[Start]:[Start]],"&lt;="&amp;BZJ6,tblProjectSchedule[[Finish]:[Finish]],"&gt;="&amp;BZJ6))</f>
        <v>0</v>
      </c>
      <c r="BZK4" s="172">
        <f>IF(WEEKDAY(BZK6,12)&gt;=6,0,SUMIFS(tblProjectSchedule[[Skilled]:[Skilled]],tblProjectSchedule[[Start]:[Start]],"&lt;="&amp;BZK6,tblProjectSchedule[[Finish]:[Finish]],"&gt;="&amp;BZK6)+SUMIFS(tblProjectSchedule[[Helpers]:[Helpers]],tblProjectSchedule[[Start]:[Start]],"&lt;="&amp;BZK6,tblProjectSchedule[[Finish]:[Finish]],"&gt;="&amp;BZK6))</f>
        <v>0</v>
      </c>
      <c r="BZL4" s="174">
        <f>IF(WEEKDAY(BZL6,12)&gt;=6,0,SUMIFS(tblProjectSchedule[[Skilled]:[Skilled]],tblProjectSchedule[[Start]:[Start]],"&lt;="&amp;BZL6,tblProjectSchedule[[Finish]:[Finish]],"&gt;="&amp;BZL6)+SUMIFS(tblProjectSchedule[[Helpers]:[Helpers]],tblProjectSchedule[[Start]:[Start]],"&lt;="&amp;BZL6,tblProjectSchedule[[Finish]:[Finish]],"&gt;="&amp;BZL6))</f>
        <v>0</v>
      </c>
      <c r="BZM4" s="173">
        <f>IF(WEEKDAY(BZM6,12)&gt;=6,0,SUMIFS(tblProjectSchedule[[Skilled]:[Skilled]],tblProjectSchedule[[Start]:[Start]],"&lt;="&amp;BZM6,tblProjectSchedule[[Finish]:[Finish]],"&gt;="&amp;BZM6)+SUMIFS(tblProjectSchedule[[Helpers]:[Helpers]],tblProjectSchedule[[Start]:[Start]],"&lt;="&amp;BZM6,tblProjectSchedule[[Finish]:[Finish]],"&gt;="&amp;BZM6))</f>
        <v>0</v>
      </c>
      <c r="BZN4" s="172">
        <f>IF(WEEKDAY(BZN6,12)&gt;=6,0,SUMIFS(tblProjectSchedule[[Skilled]:[Skilled]],tblProjectSchedule[[Start]:[Start]],"&lt;="&amp;BZN6,tblProjectSchedule[[Finish]:[Finish]],"&gt;="&amp;BZN6)+SUMIFS(tblProjectSchedule[[Helpers]:[Helpers]],tblProjectSchedule[[Start]:[Start]],"&lt;="&amp;BZN6,tblProjectSchedule[[Finish]:[Finish]],"&gt;="&amp;BZN6))</f>
        <v>0</v>
      </c>
      <c r="BZO4" s="172">
        <f>IF(WEEKDAY(BZO6,12)&gt;=6,0,SUMIFS(tblProjectSchedule[[Skilled]:[Skilled]],tblProjectSchedule[[Start]:[Start]],"&lt;="&amp;BZO6,tblProjectSchedule[[Finish]:[Finish]],"&gt;="&amp;BZO6)+SUMIFS(tblProjectSchedule[[Helpers]:[Helpers]],tblProjectSchedule[[Start]:[Start]],"&lt;="&amp;BZO6,tblProjectSchedule[[Finish]:[Finish]],"&gt;="&amp;BZO6))</f>
        <v>0</v>
      </c>
      <c r="BZP4" s="172">
        <f>IF(WEEKDAY(BZP6,12)&gt;=6,0,SUMIFS(tblProjectSchedule[[Skilled]:[Skilled]],tblProjectSchedule[[Start]:[Start]],"&lt;="&amp;BZP6,tblProjectSchedule[[Finish]:[Finish]],"&gt;="&amp;BZP6)+SUMIFS(tblProjectSchedule[[Helpers]:[Helpers]],tblProjectSchedule[[Start]:[Start]],"&lt;="&amp;BZP6,tblProjectSchedule[[Finish]:[Finish]],"&gt;="&amp;BZP6))</f>
        <v>0</v>
      </c>
      <c r="BZQ4" s="172">
        <f>IF(WEEKDAY(BZQ6,12)&gt;=6,0,SUMIFS(tblProjectSchedule[[Skilled]:[Skilled]],tblProjectSchedule[[Start]:[Start]],"&lt;="&amp;BZQ6,tblProjectSchedule[[Finish]:[Finish]],"&gt;="&amp;BZQ6)+SUMIFS(tblProjectSchedule[[Helpers]:[Helpers]],tblProjectSchedule[[Start]:[Start]],"&lt;="&amp;BZQ6,tblProjectSchedule[[Finish]:[Finish]],"&gt;="&amp;BZQ6))</f>
        <v>0</v>
      </c>
      <c r="BZR4" s="172">
        <f>IF(WEEKDAY(BZR6,12)&gt;=6,0,SUMIFS(tblProjectSchedule[[Skilled]:[Skilled]],tblProjectSchedule[[Start]:[Start]],"&lt;="&amp;BZR6,tblProjectSchedule[[Finish]:[Finish]],"&gt;="&amp;BZR6)+SUMIFS(tblProjectSchedule[[Helpers]:[Helpers]],tblProjectSchedule[[Start]:[Start]],"&lt;="&amp;BZR6,tblProjectSchedule[[Finish]:[Finish]],"&gt;="&amp;BZR6))</f>
        <v>0</v>
      </c>
      <c r="BZS4" s="174">
        <f>IF(WEEKDAY(BZS6,12)&gt;=6,0,SUMIFS(tblProjectSchedule[[Skilled]:[Skilled]],tblProjectSchedule[[Start]:[Start]],"&lt;="&amp;BZS6,tblProjectSchedule[[Finish]:[Finish]],"&gt;="&amp;BZS6)+SUMIFS(tblProjectSchedule[[Helpers]:[Helpers]],tblProjectSchedule[[Start]:[Start]],"&lt;="&amp;BZS6,tblProjectSchedule[[Finish]:[Finish]],"&gt;="&amp;BZS6))</f>
        <v>0</v>
      </c>
      <c r="BZT4" s="173">
        <f>IF(WEEKDAY(BZT6,12)&gt;=6,0,SUMIFS(tblProjectSchedule[[Skilled]:[Skilled]],tblProjectSchedule[[Start]:[Start]],"&lt;="&amp;BZT6,tblProjectSchedule[[Finish]:[Finish]],"&gt;="&amp;BZT6)+SUMIFS(tblProjectSchedule[[Helpers]:[Helpers]],tblProjectSchedule[[Start]:[Start]],"&lt;="&amp;BZT6,tblProjectSchedule[[Finish]:[Finish]],"&gt;="&amp;BZT6))</f>
        <v>0</v>
      </c>
      <c r="BZU4" s="172">
        <f>IF(WEEKDAY(BZU6,12)&gt;=6,0,SUMIFS(tblProjectSchedule[[Skilled]:[Skilled]],tblProjectSchedule[[Start]:[Start]],"&lt;="&amp;BZU6,tblProjectSchedule[[Finish]:[Finish]],"&gt;="&amp;BZU6)+SUMIFS(tblProjectSchedule[[Helpers]:[Helpers]],tblProjectSchedule[[Start]:[Start]],"&lt;="&amp;BZU6,tblProjectSchedule[[Finish]:[Finish]],"&gt;="&amp;BZU6))</f>
        <v>0</v>
      </c>
      <c r="BZV4" s="172">
        <f>IF(WEEKDAY(BZV6,12)&gt;=6,0,SUMIFS(tblProjectSchedule[[Skilled]:[Skilled]],tblProjectSchedule[[Start]:[Start]],"&lt;="&amp;BZV6,tblProjectSchedule[[Finish]:[Finish]],"&gt;="&amp;BZV6)+SUMIFS(tblProjectSchedule[[Helpers]:[Helpers]],tblProjectSchedule[[Start]:[Start]],"&lt;="&amp;BZV6,tblProjectSchedule[[Finish]:[Finish]],"&gt;="&amp;BZV6))</f>
        <v>0</v>
      </c>
      <c r="BZW4" s="172">
        <f>IF(WEEKDAY(BZW6,12)&gt;=6,0,SUMIFS(tblProjectSchedule[[Skilled]:[Skilled]],tblProjectSchedule[[Start]:[Start]],"&lt;="&amp;BZW6,tblProjectSchedule[[Finish]:[Finish]],"&gt;="&amp;BZW6)+SUMIFS(tblProjectSchedule[[Helpers]:[Helpers]],tblProjectSchedule[[Start]:[Start]],"&lt;="&amp;BZW6,tblProjectSchedule[[Finish]:[Finish]],"&gt;="&amp;BZW6))</f>
        <v>0</v>
      </c>
      <c r="BZX4" s="172">
        <f>IF(WEEKDAY(BZX6,12)&gt;=6,0,SUMIFS(tblProjectSchedule[[Skilled]:[Skilled]],tblProjectSchedule[[Start]:[Start]],"&lt;="&amp;BZX6,tblProjectSchedule[[Finish]:[Finish]],"&gt;="&amp;BZX6)+SUMIFS(tblProjectSchedule[[Helpers]:[Helpers]],tblProjectSchedule[[Start]:[Start]],"&lt;="&amp;BZX6,tblProjectSchedule[[Finish]:[Finish]],"&gt;="&amp;BZX6))</f>
        <v>0</v>
      </c>
      <c r="BZY4" s="172">
        <f>IF(WEEKDAY(BZY6,12)&gt;=6,0,SUMIFS(tblProjectSchedule[[Skilled]:[Skilled]],tblProjectSchedule[[Start]:[Start]],"&lt;="&amp;BZY6,tblProjectSchedule[[Finish]:[Finish]],"&gt;="&amp;BZY6)+SUMIFS(tblProjectSchedule[[Helpers]:[Helpers]],tblProjectSchedule[[Start]:[Start]],"&lt;="&amp;BZY6,tblProjectSchedule[[Finish]:[Finish]],"&gt;="&amp;BZY6))</f>
        <v>0</v>
      </c>
      <c r="BZZ4" s="174">
        <f>IF(WEEKDAY(BZZ6,12)&gt;=6,0,SUMIFS(tblProjectSchedule[[Skilled]:[Skilled]],tblProjectSchedule[[Start]:[Start]],"&lt;="&amp;BZZ6,tblProjectSchedule[[Finish]:[Finish]],"&gt;="&amp;BZZ6)+SUMIFS(tblProjectSchedule[[Helpers]:[Helpers]],tblProjectSchedule[[Start]:[Start]],"&lt;="&amp;BZZ6,tblProjectSchedule[[Finish]:[Finish]],"&gt;="&amp;BZZ6))</f>
        <v>0</v>
      </c>
      <c r="CAA4" s="173">
        <f>IF(WEEKDAY(CAA6,12)&gt;=6,0,SUMIFS(tblProjectSchedule[[Skilled]:[Skilled]],tblProjectSchedule[[Start]:[Start]],"&lt;="&amp;CAA6,tblProjectSchedule[[Finish]:[Finish]],"&gt;="&amp;CAA6)+SUMIFS(tblProjectSchedule[[Helpers]:[Helpers]],tblProjectSchedule[[Start]:[Start]],"&lt;="&amp;CAA6,tblProjectSchedule[[Finish]:[Finish]],"&gt;="&amp;CAA6))</f>
        <v>0</v>
      </c>
      <c r="CAB4" s="172">
        <f>IF(WEEKDAY(CAB6,12)&gt;=6,0,SUMIFS(tblProjectSchedule[[Skilled]:[Skilled]],tblProjectSchedule[[Start]:[Start]],"&lt;="&amp;CAB6,tblProjectSchedule[[Finish]:[Finish]],"&gt;="&amp;CAB6)+SUMIFS(tblProjectSchedule[[Helpers]:[Helpers]],tblProjectSchedule[[Start]:[Start]],"&lt;="&amp;CAB6,tblProjectSchedule[[Finish]:[Finish]],"&gt;="&amp;CAB6))</f>
        <v>0</v>
      </c>
      <c r="CAC4" s="172">
        <f>IF(WEEKDAY(CAC6,12)&gt;=6,0,SUMIFS(tblProjectSchedule[[Skilled]:[Skilled]],tblProjectSchedule[[Start]:[Start]],"&lt;="&amp;CAC6,tblProjectSchedule[[Finish]:[Finish]],"&gt;="&amp;CAC6)+SUMIFS(tblProjectSchedule[[Helpers]:[Helpers]],tblProjectSchedule[[Start]:[Start]],"&lt;="&amp;CAC6,tblProjectSchedule[[Finish]:[Finish]],"&gt;="&amp;CAC6))</f>
        <v>0</v>
      </c>
      <c r="CAD4" s="172">
        <f>IF(WEEKDAY(CAD6,12)&gt;=6,0,SUMIFS(tblProjectSchedule[[Skilled]:[Skilled]],tblProjectSchedule[[Start]:[Start]],"&lt;="&amp;CAD6,tblProjectSchedule[[Finish]:[Finish]],"&gt;="&amp;CAD6)+SUMIFS(tblProjectSchedule[[Helpers]:[Helpers]],tblProjectSchedule[[Start]:[Start]],"&lt;="&amp;CAD6,tblProjectSchedule[[Finish]:[Finish]],"&gt;="&amp;CAD6))</f>
        <v>0</v>
      </c>
      <c r="CAE4" s="172">
        <f>IF(WEEKDAY(CAE6,12)&gt;=6,0,SUMIFS(tblProjectSchedule[[Skilled]:[Skilled]],tblProjectSchedule[[Start]:[Start]],"&lt;="&amp;CAE6,tblProjectSchedule[[Finish]:[Finish]],"&gt;="&amp;CAE6)+SUMIFS(tblProjectSchedule[[Helpers]:[Helpers]],tblProjectSchedule[[Start]:[Start]],"&lt;="&amp;CAE6,tblProjectSchedule[[Finish]:[Finish]],"&gt;="&amp;CAE6))</f>
        <v>0</v>
      </c>
      <c r="CAF4" s="172">
        <f>IF(WEEKDAY(CAF6,12)&gt;=6,0,SUMIFS(tblProjectSchedule[[Skilled]:[Skilled]],tblProjectSchedule[[Start]:[Start]],"&lt;="&amp;CAF6,tblProjectSchedule[[Finish]:[Finish]],"&gt;="&amp;CAF6)+SUMIFS(tblProjectSchedule[[Helpers]:[Helpers]],tblProjectSchedule[[Start]:[Start]],"&lt;="&amp;CAF6,tblProjectSchedule[[Finish]:[Finish]],"&gt;="&amp;CAF6))</f>
        <v>0</v>
      </c>
      <c r="CAG4" s="174">
        <f>IF(WEEKDAY(CAG6,12)&gt;=6,0,SUMIFS(tblProjectSchedule[[Skilled]:[Skilled]],tblProjectSchedule[[Start]:[Start]],"&lt;="&amp;CAG6,tblProjectSchedule[[Finish]:[Finish]],"&gt;="&amp;CAG6)+SUMIFS(tblProjectSchedule[[Helpers]:[Helpers]],tblProjectSchedule[[Start]:[Start]],"&lt;="&amp;CAG6,tblProjectSchedule[[Finish]:[Finish]],"&gt;="&amp;CAG6))</f>
        <v>0</v>
      </c>
      <c r="CAH4" s="173">
        <f>IF(WEEKDAY(CAH6,12)&gt;=6,0,SUMIFS(tblProjectSchedule[[Skilled]:[Skilled]],tblProjectSchedule[[Start]:[Start]],"&lt;="&amp;CAH6,tblProjectSchedule[[Finish]:[Finish]],"&gt;="&amp;CAH6)+SUMIFS(tblProjectSchedule[[Helpers]:[Helpers]],tblProjectSchedule[[Start]:[Start]],"&lt;="&amp;CAH6,tblProjectSchedule[[Finish]:[Finish]],"&gt;="&amp;CAH6))</f>
        <v>0</v>
      </c>
      <c r="CAI4" s="172">
        <f>IF(WEEKDAY(CAI6,12)&gt;=6,0,SUMIFS(tblProjectSchedule[[Skilled]:[Skilled]],tblProjectSchedule[[Start]:[Start]],"&lt;="&amp;CAI6,tblProjectSchedule[[Finish]:[Finish]],"&gt;="&amp;CAI6)+SUMIFS(tblProjectSchedule[[Helpers]:[Helpers]],tblProjectSchedule[[Start]:[Start]],"&lt;="&amp;CAI6,tblProjectSchedule[[Finish]:[Finish]],"&gt;="&amp;CAI6))</f>
        <v>0</v>
      </c>
      <c r="CAJ4" s="172">
        <f>IF(WEEKDAY(CAJ6,12)&gt;=6,0,SUMIFS(tblProjectSchedule[[Skilled]:[Skilled]],tblProjectSchedule[[Start]:[Start]],"&lt;="&amp;CAJ6,tblProjectSchedule[[Finish]:[Finish]],"&gt;="&amp;CAJ6)+SUMIFS(tblProjectSchedule[[Helpers]:[Helpers]],tblProjectSchedule[[Start]:[Start]],"&lt;="&amp;CAJ6,tblProjectSchedule[[Finish]:[Finish]],"&gt;="&amp;CAJ6))</f>
        <v>0</v>
      </c>
      <c r="CAK4" s="172">
        <f>IF(WEEKDAY(CAK6,12)&gt;=6,0,SUMIFS(tblProjectSchedule[[Skilled]:[Skilled]],tblProjectSchedule[[Start]:[Start]],"&lt;="&amp;CAK6,tblProjectSchedule[[Finish]:[Finish]],"&gt;="&amp;CAK6)+SUMIFS(tblProjectSchedule[[Helpers]:[Helpers]],tblProjectSchedule[[Start]:[Start]],"&lt;="&amp;CAK6,tblProjectSchedule[[Finish]:[Finish]],"&gt;="&amp;CAK6))</f>
        <v>0</v>
      </c>
      <c r="CAL4" s="172">
        <f>IF(WEEKDAY(CAL6,12)&gt;=6,0,SUMIFS(tblProjectSchedule[[Skilled]:[Skilled]],tblProjectSchedule[[Start]:[Start]],"&lt;="&amp;CAL6,tblProjectSchedule[[Finish]:[Finish]],"&gt;="&amp;CAL6)+SUMIFS(tblProjectSchedule[[Helpers]:[Helpers]],tblProjectSchedule[[Start]:[Start]],"&lt;="&amp;CAL6,tblProjectSchedule[[Finish]:[Finish]],"&gt;="&amp;CAL6))</f>
        <v>0</v>
      </c>
      <c r="CAM4" s="172">
        <f>IF(WEEKDAY(CAM6,12)&gt;=6,0,SUMIFS(tblProjectSchedule[[Skilled]:[Skilled]],tblProjectSchedule[[Start]:[Start]],"&lt;="&amp;CAM6,tblProjectSchedule[[Finish]:[Finish]],"&gt;="&amp;CAM6)+SUMIFS(tblProjectSchedule[[Helpers]:[Helpers]],tblProjectSchedule[[Start]:[Start]],"&lt;="&amp;CAM6,tblProjectSchedule[[Finish]:[Finish]],"&gt;="&amp;CAM6))</f>
        <v>0</v>
      </c>
      <c r="CAN4" s="174">
        <f>IF(WEEKDAY(CAN6,12)&gt;=6,0,SUMIFS(tblProjectSchedule[[Skilled]:[Skilled]],tblProjectSchedule[[Start]:[Start]],"&lt;="&amp;CAN6,tblProjectSchedule[[Finish]:[Finish]],"&gt;="&amp;CAN6)+SUMIFS(tblProjectSchedule[[Helpers]:[Helpers]],tblProjectSchedule[[Start]:[Start]],"&lt;="&amp;CAN6,tblProjectSchedule[[Finish]:[Finish]],"&gt;="&amp;CAN6))</f>
        <v>0</v>
      </c>
      <c r="CAO4" s="173">
        <f>IF(WEEKDAY(CAO6,12)&gt;=6,0,SUMIFS(tblProjectSchedule[[Skilled]:[Skilled]],tblProjectSchedule[[Start]:[Start]],"&lt;="&amp;CAO6,tblProjectSchedule[[Finish]:[Finish]],"&gt;="&amp;CAO6)+SUMIFS(tblProjectSchedule[[Helpers]:[Helpers]],tblProjectSchedule[[Start]:[Start]],"&lt;="&amp;CAO6,tblProjectSchedule[[Finish]:[Finish]],"&gt;="&amp;CAO6))</f>
        <v>0</v>
      </c>
      <c r="CAP4" s="172">
        <f>IF(WEEKDAY(CAP6,12)&gt;=6,0,SUMIFS(tblProjectSchedule[[Skilled]:[Skilled]],tblProjectSchedule[[Start]:[Start]],"&lt;="&amp;CAP6,tblProjectSchedule[[Finish]:[Finish]],"&gt;="&amp;CAP6)+SUMIFS(tblProjectSchedule[[Helpers]:[Helpers]],tblProjectSchedule[[Start]:[Start]],"&lt;="&amp;CAP6,tblProjectSchedule[[Finish]:[Finish]],"&gt;="&amp;CAP6))</f>
        <v>0</v>
      </c>
      <c r="CAQ4" s="172">
        <f>IF(WEEKDAY(CAQ6,12)&gt;=6,0,SUMIFS(tblProjectSchedule[[Skilled]:[Skilled]],tblProjectSchedule[[Start]:[Start]],"&lt;="&amp;CAQ6,tblProjectSchedule[[Finish]:[Finish]],"&gt;="&amp;CAQ6)+SUMIFS(tblProjectSchedule[[Helpers]:[Helpers]],tblProjectSchedule[[Start]:[Start]],"&lt;="&amp;CAQ6,tblProjectSchedule[[Finish]:[Finish]],"&gt;="&amp;CAQ6))</f>
        <v>0</v>
      </c>
      <c r="CAR4" s="172">
        <f>IF(WEEKDAY(CAR6,12)&gt;=6,0,SUMIFS(tblProjectSchedule[[Skilled]:[Skilled]],tblProjectSchedule[[Start]:[Start]],"&lt;="&amp;CAR6,tblProjectSchedule[[Finish]:[Finish]],"&gt;="&amp;CAR6)+SUMIFS(tblProjectSchedule[[Helpers]:[Helpers]],tblProjectSchedule[[Start]:[Start]],"&lt;="&amp;CAR6,tblProjectSchedule[[Finish]:[Finish]],"&gt;="&amp;CAR6))</f>
        <v>0</v>
      </c>
      <c r="CAS4" s="172">
        <f>IF(WEEKDAY(CAS6,12)&gt;=6,0,SUMIFS(tblProjectSchedule[[Skilled]:[Skilled]],tblProjectSchedule[[Start]:[Start]],"&lt;="&amp;CAS6,tblProjectSchedule[[Finish]:[Finish]],"&gt;="&amp;CAS6)+SUMIFS(tblProjectSchedule[[Helpers]:[Helpers]],tblProjectSchedule[[Start]:[Start]],"&lt;="&amp;CAS6,tblProjectSchedule[[Finish]:[Finish]],"&gt;="&amp;CAS6))</f>
        <v>0</v>
      </c>
      <c r="CAT4" s="172">
        <f>IF(WEEKDAY(CAT6,12)&gt;=6,0,SUMIFS(tblProjectSchedule[[Skilled]:[Skilled]],tblProjectSchedule[[Start]:[Start]],"&lt;="&amp;CAT6,tblProjectSchedule[[Finish]:[Finish]],"&gt;="&amp;CAT6)+SUMIFS(tblProjectSchedule[[Helpers]:[Helpers]],tblProjectSchedule[[Start]:[Start]],"&lt;="&amp;CAT6,tblProjectSchedule[[Finish]:[Finish]],"&gt;="&amp;CAT6))</f>
        <v>0</v>
      </c>
      <c r="CAU4" s="174">
        <f>IF(WEEKDAY(CAU6,12)&gt;=6,0,SUMIFS(tblProjectSchedule[[Skilled]:[Skilled]],tblProjectSchedule[[Start]:[Start]],"&lt;="&amp;CAU6,tblProjectSchedule[[Finish]:[Finish]],"&gt;="&amp;CAU6)+SUMIFS(tblProjectSchedule[[Helpers]:[Helpers]],tblProjectSchedule[[Start]:[Start]],"&lt;="&amp;CAU6,tblProjectSchedule[[Finish]:[Finish]],"&gt;="&amp;CAU6))</f>
        <v>0</v>
      </c>
      <c r="CAV4" s="173">
        <f>IF(WEEKDAY(CAV6,12)&gt;=6,0,SUMIFS(tblProjectSchedule[[Skilled]:[Skilled]],tblProjectSchedule[[Start]:[Start]],"&lt;="&amp;CAV6,tblProjectSchedule[[Finish]:[Finish]],"&gt;="&amp;CAV6)+SUMIFS(tblProjectSchedule[[Helpers]:[Helpers]],tblProjectSchedule[[Start]:[Start]],"&lt;="&amp;CAV6,tblProjectSchedule[[Finish]:[Finish]],"&gt;="&amp;CAV6))</f>
        <v>0</v>
      </c>
      <c r="CAW4" s="172">
        <f>IF(WEEKDAY(CAW6,12)&gt;=6,0,SUMIFS(tblProjectSchedule[[Skilled]:[Skilled]],tblProjectSchedule[[Start]:[Start]],"&lt;="&amp;CAW6,tblProjectSchedule[[Finish]:[Finish]],"&gt;="&amp;CAW6)+SUMIFS(tblProjectSchedule[[Helpers]:[Helpers]],tblProjectSchedule[[Start]:[Start]],"&lt;="&amp;CAW6,tblProjectSchedule[[Finish]:[Finish]],"&gt;="&amp;CAW6))</f>
        <v>0</v>
      </c>
      <c r="CAX4" s="172">
        <f>IF(WEEKDAY(CAX6,12)&gt;=6,0,SUMIFS(tblProjectSchedule[[Skilled]:[Skilled]],tblProjectSchedule[[Start]:[Start]],"&lt;="&amp;CAX6,tblProjectSchedule[[Finish]:[Finish]],"&gt;="&amp;CAX6)+SUMIFS(tblProjectSchedule[[Helpers]:[Helpers]],tblProjectSchedule[[Start]:[Start]],"&lt;="&amp;CAX6,tblProjectSchedule[[Finish]:[Finish]],"&gt;="&amp;CAX6))</f>
        <v>0</v>
      </c>
      <c r="CAY4" s="172">
        <f>IF(WEEKDAY(CAY6,12)&gt;=6,0,SUMIFS(tblProjectSchedule[[Skilled]:[Skilled]],tblProjectSchedule[[Start]:[Start]],"&lt;="&amp;CAY6,tblProjectSchedule[[Finish]:[Finish]],"&gt;="&amp;CAY6)+SUMIFS(tblProjectSchedule[[Helpers]:[Helpers]],tblProjectSchedule[[Start]:[Start]],"&lt;="&amp;CAY6,tblProjectSchedule[[Finish]:[Finish]],"&gt;="&amp;CAY6))</f>
        <v>0</v>
      </c>
      <c r="CAZ4" s="172">
        <f>IF(WEEKDAY(CAZ6,12)&gt;=6,0,SUMIFS(tblProjectSchedule[[Skilled]:[Skilled]],tblProjectSchedule[[Start]:[Start]],"&lt;="&amp;CAZ6,tblProjectSchedule[[Finish]:[Finish]],"&gt;="&amp;CAZ6)+SUMIFS(tblProjectSchedule[[Helpers]:[Helpers]],tblProjectSchedule[[Start]:[Start]],"&lt;="&amp;CAZ6,tblProjectSchedule[[Finish]:[Finish]],"&gt;="&amp;CAZ6))</f>
        <v>0</v>
      </c>
      <c r="CBA4" s="172">
        <f>IF(WEEKDAY(CBA6,12)&gt;=6,0,SUMIFS(tblProjectSchedule[[Skilled]:[Skilled]],tblProjectSchedule[[Start]:[Start]],"&lt;="&amp;CBA6,tblProjectSchedule[[Finish]:[Finish]],"&gt;="&amp;CBA6)+SUMIFS(tblProjectSchedule[[Helpers]:[Helpers]],tblProjectSchedule[[Start]:[Start]],"&lt;="&amp;CBA6,tblProjectSchedule[[Finish]:[Finish]],"&gt;="&amp;CBA6))</f>
        <v>0</v>
      </c>
      <c r="CBB4" s="174">
        <f>IF(WEEKDAY(CBB6,12)&gt;=6,0,SUMIFS(tblProjectSchedule[[Skilled]:[Skilled]],tblProjectSchedule[[Start]:[Start]],"&lt;="&amp;CBB6,tblProjectSchedule[[Finish]:[Finish]],"&gt;="&amp;CBB6)+SUMIFS(tblProjectSchedule[[Helpers]:[Helpers]],tblProjectSchedule[[Start]:[Start]],"&lt;="&amp;CBB6,tblProjectSchedule[[Finish]:[Finish]],"&gt;="&amp;CBB6))</f>
        <v>0</v>
      </c>
      <c r="CBC4" s="173">
        <f>IF(WEEKDAY(CBC6,12)&gt;=6,0,SUMIFS(tblProjectSchedule[[Skilled]:[Skilled]],tblProjectSchedule[[Start]:[Start]],"&lt;="&amp;CBC6,tblProjectSchedule[[Finish]:[Finish]],"&gt;="&amp;CBC6)+SUMIFS(tblProjectSchedule[[Helpers]:[Helpers]],tblProjectSchedule[[Start]:[Start]],"&lt;="&amp;CBC6,tblProjectSchedule[[Finish]:[Finish]],"&gt;="&amp;CBC6))</f>
        <v>0</v>
      </c>
      <c r="CBD4" s="172">
        <f>IF(WEEKDAY(CBD6,12)&gt;=6,0,SUMIFS(tblProjectSchedule[[Skilled]:[Skilled]],tblProjectSchedule[[Start]:[Start]],"&lt;="&amp;CBD6,tblProjectSchedule[[Finish]:[Finish]],"&gt;="&amp;CBD6)+SUMIFS(tblProjectSchedule[[Helpers]:[Helpers]],tblProjectSchedule[[Start]:[Start]],"&lt;="&amp;CBD6,tblProjectSchedule[[Finish]:[Finish]],"&gt;="&amp;CBD6))</f>
        <v>0</v>
      </c>
      <c r="CBE4" s="172">
        <f>IF(WEEKDAY(CBE6,12)&gt;=6,0,SUMIFS(tblProjectSchedule[[Skilled]:[Skilled]],tblProjectSchedule[[Start]:[Start]],"&lt;="&amp;CBE6,tblProjectSchedule[[Finish]:[Finish]],"&gt;="&amp;CBE6)+SUMIFS(tblProjectSchedule[[Helpers]:[Helpers]],tblProjectSchedule[[Start]:[Start]],"&lt;="&amp;CBE6,tblProjectSchedule[[Finish]:[Finish]],"&gt;="&amp;CBE6))</f>
        <v>0</v>
      </c>
      <c r="CBF4" s="172">
        <f>IF(WEEKDAY(CBF6,12)&gt;=6,0,SUMIFS(tblProjectSchedule[[Skilled]:[Skilled]],tblProjectSchedule[[Start]:[Start]],"&lt;="&amp;CBF6,tblProjectSchedule[[Finish]:[Finish]],"&gt;="&amp;CBF6)+SUMIFS(tblProjectSchedule[[Helpers]:[Helpers]],tblProjectSchedule[[Start]:[Start]],"&lt;="&amp;CBF6,tblProjectSchedule[[Finish]:[Finish]],"&gt;="&amp;CBF6))</f>
        <v>0</v>
      </c>
      <c r="CBG4" s="172">
        <f>IF(WEEKDAY(CBG6,12)&gt;=6,0,SUMIFS(tblProjectSchedule[[Skilled]:[Skilled]],tblProjectSchedule[[Start]:[Start]],"&lt;="&amp;CBG6,tblProjectSchedule[[Finish]:[Finish]],"&gt;="&amp;CBG6)+SUMIFS(tblProjectSchedule[[Helpers]:[Helpers]],tblProjectSchedule[[Start]:[Start]],"&lt;="&amp;CBG6,tblProjectSchedule[[Finish]:[Finish]],"&gt;="&amp;CBG6))</f>
        <v>0</v>
      </c>
      <c r="CBH4" s="172">
        <f>IF(WEEKDAY(CBH6,12)&gt;=6,0,SUMIFS(tblProjectSchedule[[Skilled]:[Skilled]],tblProjectSchedule[[Start]:[Start]],"&lt;="&amp;CBH6,tblProjectSchedule[[Finish]:[Finish]],"&gt;="&amp;CBH6)+SUMIFS(tblProjectSchedule[[Helpers]:[Helpers]],tblProjectSchedule[[Start]:[Start]],"&lt;="&amp;CBH6,tblProjectSchedule[[Finish]:[Finish]],"&gt;="&amp;CBH6))</f>
        <v>0</v>
      </c>
      <c r="CBI4" s="174">
        <f>IF(WEEKDAY(CBI6,12)&gt;=6,0,SUMIFS(tblProjectSchedule[[Skilled]:[Skilled]],tblProjectSchedule[[Start]:[Start]],"&lt;="&amp;CBI6,tblProjectSchedule[[Finish]:[Finish]],"&gt;="&amp;CBI6)+SUMIFS(tblProjectSchedule[[Helpers]:[Helpers]],tblProjectSchedule[[Start]:[Start]],"&lt;="&amp;CBI6,tblProjectSchedule[[Finish]:[Finish]],"&gt;="&amp;CBI6))</f>
        <v>0</v>
      </c>
      <c r="CBJ4" s="173">
        <f>IF(WEEKDAY(CBJ6,12)&gt;=6,0,SUMIFS(tblProjectSchedule[[Skilled]:[Skilled]],tblProjectSchedule[[Start]:[Start]],"&lt;="&amp;CBJ6,tblProjectSchedule[[Finish]:[Finish]],"&gt;="&amp;CBJ6)+SUMIFS(tblProjectSchedule[[Helpers]:[Helpers]],tblProjectSchedule[[Start]:[Start]],"&lt;="&amp;CBJ6,tblProjectSchedule[[Finish]:[Finish]],"&gt;="&amp;CBJ6))</f>
        <v>0</v>
      </c>
      <c r="CBK4" s="172">
        <f>IF(WEEKDAY(CBK6,12)&gt;=6,0,SUMIFS(tblProjectSchedule[[Skilled]:[Skilled]],tblProjectSchedule[[Start]:[Start]],"&lt;="&amp;CBK6,tblProjectSchedule[[Finish]:[Finish]],"&gt;="&amp;CBK6)+SUMIFS(tblProjectSchedule[[Helpers]:[Helpers]],tblProjectSchedule[[Start]:[Start]],"&lt;="&amp;CBK6,tblProjectSchedule[[Finish]:[Finish]],"&gt;="&amp;CBK6))</f>
        <v>0</v>
      </c>
      <c r="CBL4" s="172">
        <f>IF(WEEKDAY(CBL6,12)&gt;=6,0,SUMIFS(tblProjectSchedule[[Skilled]:[Skilled]],tblProjectSchedule[[Start]:[Start]],"&lt;="&amp;CBL6,tblProjectSchedule[[Finish]:[Finish]],"&gt;="&amp;CBL6)+SUMIFS(tblProjectSchedule[[Helpers]:[Helpers]],tblProjectSchedule[[Start]:[Start]],"&lt;="&amp;CBL6,tblProjectSchedule[[Finish]:[Finish]],"&gt;="&amp;CBL6))</f>
        <v>0</v>
      </c>
      <c r="CBM4" s="172">
        <f>IF(WEEKDAY(CBM6,12)&gt;=6,0,SUMIFS(tblProjectSchedule[[Skilled]:[Skilled]],tblProjectSchedule[[Start]:[Start]],"&lt;="&amp;CBM6,tblProjectSchedule[[Finish]:[Finish]],"&gt;="&amp;CBM6)+SUMIFS(tblProjectSchedule[[Helpers]:[Helpers]],tblProjectSchedule[[Start]:[Start]],"&lt;="&amp;CBM6,tblProjectSchedule[[Finish]:[Finish]],"&gt;="&amp;CBM6))</f>
        <v>0</v>
      </c>
      <c r="CBN4" s="172">
        <f>IF(WEEKDAY(CBN6,12)&gt;=6,0,SUMIFS(tblProjectSchedule[[Skilled]:[Skilled]],tblProjectSchedule[[Start]:[Start]],"&lt;="&amp;CBN6,tblProjectSchedule[[Finish]:[Finish]],"&gt;="&amp;CBN6)+SUMIFS(tblProjectSchedule[[Helpers]:[Helpers]],tblProjectSchedule[[Start]:[Start]],"&lt;="&amp;CBN6,tblProjectSchedule[[Finish]:[Finish]],"&gt;="&amp;CBN6))</f>
        <v>0</v>
      </c>
      <c r="CBO4" s="172">
        <f>IF(WEEKDAY(CBO6,12)&gt;=6,0,SUMIFS(tblProjectSchedule[[Skilled]:[Skilled]],tblProjectSchedule[[Start]:[Start]],"&lt;="&amp;CBO6,tblProjectSchedule[[Finish]:[Finish]],"&gt;="&amp;CBO6)+SUMIFS(tblProjectSchedule[[Helpers]:[Helpers]],tblProjectSchedule[[Start]:[Start]],"&lt;="&amp;CBO6,tblProjectSchedule[[Finish]:[Finish]],"&gt;="&amp;CBO6))</f>
        <v>0</v>
      </c>
      <c r="CBP4" s="174">
        <f>IF(WEEKDAY(CBP6,12)&gt;=6,0,SUMIFS(tblProjectSchedule[[Skilled]:[Skilled]],tblProjectSchedule[[Start]:[Start]],"&lt;="&amp;CBP6,tblProjectSchedule[[Finish]:[Finish]],"&gt;="&amp;CBP6)+SUMIFS(tblProjectSchedule[[Helpers]:[Helpers]],tblProjectSchedule[[Start]:[Start]],"&lt;="&amp;CBP6,tblProjectSchedule[[Finish]:[Finish]],"&gt;="&amp;CBP6))</f>
        <v>0</v>
      </c>
      <c r="CBQ4" s="173">
        <f>IF(WEEKDAY(CBQ6,12)&gt;=6,0,SUMIFS(tblProjectSchedule[[Skilled]:[Skilled]],tblProjectSchedule[[Start]:[Start]],"&lt;="&amp;CBQ6,tblProjectSchedule[[Finish]:[Finish]],"&gt;="&amp;CBQ6)+SUMIFS(tblProjectSchedule[[Helpers]:[Helpers]],tblProjectSchedule[[Start]:[Start]],"&lt;="&amp;CBQ6,tblProjectSchedule[[Finish]:[Finish]],"&gt;="&amp;CBQ6))</f>
        <v>0</v>
      </c>
      <c r="CBR4" s="172">
        <f>IF(WEEKDAY(CBR6,12)&gt;=6,0,SUMIFS(tblProjectSchedule[[Skilled]:[Skilled]],tblProjectSchedule[[Start]:[Start]],"&lt;="&amp;CBR6,tblProjectSchedule[[Finish]:[Finish]],"&gt;="&amp;CBR6)+SUMIFS(tblProjectSchedule[[Helpers]:[Helpers]],tblProjectSchedule[[Start]:[Start]],"&lt;="&amp;CBR6,tblProjectSchedule[[Finish]:[Finish]],"&gt;="&amp;CBR6))</f>
        <v>0</v>
      </c>
      <c r="CBS4" s="172">
        <f>IF(WEEKDAY(CBS6,12)&gt;=6,0,SUMIFS(tblProjectSchedule[[Skilled]:[Skilled]],tblProjectSchedule[[Start]:[Start]],"&lt;="&amp;CBS6,tblProjectSchedule[[Finish]:[Finish]],"&gt;="&amp;CBS6)+SUMIFS(tblProjectSchedule[[Helpers]:[Helpers]],tblProjectSchedule[[Start]:[Start]],"&lt;="&amp;CBS6,tblProjectSchedule[[Finish]:[Finish]],"&gt;="&amp;CBS6))</f>
        <v>0</v>
      </c>
      <c r="CBT4" s="172">
        <f>IF(WEEKDAY(CBT6,12)&gt;=6,0,SUMIFS(tblProjectSchedule[[Skilled]:[Skilled]],tblProjectSchedule[[Start]:[Start]],"&lt;="&amp;CBT6,tblProjectSchedule[[Finish]:[Finish]],"&gt;="&amp;CBT6)+SUMIFS(tblProjectSchedule[[Helpers]:[Helpers]],tblProjectSchedule[[Start]:[Start]],"&lt;="&amp;CBT6,tblProjectSchedule[[Finish]:[Finish]],"&gt;="&amp;CBT6))</f>
        <v>0</v>
      </c>
      <c r="CBU4" s="172">
        <f>IF(WEEKDAY(CBU6,12)&gt;=6,0,SUMIFS(tblProjectSchedule[[Skilled]:[Skilled]],tblProjectSchedule[[Start]:[Start]],"&lt;="&amp;CBU6,tblProjectSchedule[[Finish]:[Finish]],"&gt;="&amp;CBU6)+SUMIFS(tblProjectSchedule[[Helpers]:[Helpers]],tblProjectSchedule[[Start]:[Start]],"&lt;="&amp;CBU6,tblProjectSchedule[[Finish]:[Finish]],"&gt;="&amp;CBU6))</f>
        <v>0</v>
      </c>
      <c r="CBV4" s="172">
        <f>IF(WEEKDAY(CBV6,12)&gt;=6,0,SUMIFS(tblProjectSchedule[[Skilled]:[Skilled]],tblProjectSchedule[[Start]:[Start]],"&lt;="&amp;CBV6,tblProjectSchedule[[Finish]:[Finish]],"&gt;="&amp;CBV6)+SUMIFS(tblProjectSchedule[[Helpers]:[Helpers]],tblProjectSchedule[[Start]:[Start]],"&lt;="&amp;CBV6,tblProjectSchedule[[Finish]:[Finish]],"&gt;="&amp;CBV6))</f>
        <v>0</v>
      </c>
      <c r="CBW4" s="174">
        <f>IF(WEEKDAY(CBW6,12)&gt;=6,0,SUMIFS(tblProjectSchedule[[Skilled]:[Skilled]],tblProjectSchedule[[Start]:[Start]],"&lt;="&amp;CBW6,tblProjectSchedule[[Finish]:[Finish]],"&gt;="&amp;CBW6)+SUMIFS(tblProjectSchedule[[Helpers]:[Helpers]],tblProjectSchedule[[Start]:[Start]],"&lt;="&amp;CBW6,tblProjectSchedule[[Finish]:[Finish]],"&gt;="&amp;CBW6))</f>
        <v>0</v>
      </c>
      <c r="CBX4" s="173">
        <f>IF(WEEKDAY(CBX6,12)&gt;=6,0,SUMIFS(tblProjectSchedule[[Skilled]:[Skilled]],tblProjectSchedule[[Start]:[Start]],"&lt;="&amp;CBX6,tblProjectSchedule[[Finish]:[Finish]],"&gt;="&amp;CBX6)+SUMIFS(tblProjectSchedule[[Helpers]:[Helpers]],tblProjectSchedule[[Start]:[Start]],"&lt;="&amp;CBX6,tblProjectSchedule[[Finish]:[Finish]],"&gt;="&amp;CBX6))</f>
        <v>0</v>
      </c>
      <c r="CBY4" s="172">
        <f>IF(WEEKDAY(CBY6,12)&gt;=6,0,SUMIFS(tblProjectSchedule[[Skilled]:[Skilled]],tblProjectSchedule[[Start]:[Start]],"&lt;="&amp;CBY6,tblProjectSchedule[[Finish]:[Finish]],"&gt;="&amp;CBY6)+SUMIFS(tblProjectSchedule[[Helpers]:[Helpers]],tblProjectSchedule[[Start]:[Start]],"&lt;="&amp;CBY6,tblProjectSchedule[[Finish]:[Finish]],"&gt;="&amp;CBY6))</f>
        <v>0</v>
      </c>
      <c r="CBZ4" s="172">
        <f>IF(WEEKDAY(CBZ6,12)&gt;=6,0,SUMIFS(tblProjectSchedule[[Skilled]:[Skilled]],tblProjectSchedule[[Start]:[Start]],"&lt;="&amp;CBZ6,tblProjectSchedule[[Finish]:[Finish]],"&gt;="&amp;CBZ6)+SUMIFS(tblProjectSchedule[[Helpers]:[Helpers]],tblProjectSchedule[[Start]:[Start]],"&lt;="&amp;CBZ6,tblProjectSchedule[[Finish]:[Finish]],"&gt;="&amp;CBZ6))</f>
        <v>0</v>
      </c>
      <c r="CCA4" s="172">
        <f>IF(WEEKDAY(CCA6,12)&gt;=6,0,SUMIFS(tblProjectSchedule[[Skilled]:[Skilled]],tblProjectSchedule[[Start]:[Start]],"&lt;="&amp;CCA6,tblProjectSchedule[[Finish]:[Finish]],"&gt;="&amp;CCA6)+SUMIFS(tblProjectSchedule[[Helpers]:[Helpers]],tblProjectSchedule[[Start]:[Start]],"&lt;="&amp;CCA6,tblProjectSchedule[[Finish]:[Finish]],"&gt;="&amp;CCA6))</f>
        <v>0</v>
      </c>
      <c r="CCB4" s="172">
        <f>IF(WEEKDAY(CCB6,12)&gt;=6,0,SUMIFS(tblProjectSchedule[[Skilled]:[Skilled]],tblProjectSchedule[[Start]:[Start]],"&lt;="&amp;CCB6,tblProjectSchedule[[Finish]:[Finish]],"&gt;="&amp;CCB6)+SUMIFS(tblProjectSchedule[[Helpers]:[Helpers]],tblProjectSchedule[[Start]:[Start]],"&lt;="&amp;CCB6,tblProjectSchedule[[Finish]:[Finish]],"&gt;="&amp;CCB6))</f>
        <v>0</v>
      </c>
      <c r="CCC4" s="172">
        <f>IF(WEEKDAY(CCC6,12)&gt;=6,0,SUMIFS(tblProjectSchedule[[Skilled]:[Skilled]],tblProjectSchedule[[Start]:[Start]],"&lt;="&amp;CCC6,tblProjectSchedule[[Finish]:[Finish]],"&gt;="&amp;CCC6)+SUMIFS(tblProjectSchedule[[Helpers]:[Helpers]],tblProjectSchedule[[Start]:[Start]],"&lt;="&amp;CCC6,tblProjectSchedule[[Finish]:[Finish]],"&gt;="&amp;CCC6))</f>
        <v>0</v>
      </c>
      <c r="CCD4" s="174">
        <f>IF(WEEKDAY(CCD6,12)&gt;=6,0,SUMIFS(tblProjectSchedule[[Skilled]:[Skilled]],tblProjectSchedule[[Start]:[Start]],"&lt;="&amp;CCD6,tblProjectSchedule[[Finish]:[Finish]],"&gt;="&amp;CCD6)+SUMIFS(tblProjectSchedule[[Helpers]:[Helpers]],tblProjectSchedule[[Start]:[Start]],"&lt;="&amp;CCD6,tblProjectSchedule[[Finish]:[Finish]],"&gt;="&amp;CCD6))</f>
        <v>0</v>
      </c>
      <c r="CCE4" s="173">
        <f>IF(WEEKDAY(CCE6,12)&gt;=6,0,SUMIFS(tblProjectSchedule[[Skilled]:[Skilled]],tblProjectSchedule[[Start]:[Start]],"&lt;="&amp;CCE6,tblProjectSchedule[[Finish]:[Finish]],"&gt;="&amp;CCE6)+SUMIFS(tblProjectSchedule[[Helpers]:[Helpers]],tblProjectSchedule[[Start]:[Start]],"&lt;="&amp;CCE6,tblProjectSchedule[[Finish]:[Finish]],"&gt;="&amp;CCE6))</f>
        <v>0</v>
      </c>
      <c r="CCF4" s="172">
        <f>IF(WEEKDAY(CCF6,12)&gt;=6,0,SUMIFS(tblProjectSchedule[[Skilled]:[Skilled]],tblProjectSchedule[[Start]:[Start]],"&lt;="&amp;CCF6,tblProjectSchedule[[Finish]:[Finish]],"&gt;="&amp;CCF6)+SUMIFS(tblProjectSchedule[[Helpers]:[Helpers]],tblProjectSchedule[[Start]:[Start]],"&lt;="&amp;CCF6,tblProjectSchedule[[Finish]:[Finish]],"&gt;="&amp;CCF6))</f>
        <v>0</v>
      </c>
      <c r="CCG4" s="172">
        <f>IF(WEEKDAY(CCG6,12)&gt;=6,0,SUMIFS(tblProjectSchedule[[Skilled]:[Skilled]],tblProjectSchedule[[Start]:[Start]],"&lt;="&amp;CCG6,tblProjectSchedule[[Finish]:[Finish]],"&gt;="&amp;CCG6)+SUMIFS(tblProjectSchedule[[Helpers]:[Helpers]],tblProjectSchedule[[Start]:[Start]],"&lt;="&amp;CCG6,tblProjectSchedule[[Finish]:[Finish]],"&gt;="&amp;CCG6))</f>
        <v>0</v>
      </c>
      <c r="CCH4" s="172">
        <f>IF(WEEKDAY(CCH6,12)&gt;=6,0,SUMIFS(tblProjectSchedule[[Skilled]:[Skilled]],tblProjectSchedule[[Start]:[Start]],"&lt;="&amp;CCH6,tblProjectSchedule[[Finish]:[Finish]],"&gt;="&amp;CCH6)+SUMIFS(tblProjectSchedule[[Helpers]:[Helpers]],tblProjectSchedule[[Start]:[Start]],"&lt;="&amp;CCH6,tblProjectSchedule[[Finish]:[Finish]],"&gt;="&amp;CCH6))</f>
        <v>0</v>
      </c>
      <c r="CCI4" s="172">
        <f>IF(WEEKDAY(CCI6,12)&gt;=6,0,SUMIFS(tblProjectSchedule[[Skilled]:[Skilled]],tblProjectSchedule[[Start]:[Start]],"&lt;="&amp;CCI6,tblProjectSchedule[[Finish]:[Finish]],"&gt;="&amp;CCI6)+SUMIFS(tblProjectSchedule[[Helpers]:[Helpers]],tblProjectSchedule[[Start]:[Start]],"&lt;="&amp;CCI6,tblProjectSchedule[[Finish]:[Finish]],"&gt;="&amp;CCI6))</f>
        <v>0</v>
      </c>
      <c r="CCJ4" s="172">
        <f>IF(WEEKDAY(CCJ6,12)&gt;=6,0,SUMIFS(tblProjectSchedule[[Skilled]:[Skilled]],tblProjectSchedule[[Start]:[Start]],"&lt;="&amp;CCJ6,tblProjectSchedule[[Finish]:[Finish]],"&gt;="&amp;CCJ6)+SUMIFS(tblProjectSchedule[[Helpers]:[Helpers]],tblProjectSchedule[[Start]:[Start]],"&lt;="&amp;CCJ6,tblProjectSchedule[[Finish]:[Finish]],"&gt;="&amp;CCJ6))</f>
        <v>0</v>
      </c>
      <c r="CCK4" s="174">
        <f>IF(WEEKDAY(CCK6,12)&gt;=6,0,SUMIFS(tblProjectSchedule[[Skilled]:[Skilled]],tblProjectSchedule[[Start]:[Start]],"&lt;="&amp;CCK6,tblProjectSchedule[[Finish]:[Finish]],"&gt;="&amp;CCK6)+SUMIFS(tblProjectSchedule[[Helpers]:[Helpers]],tblProjectSchedule[[Start]:[Start]],"&lt;="&amp;CCK6,tblProjectSchedule[[Finish]:[Finish]],"&gt;="&amp;CCK6))</f>
        <v>0</v>
      </c>
      <c r="CCL4" s="173">
        <f>IF(WEEKDAY(CCL6,12)&gt;=6,0,SUMIFS(tblProjectSchedule[[Skilled]:[Skilled]],tblProjectSchedule[[Start]:[Start]],"&lt;="&amp;CCL6,tblProjectSchedule[[Finish]:[Finish]],"&gt;="&amp;CCL6)+SUMIFS(tblProjectSchedule[[Helpers]:[Helpers]],tblProjectSchedule[[Start]:[Start]],"&lt;="&amp;CCL6,tblProjectSchedule[[Finish]:[Finish]],"&gt;="&amp;CCL6))</f>
        <v>0</v>
      </c>
      <c r="CCM4" s="172">
        <f>IF(WEEKDAY(CCM6,12)&gt;=6,0,SUMIFS(tblProjectSchedule[[Skilled]:[Skilled]],tblProjectSchedule[[Start]:[Start]],"&lt;="&amp;CCM6,tblProjectSchedule[[Finish]:[Finish]],"&gt;="&amp;CCM6)+SUMIFS(tblProjectSchedule[[Helpers]:[Helpers]],tblProjectSchedule[[Start]:[Start]],"&lt;="&amp;CCM6,tblProjectSchedule[[Finish]:[Finish]],"&gt;="&amp;CCM6))</f>
        <v>0</v>
      </c>
      <c r="CCN4" s="172">
        <f>IF(WEEKDAY(CCN6,12)&gt;=6,0,SUMIFS(tblProjectSchedule[[Skilled]:[Skilled]],tblProjectSchedule[[Start]:[Start]],"&lt;="&amp;CCN6,tblProjectSchedule[[Finish]:[Finish]],"&gt;="&amp;CCN6)+SUMIFS(tblProjectSchedule[[Helpers]:[Helpers]],tblProjectSchedule[[Start]:[Start]],"&lt;="&amp;CCN6,tblProjectSchedule[[Finish]:[Finish]],"&gt;="&amp;CCN6))</f>
        <v>0</v>
      </c>
      <c r="CCO4" s="172">
        <f>IF(WEEKDAY(CCO6,12)&gt;=6,0,SUMIFS(tblProjectSchedule[[Skilled]:[Skilled]],tblProjectSchedule[[Start]:[Start]],"&lt;="&amp;CCO6,tblProjectSchedule[[Finish]:[Finish]],"&gt;="&amp;CCO6)+SUMIFS(tblProjectSchedule[[Helpers]:[Helpers]],tblProjectSchedule[[Start]:[Start]],"&lt;="&amp;CCO6,tblProjectSchedule[[Finish]:[Finish]],"&gt;="&amp;CCO6))</f>
        <v>0</v>
      </c>
      <c r="CCP4" s="172">
        <f>IF(WEEKDAY(CCP6,12)&gt;=6,0,SUMIFS(tblProjectSchedule[[Skilled]:[Skilled]],tblProjectSchedule[[Start]:[Start]],"&lt;="&amp;CCP6,tblProjectSchedule[[Finish]:[Finish]],"&gt;="&amp;CCP6)+SUMIFS(tblProjectSchedule[[Helpers]:[Helpers]],tblProjectSchedule[[Start]:[Start]],"&lt;="&amp;CCP6,tblProjectSchedule[[Finish]:[Finish]],"&gt;="&amp;CCP6))</f>
        <v>0</v>
      </c>
      <c r="CCQ4" s="172">
        <f>IF(WEEKDAY(CCQ6,12)&gt;=6,0,SUMIFS(tblProjectSchedule[[Skilled]:[Skilled]],tblProjectSchedule[[Start]:[Start]],"&lt;="&amp;CCQ6,tblProjectSchedule[[Finish]:[Finish]],"&gt;="&amp;CCQ6)+SUMIFS(tblProjectSchedule[[Helpers]:[Helpers]],tblProjectSchedule[[Start]:[Start]],"&lt;="&amp;CCQ6,tblProjectSchedule[[Finish]:[Finish]],"&gt;="&amp;CCQ6))</f>
        <v>0</v>
      </c>
      <c r="CCR4" s="174">
        <f>IF(WEEKDAY(CCR6,12)&gt;=6,0,SUMIFS(tblProjectSchedule[[Skilled]:[Skilled]],tblProjectSchedule[[Start]:[Start]],"&lt;="&amp;CCR6,tblProjectSchedule[[Finish]:[Finish]],"&gt;="&amp;CCR6)+SUMIFS(tblProjectSchedule[[Helpers]:[Helpers]],tblProjectSchedule[[Start]:[Start]],"&lt;="&amp;CCR6,tblProjectSchedule[[Finish]:[Finish]],"&gt;="&amp;CCR6))</f>
        <v>0</v>
      </c>
      <c r="CCS4" s="173">
        <f>IF(WEEKDAY(CCS6,12)&gt;=6,0,SUMIFS(tblProjectSchedule[[Skilled]:[Skilled]],tblProjectSchedule[[Start]:[Start]],"&lt;="&amp;CCS6,tblProjectSchedule[[Finish]:[Finish]],"&gt;="&amp;CCS6)+SUMIFS(tblProjectSchedule[[Helpers]:[Helpers]],tblProjectSchedule[[Start]:[Start]],"&lt;="&amp;CCS6,tblProjectSchedule[[Finish]:[Finish]],"&gt;="&amp;CCS6))</f>
        <v>0</v>
      </c>
      <c r="CCT4" s="172">
        <f>IF(WEEKDAY(CCT6,12)&gt;=6,0,SUMIFS(tblProjectSchedule[[Skilled]:[Skilled]],tblProjectSchedule[[Start]:[Start]],"&lt;="&amp;CCT6,tblProjectSchedule[[Finish]:[Finish]],"&gt;="&amp;CCT6)+SUMIFS(tblProjectSchedule[[Helpers]:[Helpers]],tblProjectSchedule[[Start]:[Start]],"&lt;="&amp;CCT6,tblProjectSchedule[[Finish]:[Finish]],"&gt;="&amp;CCT6))</f>
        <v>0</v>
      </c>
      <c r="CCU4" s="172">
        <f>IF(WEEKDAY(CCU6,12)&gt;=6,0,SUMIFS(tblProjectSchedule[[Skilled]:[Skilled]],tblProjectSchedule[[Start]:[Start]],"&lt;="&amp;CCU6,tblProjectSchedule[[Finish]:[Finish]],"&gt;="&amp;CCU6)+SUMIFS(tblProjectSchedule[[Helpers]:[Helpers]],tblProjectSchedule[[Start]:[Start]],"&lt;="&amp;CCU6,tblProjectSchedule[[Finish]:[Finish]],"&gt;="&amp;CCU6))</f>
        <v>0</v>
      </c>
      <c r="CCV4" s="172">
        <f>IF(WEEKDAY(CCV6,12)&gt;=6,0,SUMIFS(tblProjectSchedule[[Skilled]:[Skilled]],tblProjectSchedule[[Start]:[Start]],"&lt;="&amp;CCV6,tblProjectSchedule[[Finish]:[Finish]],"&gt;="&amp;CCV6)+SUMIFS(tblProjectSchedule[[Helpers]:[Helpers]],tblProjectSchedule[[Start]:[Start]],"&lt;="&amp;CCV6,tblProjectSchedule[[Finish]:[Finish]],"&gt;="&amp;CCV6))</f>
        <v>0</v>
      </c>
      <c r="CCW4" s="172">
        <f>IF(WEEKDAY(CCW6,12)&gt;=6,0,SUMIFS(tblProjectSchedule[[Skilled]:[Skilled]],tblProjectSchedule[[Start]:[Start]],"&lt;="&amp;CCW6,tblProjectSchedule[[Finish]:[Finish]],"&gt;="&amp;CCW6)+SUMIFS(tblProjectSchedule[[Helpers]:[Helpers]],tblProjectSchedule[[Start]:[Start]],"&lt;="&amp;CCW6,tblProjectSchedule[[Finish]:[Finish]],"&gt;="&amp;CCW6))</f>
        <v>0</v>
      </c>
      <c r="CCX4" s="172">
        <f>IF(WEEKDAY(CCX6,12)&gt;=6,0,SUMIFS(tblProjectSchedule[[Skilled]:[Skilled]],tblProjectSchedule[[Start]:[Start]],"&lt;="&amp;CCX6,tblProjectSchedule[[Finish]:[Finish]],"&gt;="&amp;CCX6)+SUMIFS(tblProjectSchedule[[Helpers]:[Helpers]],tblProjectSchedule[[Start]:[Start]],"&lt;="&amp;CCX6,tblProjectSchedule[[Finish]:[Finish]],"&gt;="&amp;CCX6))</f>
        <v>0</v>
      </c>
      <c r="CCY4" s="174">
        <f>IF(WEEKDAY(CCY6,12)&gt;=6,0,SUMIFS(tblProjectSchedule[[Skilled]:[Skilled]],tblProjectSchedule[[Start]:[Start]],"&lt;="&amp;CCY6,tblProjectSchedule[[Finish]:[Finish]],"&gt;="&amp;CCY6)+SUMIFS(tblProjectSchedule[[Helpers]:[Helpers]],tblProjectSchedule[[Start]:[Start]],"&lt;="&amp;CCY6,tblProjectSchedule[[Finish]:[Finish]],"&gt;="&amp;CCY6))</f>
        <v>0</v>
      </c>
      <c r="CCZ4" s="173">
        <f>IF(WEEKDAY(CCZ6,12)&gt;=6,0,SUMIFS(tblProjectSchedule[[Skilled]:[Skilled]],tblProjectSchedule[[Start]:[Start]],"&lt;="&amp;CCZ6,tblProjectSchedule[[Finish]:[Finish]],"&gt;="&amp;CCZ6)+SUMIFS(tblProjectSchedule[[Helpers]:[Helpers]],tblProjectSchedule[[Start]:[Start]],"&lt;="&amp;CCZ6,tblProjectSchedule[[Finish]:[Finish]],"&gt;="&amp;CCZ6))</f>
        <v>0</v>
      </c>
      <c r="CDA4" s="172">
        <f>IF(WEEKDAY(CDA6,12)&gt;=6,0,SUMIFS(tblProjectSchedule[[Skilled]:[Skilled]],tblProjectSchedule[[Start]:[Start]],"&lt;="&amp;CDA6,tblProjectSchedule[[Finish]:[Finish]],"&gt;="&amp;CDA6)+SUMIFS(tblProjectSchedule[[Helpers]:[Helpers]],tblProjectSchedule[[Start]:[Start]],"&lt;="&amp;CDA6,tblProjectSchedule[[Finish]:[Finish]],"&gt;="&amp;CDA6))</f>
        <v>0</v>
      </c>
      <c r="CDB4" s="172">
        <f>IF(WEEKDAY(CDB6,12)&gt;=6,0,SUMIFS(tblProjectSchedule[[Skilled]:[Skilled]],tblProjectSchedule[[Start]:[Start]],"&lt;="&amp;CDB6,tblProjectSchedule[[Finish]:[Finish]],"&gt;="&amp;CDB6)+SUMIFS(tblProjectSchedule[[Helpers]:[Helpers]],tblProjectSchedule[[Start]:[Start]],"&lt;="&amp;CDB6,tblProjectSchedule[[Finish]:[Finish]],"&gt;="&amp;CDB6))</f>
        <v>0</v>
      </c>
      <c r="CDC4" s="172">
        <f>IF(WEEKDAY(CDC6,12)&gt;=6,0,SUMIFS(tblProjectSchedule[[Skilled]:[Skilled]],tblProjectSchedule[[Start]:[Start]],"&lt;="&amp;CDC6,tblProjectSchedule[[Finish]:[Finish]],"&gt;="&amp;CDC6)+SUMIFS(tblProjectSchedule[[Helpers]:[Helpers]],tblProjectSchedule[[Start]:[Start]],"&lt;="&amp;CDC6,tblProjectSchedule[[Finish]:[Finish]],"&gt;="&amp;CDC6))</f>
        <v>0</v>
      </c>
      <c r="CDD4" s="172">
        <f>IF(WEEKDAY(CDD6,12)&gt;=6,0,SUMIFS(tblProjectSchedule[[Skilled]:[Skilled]],tblProjectSchedule[[Start]:[Start]],"&lt;="&amp;CDD6,tblProjectSchedule[[Finish]:[Finish]],"&gt;="&amp;CDD6)+SUMIFS(tblProjectSchedule[[Helpers]:[Helpers]],tblProjectSchedule[[Start]:[Start]],"&lt;="&amp;CDD6,tblProjectSchedule[[Finish]:[Finish]],"&gt;="&amp;CDD6))</f>
        <v>0</v>
      </c>
      <c r="CDE4" s="172">
        <f>IF(WEEKDAY(CDE6,12)&gt;=6,0,SUMIFS(tblProjectSchedule[[Skilled]:[Skilled]],tblProjectSchedule[[Start]:[Start]],"&lt;="&amp;CDE6,tblProjectSchedule[[Finish]:[Finish]],"&gt;="&amp;CDE6)+SUMIFS(tblProjectSchedule[[Helpers]:[Helpers]],tblProjectSchedule[[Start]:[Start]],"&lt;="&amp;CDE6,tblProjectSchedule[[Finish]:[Finish]],"&gt;="&amp;CDE6))</f>
        <v>0</v>
      </c>
      <c r="CDF4" s="174">
        <f>IF(WEEKDAY(CDF6,12)&gt;=6,0,SUMIFS(tblProjectSchedule[[Skilled]:[Skilled]],tblProjectSchedule[[Start]:[Start]],"&lt;="&amp;CDF6,tblProjectSchedule[[Finish]:[Finish]],"&gt;="&amp;CDF6)+SUMIFS(tblProjectSchedule[[Helpers]:[Helpers]],tblProjectSchedule[[Start]:[Start]],"&lt;="&amp;CDF6,tblProjectSchedule[[Finish]:[Finish]],"&gt;="&amp;CDF6))</f>
        <v>0</v>
      </c>
      <c r="CDG4" s="173">
        <f>IF(WEEKDAY(CDG6,12)&gt;=6,0,SUMIFS(tblProjectSchedule[[Skilled]:[Skilled]],tblProjectSchedule[[Start]:[Start]],"&lt;="&amp;CDG6,tblProjectSchedule[[Finish]:[Finish]],"&gt;="&amp;CDG6)+SUMIFS(tblProjectSchedule[[Helpers]:[Helpers]],tblProjectSchedule[[Start]:[Start]],"&lt;="&amp;CDG6,tblProjectSchedule[[Finish]:[Finish]],"&gt;="&amp;CDG6))</f>
        <v>0</v>
      </c>
      <c r="CDH4" s="172">
        <f>IF(WEEKDAY(CDH6,12)&gt;=6,0,SUMIFS(tblProjectSchedule[[Skilled]:[Skilled]],tblProjectSchedule[[Start]:[Start]],"&lt;="&amp;CDH6,tblProjectSchedule[[Finish]:[Finish]],"&gt;="&amp;CDH6)+SUMIFS(tblProjectSchedule[[Helpers]:[Helpers]],tblProjectSchedule[[Start]:[Start]],"&lt;="&amp;CDH6,tblProjectSchedule[[Finish]:[Finish]],"&gt;="&amp;CDH6))</f>
        <v>0</v>
      </c>
      <c r="CDI4" s="172">
        <f>IF(WEEKDAY(CDI6,12)&gt;=6,0,SUMIFS(tblProjectSchedule[[Skilled]:[Skilled]],tblProjectSchedule[[Start]:[Start]],"&lt;="&amp;CDI6,tblProjectSchedule[[Finish]:[Finish]],"&gt;="&amp;CDI6)+SUMIFS(tblProjectSchedule[[Helpers]:[Helpers]],tblProjectSchedule[[Start]:[Start]],"&lt;="&amp;CDI6,tblProjectSchedule[[Finish]:[Finish]],"&gt;="&amp;CDI6))</f>
        <v>0</v>
      </c>
      <c r="CDJ4" s="172">
        <f>IF(WEEKDAY(CDJ6,12)&gt;=6,0,SUMIFS(tblProjectSchedule[[Skilled]:[Skilled]],tblProjectSchedule[[Start]:[Start]],"&lt;="&amp;CDJ6,tblProjectSchedule[[Finish]:[Finish]],"&gt;="&amp;CDJ6)+SUMIFS(tblProjectSchedule[[Helpers]:[Helpers]],tblProjectSchedule[[Start]:[Start]],"&lt;="&amp;CDJ6,tblProjectSchedule[[Finish]:[Finish]],"&gt;="&amp;CDJ6))</f>
        <v>0</v>
      </c>
      <c r="CDK4" s="172">
        <f>IF(WEEKDAY(CDK6,12)&gt;=6,0,SUMIFS(tblProjectSchedule[[Skilled]:[Skilled]],tblProjectSchedule[[Start]:[Start]],"&lt;="&amp;CDK6,tblProjectSchedule[[Finish]:[Finish]],"&gt;="&amp;CDK6)+SUMIFS(tblProjectSchedule[[Helpers]:[Helpers]],tblProjectSchedule[[Start]:[Start]],"&lt;="&amp;CDK6,tblProjectSchedule[[Finish]:[Finish]],"&gt;="&amp;CDK6))</f>
        <v>0</v>
      </c>
      <c r="CDL4" s="172">
        <f>IF(WEEKDAY(CDL6,12)&gt;=6,0,SUMIFS(tblProjectSchedule[[Skilled]:[Skilled]],tblProjectSchedule[[Start]:[Start]],"&lt;="&amp;CDL6,tblProjectSchedule[[Finish]:[Finish]],"&gt;="&amp;CDL6)+SUMIFS(tblProjectSchedule[[Helpers]:[Helpers]],tblProjectSchedule[[Start]:[Start]],"&lt;="&amp;CDL6,tblProjectSchedule[[Finish]:[Finish]],"&gt;="&amp;CDL6))</f>
        <v>0</v>
      </c>
      <c r="CDM4" s="174">
        <f>IF(WEEKDAY(CDM6,12)&gt;=6,0,SUMIFS(tblProjectSchedule[[Skilled]:[Skilled]],tblProjectSchedule[[Start]:[Start]],"&lt;="&amp;CDM6,tblProjectSchedule[[Finish]:[Finish]],"&gt;="&amp;CDM6)+SUMIFS(tblProjectSchedule[[Helpers]:[Helpers]],tblProjectSchedule[[Start]:[Start]],"&lt;="&amp;CDM6,tblProjectSchedule[[Finish]:[Finish]],"&gt;="&amp;CDM6))</f>
        <v>0</v>
      </c>
      <c r="CDN4" s="173">
        <f>IF(WEEKDAY(CDN6,12)&gt;=6,0,SUMIFS(tblProjectSchedule[[Skilled]:[Skilled]],tblProjectSchedule[[Start]:[Start]],"&lt;="&amp;CDN6,tblProjectSchedule[[Finish]:[Finish]],"&gt;="&amp;CDN6)+SUMIFS(tblProjectSchedule[[Helpers]:[Helpers]],tblProjectSchedule[[Start]:[Start]],"&lt;="&amp;CDN6,tblProjectSchedule[[Finish]:[Finish]],"&gt;="&amp;CDN6))</f>
        <v>0</v>
      </c>
      <c r="CDO4" s="172">
        <f>IF(WEEKDAY(CDO6,12)&gt;=6,0,SUMIFS(tblProjectSchedule[[Skilled]:[Skilled]],tblProjectSchedule[[Start]:[Start]],"&lt;="&amp;CDO6,tblProjectSchedule[[Finish]:[Finish]],"&gt;="&amp;CDO6)+SUMIFS(tblProjectSchedule[[Helpers]:[Helpers]],tblProjectSchedule[[Start]:[Start]],"&lt;="&amp;CDO6,tblProjectSchedule[[Finish]:[Finish]],"&gt;="&amp;CDO6))</f>
        <v>0</v>
      </c>
      <c r="CDP4" s="172">
        <f>IF(WEEKDAY(CDP6,12)&gt;=6,0,SUMIFS(tblProjectSchedule[[Skilled]:[Skilled]],tblProjectSchedule[[Start]:[Start]],"&lt;="&amp;CDP6,tblProjectSchedule[[Finish]:[Finish]],"&gt;="&amp;CDP6)+SUMIFS(tblProjectSchedule[[Helpers]:[Helpers]],tblProjectSchedule[[Start]:[Start]],"&lt;="&amp;CDP6,tblProjectSchedule[[Finish]:[Finish]],"&gt;="&amp;CDP6))</f>
        <v>0</v>
      </c>
      <c r="CDQ4" s="172">
        <f>IF(WEEKDAY(CDQ6,12)&gt;=6,0,SUMIFS(tblProjectSchedule[[Skilled]:[Skilled]],tblProjectSchedule[[Start]:[Start]],"&lt;="&amp;CDQ6,tblProjectSchedule[[Finish]:[Finish]],"&gt;="&amp;CDQ6)+SUMIFS(tblProjectSchedule[[Helpers]:[Helpers]],tblProjectSchedule[[Start]:[Start]],"&lt;="&amp;CDQ6,tblProjectSchedule[[Finish]:[Finish]],"&gt;="&amp;CDQ6))</f>
        <v>0</v>
      </c>
      <c r="CDR4" s="172">
        <f>IF(WEEKDAY(CDR6,12)&gt;=6,0,SUMIFS(tblProjectSchedule[[Skilled]:[Skilled]],tblProjectSchedule[[Start]:[Start]],"&lt;="&amp;CDR6,tblProjectSchedule[[Finish]:[Finish]],"&gt;="&amp;CDR6)+SUMIFS(tblProjectSchedule[[Helpers]:[Helpers]],tblProjectSchedule[[Start]:[Start]],"&lt;="&amp;CDR6,tblProjectSchedule[[Finish]:[Finish]],"&gt;="&amp;CDR6))</f>
        <v>0</v>
      </c>
      <c r="CDS4" s="172">
        <f>IF(WEEKDAY(CDS6,12)&gt;=6,0,SUMIFS(tblProjectSchedule[[Skilled]:[Skilled]],tblProjectSchedule[[Start]:[Start]],"&lt;="&amp;CDS6,tblProjectSchedule[[Finish]:[Finish]],"&gt;="&amp;CDS6)+SUMIFS(tblProjectSchedule[[Helpers]:[Helpers]],tblProjectSchedule[[Start]:[Start]],"&lt;="&amp;CDS6,tblProjectSchedule[[Finish]:[Finish]],"&gt;="&amp;CDS6))</f>
        <v>0</v>
      </c>
      <c r="CDT4" s="174">
        <f>IF(WEEKDAY(CDT6,12)&gt;=6,0,SUMIFS(tblProjectSchedule[[Skilled]:[Skilled]],tblProjectSchedule[[Start]:[Start]],"&lt;="&amp;CDT6,tblProjectSchedule[[Finish]:[Finish]],"&gt;="&amp;CDT6)+SUMIFS(tblProjectSchedule[[Helpers]:[Helpers]],tblProjectSchedule[[Start]:[Start]],"&lt;="&amp;CDT6,tblProjectSchedule[[Finish]:[Finish]],"&gt;="&amp;CDT6))</f>
        <v>0</v>
      </c>
      <c r="CDU4" s="173">
        <f>IF(WEEKDAY(CDU6,12)&gt;=6,0,SUMIFS(tblProjectSchedule[[Skilled]:[Skilled]],tblProjectSchedule[[Start]:[Start]],"&lt;="&amp;CDU6,tblProjectSchedule[[Finish]:[Finish]],"&gt;="&amp;CDU6)+SUMIFS(tblProjectSchedule[[Helpers]:[Helpers]],tblProjectSchedule[[Start]:[Start]],"&lt;="&amp;CDU6,tblProjectSchedule[[Finish]:[Finish]],"&gt;="&amp;CDU6))</f>
        <v>0</v>
      </c>
      <c r="CDV4" s="172">
        <f>IF(WEEKDAY(CDV6,12)&gt;=6,0,SUMIFS(tblProjectSchedule[[Skilled]:[Skilled]],tblProjectSchedule[[Start]:[Start]],"&lt;="&amp;CDV6,tblProjectSchedule[[Finish]:[Finish]],"&gt;="&amp;CDV6)+SUMIFS(tblProjectSchedule[[Helpers]:[Helpers]],tblProjectSchedule[[Start]:[Start]],"&lt;="&amp;CDV6,tblProjectSchedule[[Finish]:[Finish]],"&gt;="&amp;CDV6))</f>
        <v>0</v>
      </c>
      <c r="CDW4" s="172">
        <f>IF(WEEKDAY(CDW6,12)&gt;=6,0,SUMIFS(tblProjectSchedule[[Skilled]:[Skilled]],tblProjectSchedule[[Start]:[Start]],"&lt;="&amp;CDW6,tblProjectSchedule[[Finish]:[Finish]],"&gt;="&amp;CDW6)+SUMIFS(tblProjectSchedule[[Helpers]:[Helpers]],tblProjectSchedule[[Start]:[Start]],"&lt;="&amp;CDW6,tblProjectSchedule[[Finish]:[Finish]],"&gt;="&amp;CDW6))</f>
        <v>0</v>
      </c>
      <c r="CDX4" s="172">
        <f>IF(WEEKDAY(CDX6,12)&gt;=6,0,SUMIFS(tblProjectSchedule[[Skilled]:[Skilled]],tblProjectSchedule[[Start]:[Start]],"&lt;="&amp;CDX6,tblProjectSchedule[[Finish]:[Finish]],"&gt;="&amp;CDX6)+SUMIFS(tblProjectSchedule[[Helpers]:[Helpers]],tblProjectSchedule[[Start]:[Start]],"&lt;="&amp;CDX6,tblProjectSchedule[[Finish]:[Finish]],"&gt;="&amp;CDX6))</f>
        <v>0</v>
      </c>
      <c r="CDY4" s="172">
        <f>IF(WEEKDAY(CDY6,12)&gt;=6,0,SUMIFS(tblProjectSchedule[[Skilled]:[Skilled]],tblProjectSchedule[[Start]:[Start]],"&lt;="&amp;CDY6,tblProjectSchedule[[Finish]:[Finish]],"&gt;="&amp;CDY6)+SUMIFS(tblProjectSchedule[[Helpers]:[Helpers]],tblProjectSchedule[[Start]:[Start]],"&lt;="&amp;CDY6,tblProjectSchedule[[Finish]:[Finish]],"&gt;="&amp;CDY6))</f>
        <v>0</v>
      </c>
      <c r="CDZ4" s="172">
        <f>IF(WEEKDAY(CDZ6,12)&gt;=6,0,SUMIFS(tblProjectSchedule[[Skilled]:[Skilled]],tblProjectSchedule[[Start]:[Start]],"&lt;="&amp;CDZ6,tblProjectSchedule[[Finish]:[Finish]],"&gt;="&amp;CDZ6)+SUMIFS(tblProjectSchedule[[Helpers]:[Helpers]],tblProjectSchedule[[Start]:[Start]],"&lt;="&amp;CDZ6,tblProjectSchedule[[Finish]:[Finish]],"&gt;="&amp;CDZ6))</f>
        <v>0</v>
      </c>
      <c r="CEA4" s="174">
        <f>IF(WEEKDAY(CEA6,12)&gt;=6,0,SUMIFS(tblProjectSchedule[[Skilled]:[Skilled]],tblProjectSchedule[[Start]:[Start]],"&lt;="&amp;CEA6,tblProjectSchedule[[Finish]:[Finish]],"&gt;="&amp;CEA6)+SUMIFS(tblProjectSchedule[[Helpers]:[Helpers]],tblProjectSchedule[[Start]:[Start]],"&lt;="&amp;CEA6,tblProjectSchedule[[Finish]:[Finish]],"&gt;="&amp;CEA6))</f>
        <v>0</v>
      </c>
      <c r="CEB4" s="173">
        <f>IF(WEEKDAY(CEB6,12)&gt;=6,0,SUMIFS(tblProjectSchedule[[Skilled]:[Skilled]],tblProjectSchedule[[Start]:[Start]],"&lt;="&amp;CEB6,tblProjectSchedule[[Finish]:[Finish]],"&gt;="&amp;CEB6)+SUMIFS(tblProjectSchedule[[Helpers]:[Helpers]],tblProjectSchedule[[Start]:[Start]],"&lt;="&amp;CEB6,tblProjectSchedule[[Finish]:[Finish]],"&gt;="&amp;CEB6))</f>
        <v>0</v>
      </c>
      <c r="CEC4" s="172">
        <f>IF(WEEKDAY(CEC6,12)&gt;=6,0,SUMIFS(tblProjectSchedule[[Skilled]:[Skilled]],tblProjectSchedule[[Start]:[Start]],"&lt;="&amp;CEC6,tblProjectSchedule[[Finish]:[Finish]],"&gt;="&amp;CEC6)+SUMIFS(tblProjectSchedule[[Helpers]:[Helpers]],tblProjectSchedule[[Start]:[Start]],"&lt;="&amp;CEC6,tblProjectSchedule[[Finish]:[Finish]],"&gt;="&amp;CEC6))</f>
        <v>0</v>
      </c>
      <c r="CED4" s="172">
        <f>IF(WEEKDAY(CED6,12)&gt;=6,0,SUMIFS(tblProjectSchedule[[Skilled]:[Skilled]],tblProjectSchedule[[Start]:[Start]],"&lt;="&amp;CED6,tblProjectSchedule[[Finish]:[Finish]],"&gt;="&amp;CED6)+SUMIFS(tblProjectSchedule[[Helpers]:[Helpers]],tblProjectSchedule[[Start]:[Start]],"&lt;="&amp;CED6,tblProjectSchedule[[Finish]:[Finish]],"&gt;="&amp;CED6))</f>
        <v>0</v>
      </c>
      <c r="CEE4" s="172">
        <f>IF(WEEKDAY(CEE6,12)&gt;=6,0,SUMIFS(tblProjectSchedule[[Skilled]:[Skilled]],tblProjectSchedule[[Start]:[Start]],"&lt;="&amp;CEE6,tblProjectSchedule[[Finish]:[Finish]],"&gt;="&amp;CEE6)+SUMIFS(tblProjectSchedule[[Helpers]:[Helpers]],tblProjectSchedule[[Start]:[Start]],"&lt;="&amp;CEE6,tblProjectSchedule[[Finish]:[Finish]],"&gt;="&amp;CEE6))</f>
        <v>0</v>
      </c>
      <c r="CEF4" s="172">
        <f>IF(WEEKDAY(CEF6,12)&gt;=6,0,SUMIFS(tblProjectSchedule[[Skilled]:[Skilled]],tblProjectSchedule[[Start]:[Start]],"&lt;="&amp;CEF6,tblProjectSchedule[[Finish]:[Finish]],"&gt;="&amp;CEF6)+SUMIFS(tblProjectSchedule[[Helpers]:[Helpers]],tblProjectSchedule[[Start]:[Start]],"&lt;="&amp;CEF6,tblProjectSchedule[[Finish]:[Finish]],"&gt;="&amp;CEF6))</f>
        <v>0</v>
      </c>
      <c r="CEG4" s="172">
        <f>IF(WEEKDAY(CEG6,12)&gt;=6,0,SUMIFS(tblProjectSchedule[[Skilled]:[Skilled]],tblProjectSchedule[[Start]:[Start]],"&lt;="&amp;CEG6,tblProjectSchedule[[Finish]:[Finish]],"&gt;="&amp;CEG6)+SUMIFS(tblProjectSchedule[[Helpers]:[Helpers]],tblProjectSchedule[[Start]:[Start]],"&lt;="&amp;CEG6,tblProjectSchedule[[Finish]:[Finish]],"&gt;="&amp;CEG6))</f>
        <v>0</v>
      </c>
      <c r="CEH4" s="174">
        <f>IF(WEEKDAY(CEH6,12)&gt;=6,0,SUMIFS(tblProjectSchedule[[Skilled]:[Skilled]],tblProjectSchedule[[Start]:[Start]],"&lt;="&amp;CEH6,tblProjectSchedule[[Finish]:[Finish]],"&gt;="&amp;CEH6)+SUMIFS(tblProjectSchedule[[Helpers]:[Helpers]],tblProjectSchedule[[Start]:[Start]],"&lt;="&amp;CEH6,tblProjectSchedule[[Finish]:[Finish]],"&gt;="&amp;CEH6))</f>
        <v>0</v>
      </c>
      <c r="CEI4" s="173">
        <f>IF(WEEKDAY(CEI6,12)&gt;=6,0,SUMIFS(tblProjectSchedule[[Skilled]:[Skilled]],tblProjectSchedule[[Start]:[Start]],"&lt;="&amp;CEI6,tblProjectSchedule[[Finish]:[Finish]],"&gt;="&amp;CEI6)+SUMIFS(tblProjectSchedule[[Helpers]:[Helpers]],tblProjectSchedule[[Start]:[Start]],"&lt;="&amp;CEI6,tblProjectSchedule[[Finish]:[Finish]],"&gt;="&amp;CEI6))</f>
        <v>0</v>
      </c>
      <c r="CEJ4" s="172">
        <f>IF(WEEKDAY(CEJ6,12)&gt;=6,0,SUMIFS(tblProjectSchedule[[Skilled]:[Skilled]],tblProjectSchedule[[Start]:[Start]],"&lt;="&amp;CEJ6,tblProjectSchedule[[Finish]:[Finish]],"&gt;="&amp;CEJ6)+SUMIFS(tblProjectSchedule[[Helpers]:[Helpers]],tblProjectSchedule[[Start]:[Start]],"&lt;="&amp;CEJ6,tblProjectSchedule[[Finish]:[Finish]],"&gt;="&amp;CEJ6))</f>
        <v>0</v>
      </c>
      <c r="CEK4" s="172">
        <f>IF(WEEKDAY(CEK6,12)&gt;=6,0,SUMIFS(tblProjectSchedule[[Skilled]:[Skilled]],tblProjectSchedule[[Start]:[Start]],"&lt;="&amp;CEK6,tblProjectSchedule[[Finish]:[Finish]],"&gt;="&amp;CEK6)+SUMIFS(tblProjectSchedule[[Helpers]:[Helpers]],tblProjectSchedule[[Start]:[Start]],"&lt;="&amp;CEK6,tblProjectSchedule[[Finish]:[Finish]],"&gt;="&amp;CEK6))</f>
        <v>0</v>
      </c>
      <c r="CEL4" s="172">
        <f>IF(WEEKDAY(CEL6,12)&gt;=6,0,SUMIFS(tblProjectSchedule[[Skilled]:[Skilled]],tblProjectSchedule[[Start]:[Start]],"&lt;="&amp;CEL6,tblProjectSchedule[[Finish]:[Finish]],"&gt;="&amp;CEL6)+SUMIFS(tblProjectSchedule[[Helpers]:[Helpers]],tblProjectSchedule[[Start]:[Start]],"&lt;="&amp;CEL6,tblProjectSchedule[[Finish]:[Finish]],"&gt;="&amp;CEL6))</f>
        <v>0</v>
      </c>
      <c r="CEM4" s="172">
        <f>IF(WEEKDAY(CEM6,12)&gt;=6,0,SUMIFS(tblProjectSchedule[[Skilled]:[Skilled]],tblProjectSchedule[[Start]:[Start]],"&lt;="&amp;CEM6,tblProjectSchedule[[Finish]:[Finish]],"&gt;="&amp;CEM6)+SUMIFS(tblProjectSchedule[[Helpers]:[Helpers]],tblProjectSchedule[[Start]:[Start]],"&lt;="&amp;CEM6,tblProjectSchedule[[Finish]:[Finish]],"&gt;="&amp;CEM6))</f>
        <v>0</v>
      </c>
      <c r="CEN4" s="172">
        <f>IF(WEEKDAY(CEN6,12)&gt;=6,0,SUMIFS(tblProjectSchedule[[Skilled]:[Skilled]],tblProjectSchedule[[Start]:[Start]],"&lt;="&amp;CEN6,tblProjectSchedule[[Finish]:[Finish]],"&gt;="&amp;CEN6)+SUMIFS(tblProjectSchedule[[Helpers]:[Helpers]],tblProjectSchedule[[Start]:[Start]],"&lt;="&amp;CEN6,tblProjectSchedule[[Finish]:[Finish]],"&gt;="&amp;CEN6))</f>
        <v>0</v>
      </c>
      <c r="CEO4" s="174">
        <f>IF(WEEKDAY(CEO6,12)&gt;=6,0,SUMIFS(tblProjectSchedule[[Skilled]:[Skilled]],tblProjectSchedule[[Start]:[Start]],"&lt;="&amp;CEO6,tblProjectSchedule[[Finish]:[Finish]],"&gt;="&amp;CEO6)+SUMIFS(tblProjectSchedule[[Helpers]:[Helpers]],tblProjectSchedule[[Start]:[Start]],"&lt;="&amp;CEO6,tblProjectSchedule[[Finish]:[Finish]],"&gt;="&amp;CEO6))</f>
        <v>0</v>
      </c>
      <c r="CEP4" s="173">
        <f>IF(WEEKDAY(CEP6,12)&gt;=6,0,SUMIFS(tblProjectSchedule[[Skilled]:[Skilled]],tblProjectSchedule[[Start]:[Start]],"&lt;="&amp;CEP6,tblProjectSchedule[[Finish]:[Finish]],"&gt;="&amp;CEP6)+SUMIFS(tblProjectSchedule[[Helpers]:[Helpers]],tblProjectSchedule[[Start]:[Start]],"&lt;="&amp;CEP6,tblProjectSchedule[[Finish]:[Finish]],"&gt;="&amp;CEP6))</f>
        <v>0</v>
      </c>
      <c r="CEQ4" s="172">
        <f>IF(WEEKDAY(CEQ6,12)&gt;=6,0,SUMIFS(tblProjectSchedule[[Skilled]:[Skilled]],tblProjectSchedule[[Start]:[Start]],"&lt;="&amp;CEQ6,tblProjectSchedule[[Finish]:[Finish]],"&gt;="&amp;CEQ6)+SUMIFS(tblProjectSchedule[[Helpers]:[Helpers]],tblProjectSchedule[[Start]:[Start]],"&lt;="&amp;CEQ6,tblProjectSchedule[[Finish]:[Finish]],"&gt;="&amp;CEQ6))</f>
        <v>0</v>
      </c>
      <c r="CER4" s="172">
        <f>IF(WEEKDAY(CER6,12)&gt;=6,0,SUMIFS(tblProjectSchedule[[Skilled]:[Skilled]],tblProjectSchedule[[Start]:[Start]],"&lt;="&amp;CER6,tblProjectSchedule[[Finish]:[Finish]],"&gt;="&amp;CER6)+SUMIFS(tblProjectSchedule[[Helpers]:[Helpers]],tblProjectSchedule[[Start]:[Start]],"&lt;="&amp;CER6,tblProjectSchedule[[Finish]:[Finish]],"&gt;="&amp;CER6))</f>
        <v>0</v>
      </c>
      <c r="CES4" s="172">
        <f>IF(WEEKDAY(CES6,12)&gt;=6,0,SUMIFS(tblProjectSchedule[[Skilled]:[Skilled]],tblProjectSchedule[[Start]:[Start]],"&lt;="&amp;CES6,tblProjectSchedule[[Finish]:[Finish]],"&gt;="&amp;CES6)+SUMIFS(tblProjectSchedule[[Helpers]:[Helpers]],tblProjectSchedule[[Start]:[Start]],"&lt;="&amp;CES6,tblProjectSchedule[[Finish]:[Finish]],"&gt;="&amp;CES6))</f>
        <v>0</v>
      </c>
      <c r="CET4" s="172">
        <f>IF(WEEKDAY(CET6,12)&gt;=6,0,SUMIFS(tblProjectSchedule[[Skilled]:[Skilled]],tblProjectSchedule[[Start]:[Start]],"&lt;="&amp;CET6,tblProjectSchedule[[Finish]:[Finish]],"&gt;="&amp;CET6)+SUMIFS(tblProjectSchedule[[Helpers]:[Helpers]],tblProjectSchedule[[Start]:[Start]],"&lt;="&amp;CET6,tblProjectSchedule[[Finish]:[Finish]],"&gt;="&amp;CET6))</f>
        <v>0</v>
      </c>
      <c r="CEU4" s="172">
        <f>IF(WEEKDAY(CEU6,12)&gt;=6,0,SUMIFS(tblProjectSchedule[[Skilled]:[Skilled]],tblProjectSchedule[[Start]:[Start]],"&lt;="&amp;CEU6,tblProjectSchedule[[Finish]:[Finish]],"&gt;="&amp;CEU6)+SUMIFS(tblProjectSchedule[[Helpers]:[Helpers]],tblProjectSchedule[[Start]:[Start]],"&lt;="&amp;CEU6,tblProjectSchedule[[Finish]:[Finish]],"&gt;="&amp;CEU6))</f>
        <v>0</v>
      </c>
      <c r="CEV4" s="174">
        <f>IF(WEEKDAY(CEV6,12)&gt;=6,0,SUMIFS(tblProjectSchedule[[Skilled]:[Skilled]],tblProjectSchedule[[Start]:[Start]],"&lt;="&amp;CEV6,tblProjectSchedule[[Finish]:[Finish]],"&gt;="&amp;CEV6)+SUMIFS(tblProjectSchedule[[Helpers]:[Helpers]],tblProjectSchedule[[Start]:[Start]],"&lt;="&amp;CEV6,tblProjectSchedule[[Finish]:[Finish]],"&gt;="&amp;CEV6))</f>
        <v>0</v>
      </c>
      <c r="CEW4" s="173">
        <f>IF(WEEKDAY(CEW6,12)&gt;=6,0,SUMIFS(tblProjectSchedule[[Skilled]:[Skilled]],tblProjectSchedule[[Start]:[Start]],"&lt;="&amp;CEW6,tblProjectSchedule[[Finish]:[Finish]],"&gt;="&amp;CEW6)+SUMIFS(tblProjectSchedule[[Helpers]:[Helpers]],tblProjectSchedule[[Start]:[Start]],"&lt;="&amp;CEW6,tblProjectSchedule[[Finish]:[Finish]],"&gt;="&amp;CEW6))</f>
        <v>0</v>
      </c>
      <c r="CEX4" s="172">
        <f>IF(WEEKDAY(CEX6,12)&gt;=6,0,SUMIFS(tblProjectSchedule[[Skilled]:[Skilled]],tblProjectSchedule[[Start]:[Start]],"&lt;="&amp;CEX6,tblProjectSchedule[[Finish]:[Finish]],"&gt;="&amp;CEX6)+SUMIFS(tblProjectSchedule[[Helpers]:[Helpers]],tblProjectSchedule[[Start]:[Start]],"&lt;="&amp;CEX6,tblProjectSchedule[[Finish]:[Finish]],"&gt;="&amp;CEX6))</f>
        <v>0</v>
      </c>
      <c r="CEY4" s="172">
        <f>IF(WEEKDAY(CEY6,12)&gt;=6,0,SUMIFS(tblProjectSchedule[[Skilled]:[Skilled]],tblProjectSchedule[[Start]:[Start]],"&lt;="&amp;CEY6,tblProjectSchedule[[Finish]:[Finish]],"&gt;="&amp;CEY6)+SUMIFS(tblProjectSchedule[[Helpers]:[Helpers]],tblProjectSchedule[[Start]:[Start]],"&lt;="&amp;CEY6,tblProjectSchedule[[Finish]:[Finish]],"&gt;="&amp;CEY6))</f>
        <v>0</v>
      </c>
      <c r="CEZ4" s="172">
        <f>IF(WEEKDAY(CEZ6,12)&gt;=6,0,SUMIFS(tblProjectSchedule[[Skilled]:[Skilled]],tblProjectSchedule[[Start]:[Start]],"&lt;="&amp;CEZ6,tblProjectSchedule[[Finish]:[Finish]],"&gt;="&amp;CEZ6)+SUMIFS(tblProjectSchedule[[Helpers]:[Helpers]],tblProjectSchedule[[Start]:[Start]],"&lt;="&amp;CEZ6,tblProjectSchedule[[Finish]:[Finish]],"&gt;="&amp;CEZ6))</f>
        <v>0</v>
      </c>
      <c r="CFA4" s="172">
        <f>IF(WEEKDAY(CFA6,12)&gt;=6,0,SUMIFS(tblProjectSchedule[[Skilled]:[Skilled]],tblProjectSchedule[[Start]:[Start]],"&lt;="&amp;CFA6,tblProjectSchedule[[Finish]:[Finish]],"&gt;="&amp;CFA6)+SUMIFS(tblProjectSchedule[[Helpers]:[Helpers]],tblProjectSchedule[[Start]:[Start]],"&lt;="&amp;CFA6,tblProjectSchedule[[Finish]:[Finish]],"&gt;="&amp;CFA6))</f>
        <v>0</v>
      </c>
      <c r="CFB4" s="172">
        <f>IF(WEEKDAY(CFB6,12)&gt;=6,0,SUMIFS(tblProjectSchedule[[Skilled]:[Skilled]],tblProjectSchedule[[Start]:[Start]],"&lt;="&amp;CFB6,tblProjectSchedule[[Finish]:[Finish]],"&gt;="&amp;CFB6)+SUMIFS(tblProjectSchedule[[Helpers]:[Helpers]],tblProjectSchedule[[Start]:[Start]],"&lt;="&amp;CFB6,tblProjectSchedule[[Finish]:[Finish]],"&gt;="&amp;CFB6))</f>
        <v>0</v>
      </c>
      <c r="CFC4" s="174">
        <f>IF(WEEKDAY(CFC6,12)&gt;=6,0,SUMIFS(tblProjectSchedule[[Skilled]:[Skilled]],tblProjectSchedule[[Start]:[Start]],"&lt;="&amp;CFC6,tblProjectSchedule[[Finish]:[Finish]],"&gt;="&amp;CFC6)+SUMIFS(tblProjectSchedule[[Helpers]:[Helpers]],tblProjectSchedule[[Start]:[Start]],"&lt;="&amp;CFC6,tblProjectSchedule[[Finish]:[Finish]],"&gt;="&amp;CFC6))</f>
        <v>0</v>
      </c>
      <c r="CFD4" s="173">
        <f>IF(WEEKDAY(CFD6,12)&gt;=6,0,SUMIFS(tblProjectSchedule[[Skilled]:[Skilled]],tblProjectSchedule[[Start]:[Start]],"&lt;="&amp;CFD6,tblProjectSchedule[[Finish]:[Finish]],"&gt;="&amp;CFD6)+SUMIFS(tblProjectSchedule[[Helpers]:[Helpers]],tblProjectSchedule[[Start]:[Start]],"&lt;="&amp;CFD6,tblProjectSchedule[[Finish]:[Finish]],"&gt;="&amp;CFD6))</f>
        <v>0</v>
      </c>
      <c r="CFE4" s="172">
        <f>IF(WEEKDAY(CFE6,12)&gt;=6,0,SUMIFS(tblProjectSchedule[[Skilled]:[Skilled]],tblProjectSchedule[[Start]:[Start]],"&lt;="&amp;CFE6,tblProjectSchedule[[Finish]:[Finish]],"&gt;="&amp;CFE6)+SUMIFS(tblProjectSchedule[[Helpers]:[Helpers]],tblProjectSchedule[[Start]:[Start]],"&lt;="&amp;CFE6,tblProjectSchedule[[Finish]:[Finish]],"&gt;="&amp;CFE6))</f>
        <v>0</v>
      </c>
      <c r="CFF4" s="172">
        <f>IF(WEEKDAY(CFF6,12)&gt;=6,0,SUMIFS(tblProjectSchedule[[Skilled]:[Skilled]],tblProjectSchedule[[Start]:[Start]],"&lt;="&amp;CFF6,tblProjectSchedule[[Finish]:[Finish]],"&gt;="&amp;CFF6)+SUMIFS(tblProjectSchedule[[Helpers]:[Helpers]],tblProjectSchedule[[Start]:[Start]],"&lt;="&amp;CFF6,tblProjectSchedule[[Finish]:[Finish]],"&gt;="&amp;CFF6))</f>
        <v>0</v>
      </c>
      <c r="CFG4" s="172">
        <f>IF(WEEKDAY(CFG6,12)&gt;=6,0,SUMIFS(tblProjectSchedule[[Skilled]:[Skilled]],tblProjectSchedule[[Start]:[Start]],"&lt;="&amp;CFG6,tblProjectSchedule[[Finish]:[Finish]],"&gt;="&amp;CFG6)+SUMIFS(tblProjectSchedule[[Helpers]:[Helpers]],tblProjectSchedule[[Start]:[Start]],"&lt;="&amp;CFG6,tblProjectSchedule[[Finish]:[Finish]],"&gt;="&amp;CFG6))</f>
        <v>0</v>
      </c>
      <c r="CFH4" s="172">
        <f>IF(WEEKDAY(CFH6,12)&gt;=6,0,SUMIFS(tblProjectSchedule[[Skilled]:[Skilled]],tblProjectSchedule[[Start]:[Start]],"&lt;="&amp;CFH6,tblProjectSchedule[[Finish]:[Finish]],"&gt;="&amp;CFH6)+SUMIFS(tblProjectSchedule[[Helpers]:[Helpers]],tblProjectSchedule[[Start]:[Start]],"&lt;="&amp;CFH6,tblProjectSchedule[[Finish]:[Finish]],"&gt;="&amp;CFH6))</f>
        <v>0</v>
      </c>
      <c r="CFI4" s="172">
        <f>IF(WEEKDAY(CFI6,12)&gt;=6,0,SUMIFS(tblProjectSchedule[[Skilled]:[Skilled]],tblProjectSchedule[[Start]:[Start]],"&lt;="&amp;CFI6,tblProjectSchedule[[Finish]:[Finish]],"&gt;="&amp;CFI6)+SUMIFS(tblProjectSchedule[[Helpers]:[Helpers]],tblProjectSchedule[[Start]:[Start]],"&lt;="&amp;CFI6,tblProjectSchedule[[Finish]:[Finish]],"&gt;="&amp;CFI6))</f>
        <v>0</v>
      </c>
      <c r="CFJ4" s="174">
        <f>IF(WEEKDAY(CFJ6,12)&gt;=6,0,SUMIFS(tblProjectSchedule[[Skilled]:[Skilled]],tblProjectSchedule[[Start]:[Start]],"&lt;="&amp;CFJ6,tblProjectSchedule[[Finish]:[Finish]],"&gt;="&amp;CFJ6)+SUMIFS(tblProjectSchedule[[Helpers]:[Helpers]],tblProjectSchedule[[Start]:[Start]],"&lt;="&amp;CFJ6,tblProjectSchedule[[Finish]:[Finish]],"&gt;="&amp;CFJ6))</f>
        <v>0</v>
      </c>
      <c r="CFK4" s="173">
        <f>IF(WEEKDAY(CFK6,12)&gt;=6,0,SUMIFS(tblProjectSchedule[[Skilled]:[Skilled]],tblProjectSchedule[[Start]:[Start]],"&lt;="&amp;CFK6,tblProjectSchedule[[Finish]:[Finish]],"&gt;="&amp;CFK6)+SUMIFS(tblProjectSchedule[[Helpers]:[Helpers]],tblProjectSchedule[[Start]:[Start]],"&lt;="&amp;CFK6,tblProjectSchedule[[Finish]:[Finish]],"&gt;="&amp;CFK6))</f>
        <v>0</v>
      </c>
      <c r="CFL4" s="172">
        <f>IF(WEEKDAY(CFL6,12)&gt;=6,0,SUMIFS(tblProjectSchedule[[Skilled]:[Skilled]],tblProjectSchedule[[Start]:[Start]],"&lt;="&amp;CFL6,tblProjectSchedule[[Finish]:[Finish]],"&gt;="&amp;CFL6)+SUMIFS(tblProjectSchedule[[Helpers]:[Helpers]],tblProjectSchedule[[Start]:[Start]],"&lt;="&amp;CFL6,tblProjectSchedule[[Finish]:[Finish]],"&gt;="&amp;CFL6))</f>
        <v>0</v>
      </c>
      <c r="CFM4" s="172">
        <f>IF(WEEKDAY(CFM6,12)&gt;=6,0,SUMIFS(tblProjectSchedule[[Skilled]:[Skilled]],tblProjectSchedule[[Start]:[Start]],"&lt;="&amp;CFM6,tblProjectSchedule[[Finish]:[Finish]],"&gt;="&amp;CFM6)+SUMIFS(tblProjectSchedule[[Helpers]:[Helpers]],tblProjectSchedule[[Start]:[Start]],"&lt;="&amp;CFM6,tblProjectSchedule[[Finish]:[Finish]],"&gt;="&amp;CFM6))</f>
        <v>0</v>
      </c>
      <c r="CFN4" s="175"/>
      <c r="CFO4" s="175"/>
      <c r="CFP4" s="175"/>
      <c r="CFQ4" s="175"/>
    </row>
    <row r="5" spans="1:2201">
      <c r="C5" s="166"/>
      <c r="E5" s="170"/>
      <c r="F5" s="176" t="s">
        <v>540</v>
      </c>
      <c r="G5" s="176" t="s">
        <v>541</v>
      </c>
      <c r="H5" s="176" t="s">
        <v>540</v>
      </c>
      <c r="I5" s="176" t="s">
        <v>542</v>
      </c>
      <c r="J5" s="177" t="s">
        <v>543</v>
      </c>
      <c r="K5" s="178" t="s">
        <v>543</v>
      </c>
      <c r="L5" s="177" t="s">
        <v>544</v>
      </c>
      <c r="M5" s="177" t="s">
        <v>540</v>
      </c>
      <c r="N5" s="177" t="s">
        <v>541</v>
      </c>
      <c r="O5" s="177" t="s">
        <v>540</v>
      </c>
      <c r="P5" s="177" t="s">
        <v>542</v>
      </c>
      <c r="Q5" s="179" t="s">
        <v>543</v>
      </c>
      <c r="R5" s="178" t="s">
        <v>543</v>
      </c>
      <c r="S5" s="177" t="s">
        <v>544</v>
      </c>
      <c r="T5" s="177" t="s">
        <v>540</v>
      </c>
      <c r="U5" s="177" t="s">
        <v>541</v>
      </c>
      <c r="V5" s="177" t="s">
        <v>540</v>
      </c>
      <c r="W5" s="177" t="s">
        <v>542</v>
      </c>
      <c r="X5" s="179" t="s">
        <v>543</v>
      </c>
      <c r="Y5" s="178" t="s">
        <v>543</v>
      </c>
      <c r="Z5" s="177" t="s">
        <v>544</v>
      </c>
      <c r="AA5" s="177" t="s">
        <v>540</v>
      </c>
      <c r="AB5" s="177" t="s">
        <v>541</v>
      </c>
      <c r="AC5" s="177" t="s">
        <v>540</v>
      </c>
      <c r="AD5" s="177" t="s">
        <v>542</v>
      </c>
      <c r="AE5" s="179" t="s">
        <v>543</v>
      </c>
      <c r="AF5" s="178" t="s">
        <v>543</v>
      </c>
      <c r="AG5" s="177" t="s">
        <v>544</v>
      </c>
      <c r="AH5" s="177" t="s">
        <v>540</v>
      </c>
      <c r="AI5" s="177" t="s">
        <v>541</v>
      </c>
      <c r="AJ5" s="177" t="s">
        <v>540</v>
      </c>
      <c r="AK5" s="177" t="s">
        <v>542</v>
      </c>
      <c r="AL5" s="179" t="s">
        <v>543</v>
      </c>
      <c r="AM5" s="178" t="s">
        <v>543</v>
      </c>
      <c r="AN5" s="177" t="s">
        <v>544</v>
      </c>
      <c r="AO5" s="177" t="s">
        <v>540</v>
      </c>
      <c r="AP5" s="177" t="s">
        <v>541</v>
      </c>
      <c r="AQ5" s="177" t="s">
        <v>540</v>
      </c>
      <c r="AR5" s="177" t="s">
        <v>542</v>
      </c>
      <c r="AS5" s="179" t="s">
        <v>543</v>
      </c>
      <c r="AT5" s="178" t="s">
        <v>543</v>
      </c>
      <c r="AU5" s="177" t="s">
        <v>544</v>
      </c>
      <c r="AV5" s="177" t="s">
        <v>540</v>
      </c>
      <c r="AW5" s="177" t="s">
        <v>541</v>
      </c>
      <c r="AX5" s="177" t="s">
        <v>540</v>
      </c>
      <c r="AY5" s="177" t="s">
        <v>542</v>
      </c>
      <c r="AZ5" s="179" t="s">
        <v>543</v>
      </c>
      <c r="BA5" s="178" t="s">
        <v>543</v>
      </c>
      <c r="BB5" s="177" t="s">
        <v>544</v>
      </c>
      <c r="BC5" s="177" t="s">
        <v>540</v>
      </c>
      <c r="BD5" s="177" t="s">
        <v>541</v>
      </c>
      <c r="BE5" s="177" t="s">
        <v>540</v>
      </c>
      <c r="BF5" s="177" t="s">
        <v>542</v>
      </c>
      <c r="BG5" s="179" t="s">
        <v>543</v>
      </c>
      <c r="BH5" s="178" t="s">
        <v>543</v>
      </c>
      <c r="BI5" s="177" t="s">
        <v>544</v>
      </c>
      <c r="BJ5" s="177" t="s">
        <v>540</v>
      </c>
      <c r="BK5" s="177" t="s">
        <v>541</v>
      </c>
      <c r="BL5" s="177" t="s">
        <v>540</v>
      </c>
      <c r="BM5" s="177" t="s">
        <v>542</v>
      </c>
      <c r="BN5" s="179" t="s">
        <v>543</v>
      </c>
      <c r="BO5" s="178" t="s">
        <v>543</v>
      </c>
      <c r="BP5" s="177" t="s">
        <v>544</v>
      </c>
      <c r="BQ5" s="177" t="s">
        <v>540</v>
      </c>
      <c r="BR5" s="177" t="s">
        <v>541</v>
      </c>
      <c r="BS5" s="177" t="s">
        <v>540</v>
      </c>
      <c r="BT5" s="177" t="s">
        <v>542</v>
      </c>
      <c r="BU5" s="179" t="s">
        <v>543</v>
      </c>
      <c r="BV5" s="178" t="s">
        <v>543</v>
      </c>
      <c r="BW5" s="177" t="s">
        <v>544</v>
      </c>
      <c r="BX5" s="177" t="s">
        <v>540</v>
      </c>
      <c r="BY5" s="177" t="s">
        <v>541</v>
      </c>
      <c r="BZ5" s="177" t="s">
        <v>540</v>
      </c>
      <c r="CA5" s="177" t="s">
        <v>542</v>
      </c>
      <c r="CB5" s="179" t="s">
        <v>543</v>
      </c>
      <c r="CC5" s="178" t="s">
        <v>543</v>
      </c>
      <c r="CD5" s="177" t="s">
        <v>544</v>
      </c>
      <c r="CE5" s="177" t="s">
        <v>540</v>
      </c>
      <c r="CF5" s="177" t="s">
        <v>541</v>
      </c>
      <c r="CG5" s="177" t="s">
        <v>540</v>
      </c>
      <c r="CH5" s="177" t="s">
        <v>542</v>
      </c>
      <c r="CI5" s="179" t="s">
        <v>543</v>
      </c>
      <c r="CJ5" s="178" t="s">
        <v>543</v>
      </c>
      <c r="CK5" s="177" t="s">
        <v>544</v>
      </c>
      <c r="CL5" s="177" t="s">
        <v>540</v>
      </c>
      <c r="CM5" s="177" t="s">
        <v>541</v>
      </c>
      <c r="CN5" s="177" t="s">
        <v>540</v>
      </c>
      <c r="CO5" s="177" t="s">
        <v>542</v>
      </c>
      <c r="CP5" s="179" t="s">
        <v>543</v>
      </c>
      <c r="CQ5" s="178" t="s">
        <v>543</v>
      </c>
      <c r="CR5" s="177" t="s">
        <v>544</v>
      </c>
      <c r="CS5" s="177" t="s">
        <v>540</v>
      </c>
      <c r="CT5" s="177" t="s">
        <v>541</v>
      </c>
      <c r="CU5" s="177" t="s">
        <v>540</v>
      </c>
      <c r="CV5" s="177" t="s">
        <v>542</v>
      </c>
      <c r="CW5" s="179" t="s">
        <v>543</v>
      </c>
      <c r="CX5" s="178" t="s">
        <v>543</v>
      </c>
      <c r="CY5" s="177" t="s">
        <v>544</v>
      </c>
      <c r="CZ5" s="177" t="s">
        <v>540</v>
      </c>
      <c r="DA5" s="177" t="s">
        <v>541</v>
      </c>
      <c r="DB5" s="177" t="s">
        <v>540</v>
      </c>
      <c r="DC5" s="177" t="s">
        <v>542</v>
      </c>
      <c r="DD5" s="179" t="s">
        <v>543</v>
      </c>
      <c r="DE5" s="178" t="s">
        <v>543</v>
      </c>
      <c r="DF5" s="177" t="s">
        <v>544</v>
      </c>
      <c r="DG5" s="177" t="s">
        <v>540</v>
      </c>
      <c r="DH5" s="177" t="s">
        <v>541</v>
      </c>
      <c r="DI5" s="177" t="s">
        <v>540</v>
      </c>
      <c r="DJ5" s="177" t="s">
        <v>542</v>
      </c>
      <c r="DK5" s="179" t="s">
        <v>543</v>
      </c>
      <c r="DL5" s="178" t="s">
        <v>543</v>
      </c>
      <c r="DM5" s="177" t="s">
        <v>544</v>
      </c>
      <c r="DN5" s="177" t="s">
        <v>540</v>
      </c>
      <c r="DO5" s="177" t="s">
        <v>541</v>
      </c>
      <c r="DP5" s="177" t="s">
        <v>540</v>
      </c>
      <c r="DQ5" s="177" t="s">
        <v>542</v>
      </c>
      <c r="DR5" s="179" t="s">
        <v>543</v>
      </c>
      <c r="DS5" s="178" t="s">
        <v>543</v>
      </c>
      <c r="DT5" s="177" t="s">
        <v>544</v>
      </c>
      <c r="DU5" s="177" t="s">
        <v>540</v>
      </c>
      <c r="DV5" s="177" t="s">
        <v>541</v>
      </c>
      <c r="DW5" s="177" t="s">
        <v>540</v>
      </c>
      <c r="DX5" s="177" t="s">
        <v>542</v>
      </c>
      <c r="DY5" s="179" t="s">
        <v>543</v>
      </c>
      <c r="DZ5" s="178" t="s">
        <v>543</v>
      </c>
      <c r="EA5" s="177" t="s">
        <v>544</v>
      </c>
      <c r="EB5" s="177" t="s">
        <v>540</v>
      </c>
      <c r="EC5" s="177" t="s">
        <v>541</v>
      </c>
      <c r="ED5" s="177" t="s">
        <v>540</v>
      </c>
      <c r="EE5" s="177" t="s">
        <v>542</v>
      </c>
      <c r="EF5" s="179" t="s">
        <v>543</v>
      </c>
      <c r="EG5" s="178" t="s">
        <v>543</v>
      </c>
      <c r="EH5" s="177" t="s">
        <v>544</v>
      </c>
      <c r="EI5" s="177" t="s">
        <v>540</v>
      </c>
      <c r="EJ5" s="177" t="s">
        <v>541</v>
      </c>
      <c r="EK5" s="177" t="s">
        <v>540</v>
      </c>
      <c r="EL5" s="177" t="s">
        <v>542</v>
      </c>
      <c r="EM5" s="179" t="s">
        <v>543</v>
      </c>
      <c r="EN5" s="178" t="s">
        <v>543</v>
      </c>
      <c r="EO5" s="177" t="s">
        <v>544</v>
      </c>
      <c r="EP5" s="177" t="s">
        <v>540</v>
      </c>
      <c r="EQ5" s="177" t="s">
        <v>541</v>
      </c>
      <c r="ER5" s="177" t="s">
        <v>540</v>
      </c>
      <c r="ES5" s="177" t="s">
        <v>542</v>
      </c>
      <c r="ET5" s="179" t="s">
        <v>543</v>
      </c>
      <c r="EU5" s="178" t="s">
        <v>543</v>
      </c>
      <c r="EV5" s="177" t="s">
        <v>544</v>
      </c>
      <c r="EW5" s="177" t="s">
        <v>540</v>
      </c>
      <c r="EX5" s="177" t="s">
        <v>541</v>
      </c>
      <c r="EY5" s="177" t="s">
        <v>540</v>
      </c>
      <c r="EZ5" s="177" t="s">
        <v>542</v>
      </c>
      <c r="FA5" s="179" t="s">
        <v>543</v>
      </c>
      <c r="FB5" s="178" t="s">
        <v>543</v>
      </c>
      <c r="FC5" s="177" t="s">
        <v>544</v>
      </c>
      <c r="FD5" s="177" t="s">
        <v>540</v>
      </c>
      <c r="FE5" s="177" t="s">
        <v>541</v>
      </c>
      <c r="FF5" s="177" t="s">
        <v>540</v>
      </c>
      <c r="FG5" s="177" t="s">
        <v>542</v>
      </c>
      <c r="FH5" s="179" t="s">
        <v>543</v>
      </c>
      <c r="FI5" s="178" t="s">
        <v>543</v>
      </c>
      <c r="FJ5" s="177" t="s">
        <v>544</v>
      </c>
      <c r="FK5" s="177" t="s">
        <v>540</v>
      </c>
      <c r="FL5" s="177" t="s">
        <v>541</v>
      </c>
      <c r="FM5" s="177" t="s">
        <v>540</v>
      </c>
      <c r="FN5" s="177" t="s">
        <v>542</v>
      </c>
      <c r="FO5" s="179" t="s">
        <v>543</v>
      </c>
      <c r="FP5" s="178" t="s">
        <v>543</v>
      </c>
      <c r="FQ5" s="177" t="s">
        <v>544</v>
      </c>
      <c r="FR5" s="177" t="s">
        <v>540</v>
      </c>
      <c r="FS5" s="177" t="s">
        <v>541</v>
      </c>
      <c r="FT5" s="177" t="s">
        <v>540</v>
      </c>
      <c r="FU5" s="177" t="s">
        <v>542</v>
      </c>
      <c r="FV5" s="179" t="s">
        <v>543</v>
      </c>
      <c r="FW5" s="178" t="s">
        <v>543</v>
      </c>
      <c r="FX5" s="177" t="s">
        <v>544</v>
      </c>
      <c r="FY5" s="177" t="s">
        <v>540</v>
      </c>
      <c r="FZ5" s="177" t="s">
        <v>541</v>
      </c>
      <c r="GA5" s="177" t="s">
        <v>540</v>
      </c>
      <c r="GB5" s="177" t="s">
        <v>542</v>
      </c>
      <c r="GC5" s="179" t="s">
        <v>543</v>
      </c>
      <c r="GD5" s="178" t="s">
        <v>543</v>
      </c>
      <c r="GE5" s="177" t="s">
        <v>544</v>
      </c>
      <c r="GF5" s="177" t="s">
        <v>540</v>
      </c>
      <c r="GG5" s="177" t="s">
        <v>541</v>
      </c>
      <c r="GH5" s="177" t="s">
        <v>540</v>
      </c>
      <c r="GI5" s="177" t="s">
        <v>542</v>
      </c>
      <c r="GJ5" s="179" t="s">
        <v>543</v>
      </c>
      <c r="GK5" s="178" t="s">
        <v>543</v>
      </c>
      <c r="GL5" s="177" t="s">
        <v>544</v>
      </c>
      <c r="GM5" s="177" t="s">
        <v>540</v>
      </c>
      <c r="GN5" s="177" t="s">
        <v>541</v>
      </c>
      <c r="GO5" s="177" t="s">
        <v>540</v>
      </c>
      <c r="GP5" s="177" t="s">
        <v>542</v>
      </c>
      <c r="GQ5" s="179" t="s">
        <v>543</v>
      </c>
      <c r="GR5" s="178" t="s">
        <v>543</v>
      </c>
      <c r="GS5" s="177" t="s">
        <v>544</v>
      </c>
      <c r="GT5" s="177" t="s">
        <v>540</v>
      </c>
      <c r="GU5" s="177" t="s">
        <v>541</v>
      </c>
      <c r="GV5" s="177" t="s">
        <v>540</v>
      </c>
      <c r="GW5" s="177" t="s">
        <v>542</v>
      </c>
      <c r="GX5" s="179" t="s">
        <v>543</v>
      </c>
      <c r="GY5" s="178" t="s">
        <v>543</v>
      </c>
      <c r="GZ5" s="177" t="s">
        <v>544</v>
      </c>
      <c r="HA5" s="177" t="s">
        <v>540</v>
      </c>
      <c r="HB5" s="177" t="s">
        <v>541</v>
      </c>
      <c r="HC5" s="177" t="s">
        <v>540</v>
      </c>
      <c r="HD5" s="177" t="s">
        <v>542</v>
      </c>
      <c r="HE5" s="179" t="s">
        <v>543</v>
      </c>
      <c r="HF5" s="178" t="s">
        <v>543</v>
      </c>
      <c r="HG5" s="177" t="s">
        <v>544</v>
      </c>
      <c r="HH5" s="177" t="s">
        <v>540</v>
      </c>
      <c r="HI5" s="177" t="s">
        <v>541</v>
      </c>
      <c r="HJ5" s="177" t="s">
        <v>540</v>
      </c>
      <c r="HK5" s="177" t="s">
        <v>542</v>
      </c>
      <c r="HL5" s="179" t="s">
        <v>543</v>
      </c>
      <c r="HM5" s="178" t="s">
        <v>543</v>
      </c>
      <c r="HN5" s="177" t="s">
        <v>544</v>
      </c>
      <c r="HO5" s="177" t="s">
        <v>540</v>
      </c>
      <c r="HP5" s="177" t="s">
        <v>541</v>
      </c>
      <c r="HQ5" s="177" t="s">
        <v>540</v>
      </c>
      <c r="HR5" s="177" t="s">
        <v>542</v>
      </c>
      <c r="HS5" s="179" t="s">
        <v>543</v>
      </c>
      <c r="HT5" s="178" t="s">
        <v>543</v>
      </c>
      <c r="HU5" s="177" t="s">
        <v>544</v>
      </c>
      <c r="HV5" s="177" t="s">
        <v>540</v>
      </c>
      <c r="HW5" s="177" t="s">
        <v>541</v>
      </c>
      <c r="HX5" s="177" t="s">
        <v>540</v>
      </c>
      <c r="HY5" s="177" t="s">
        <v>542</v>
      </c>
      <c r="HZ5" s="179" t="s">
        <v>543</v>
      </c>
      <c r="IA5" s="178" t="s">
        <v>543</v>
      </c>
      <c r="IB5" s="177" t="s">
        <v>544</v>
      </c>
      <c r="IC5" s="177" t="s">
        <v>540</v>
      </c>
      <c r="ID5" s="177" t="s">
        <v>541</v>
      </c>
      <c r="IE5" s="177" t="s">
        <v>540</v>
      </c>
      <c r="IF5" s="177" t="s">
        <v>542</v>
      </c>
      <c r="IG5" s="179" t="s">
        <v>543</v>
      </c>
      <c r="IH5" s="178" t="s">
        <v>543</v>
      </c>
      <c r="II5" s="177" t="s">
        <v>544</v>
      </c>
      <c r="IJ5" s="177" t="s">
        <v>540</v>
      </c>
      <c r="IK5" s="177" t="s">
        <v>541</v>
      </c>
      <c r="IL5" s="177" t="s">
        <v>540</v>
      </c>
      <c r="IM5" s="177" t="s">
        <v>542</v>
      </c>
      <c r="IN5" s="179" t="s">
        <v>543</v>
      </c>
      <c r="IO5" s="178" t="s">
        <v>543</v>
      </c>
      <c r="IP5" s="177" t="s">
        <v>544</v>
      </c>
      <c r="IQ5" s="177" t="s">
        <v>540</v>
      </c>
      <c r="IR5" s="177" t="s">
        <v>541</v>
      </c>
      <c r="IS5" s="177" t="s">
        <v>540</v>
      </c>
      <c r="IT5" s="177" t="s">
        <v>542</v>
      </c>
      <c r="IU5" s="179" t="s">
        <v>543</v>
      </c>
      <c r="IV5" s="178" t="s">
        <v>543</v>
      </c>
      <c r="IW5" s="177" t="s">
        <v>544</v>
      </c>
      <c r="IX5" s="177" t="s">
        <v>540</v>
      </c>
      <c r="IY5" s="177" t="s">
        <v>541</v>
      </c>
      <c r="IZ5" s="177" t="s">
        <v>540</v>
      </c>
      <c r="JA5" s="177" t="s">
        <v>542</v>
      </c>
      <c r="JB5" s="179" t="s">
        <v>543</v>
      </c>
      <c r="JC5" s="178" t="s">
        <v>543</v>
      </c>
      <c r="JD5" s="177" t="s">
        <v>544</v>
      </c>
      <c r="JE5" s="177" t="s">
        <v>540</v>
      </c>
      <c r="JF5" s="177" t="s">
        <v>541</v>
      </c>
      <c r="JG5" s="177" t="s">
        <v>540</v>
      </c>
      <c r="JH5" s="177" t="s">
        <v>542</v>
      </c>
      <c r="JI5" s="179" t="s">
        <v>543</v>
      </c>
      <c r="JJ5" s="178" t="s">
        <v>543</v>
      </c>
      <c r="JK5" s="177" t="s">
        <v>544</v>
      </c>
      <c r="JL5" s="177" t="s">
        <v>540</v>
      </c>
      <c r="JM5" s="177" t="s">
        <v>541</v>
      </c>
      <c r="JN5" s="177" t="s">
        <v>540</v>
      </c>
      <c r="JO5" s="177" t="s">
        <v>542</v>
      </c>
      <c r="JP5" s="179" t="s">
        <v>543</v>
      </c>
      <c r="JQ5" s="178" t="s">
        <v>543</v>
      </c>
      <c r="JR5" s="177" t="s">
        <v>544</v>
      </c>
      <c r="JS5" s="177" t="s">
        <v>540</v>
      </c>
      <c r="JT5" s="177" t="s">
        <v>541</v>
      </c>
      <c r="JU5" s="177" t="s">
        <v>540</v>
      </c>
      <c r="JV5" s="177" t="s">
        <v>542</v>
      </c>
      <c r="JW5" s="179" t="s">
        <v>543</v>
      </c>
      <c r="JX5" s="178" t="s">
        <v>543</v>
      </c>
      <c r="JY5" s="177" t="s">
        <v>544</v>
      </c>
      <c r="JZ5" s="177" t="s">
        <v>540</v>
      </c>
      <c r="KA5" s="177" t="s">
        <v>541</v>
      </c>
      <c r="KB5" s="177" t="s">
        <v>540</v>
      </c>
      <c r="KC5" s="177" t="s">
        <v>542</v>
      </c>
      <c r="KD5" s="179" t="s">
        <v>543</v>
      </c>
      <c r="KE5" s="178" t="s">
        <v>543</v>
      </c>
      <c r="KF5" s="177" t="s">
        <v>544</v>
      </c>
      <c r="KG5" s="177" t="s">
        <v>540</v>
      </c>
      <c r="KH5" s="177" t="s">
        <v>541</v>
      </c>
      <c r="KI5" s="177" t="s">
        <v>540</v>
      </c>
      <c r="KJ5" s="177" t="s">
        <v>542</v>
      </c>
      <c r="KK5" s="179" t="s">
        <v>543</v>
      </c>
      <c r="KL5" s="178" t="s">
        <v>543</v>
      </c>
      <c r="KM5" s="177" t="s">
        <v>544</v>
      </c>
      <c r="KN5" s="177" t="s">
        <v>540</v>
      </c>
      <c r="KO5" s="177" t="s">
        <v>541</v>
      </c>
      <c r="KP5" s="177" t="s">
        <v>540</v>
      </c>
      <c r="KQ5" s="177" t="s">
        <v>542</v>
      </c>
      <c r="KR5" s="179" t="s">
        <v>543</v>
      </c>
      <c r="KS5" s="178" t="s">
        <v>543</v>
      </c>
      <c r="KT5" s="177" t="s">
        <v>544</v>
      </c>
      <c r="KU5" s="177" t="s">
        <v>540</v>
      </c>
      <c r="KV5" s="177" t="s">
        <v>541</v>
      </c>
      <c r="KW5" s="177" t="s">
        <v>540</v>
      </c>
      <c r="KX5" s="177" t="s">
        <v>542</v>
      </c>
      <c r="KY5" s="179" t="s">
        <v>543</v>
      </c>
      <c r="KZ5" s="178" t="s">
        <v>543</v>
      </c>
      <c r="LA5" s="177" t="s">
        <v>544</v>
      </c>
      <c r="LB5" s="177" t="s">
        <v>540</v>
      </c>
      <c r="LC5" s="177" t="s">
        <v>541</v>
      </c>
      <c r="LD5" s="177" t="s">
        <v>540</v>
      </c>
      <c r="LE5" s="177" t="s">
        <v>542</v>
      </c>
      <c r="LF5" s="179" t="s">
        <v>543</v>
      </c>
      <c r="LG5" s="178" t="s">
        <v>543</v>
      </c>
      <c r="LH5" s="177" t="s">
        <v>544</v>
      </c>
      <c r="LI5" s="177" t="s">
        <v>540</v>
      </c>
      <c r="LJ5" s="177" t="s">
        <v>541</v>
      </c>
      <c r="LK5" s="177" t="s">
        <v>540</v>
      </c>
      <c r="LL5" s="177" t="s">
        <v>542</v>
      </c>
      <c r="LM5" s="179" t="s">
        <v>543</v>
      </c>
      <c r="LN5" s="178" t="s">
        <v>543</v>
      </c>
      <c r="LO5" s="177" t="s">
        <v>544</v>
      </c>
      <c r="LP5" s="177" t="s">
        <v>540</v>
      </c>
      <c r="LQ5" s="177" t="s">
        <v>541</v>
      </c>
      <c r="LR5" s="177" t="s">
        <v>540</v>
      </c>
      <c r="LS5" s="177" t="s">
        <v>542</v>
      </c>
      <c r="LT5" s="179" t="s">
        <v>543</v>
      </c>
      <c r="LU5" s="178" t="s">
        <v>543</v>
      </c>
      <c r="LV5" s="177" t="s">
        <v>544</v>
      </c>
      <c r="LW5" s="177" t="s">
        <v>540</v>
      </c>
      <c r="LX5" s="177" t="s">
        <v>541</v>
      </c>
      <c r="LY5" s="177" t="s">
        <v>540</v>
      </c>
      <c r="LZ5" s="177" t="s">
        <v>542</v>
      </c>
      <c r="MA5" s="179" t="s">
        <v>543</v>
      </c>
      <c r="MB5" s="178" t="s">
        <v>543</v>
      </c>
      <c r="MC5" s="177" t="s">
        <v>544</v>
      </c>
      <c r="MD5" s="177" t="s">
        <v>540</v>
      </c>
      <c r="ME5" s="177" t="s">
        <v>541</v>
      </c>
      <c r="MF5" s="177" t="s">
        <v>540</v>
      </c>
      <c r="MG5" s="177" t="s">
        <v>542</v>
      </c>
      <c r="MH5" s="179" t="s">
        <v>543</v>
      </c>
      <c r="MI5" s="178" t="s">
        <v>543</v>
      </c>
      <c r="MJ5" s="177" t="s">
        <v>544</v>
      </c>
      <c r="MK5" s="177" t="s">
        <v>540</v>
      </c>
      <c r="ML5" s="177" t="s">
        <v>541</v>
      </c>
      <c r="MM5" s="177" t="s">
        <v>540</v>
      </c>
      <c r="MN5" s="177" t="s">
        <v>542</v>
      </c>
      <c r="MO5" s="179" t="s">
        <v>543</v>
      </c>
      <c r="MP5" s="178" t="s">
        <v>543</v>
      </c>
      <c r="MQ5" s="177" t="s">
        <v>544</v>
      </c>
      <c r="MR5" s="177" t="s">
        <v>540</v>
      </c>
      <c r="MS5" s="177" t="s">
        <v>541</v>
      </c>
      <c r="MT5" s="177" t="s">
        <v>540</v>
      </c>
      <c r="MU5" s="177" t="s">
        <v>542</v>
      </c>
      <c r="MV5" s="179" t="s">
        <v>543</v>
      </c>
      <c r="MW5" s="178" t="s">
        <v>543</v>
      </c>
      <c r="MX5" s="177" t="s">
        <v>544</v>
      </c>
      <c r="MY5" s="177" t="s">
        <v>540</v>
      </c>
      <c r="MZ5" s="177" t="s">
        <v>541</v>
      </c>
      <c r="NA5" s="177" t="s">
        <v>540</v>
      </c>
      <c r="NB5" s="177" t="s">
        <v>542</v>
      </c>
      <c r="NC5" s="179" t="s">
        <v>543</v>
      </c>
      <c r="ND5" s="178" t="s">
        <v>543</v>
      </c>
      <c r="NE5" s="177" t="s">
        <v>544</v>
      </c>
      <c r="NF5" s="177" t="s">
        <v>540</v>
      </c>
      <c r="NG5" s="177" t="s">
        <v>541</v>
      </c>
      <c r="NH5" s="177" t="s">
        <v>540</v>
      </c>
      <c r="NI5" s="177" t="s">
        <v>542</v>
      </c>
      <c r="NJ5" s="179" t="s">
        <v>543</v>
      </c>
      <c r="NK5" s="178" t="s">
        <v>543</v>
      </c>
      <c r="NL5" s="177" t="s">
        <v>544</v>
      </c>
      <c r="NM5" s="177" t="s">
        <v>540</v>
      </c>
      <c r="NN5" s="177" t="s">
        <v>541</v>
      </c>
      <c r="NO5" s="177" t="s">
        <v>540</v>
      </c>
      <c r="NP5" s="177" t="s">
        <v>542</v>
      </c>
      <c r="NQ5" s="179" t="s">
        <v>543</v>
      </c>
      <c r="NR5" s="178" t="s">
        <v>543</v>
      </c>
      <c r="NS5" s="177" t="s">
        <v>544</v>
      </c>
      <c r="NT5" s="177" t="s">
        <v>540</v>
      </c>
      <c r="NU5" s="177" t="s">
        <v>541</v>
      </c>
      <c r="NV5" s="177" t="s">
        <v>540</v>
      </c>
      <c r="NW5" s="177" t="s">
        <v>542</v>
      </c>
      <c r="NX5" s="179" t="s">
        <v>543</v>
      </c>
      <c r="NY5" s="178" t="s">
        <v>543</v>
      </c>
      <c r="NZ5" s="177" t="s">
        <v>544</v>
      </c>
      <c r="OA5" s="177" t="s">
        <v>540</v>
      </c>
      <c r="OB5" s="177" t="s">
        <v>541</v>
      </c>
      <c r="OC5" s="177" t="s">
        <v>540</v>
      </c>
      <c r="OD5" s="177" t="s">
        <v>542</v>
      </c>
      <c r="OE5" s="179" t="s">
        <v>543</v>
      </c>
      <c r="OF5" s="178" t="s">
        <v>543</v>
      </c>
      <c r="OG5" s="177" t="s">
        <v>544</v>
      </c>
      <c r="OH5" s="177" t="s">
        <v>540</v>
      </c>
      <c r="OI5" s="177" t="s">
        <v>541</v>
      </c>
      <c r="OJ5" s="177" t="s">
        <v>540</v>
      </c>
      <c r="OK5" s="177" t="s">
        <v>542</v>
      </c>
      <c r="OL5" s="179" t="s">
        <v>543</v>
      </c>
      <c r="OM5" s="178" t="s">
        <v>543</v>
      </c>
      <c r="ON5" s="177" t="s">
        <v>544</v>
      </c>
      <c r="OO5" s="177" t="s">
        <v>540</v>
      </c>
      <c r="OP5" s="177" t="s">
        <v>541</v>
      </c>
      <c r="OQ5" s="177" t="s">
        <v>540</v>
      </c>
      <c r="OR5" s="177" t="s">
        <v>542</v>
      </c>
      <c r="OS5" s="179" t="s">
        <v>543</v>
      </c>
      <c r="OT5" s="178" t="s">
        <v>543</v>
      </c>
      <c r="OU5" s="177" t="s">
        <v>544</v>
      </c>
      <c r="OV5" s="177" t="s">
        <v>540</v>
      </c>
      <c r="OW5" s="177" t="s">
        <v>541</v>
      </c>
      <c r="OX5" s="177" t="s">
        <v>540</v>
      </c>
      <c r="OY5" s="177" t="s">
        <v>542</v>
      </c>
      <c r="OZ5" s="179" t="s">
        <v>543</v>
      </c>
      <c r="PA5" s="178" t="s">
        <v>543</v>
      </c>
      <c r="PB5" s="177" t="s">
        <v>544</v>
      </c>
      <c r="PC5" s="177" t="s">
        <v>540</v>
      </c>
      <c r="PD5" s="177" t="s">
        <v>541</v>
      </c>
      <c r="PE5" s="177" t="s">
        <v>540</v>
      </c>
      <c r="PF5" s="177" t="s">
        <v>542</v>
      </c>
      <c r="PG5" s="179" t="s">
        <v>543</v>
      </c>
      <c r="PH5" s="178" t="s">
        <v>543</v>
      </c>
      <c r="PI5" s="177" t="s">
        <v>544</v>
      </c>
      <c r="PJ5" s="177" t="s">
        <v>540</v>
      </c>
      <c r="PK5" s="177" t="s">
        <v>541</v>
      </c>
      <c r="PL5" s="177" t="s">
        <v>540</v>
      </c>
      <c r="PM5" s="177" t="s">
        <v>542</v>
      </c>
      <c r="PN5" s="179" t="s">
        <v>543</v>
      </c>
      <c r="PO5" s="178" t="s">
        <v>543</v>
      </c>
      <c r="PP5" s="177" t="s">
        <v>544</v>
      </c>
      <c r="PQ5" s="177" t="s">
        <v>540</v>
      </c>
      <c r="PR5" s="177" t="s">
        <v>541</v>
      </c>
      <c r="PS5" s="177" t="s">
        <v>540</v>
      </c>
      <c r="PT5" s="177" t="s">
        <v>542</v>
      </c>
      <c r="PU5" s="179" t="s">
        <v>543</v>
      </c>
      <c r="PV5" s="178" t="s">
        <v>543</v>
      </c>
      <c r="PW5" s="177" t="s">
        <v>544</v>
      </c>
      <c r="PX5" s="177" t="s">
        <v>540</v>
      </c>
      <c r="PY5" s="177" t="s">
        <v>541</v>
      </c>
      <c r="PZ5" s="177" t="s">
        <v>540</v>
      </c>
      <c r="QA5" s="177" t="s">
        <v>542</v>
      </c>
      <c r="QB5" s="179" t="s">
        <v>543</v>
      </c>
      <c r="QC5" s="178" t="s">
        <v>543</v>
      </c>
      <c r="QD5" s="177" t="s">
        <v>544</v>
      </c>
      <c r="QE5" s="177" t="s">
        <v>540</v>
      </c>
      <c r="QF5" s="177" t="s">
        <v>541</v>
      </c>
      <c r="QG5" s="177" t="s">
        <v>540</v>
      </c>
      <c r="QH5" s="177" t="s">
        <v>542</v>
      </c>
      <c r="QI5" s="179" t="s">
        <v>543</v>
      </c>
      <c r="QJ5" s="178" t="s">
        <v>543</v>
      </c>
      <c r="QK5" s="177" t="s">
        <v>544</v>
      </c>
      <c r="QL5" s="177" t="s">
        <v>540</v>
      </c>
      <c r="QM5" s="177" t="s">
        <v>541</v>
      </c>
      <c r="QN5" s="177" t="s">
        <v>540</v>
      </c>
      <c r="QO5" s="177" t="s">
        <v>542</v>
      </c>
      <c r="QP5" s="179" t="s">
        <v>543</v>
      </c>
      <c r="QQ5" s="178" t="s">
        <v>543</v>
      </c>
      <c r="QR5" s="177" t="s">
        <v>544</v>
      </c>
      <c r="QS5" s="177" t="s">
        <v>540</v>
      </c>
      <c r="QT5" s="177" t="s">
        <v>541</v>
      </c>
      <c r="QU5" s="177" t="s">
        <v>540</v>
      </c>
      <c r="QV5" s="177" t="s">
        <v>542</v>
      </c>
      <c r="QW5" s="179" t="s">
        <v>543</v>
      </c>
      <c r="QX5" s="178" t="s">
        <v>543</v>
      </c>
      <c r="QY5" s="177" t="s">
        <v>544</v>
      </c>
      <c r="QZ5" s="177" t="s">
        <v>540</v>
      </c>
      <c r="RA5" s="177" t="s">
        <v>541</v>
      </c>
      <c r="RB5" s="177" t="s">
        <v>540</v>
      </c>
      <c r="RC5" s="177" t="s">
        <v>542</v>
      </c>
      <c r="RD5" s="179" t="s">
        <v>543</v>
      </c>
      <c r="RE5" s="178" t="s">
        <v>543</v>
      </c>
      <c r="RF5" s="177" t="s">
        <v>544</v>
      </c>
      <c r="RG5" s="177" t="s">
        <v>540</v>
      </c>
      <c r="RH5" s="177" t="s">
        <v>541</v>
      </c>
      <c r="RI5" s="177" t="s">
        <v>540</v>
      </c>
      <c r="RJ5" s="177" t="s">
        <v>542</v>
      </c>
      <c r="RK5" s="179" t="s">
        <v>543</v>
      </c>
      <c r="RL5" s="178" t="s">
        <v>543</v>
      </c>
      <c r="RM5" s="177" t="s">
        <v>544</v>
      </c>
      <c r="RN5" s="177" t="s">
        <v>540</v>
      </c>
      <c r="RO5" s="177" t="s">
        <v>541</v>
      </c>
      <c r="RP5" s="177" t="s">
        <v>540</v>
      </c>
      <c r="RQ5" s="177" t="s">
        <v>542</v>
      </c>
      <c r="RR5" s="179" t="s">
        <v>543</v>
      </c>
      <c r="RS5" s="178" t="s">
        <v>543</v>
      </c>
      <c r="RT5" s="177" t="s">
        <v>544</v>
      </c>
      <c r="RU5" s="177" t="s">
        <v>540</v>
      </c>
      <c r="RV5" s="177" t="s">
        <v>541</v>
      </c>
      <c r="RW5" s="177" t="s">
        <v>540</v>
      </c>
      <c r="RX5" s="177" t="s">
        <v>542</v>
      </c>
      <c r="RY5" s="179" t="s">
        <v>543</v>
      </c>
      <c r="RZ5" s="178" t="s">
        <v>543</v>
      </c>
      <c r="SA5" s="177" t="s">
        <v>544</v>
      </c>
      <c r="SB5" s="177" t="s">
        <v>540</v>
      </c>
      <c r="SC5" s="177" t="s">
        <v>541</v>
      </c>
      <c r="SD5" s="177" t="s">
        <v>540</v>
      </c>
      <c r="SE5" s="177" t="s">
        <v>542</v>
      </c>
      <c r="SF5" s="179" t="s">
        <v>543</v>
      </c>
      <c r="SG5" s="178" t="s">
        <v>543</v>
      </c>
      <c r="SH5" s="177" t="s">
        <v>544</v>
      </c>
      <c r="SI5" s="177" t="s">
        <v>540</v>
      </c>
      <c r="SJ5" s="177" t="s">
        <v>541</v>
      </c>
      <c r="SK5" s="177" t="s">
        <v>540</v>
      </c>
      <c r="SL5" s="177" t="s">
        <v>542</v>
      </c>
      <c r="SM5" s="179" t="s">
        <v>543</v>
      </c>
      <c r="SN5" s="178" t="s">
        <v>543</v>
      </c>
      <c r="SO5" s="177" t="s">
        <v>544</v>
      </c>
      <c r="SP5" s="177" t="s">
        <v>540</v>
      </c>
      <c r="SQ5" s="177" t="s">
        <v>541</v>
      </c>
      <c r="SR5" s="177" t="s">
        <v>540</v>
      </c>
      <c r="SS5" s="177" t="s">
        <v>542</v>
      </c>
      <c r="ST5" s="179" t="s">
        <v>543</v>
      </c>
      <c r="SU5" s="178" t="s">
        <v>543</v>
      </c>
      <c r="SV5" s="177" t="s">
        <v>544</v>
      </c>
      <c r="SW5" s="177" t="s">
        <v>540</v>
      </c>
      <c r="SX5" s="177" t="s">
        <v>541</v>
      </c>
      <c r="SY5" s="177" t="s">
        <v>540</v>
      </c>
      <c r="SZ5" s="177" t="s">
        <v>542</v>
      </c>
      <c r="TA5" s="179" t="s">
        <v>543</v>
      </c>
      <c r="TB5" s="178" t="s">
        <v>543</v>
      </c>
      <c r="TC5" s="177" t="s">
        <v>544</v>
      </c>
      <c r="TD5" s="177" t="s">
        <v>540</v>
      </c>
      <c r="TE5" s="177" t="s">
        <v>541</v>
      </c>
      <c r="TF5" s="177" t="s">
        <v>540</v>
      </c>
      <c r="TG5" s="177" t="s">
        <v>542</v>
      </c>
      <c r="TH5" s="179" t="s">
        <v>543</v>
      </c>
      <c r="TI5" s="178" t="s">
        <v>543</v>
      </c>
      <c r="TJ5" s="177" t="s">
        <v>544</v>
      </c>
      <c r="TK5" s="177" t="s">
        <v>540</v>
      </c>
      <c r="TL5" s="177" t="s">
        <v>541</v>
      </c>
      <c r="TM5" s="177" t="s">
        <v>540</v>
      </c>
      <c r="TN5" s="177" t="s">
        <v>542</v>
      </c>
      <c r="TO5" s="179" t="s">
        <v>543</v>
      </c>
      <c r="TP5" s="178" t="s">
        <v>543</v>
      </c>
      <c r="TQ5" s="177" t="s">
        <v>544</v>
      </c>
      <c r="TR5" s="177" t="s">
        <v>540</v>
      </c>
      <c r="TS5" s="177" t="s">
        <v>541</v>
      </c>
      <c r="TT5" s="177" t="s">
        <v>540</v>
      </c>
      <c r="TU5" s="177" t="s">
        <v>542</v>
      </c>
      <c r="TV5" s="179" t="s">
        <v>543</v>
      </c>
      <c r="TW5" s="178" t="s">
        <v>543</v>
      </c>
      <c r="TX5" s="177" t="s">
        <v>544</v>
      </c>
      <c r="TY5" s="177" t="s">
        <v>540</v>
      </c>
      <c r="TZ5" s="177" t="s">
        <v>541</v>
      </c>
      <c r="UA5" s="177" t="s">
        <v>540</v>
      </c>
      <c r="UB5" s="177" t="s">
        <v>542</v>
      </c>
      <c r="UC5" s="179" t="s">
        <v>543</v>
      </c>
      <c r="UD5" s="178" t="s">
        <v>543</v>
      </c>
      <c r="UE5" s="177" t="s">
        <v>544</v>
      </c>
      <c r="UF5" s="177" t="s">
        <v>540</v>
      </c>
      <c r="UG5" s="177" t="s">
        <v>541</v>
      </c>
      <c r="UH5" s="177" t="s">
        <v>540</v>
      </c>
      <c r="UI5" s="177" t="s">
        <v>542</v>
      </c>
      <c r="UJ5" s="179" t="s">
        <v>543</v>
      </c>
      <c r="UK5" s="178" t="s">
        <v>543</v>
      </c>
      <c r="UL5" s="177" t="s">
        <v>544</v>
      </c>
      <c r="UM5" s="177" t="s">
        <v>540</v>
      </c>
      <c r="UN5" s="177" t="s">
        <v>541</v>
      </c>
      <c r="UO5" s="177" t="s">
        <v>540</v>
      </c>
      <c r="UP5" s="177" t="s">
        <v>542</v>
      </c>
      <c r="UQ5" s="179" t="s">
        <v>543</v>
      </c>
      <c r="UR5" s="178" t="s">
        <v>543</v>
      </c>
      <c r="US5" s="177" t="s">
        <v>544</v>
      </c>
      <c r="UT5" s="177" t="s">
        <v>540</v>
      </c>
      <c r="UU5" s="177" t="s">
        <v>541</v>
      </c>
      <c r="UV5" s="177" t="s">
        <v>540</v>
      </c>
      <c r="UW5" s="177" t="s">
        <v>542</v>
      </c>
      <c r="UX5" s="179" t="s">
        <v>543</v>
      </c>
      <c r="UY5" s="178" t="s">
        <v>543</v>
      </c>
      <c r="UZ5" s="177" t="s">
        <v>544</v>
      </c>
      <c r="VA5" s="177" t="s">
        <v>540</v>
      </c>
      <c r="VB5" s="177" t="s">
        <v>541</v>
      </c>
      <c r="VC5" s="177" t="s">
        <v>540</v>
      </c>
      <c r="VD5" s="177" t="s">
        <v>542</v>
      </c>
      <c r="VE5" s="179" t="s">
        <v>543</v>
      </c>
      <c r="VF5" s="178" t="s">
        <v>543</v>
      </c>
      <c r="VG5" s="177" t="s">
        <v>544</v>
      </c>
      <c r="VH5" s="177" t="s">
        <v>540</v>
      </c>
      <c r="VI5" s="177" t="s">
        <v>541</v>
      </c>
      <c r="VJ5" s="177" t="s">
        <v>540</v>
      </c>
      <c r="VK5" s="177" t="s">
        <v>542</v>
      </c>
      <c r="VL5" s="179" t="s">
        <v>543</v>
      </c>
      <c r="VM5" s="178" t="s">
        <v>543</v>
      </c>
      <c r="VN5" s="177" t="s">
        <v>544</v>
      </c>
      <c r="VO5" s="177" t="s">
        <v>540</v>
      </c>
      <c r="VP5" s="177" t="s">
        <v>541</v>
      </c>
      <c r="VQ5" s="177" t="s">
        <v>540</v>
      </c>
      <c r="VR5" s="177" t="s">
        <v>542</v>
      </c>
      <c r="VS5" s="179" t="s">
        <v>543</v>
      </c>
      <c r="VT5" s="178" t="s">
        <v>543</v>
      </c>
      <c r="VU5" s="177" t="s">
        <v>544</v>
      </c>
      <c r="VV5" s="177" t="s">
        <v>540</v>
      </c>
      <c r="VW5" s="177" t="s">
        <v>541</v>
      </c>
      <c r="VX5" s="177" t="s">
        <v>540</v>
      </c>
      <c r="VY5" s="177" t="s">
        <v>542</v>
      </c>
      <c r="VZ5" s="179" t="s">
        <v>543</v>
      </c>
      <c r="WA5" s="178" t="s">
        <v>543</v>
      </c>
      <c r="WB5" s="177" t="s">
        <v>544</v>
      </c>
      <c r="WC5" s="177" t="s">
        <v>540</v>
      </c>
      <c r="WD5" s="177" t="s">
        <v>541</v>
      </c>
      <c r="WE5" s="177" t="s">
        <v>540</v>
      </c>
      <c r="WF5" s="177" t="s">
        <v>542</v>
      </c>
      <c r="WG5" s="179" t="s">
        <v>543</v>
      </c>
      <c r="WH5" s="178" t="s">
        <v>543</v>
      </c>
      <c r="WI5" s="177" t="s">
        <v>544</v>
      </c>
      <c r="WJ5" s="177" t="s">
        <v>540</v>
      </c>
      <c r="WK5" s="177" t="s">
        <v>541</v>
      </c>
      <c r="WL5" s="177" t="s">
        <v>540</v>
      </c>
      <c r="WM5" s="177" t="s">
        <v>542</v>
      </c>
      <c r="WN5" s="179" t="s">
        <v>543</v>
      </c>
      <c r="WO5" s="178" t="s">
        <v>543</v>
      </c>
      <c r="WP5" s="177" t="s">
        <v>544</v>
      </c>
      <c r="WQ5" s="177" t="s">
        <v>540</v>
      </c>
      <c r="WR5" s="177" t="s">
        <v>541</v>
      </c>
      <c r="WS5" s="177" t="s">
        <v>540</v>
      </c>
      <c r="WT5" s="177" t="s">
        <v>542</v>
      </c>
      <c r="WU5" s="179" t="s">
        <v>543</v>
      </c>
      <c r="WV5" s="178" t="s">
        <v>543</v>
      </c>
      <c r="WW5" s="177" t="s">
        <v>544</v>
      </c>
      <c r="WX5" s="177" t="s">
        <v>540</v>
      </c>
      <c r="WY5" s="177" t="s">
        <v>541</v>
      </c>
      <c r="WZ5" s="177" t="s">
        <v>540</v>
      </c>
      <c r="XA5" s="177" t="s">
        <v>542</v>
      </c>
      <c r="XB5" s="179" t="s">
        <v>543</v>
      </c>
      <c r="XC5" s="178" t="s">
        <v>543</v>
      </c>
      <c r="XD5" s="177" t="s">
        <v>544</v>
      </c>
      <c r="XE5" s="177" t="s">
        <v>540</v>
      </c>
      <c r="XF5" s="177" t="s">
        <v>541</v>
      </c>
      <c r="XG5" s="177" t="s">
        <v>540</v>
      </c>
      <c r="XH5" s="177" t="s">
        <v>542</v>
      </c>
      <c r="XI5" s="179" t="s">
        <v>543</v>
      </c>
      <c r="XJ5" s="178" t="s">
        <v>543</v>
      </c>
      <c r="XK5" s="177" t="s">
        <v>544</v>
      </c>
      <c r="XL5" s="177" t="s">
        <v>540</v>
      </c>
      <c r="XM5" s="177" t="s">
        <v>541</v>
      </c>
      <c r="XN5" s="177" t="s">
        <v>540</v>
      </c>
      <c r="XO5" s="177" t="s">
        <v>542</v>
      </c>
      <c r="XP5" s="179" t="s">
        <v>543</v>
      </c>
      <c r="XQ5" s="178" t="s">
        <v>543</v>
      </c>
      <c r="XR5" s="177" t="s">
        <v>544</v>
      </c>
      <c r="XS5" s="177" t="s">
        <v>540</v>
      </c>
      <c r="XT5" s="177" t="s">
        <v>541</v>
      </c>
      <c r="XU5" s="177" t="s">
        <v>540</v>
      </c>
      <c r="XV5" s="177" t="s">
        <v>542</v>
      </c>
      <c r="XW5" s="179" t="s">
        <v>543</v>
      </c>
      <c r="XX5" s="178" t="s">
        <v>543</v>
      </c>
      <c r="XY5" s="177" t="s">
        <v>544</v>
      </c>
      <c r="XZ5" s="177" t="s">
        <v>540</v>
      </c>
      <c r="YA5" s="177" t="s">
        <v>541</v>
      </c>
      <c r="YB5" s="177" t="s">
        <v>540</v>
      </c>
      <c r="YC5" s="177" t="s">
        <v>542</v>
      </c>
      <c r="YD5" s="179" t="s">
        <v>543</v>
      </c>
      <c r="YE5" s="178" t="s">
        <v>543</v>
      </c>
      <c r="YF5" s="177" t="s">
        <v>544</v>
      </c>
      <c r="YG5" s="177" t="s">
        <v>540</v>
      </c>
      <c r="YH5" s="177" t="s">
        <v>541</v>
      </c>
      <c r="YI5" s="177" t="s">
        <v>540</v>
      </c>
      <c r="YJ5" s="177" t="s">
        <v>542</v>
      </c>
      <c r="YK5" s="179" t="s">
        <v>543</v>
      </c>
      <c r="YL5" s="178" t="s">
        <v>543</v>
      </c>
      <c r="YM5" s="177" t="s">
        <v>544</v>
      </c>
      <c r="YN5" s="177" t="s">
        <v>540</v>
      </c>
      <c r="YO5" s="177" t="s">
        <v>541</v>
      </c>
      <c r="YP5" s="177" t="s">
        <v>540</v>
      </c>
      <c r="YQ5" s="177" t="s">
        <v>542</v>
      </c>
      <c r="YR5" s="179" t="s">
        <v>543</v>
      </c>
      <c r="YS5" s="178" t="s">
        <v>543</v>
      </c>
      <c r="YT5" s="177" t="s">
        <v>544</v>
      </c>
      <c r="YU5" s="177" t="s">
        <v>540</v>
      </c>
      <c r="YV5" s="177" t="s">
        <v>541</v>
      </c>
      <c r="YW5" s="177" t="s">
        <v>540</v>
      </c>
      <c r="YX5" s="177" t="s">
        <v>542</v>
      </c>
      <c r="YY5" s="179" t="s">
        <v>543</v>
      </c>
      <c r="YZ5" s="178" t="s">
        <v>543</v>
      </c>
      <c r="ZA5" s="177" t="s">
        <v>544</v>
      </c>
      <c r="ZB5" s="177" t="s">
        <v>540</v>
      </c>
      <c r="ZC5" s="177" t="s">
        <v>541</v>
      </c>
      <c r="ZD5" s="177" t="s">
        <v>540</v>
      </c>
      <c r="ZE5" s="177" t="s">
        <v>542</v>
      </c>
      <c r="ZF5" s="179" t="s">
        <v>543</v>
      </c>
      <c r="ZG5" s="178" t="s">
        <v>543</v>
      </c>
      <c r="ZH5" s="177" t="s">
        <v>544</v>
      </c>
      <c r="ZI5" s="177" t="s">
        <v>540</v>
      </c>
      <c r="ZJ5" s="177" t="s">
        <v>541</v>
      </c>
      <c r="ZK5" s="177" t="s">
        <v>540</v>
      </c>
      <c r="ZL5" s="177" t="s">
        <v>542</v>
      </c>
      <c r="ZM5" s="179" t="s">
        <v>543</v>
      </c>
      <c r="ZN5" s="178" t="s">
        <v>543</v>
      </c>
      <c r="ZO5" s="177" t="s">
        <v>544</v>
      </c>
      <c r="ZP5" s="177" t="s">
        <v>540</v>
      </c>
      <c r="ZQ5" s="177" t="s">
        <v>541</v>
      </c>
      <c r="ZR5" s="177" t="s">
        <v>540</v>
      </c>
      <c r="ZS5" s="177" t="s">
        <v>542</v>
      </c>
      <c r="ZT5" s="179" t="s">
        <v>543</v>
      </c>
      <c r="ZU5" s="178" t="s">
        <v>543</v>
      </c>
      <c r="ZV5" s="177" t="s">
        <v>544</v>
      </c>
      <c r="ZW5" s="177" t="s">
        <v>540</v>
      </c>
      <c r="ZX5" s="177" t="s">
        <v>541</v>
      </c>
      <c r="ZY5" s="177" t="s">
        <v>540</v>
      </c>
      <c r="ZZ5" s="177" t="s">
        <v>542</v>
      </c>
      <c r="AAA5" s="179" t="s">
        <v>543</v>
      </c>
      <c r="AAB5" s="178" t="s">
        <v>543</v>
      </c>
      <c r="AAC5" s="177" t="s">
        <v>544</v>
      </c>
      <c r="AAD5" s="177" t="s">
        <v>540</v>
      </c>
      <c r="AAE5" s="177" t="s">
        <v>541</v>
      </c>
      <c r="AAF5" s="177" t="s">
        <v>540</v>
      </c>
      <c r="AAG5" s="177" t="s">
        <v>542</v>
      </c>
      <c r="AAH5" s="179" t="s">
        <v>543</v>
      </c>
      <c r="AAI5" s="178" t="s">
        <v>543</v>
      </c>
      <c r="AAJ5" s="177" t="s">
        <v>544</v>
      </c>
      <c r="AAK5" s="177" t="s">
        <v>540</v>
      </c>
      <c r="AAL5" s="177" t="s">
        <v>541</v>
      </c>
      <c r="AAM5" s="177" t="s">
        <v>540</v>
      </c>
      <c r="AAN5" s="177" t="s">
        <v>542</v>
      </c>
      <c r="AAO5" s="179" t="s">
        <v>543</v>
      </c>
      <c r="AAP5" s="178" t="s">
        <v>543</v>
      </c>
      <c r="AAQ5" s="177" t="s">
        <v>544</v>
      </c>
      <c r="AAR5" s="177" t="s">
        <v>540</v>
      </c>
      <c r="AAS5" s="177" t="s">
        <v>541</v>
      </c>
      <c r="AAT5" s="177" t="s">
        <v>540</v>
      </c>
      <c r="AAU5" s="177" t="s">
        <v>542</v>
      </c>
      <c r="AAV5" s="179" t="s">
        <v>543</v>
      </c>
      <c r="AAW5" s="178" t="s">
        <v>543</v>
      </c>
      <c r="AAX5" s="177" t="s">
        <v>544</v>
      </c>
      <c r="AAY5" s="177" t="s">
        <v>540</v>
      </c>
      <c r="AAZ5" s="177" t="s">
        <v>541</v>
      </c>
      <c r="ABA5" s="177" t="s">
        <v>540</v>
      </c>
      <c r="ABB5" s="177" t="s">
        <v>542</v>
      </c>
      <c r="ABC5" s="179" t="s">
        <v>543</v>
      </c>
      <c r="ABD5" s="178" t="s">
        <v>543</v>
      </c>
      <c r="ABE5" s="177" t="s">
        <v>544</v>
      </c>
      <c r="ABF5" s="177" t="s">
        <v>540</v>
      </c>
      <c r="ABG5" s="177" t="s">
        <v>541</v>
      </c>
      <c r="ABH5" s="177" t="s">
        <v>540</v>
      </c>
      <c r="ABI5" s="177" t="s">
        <v>542</v>
      </c>
      <c r="ABJ5" s="179" t="s">
        <v>543</v>
      </c>
      <c r="ABK5" s="178" t="s">
        <v>543</v>
      </c>
      <c r="ABL5" s="177" t="s">
        <v>544</v>
      </c>
      <c r="ABM5" s="177" t="s">
        <v>540</v>
      </c>
      <c r="ABN5" s="177" t="s">
        <v>541</v>
      </c>
      <c r="ABO5" s="177" t="s">
        <v>540</v>
      </c>
      <c r="ABP5" s="177" t="s">
        <v>542</v>
      </c>
      <c r="ABQ5" s="179" t="s">
        <v>543</v>
      </c>
      <c r="ABR5" s="178" t="s">
        <v>543</v>
      </c>
      <c r="ABS5" s="177" t="s">
        <v>544</v>
      </c>
      <c r="ABT5" s="177" t="s">
        <v>540</v>
      </c>
      <c r="ABU5" s="177" t="s">
        <v>541</v>
      </c>
      <c r="ABV5" s="177" t="s">
        <v>540</v>
      </c>
      <c r="ABW5" s="177" t="s">
        <v>542</v>
      </c>
      <c r="ABX5" s="179" t="s">
        <v>543</v>
      </c>
      <c r="ABY5" s="178" t="s">
        <v>543</v>
      </c>
      <c r="ABZ5" s="177" t="s">
        <v>544</v>
      </c>
      <c r="ACA5" s="177" t="s">
        <v>540</v>
      </c>
      <c r="ACB5" s="177" t="s">
        <v>541</v>
      </c>
      <c r="ACC5" s="177" t="s">
        <v>540</v>
      </c>
      <c r="ACD5" s="177" t="s">
        <v>542</v>
      </c>
      <c r="ACE5" s="179" t="s">
        <v>543</v>
      </c>
      <c r="ACF5" s="178" t="s">
        <v>543</v>
      </c>
      <c r="ACG5" s="177" t="s">
        <v>544</v>
      </c>
      <c r="ACH5" s="177" t="s">
        <v>540</v>
      </c>
      <c r="ACI5" s="177" t="s">
        <v>541</v>
      </c>
      <c r="ACJ5" s="177" t="s">
        <v>540</v>
      </c>
      <c r="ACK5" s="177" t="s">
        <v>542</v>
      </c>
      <c r="ACL5" s="179" t="s">
        <v>543</v>
      </c>
      <c r="ACM5" s="178" t="s">
        <v>543</v>
      </c>
      <c r="ACN5" s="177" t="s">
        <v>544</v>
      </c>
      <c r="ACO5" s="177" t="s">
        <v>540</v>
      </c>
      <c r="ACP5" s="177" t="s">
        <v>541</v>
      </c>
      <c r="ACQ5" s="177" t="s">
        <v>540</v>
      </c>
      <c r="ACR5" s="177" t="s">
        <v>542</v>
      </c>
      <c r="ACS5" s="179" t="s">
        <v>543</v>
      </c>
      <c r="ACT5" s="178" t="s">
        <v>543</v>
      </c>
      <c r="ACU5" s="177" t="s">
        <v>544</v>
      </c>
      <c r="ACV5" s="177" t="s">
        <v>540</v>
      </c>
      <c r="ACW5" s="177" t="s">
        <v>541</v>
      </c>
      <c r="ACX5" s="177" t="s">
        <v>540</v>
      </c>
      <c r="ACY5" s="177" t="s">
        <v>542</v>
      </c>
      <c r="ACZ5" s="179" t="s">
        <v>543</v>
      </c>
      <c r="ADA5" s="178" t="s">
        <v>543</v>
      </c>
      <c r="ADB5" s="177" t="s">
        <v>544</v>
      </c>
      <c r="ADC5" s="177" t="s">
        <v>540</v>
      </c>
      <c r="ADD5" s="177" t="s">
        <v>541</v>
      </c>
      <c r="ADE5" s="177" t="s">
        <v>540</v>
      </c>
      <c r="ADF5" s="177" t="s">
        <v>542</v>
      </c>
      <c r="ADG5" s="179" t="s">
        <v>543</v>
      </c>
      <c r="ADH5" s="178" t="s">
        <v>543</v>
      </c>
      <c r="ADI5" s="177" t="s">
        <v>544</v>
      </c>
      <c r="ADJ5" s="177" t="s">
        <v>540</v>
      </c>
      <c r="ADK5" s="177" t="s">
        <v>541</v>
      </c>
      <c r="ADL5" s="177" t="s">
        <v>540</v>
      </c>
      <c r="ADM5" s="177" t="s">
        <v>542</v>
      </c>
      <c r="ADN5" s="179" t="s">
        <v>543</v>
      </c>
      <c r="ADO5" s="178" t="s">
        <v>543</v>
      </c>
      <c r="ADP5" s="177" t="s">
        <v>544</v>
      </c>
      <c r="ADQ5" s="177" t="s">
        <v>540</v>
      </c>
      <c r="ADR5" s="177" t="s">
        <v>541</v>
      </c>
      <c r="ADS5" s="177" t="s">
        <v>540</v>
      </c>
      <c r="ADT5" s="177" t="s">
        <v>542</v>
      </c>
      <c r="ADU5" s="179" t="s">
        <v>543</v>
      </c>
      <c r="ADV5" s="178" t="s">
        <v>543</v>
      </c>
      <c r="ADW5" s="177" t="s">
        <v>544</v>
      </c>
      <c r="ADX5" s="177" t="s">
        <v>540</v>
      </c>
      <c r="ADY5" s="177" t="s">
        <v>541</v>
      </c>
      <c r="ADZ5" s="177" t="s">
        <v>540</v>
      </c>
      <c r="AEA5" s="177" t="s">
        <v>542</v>
      </c>
      <c r="AEB5" s="179" t="s">
        <v>543</v>
      </c>
      <c r="AEC5" s="178" t="s">
        <v>543</v>
      </c>
      <c r="AED5" s="177" t="s">
        <v>544</v>
      </c>
      <c r="AEE5" s="177" t="s">
        <v>540</v>
      </c>
      <c r="AEF5" s="177" t="s">
        <v>541</v>
      </c>
      <c r="AEG5" s="177" t="s">
        <v>540</v>
      </c>
      <c r="AEH5" s="177" t="s">
        <v>542</v>
      </c>
      <c r="AEI5" s="179" t="s">
        <v>543</v>
      </c>
      <c r="AEJ5" s="178" t="s">
        <v>543</v>
      </c>
      <c r="AEK5" s="177" t="s">
        <v>544</v>
      </c>
      <c r="AEL5" s="177" t="s">
        <v>540</v>
      </c>
      <c r="AEM5" s="177" t="s">
        <v>541</v>
      </c>
      <c r="AEN5" s="177" t="s">
        <v>540</v>
      </c>
      <c r="AEO5" s="177" t="s">
        <v>542</v>
      </c>
      <c r="AEP5" s="179" t="s">
        <v>543</v>
      </c>
      <c r="AEQ5" s="178" t="s">
        <v>543</v>
      </c>
      <c r="AER5" s="177" t="s">
        <v>544</v>
      </c>
      <c r="AES5" s="177" t="s">
        <v>540</v>
      </c>
      <c r="AET5" s="177" t="s">
        <v>541</v>
      </c>
      <c r="AEU5" s="177" t="s">
        <v>540</v>
      </c>
      <c r="AEV5" s="177" t="s">
        <v>542</v>
      </c>
      <c r="AEW5" s="179" t="s">
        <v>543</v>
      </c>
      <c r="AEX5" s="178" t="s">
        <v>543</v>
      </c>
      <c r="AEY5" s="177" t="s">
        <v>544</v>
      </c>
      <c r="AEZ5" s="177" t="s">
        <v>540</v>
      </c>
      <c r="AFA5" s="177" t="s">
        <v>541</v>
      </c>
      <c r="AFB5" s="177" t="s">
        <v>540</v>
      </c>
      <c r="AFC5" s="177" t="s">
        <v>542</v>
      </c>
      <c r="AFD5" s="179" t="s">
        <v>543</v>
      </c>
      <c r="AFE5" s="178" t="s">
        <v>543</v>
      </c>
      <c r="AFF5" s="177" t="s">
        <v>544</v>
      </c>
      <c r="AFG5" s="177" t="s">
        <v>540</v>
      </c>
      <c r="AFH5" s="177" t="s">
        <v>541</v>
      </c>
      <c r="AFI5" s="177" t="s">
        <v>540</v>
      </c>
      <c r="AFJ5" s="177" t="s">
        <v>542</v>
      </c>
      <c r="AFK5" s="179" t="s">
        <v>543</v>
      </c>
      <c r="AFL5" s="178" t="s">
        <v>543</v>
      </c>
      <c r="AFM5" s="177" t="s">
        <v>544</v>
      </c>
      <c r="AFN5" s="177" t="s">
        <v>540</v>
      </c>
      <c r="AFO5" s="177" t="s">
        <v>541</v>
      </c>
      <c r="AFP5" s="177" t="s">
        <v>540</v>
      </c>
      <c r="AFQ5" s="177" t="s">
        <v>542</v>
      </c>
      <c r="AFR5" s="179" t="s">
        <v>543</v>
      </c>
      <c r="AFS5" s="178" t="s">
        <v>543</v>
      </c>
      <c r="AFT5" s="177" t="s">
        <v>544</v>
      </c>
      <c r="AFU5" s="177" t="s">
        <v>540</v>
      </c>
      <c r="AFV5" s="177" t="s">
        <v>541</v>
      </c>
      <c r="AFW5" s="177" t="s">
        <v>540</v>
      </c>
      <c r="AFX5" s="177" t="s">
        <v>542</v>
      </c>
      <c r="AFY5" s="179" t="s">
        <v>543</v>
      </c>
      <c r="AFZ5" s="178" t="s">
        <v>543</v>
      </c>
      <c r="AGA5" s="177" t="s">
        <v>544</v>
      </c>
      <c r="AGB5" s="177" t="s">
        <v>540</v>
      </c>
      <c r="AGC5" s="177" t="s">
        <v>541</v>
      </c>
      <c r="AGD5" s="177" t="s">
        <v>540</v>
      </c>
      <c r="AGE5" s="177" t="s">
        <v>542</v>
      </c>
      <c r="AGF5" s="179" t="s">
        <v>543</v>
      </c>
      <c r="AGG5" s="178" t="s">
        <v>543</v>
      </c>
      <c r="AGH5" s="177" t="s">
        <v>544</v>
      </c>
      <c r="AGI5" s="177" t="s">
        <v>540</v>
      </c>
      <c r="AGJ5" s="177" t="s">
        <v>541</v>
      </c>
      <c r="AGK5" s="177" t="s">
        <v>540</v>
      </c>
      <c r="AGL5" s="177" t="s">
        <v>542</v>
      </c>
      <c r="AGM5" s="179" t="s">
        <v>543</v>
      </c>
      <c r="AGN5" s="178" t="s">
        <v>543</v>
      </c>
      <c r="AGO5" s="177" t="s">
        <v>544</v>
      </c>
      <c r="AGP5" s="177" t="s">
        <v>540</v>
      </c>
      <c r="AGQ5" s="177" t="s">
        <v>541</v>
      </c>
      <c r="AGR5" s="177" t="s">
        <v>540</v>
      </c>
      <c r="AGS5" s="177" t="s">
        <v>542</v>
      </c>
      <c r="AGT5" s="179" t="s">
        <v>543</v>
      </c>
      <c r="AGU5" s="178" t="s">
        <v>543</v>
      </c>
      <c r="AGV5" s="177" t="s">
        <v>544</v>
      </c>
      <c r="AGW5" s="177" t="s">
        <v>540</v>
      </c>
      <c r="AGX5" s="177" t="s">
        <v>541</v>
      </c>
      <c r="AGY5" s="177" t="s">
        <v>540</v>
      </c>
      <c r="AGZ5" s="177" t="s">
        <v>542</v>
      </c>
      <c r="AHA5" s="179" t="s">
        <v>543</v>
      </c>
      <c r="AHB5" s="178" t="s">
        <v>543</v>
      </c>
      <c r="AHC5" s="177" t="s">
        <v>544</v>
      </c>
      <c r="AHD5" s="177" t="s">
        <v>540</v>
      </c>
      <c r="AHE5" s="177" t="s">
        <v>541</v>
      </c>
      <c r="AHF5" s="177" t="s">
        <v>540</v>
      </c>
      <c r="AHG5" s="177" t="s">
        <v>542</v>
      </c>
      <c r="AHH5" s="179" t="s">
        <v>543</v>
      </c>
      <c r="AHI5" s="178" t="s">
        <v>543</v>
      </c>
      <c r="AHJ5" s="177" t="s">
        <v>544</v>
      </c>
      <c r="AHK5" s="177" t="s">
        <v>540</v>
      </c>
      <c r="AHL5" s="177" t="s">
        <v>541</v>
      </c>
      <c r="AHM5" s="177" t="s">
        <v>540</v>
      </c>
      <c r="AHN5" s="177" t="s">
        <v>542</v>
      </c>
      <c r="AHO5" s="179" t="s">
        <v>543</v>
      </c>
      <c r="AHP5" s="178" t="s">
        <v>543</v>
      </c>
      <c r="AHQ5" s="177" t="s">
        <v>544</v>
      </c>
      <c r="AHR5" s="177" t="s">
        <v>540</v>
      </c>
      <c r="AHS5" s="177" t="s">
        <v>541</v>
      </c>
      <c r="AHT5" s="177" t="s">
        <v>540</v>
      </c>
      <c r="AHU5" s="177" t="s">
        <v>542</v>
      </c>
      <c r="AHV5" s="179" t="s">
        <v>543</v>
      </c>
      <c r="AHW5" s="178" t="s">
        <v>543</v>
      </c>
      <c r="AHX5" s="177" t="s">
        <v>544</v>
      </c>
      <c r="AHY5" s="177" t="s">
        <v>540</v>
      </c>
      <c r="AHZ5" s="177" t="s">
        <v>541</v>
      </c>
      <c r="AIA5" s="177" t="s">
        <v>540</v>
      </c>
      <c r="AIB5" s="177" t="s">
        <v>542</v>
      </c>
      <c r="AIC5" s="179" t="s">
        <v>543</v>
      </c>
      <c r="AID5" s="178" t="s">
        <v>543</v>
      </c>
      <c r="AIE5" s="177" t="s">
        <v>544</v>
      </c>
      <c r="AIF5" s="177" t="s">
        <v>540</v>
      </c>
      <c r="AIG5" s="177" t="s">
        <v>541</v>
      </c>
      <c r="AIH5" s="177" t="s">
        <v>540</v>
      </c>
      <c r="AII5" s="177" t="s">
        <v>542</v>
      </c>
      <c r="AIJ5" s="179" t="s">
        <v>543</v>
      </c>
      <c r="AIK5" s="178" t="s">
        <v>543</v>
      </c>
      <c r="AIL5" s="177" t="s">
        <v>544</v>
      </c>
      <c r="AIM5" s="177" t="s">
        <v>540</v>
      </c>
      <c r="AIN5" s="177" t="s">
        <v>541</v>
      </c>
      <c r="AIO5" s="177" t="s">
        <v>540</v>
      </c>
      <c r="AIP5" s="177" t="s">
        <v>542</v>
      </c>
      <c r="AIQ5" s="179" t="s">
        <v>543</v>
      </c>
      <c r="AIR5" s="178" t="s">
        <v>543</v>
      </c>
      <c r="AIS5" s="177" t="s">
        <v>544</v>
      </c>
      <c r="AIT5" s="177" t="s">
        <v>540</v>
      </c>
      <c r="AIU5" s="177" t="s">
        <v>541</v>
      </c>
      <c r="AIV5" s="177" t="s">
        <v>540</v>
      </c>
      <c r="AIW5" s="177" t="s">
        <v>542</v>
      </c>
      <c r="AIX5" s="179" t="s">
        <v>543</v>
      </c>
      <c r="AIY5" s="178" t="s">
        <v>543</v>
      </c>
      <c r="AIZ5" s="177" t="s">
        <v>544</v>
      </c>
      <c r="AJA5" s="177" t="s">
        <v>540</v>
      </c>
      <c r="AJB5" s="177" t="s">
        <v>541</v>
      </c>
      <c r="AJC5" s="177" t="s">
        <v>540</v>
      </c>
      <c r="AJD5" s="177" t="s">
        <v>542</v>
      </c>
      <c r="AJE5" s="179" t="s">
        <v>543</v>
      </c>
      <c r="AJF5" s="178" t="s">
        <v>543</v>
      </c>
      <c r="AJG5" s="177" t="s">
        <v>544</v>
      </c>
      <c r="AJH5" s="177" t="s">
        <v>540</v>
      </c>
      <c r="AJI5" s="177" t="s">
        <v>541</v>
      </c>
      <c r="AJJ5" s="177" t="s">
        <v>540</v>
      </c>
      <c r="AJK5" s="177" t="s">
        <v>542</v>
      </c>
      <c r="AJL5" s="179" t="s">
        <v>543</v>
      </c>
      <c r="AJM5" s="178" t="s">
        <v>543</v>
      </c>
      <c r="AJN5" s="177" t="s">
        <v>544</v>
      </c>
      <c r="AJO5" s="177" t="s">
        <v>540</v>
      </c>
      <c r="AJP5" s="177" t="s">
        <v>541</v>
      </c>
      <c r="AJQ5" s="177" t="s">
        <v>540</v>
      </c>
      <c r="AJR5" s="177" t="s">
        <v>542</v>
      </c>
      <c r="AJS5" s="179" t="s">
        <v>543</v>
      </c>
      <c r="AJT5" s="178" t="s">
        <v>543</v>
      </c>
      <c r="AJU5" s="177" t="s">
        <v>544</v>
      </c>
      <c r="AJV5" s="177" t="s">
        <v>540</v>
      </c>
      <c r="AJW5" s="177" t="s">
        <v>541</v>
      </c>
      <c r="AJX5" s="177" t="s">
        <v>540</v>
      </c>
      <c r="AJY5" s="177" t="s">
        <v>542</v>
      </c>
      <c r="AJZ5" s="179" t="s">
        <v>543</v>
      </c>
      <c r="AKA5" s="178" t="s">
        <v>543</v>
      </c>
      <c r="AKB5" s="177" t="s">
        <v>544</v>
      </c>
      <c r="AKC5" s="177" t="s">
        <v>540</v>
      </c>
      <c r="AKD5" s="177" t="s">
        <v>541</v>
      </c>
      <c r="AKE5" s="177" t="s">
        <v>540</v>
      </c>
      <c r="AKF5" s="177" t="s">
        <v>542</v>
      </c>
      <c r="AKG5" s="179" t="s">
        <v>543</v>
      </c>
      <c r="AKH5" s="178" t="s">
        <v>543</v>
      </c>
      <c r="AKI5" s="177" t="s">
        <v>544</v>
      </c>
      <c r="AKJ5" s="177" t="s">
        <v>540</v>
      </c>
      <c r="AKK5" s="177" t="s">
        <v>541</v>
      </c>
      <c r="AKL5" s="177" t="s">
        <v>540</v>
      </c>
      <c r="AKM5" s="177" t="s">
        <v>542</v>
      </c>
      <c r="AKN5" s="179" t="s">
        <v>543</v>
      </c>
      <c r="AKO5" s="178" t="s">
        <v>543</v>
      </c>
      <c r="AKP5" s="177" t="s">
        <v>544</v>
      </c>
      <c r="AKQ5" s="177" t="s">
        <v>540</v>
      </c>
      <c r="AKR5" s="177" t="s">
        <v>541</v>
      </c>
      <c r="AKS5" s="177" t="s">
        <v>540</v>
      </c>
      <c r="AKT5" s="177" t="s">
        <v>542</v>
      </c>
      <c r="AKU5" s="179" t="s">
        <v>543</v>
      </c>
      <c r="AKV5" s="178" t="s">
        <v>543</v>
      </c>
      <c r="AKW5" s="177" t="s">
        <v>544</v>
      </c>
      <c r="AKX5" s="177" t="s">
        <v>540</v>
      </c>
      <c r="AKY5" s="177" t="s">
        <v>541</v>
      </c>
      <c r="AKZ5" s="177" t="s">
        <v>540</v>
      </c>
      <c r="ALA5" s="177" t="s">
        <v>542</v>
      </c>
      <c r="ALB5" s="179" t="s">
        <v>543</v>
      </c>
      <c r="ALC5" s="178" t="s">
        <v>543</v>
      </c>
      <c r="ALD5" s="177" t="s">
        <v>544</v>
      </c>
      <c r="ALE5" s="177" t="s">
        <v>540</v>
      </c>
      <c r="ALF5" s="177" t="s">
        <v>541</v>
      </c>
      <c r="ALG5" s="177" t="s">
        <v>540</v>
      </c>
      <c r="ALH5" s="177" t="s">
        <v>542</v>
      </c>
      <c r="ALI5" s="179" t="s">
        <v>543</v>
      </c>
      <c r="ALJ5" s="178" t="s">
        <v>543</v>
      </c>
      <c r="ALK5" s="177" t="s">
        <v>544</v>
      </c>
      <c r="ALL5" s="177" t="s">
        <v>540</v>
      </c>
      <c r="ALM5" s="177" t="s">
        <v>541</v>
      </c>
      <c r="ALN5" s="177" t="s">
        <v>540</v>
      </c>
      <c r="ALO5" s="177" t="s">
        <v>542</v>
      </c>
      <c r="ALP5" s="179" t="s">
        <v>543</v>
      </c>
      <c r="ALQ5" s="178" t="s">
        <v>543</v>
      </c>
      <c r="ALR5" s="177" t="s">
        <v>544</v>
      </c>
      <c r="ALS5" s="177" t="s">
        <v>540</v>
      </c>
      <c r="ALT5" s="177" t="s">
        <v>541</v>
      </c>
      <c r="ALU5" s="177" t="s">
        <v>540</v>
      </c>
      <c r="ALV5" s="177" t="s">
        <v>542</v>
      </c>
      <c r="ALW5" s="179" t="s">
        <v>543</v>
      </c>
      <c r="ALX5" s="178" t="s">
        <v>543</v>
      </c>
      <c r="ALY5" s="177" t="s">
        <v>544</v>
      </c>
      <c r="ALZ5" s="177" t="s">
        <v>540</v>
      </c>
      <c r="AMA5" s="177" t="s">
        <v>541</v>
      </c>
      <c r="AMB5" s="177" t="s">
        <v>540</v>
      </c>
      <c r="AMC5" s="177" t="s">
        <v>542</v>
      </c>
      <c r="AMD5" s="179" t="s">
        <v>543</v>
      </c>
      <c r="AME5" s="178" t="s">
        <v>543</v>
      </c>
      <c r="AMF5" s="177" t="s">
        <v>544</v>
      </c>
      <c r="AMG5" s="177" t="s">
        <v>540</v>
      </c>
      <c r="AMH5" s="177" t="s">
        <v>541</v>
      </c>
      <c r="AMI5" s="177" t="s">
        <v>540</v>
      </c>
      <c r="AMJ5" s="177" t="s">
        <v>542</v>
      </c>
      <c r="AMK5" s="179" t="s">
        <v>543</v>
      </c>
      <c r="AML5" s="178" t="s">
        <v>543</v>
      </c>
      <c r="AMM5" s="177" t="s">
        <v>544</v>
      </c>
      <c r="AMN5" s="177" t="s">
        <v>540</v>
      </c>
      <c r="AMO5" s="177" t="s">
        <v>541</v>
      </c>
      <c r="AMP5" s="177" t="s">
        <v>540</v>
      </c>
      <c r="AMQ5" s="177" t="s">
        <v>542</v>
      </c>
      <c r="AMR5" s="179" t="s">
        <v>543</v>
      </c>
      <c r="AMS5" s="178" t="s">
        <v>543</v>
      </c>
      <c r="AMT5" s="177" t="s">
        <v>544</v>
      </c>
      <c r="AMU5" s="177" t="s">
        <v>540</v>
      </c>
      <c r="AMV5" s="177" t="s">
        <v>541</v>
      </c>
      <c r="AMW5" s="177" t="s">
        <v>540</v>
      </c>
      <c r="AMX5" s="177" t="s">
        <v>542</v>
      </c>
      <c r="AMY5" s="179" t="s">
        <v>543</v>
      </c>
      <c r="AMZ5" s="178" t="s">
        <v>543</v>
      </c>
      <c r="ANA5" s="177" t="s">
        <v>544</v>
      </c>
      <c r="ANB5" s="177" t="s">
        <v>540</v>
      </c>
      <c r="ANC5" s="177" t="s">
        <v>541</v>
      </c>
      <c r="AND5" s="177" t="s">
        <v>540</v>
      </c>
      <c r="ANE5" s="177" t="s">
        <v>542</v>
      </c>
      <c r="ANF5" s="179" t="s">
        <v>543</v>
      </c>
      <c r="ANG5" s="178" t="s">
        <v>543</v>
      </c>
      <c r="ANH5" s="177" t="s">
        <v>544</v>
      </c>
      <c r="ANI5" s="177" t="s">
        <v>540</v>
      </c>
      <c r="ANJ5" s="177" t="s">
        <v>541</v>
      </c>
      <c r="ANK5" s="177" t="s">
        <v>540</v>
      </c>
      <c r="ANL5" s="177" t="s">
        <v>542</v>
      </c>
      <c r="ANM5" s="179" t="s">
        <v>543</v>
      </c>
      <c r="ANN5" s="178" t="s">
        <v>543</v>
      </c>
      <c r="ANO5" s="177" t="s">
        <v>544</v>
      </c>
      <c r="ANP5" s="177" t="s">
        <v>540</v>
      </c>
      <c r="ANQ5" s="177" t="s">
        <v>541</v>
      </c>
      <c r="ANR5" s="177" t="s">
        <v>540</v>
      </c>
      <c r="ANS5" s="177" t="s">
        <v>542</v>
      </c>
      <c r="ANT5" s="179" t="s">
        <v>543</v>
      </c>
      <c r="ANU5" s="178" t="s">
        <v>543</v>
      </c>
      <c r="ANV5" s="177" t="s">
        <v>544</v>
      </c>
      <c r="ANW5" s="177" t="s">
        <v>540</v>
      </c>
      <c r="ANX5" s="177" t="s">
        <v>541</v>
      </c>
      <c r="ANY5" s="177" t="s">
        <v>540</v>
      </c>
      <c r="ANZ5" s="177" t="s">
        <v>542</v>
      </c>
      <c r="AOA5" s="179" t="s">
        <v>543</v>
      </c>
      <c r="AOB5" s="178" t="s">
        <v>543</v>
      </c>
      <c r="AOC5" s="177" t="s">
        <v>544</v>
      </c>
      <c r="AOD5" s="177" t="s">
        <v>540</v>
      </c>
      <c r="AOE5" s="177" t="s">
        <v>541</v>
      </c>
      <c r="AOF5" s="177" t="s">
        <v>540</v>
      </c>
      <c r="AOG5" s="177" t="s">
        <v>542</v>
      </c>
      <c r="AOH5" s="179" t="s">
        <v>543</v>
      </c>
      <c r="AOI5" s="178" t="s">
        <v>543</v>
      </c>
      <c r="AOJ5" s="177" t="s">
        <v>544</v>
      </c>
      <c r="AOK5" s="177" t="s">
        <v>540</v>
      </c>
      <c r="AOL5" s="177" t="s">
        <v>541</v>
      </c>
      <c r="AOM5" s="177" t="s">
        <v>540</v>
      </c>
      <c r="AON5" s="177" t="s">
        <v>542</v>
      </c>
      <c r="AOO5" s="179" t="s">
        <v>543</v>
      </c>
      <c r="AOP5" s="178" t="s">
        <v>543</v>
      </c>
      <c r="AOQ5" s="177" t="s">
        <v>544</v>
      </c>
      <c r="AOR5" s="177" t="s">
        <v>540</v>
      </c>
      <c r="AOS5" s="177" t="s">
        <v>541</v>
      </c>
      <c r="AOT5" s="177" t="s">
        <v>540</v>
      </c>
      <c r="AOU5" s="177" t="s">
        <v>542</v>
      </c>
      <c r="AOV5" s="179" t="s">
        <v>543</v>
      </c>
      <c r="AOW5" s="178" t="s">
        <v>543</v>
      </c>
      <c r="AOX5" s="177" t="s">
        <v>544</v>
      </c>
      <c r="AOY5" s="177" t="s">
        <v>540</v>
      </c>
      <c r="AOZ5" s="177" t="s">
        <v>541</v>
      </c>
      <c r="APA5" s="177" t="s">
        <v>540</v>
      </c>
      <c r="APB5" s="177" t="s">
        <v>542</v>
      </c>
      <c r="APC5" s="179" t="s">
        <v>543</v>
      </c>
      <c r="APD5" s="178" t="s">
        <v>543</v>
      </c>
      <c r="APE5" s="177" t="s">
        <v>544</v>
      </c>
      <c r="APF5" s="177" t="s">
        <v>540</v>
      </c>
      <c r="APG5" s="177" t="s">
        <v>541</v>
      </c>
      <c r="APH5" s="177" t="s">
        <v>540</v>
      </c>
      <c r="API5" s="177" t="s">
        <v>542</v>
      </c>
      <c r="APJ5" s="179" t="s">
        <v>543</v>
      </c>
      <c r="APK5" s="178" t="s">
        <v>543</v>
      </c>
      <c r="APL5" s="177" t="s">
        <v>544</v>
      </c>
      <c r="APM5" s="177" t="s">
        <v>540</v>
      </c>
      <c r="APN5" s="177" t="s">
        <v>541</v>
      </c>
      <c r="APO5" s="177" t="s">
        <v>540</v>
      </c>
      <c r="APP5" s="177" t="s">
        <v>542</v>
      </c>
      <c r="APQ5" s="179" t="s">
        <v>543</v>
      </c>
      <c r="APR5" s="178" t="s">
        <v>543</v>
      </c>
      <c r="APS5" s="177" t="s">
        <v>544</v>
      </c>
      <c r="APT5" s="177" t="s">
        <v>540</v>
      </c>
      <c r="APU5" s="177" t="s">
        <v>541</v>
      </c>
      <c r="APV5" s="177" t="s">
        <v>540</v>
      </c>
      <c r="APW5" s="177" t="s">
        <v>542</v>
      </c>
      <c r="APX5" s="179" t="s">
        <v>543</v>
      </c>
      <c r="APY5" s="178" t="s">
        <v>543</v>
      </c>
      <c r="APZ5" s="177" t="s">
        <v>544</v>
      </c>
      <c r="AQA5" s="177" t="s">
        <v>540</v>
      </c>
      <c r="AQB5" s="177" t="s">
        <v>541</v>
      </c>
      <c r="AQC5" s="177" t="s">
        <v>540</v>
      </c>
      <c r="AQD5" s="177" t="s">
        <v>542</v>
      </c>
      <c r="AQE5" s="179" t="s">
        <v>543</v>
      </c>
      <c r="AQF5" s="178" t="s">
        <v>543</v>
      </c>
      <c r="AQG5" s="177" t="s">
        <v>544</v>
      </c>
      <c r="AQH5" s="177" t="s">
        <v>540</v>
      </c>
      <c r="AQI5" s="177" t="s">
        <v>541</v>
      </c>
      <c r="AQJ5" s="177" t="s">
        <v>540</v>
      </c>
      <c r="AQK5" s="177" t="s">
        <v>542</v>
      </c>
      <c r="AQL5" s="179" t="s">
        <v>543</v>
      </c>
      <c r="AQM5" s="178" t="s">
        <v>543</v>
      </c>
      <c r="AQN5" s="177" t="s">
        <v>544</v>
      </c>
      <c r="AQO5" s="177" t="s">
        <v>540</v>
      </c>
      <c r="AQP5" s="177" t="s">
        <v>541</v>
      </c>
      <c r="AQQ5" s="177" t="s">
        <v>540</v>
      </c>
      <c r="AQR5" s="177" t="s">
        <v>542</v>
      </c>
      <c r="AQS5" s="179" t="s">
        <v>543</v>
      </c>
      <c r="AQT5" s="178" t="s">
        <v>543</v>
      </c>
      <c r="AQU5" s="177" t="s">
        <v>544</v>
      </c>
      <c r="AQV5" s="177" t="s">
        <v>540</v>
      </c>
      <c r="AQW5" s="177" t="s">
        <v>541</v>
      </c>
      <c r="AQX5" s="177" t="s">
        <v>540</v>
      </c>
      <c r="AQY5" s="177" t="s">
        <v>542</v>
      </c>
      <c r="AQZ5" s="179" t="s">
        <v>543</v>
      </c>
      <c r="ARA5" s="178" t="s">
        <v>543</v>
      </c>
      <c r="ARB5" s="177" t="s">
        <v>544</v>
      </c>
      <c r="ARC5" s="177" t="s">
        <v>540</v>
      </c>
      <c r="ARD5" s="177" t="s">
        <v>541</v>
      </c>
      <c r="ARE5" s="177" t="s">
        <v>540</v>
      </c>
      <c r="ARF5" s="177" t="s">
        <v>542</v>
      </c>
      <c r="ARG5" s="179" t="s">
        <v>543</v>
      </c>
      <c r="ARH5" s="178" t="s">
        <v>543</v>
      </c>
      <c r="ARI5" s="177" t="s">
        <v>544</v>
      </c>
      <c r="ARJ5" s="177" t="s">
        <v>540</v>
      </c>
      <c r="ARK5" s="177" t="s">
        <v>541</v>
      </c>
      <c r="ARL5" s="177" t="s">
        <v>540</v>
      </c>
      <c r="ARM5" s="177" t="s">
        <v>542</v>
      </c>
      <c r="ARN5" s="179" t="s">
        <v>543</v>
      </c>
      <c r="ARO5" s="178" t="s">
        <v>543</v>
      </c>
      <c r="ARP5" s="177" t="s">
        <v>544</v>
      </c>
      <c r="ARQ5" s="177" t="s">
        <v>540</v>
      </c>
      <c r="ARR5" s="177" t="s">
        <v>541</v>
      </c>
      <c r="ARS5" s="177" t="s">
        <v>540</v>
      </c>
      <c r="ART5" s="177" t="s">
        <v>542</v>
      </c>
      <c r="ARU5" s="179" t="s">
        <v>543</v>
      </c>
      <c r="ARV5" s="178" t="s">
        <v>543</v>
      </c>
      <c r="ARW5" s="177" t="s">
        <v>544</v>
      </c>
      <c r="ARX5" s="177" t="s">
        <v>540</v>
      </c>
      <c r="ARY5" s="177" t="s">
        <v>541</v>
      </c>
      <c r="ARZ5" s="177" t="s">
        <v>540</v>
      </c>
      <c r="ASA5" s="177" t="s">
        <v>542</v>
      </c>
      <c r="ASB5" s="179" t="s">
        <v>543</v>
      </c>
      <c r="ASC5" s="178" t="s">
        <v>543</v>
      </c>
      <c r="ASD5" s="177" t="s">
        <v>544</v>
      </c>
      <c r="ASE5" s="177" t="s">
        <v>540</v>
      </c>
      <c r="ASF5" s="177" t="s">
        <v>541</v>
      </c>
      <c r="ASG5" s="177" t="s">
        <v>540</v>
      </c>
      <c r="ASH5" s="177" t="s">
        <v>542</v>
      </c>
      <c r="ASI5" s="179" t="s">
        <v>543</v>
      </c>
      <c r="ASJ5" s="178" t="s">
        <v>543</v>
      </c>
      <c r="ASK5" s="177" t="s">
        <v>544</v>
      </c>
      <c r="ASL5" s="177" t="s">
        <v>540</v>
      </c>
      <c r="ASM5" s="177" t="s">
        <v>541</v>
      </c>
      <c r="ASN5" s="177" t="s">
        <v>540</v>
      </c>
      <c r="ASO5" s="177" t="s">
        <v>542</v>
      </c>
      <c r="ASP5" s="179" t="s">
        <v>543</v>
      </c>
      <c r="ASQ5" s="178" t="s">
        <v>543</v>
      </c>
      <c r="ASR5" s="177" t="s">
        <v>544</v>
      </c>
      <c r="ASS5" s="177" t="s">
        <v>540</v>
      </c>
      <c r="AST5" s="177" t="s">
        <v>541</v>
      </c>
      <c r="ASU5" s="177" t="s">
        <v>540</v>
      </c>
      <c r="ASV5" s="177" t="s">
        <v>542</v>
      </c>
      <c r="ASW5" s="179" t="s">
        <v>543</v>
      </c>
      <c r="ASX5" s="178" t="s">
        <v>543</v>
      </c>
      <c r="ASY5" s="177" t="s">
        <v>544</v>
      </c>
      <c r="ASZ5" s="177" t="s">
        <v>540</v>
      </c>
      <c r="ATA5" s="177" t="s">
        <v>541</v>
      </c>
      <c r="ATB5" s="177" t="s">
        <v>540</v>
      </c>
      <c r="ATC5" s="177" t="s">
        <v>542</v>
      </c>
      <c r="ATD5" s="179" t="s">
        <v>543</v>
      </c>
      <c r="ATE5" s="178" t="s">
        <v>543</v>
      </c>
      <c r="ATF5" s="177" t="s">
        <v>544</v>
      </c>
      <c r="ATG5" s="177" t="s">
        <v>540</v>
      </c>
      <c r="ATH5" s="177" t="s">
        <v>541</v>
      </c>
      <c r="ATI5" s="177" t="s">
        <v>540</v>
      </c>
      <c r="ATJ5" s="177" t="s">
        <v>542</v>
      </c>
      <c r="ATK5" s="179" t="s">
        <v>543</v>
      </c>
      <c r="ATL5" s="178" t="s">
        <v>543</v>
      </c>
      <c r="ATM5" s="177" t="s">
        <v>544</v>
      </c>
      <c r="ATN5" s="177" t="s">
        <v>540</v>
      </c>
      <c r="ATO5" s="177" t="s">
        <v>541</v>
      </c>
      <c r="ATP5" s="177" t="s">
        <v>540</v>
      </c>
      <c r="ATQ5" s="177" t="s">
        <v>542</v>
      </c>
      <c r="ATR5" s="179" t="s">
        <v>543</v>
      </c>
      <c r="ATS5" s="178" t="s">
        <v>543</v>
      </c>
      <c r="ATT5" s="177" t="s">
        <v>544</v>
      </c>
      <c r="ATU5" s="177" t="s">
        <v>540</v>
      </c>
      <c r="ATV5" s="177" t="s">
        <v>541</v>
      </c>
      <c r="ATW5" s="177" t="s">
        <v>540</v>
      </c>
      <c r="ATX5" s="177" t="s">
        <v>542</v>
      </c>
      <c r="ATY5" s="179" t="s">
        <v>543</v>
      </c>
      <c r="ATZ5" s="178" t="s">
        <v>543</v>
      </c>
      <c r="AUA5" s="177" t="s">
        <v>544</v>
      </c>
      <c r="AUB5" s="177" t="s">
        <v>540</v>
      </c>
      <c r="AUC5" s="177" t="s">
        <v>541</v>
      </c>
      <c r="AUD5" s="177" t="s">
        <v>540</v>
      </c>
      <c r="AUE5" s="177" t="s">
        <v>542</v>
      </c>
      <c r="AUF5" s="179" t="s">
        <v>543</v>
      </c>
      <c r="AUG5" s="178" t="s">
        <v>543</v>
      </c>
      <c r="AUH5" s="177" t="s">
        <v>544</v>
      </c>
      <c r="AUI5" s="177" t="s">
        <v>540</v>
      </c>
      <c r="AUJ5" s="177" t="s">
        <v>541</v>
      </c>
      <c r="AUK5" s="177" t="s">
        <v>540</v>
      </c>
      <c r="AUL5" s="177" t="s">
        <v>542</v>
      </c>
      <c r="AUM5" s="179" t="s">
        <v>543</v>
      </c>
      <c r="AUN5" s="178" t="s">
        <v>543</v>
      </c>
      <c r="AUO5" s="177" t="s">
        <v>544</v>
      </c>
      <c r="AUP5" s="177" t="s">
        <v>540</v>
      </c>
      <c r="AUQ5" s="177" t="s">
        <v>541</v>
      </c>
      <c r="AUR5" s="177" t="s">
        <v>540</v>
      </c>
      <c r="AUS5" s="177" t="s">
        <v>542</v>
      </c>
      <c r="AUT5" s="179" t="s">
        <v>543</v>
      </c>
      <c r="AUU5" s="178" t="s">
        <v>543</v>
      </c>
      <c r="AUV5" s="177" t="s">
        <v>544</v>
      </c>
      <c r="AUW5" s="177" t="s">
        <v>540</v>
      </c>
      <c r="AUX5" s="177" t="s">
        <v>541</v>
      </c>
      <c r="AUY5" s="177" t="s">
        <v>540</v>
      </c>
      <c r="AUZ5" s="177" t="s">
        <v>542</v>
      </c>
      <c r="AVA5" s="179" t="s">
        <v>543</v>
      </c>
      <c r="AVB5" s="178" t="s">
        <v>543</v>
      </c>
      <c r="AVC5" s="177" t="s">
        <v>544</v>
      </c>
      <c r="AVD5" s="177" t="s">
        <v>540</v>
      </c>
      <c r="AVE5" s="177" t="s">
        <v>541</v>
      </c>
      <c r="AVF5" s="177" t="s">
        <v>540</v>
      </c>
      <c r="AVG5" s="177" t="s">
        <v>542</v>
      </c>
      <c r="AVH5" s="179" t="s">
        <v>543</v>
      </c>
      <c r="AVI5" s="178" t="s">
        <v>543</v>
      </c>
      <c r="AVJ5" s="177" t="s">
        <v>544</v>
      </c>
      <c r="AVK5" s="177" t="s">
        <v>540</v>
      </c>
      <c r="AVL5" s="177" t="s">
        <v>541</v>
      </c>
      <c r="AVM5" s="177" t="s">
        <v>540</v>
      </c>
      <c r="AVN5" s="177" t="s">
        <v>542</v>
      </c>
      <c r="AVO5" s="179" t="s">
        <v>543</v>
      </c>
      <c r="AVP5" s="178" t="s">
        <v>543</v>
      </c>
      <c r="AVQ5" s="177" t="s">
        <v>544</v>
      </c>
      <c r="AVR5" s="177" t="s">
        <v>540</v>
      </c>
      <c r="AVS5" s="177" t="s">
        <v>541</v>
      </c>
      <c r="AVT5" s="177" t="s">
        <v>540</v>
      </c>
      <c r="AVU5" s="177" t="s">
        <v>542</v>
      </c>
      <c r="AVV5" s="179" t="s">
        <v>543</v>
      </c>
      <c r="AVW5" s="178" t="s">
        <v>543</v>
      </c>
      <c r="AVX5" s="177" t="s">
        <v>544</v>
      </c>
      <c r="AVY5" s="177" t="s">
        <v>540</v>
      </c>
      <c r="AVZ5" s="177" t="s">
        <v>541</v>
      </c>
      <c r="AWA5" s="177" t="s">
        <v>540</v>
      </c>
      <c r="AWB5" s="177" t="s">
        <v>542</v>
      </c>
      <c r="AWC5" s="179" t="s">
        <v>543</v>
      </c>
      <c r="AWD5" s="178" t="s">
        <v>543</v>
      </c>
      <c r="AWE5" s="177" t="s">
        <v>544</v>
      </c>
      <c r="AWF5" s="177" t="s">
        <v>540</v>
      </c>
      <c r="AWG5" s="177" t="s">
        <v>541</v>
      </c>
      <c r="AWH5" s="177" t="s">
        <v>540</v>
      </c>
      <c r="AWI5" s="177" t="s">
        <v>542</v>
      </c>
      <c r="AWJ5" s="179" t="s">
        <v>543</v>
      </c>
      <c r="AWK5" s="178" t="s">
        <v>543</v>
      </c>
      <c r="AWL5" s="177" t="s">
        <v>544</v>
      </c>
      <c r="AWM5" s="177" t="s">
        <v>540</v>
      </c>
      <c r="AWN5" s="177" t="s">
        <v>541</v>
      </c>
      <c r="AWO5" s="177" t="s">
        <v>540</v>
      </c>
      <c r="AWP5" s="177" t="s">
        <v>542</v>
      </c>
      <c r="AWQ5" s="179" t="s">
        <v>543</v>
      </c>
      <c r="AWR5" s="178" t="s">
        <v>543</v>
      </c>
      <c r="AWS5" s="177" t="s">
        <v>544</v>
      </c>
      <c r="AWT5" s="177" t="s">
        <v>540</v>
      </c>
      <c r="AWU5" s="177" t="s">
        <v>541</v>
      </c>
      <c r="AWV5" s="177" t="s">
        <v>540</v>
      </c>
      <c r="AWW5" s="177" t="s">
        <v>542</v>
      </c>
      <c r="AWX5" s="179" t="s">
        <v>543</v>
      </c>
      <c r="AWY5" s="178" t="s">
        <v>543</v>
      </c>
      <c r="AWZ5" s="177" t="s">
        <v>544</v>
      </c>
      <c r="AXA5" s="177" t="s">
        <v>540</v>
      </c>
      <c r="AXB5" s="177" t="s">
        <v>541</v>
      </c>
      <c r="AXC5" s="177" t="s">
        <v>540</v>
      </c>
      <c r="AXD5" s="177" t="s">
        <v>542</v>
      </c>
      <c r="AXE5" s="179" t="s">
        <v>543</v>
      </c>
      <c r="AXF5" s="178" t="s">
        <v>543</v>
      </c>
      <c r="AXG5" s="177" t="s">
        <v>544</v>
      </c>
      <c r="AXH5" s="177" t="s">
        <v>540</v>
      </c>
      <c r="AXI5" s="177" t="s">
        <v>541</v>
      </c>
      <c r="AXJ5" s="177" t="s">
        <v>540</v>
      </c>
      <c r="AXK5" s="177" t="s">
        <v>542</v>
      </c>
      <c r="AXL5" s="179" t="s">
        <v>543</v>
      </c>
      <c r="AXM5" s="178" t="s">
        <v>543</v>
      </c>
      <c r="AXN5" s="177" t="s">
        <v>544</v>
      </c>
      <c r="AXO5" s="177" t="s">
        <v>540</v>
      </c>
      <c r="AXP5" s="177" t="s">
        <v>541</v>
      </c>
      <c r="AXQ5" s="177" t="s">
        <v>540</v>
      </c>
      <c r="AXR5" s="177" t="s">
        <v>542</v>
      </c>
      <c r="AXS5" s="179" t="s">
        <v>543</v>
      </c>
      <c r="AXT5" s="178" t="s">
        <v>543</v>
      </c>
      <c r="AXU5" s="177" t="s">
        <v>544</v>
      </c>
      <c r="AXV5" s="177" t="s">
        <v>540</v>
      </c>
      <c r="AXW5" s="177" t="s">
        <v>541</v>
      </c>
      <c r="AXX5" s="177" t="s">
        <v>540</v>
      </c>
      <c r="AXY5" s="177" t="s">
        <v>542</v>
      </c>
      <c r="AXZ5" s="179" t="s">
        <v>543</v>
      </c>
      <c r="AYA5" s="178" t="s">
        <v>543</v>
      </c>
      <c r="AYB5" s="177" t="s">
        <v>544</v>
      </c>
      <c r="AYC5" s="177" t="s">
        <v>540</v>
      </c>
      <c r="AYD5" s="177" t="s">
        <v>541</v>
      </c>
      <c r="AYE5" s="177" t="s">
        <v>540</v>
      </c>
      <c r="AYF5" s="177" t="s">
        <v>542</v>
      </c>
      <c r="AYG5" s="179" t="s">
        <v>543</v>
      </c>
      <c r="AYH5" s="178" t="s">
        <v>543</v>
      </c>
      <c r="AYI5" s="177" t="s">
        <v>544</v>
      </c>
      <c r="AYJ5" s="177" t="s">
        <v>540</v>
      </c>
      <c r="AYK5" s="177" t="s">
        <v>541</v>
      </c>
      <c r="AYL5" s="177" t="s">
        <v>540</v>
      </c>
      <c r="AYM5" s="177" t="s">
        <v>542</v>
      </c>
      <c r="AYN5" s="179" t="s">
        <v>543</v>
      </c>
      <c r="AYO5" s="178" t="s">
        <v>543</v>
      </c>
      <c r="AYP5" s="177" t="s">
        <v>544</v>
      </c>
      <c r="AYQ5" s="177" t="s">
        <v>540</v>
      </c>
      <c r="AYR5" s="177" t="s">
        <v>541</v>
      </c>
      <c r="AYS5" s="177" t="s">
        <v>540</v>
      </c>
      <c r="AYT5" s="177" t="s">
        <v>542</v>
      </c>
      <c r="AYU5" s="179" t="s">
        <v>543</v>
      </c>
      <c r="AYV5" s="178" t="s">
        <v>543</v>
      </c>
      <c r="AYW5" s="177" t="s">
        <v>544</v>
      </c>
      <c r="AYX5" s="177" t="s">
        <v>540</v>
      </c>
      <c r="AYY5" s="177" t="s">
        <v>541</v>
      </c>
      <c r="AYZ5" s="177" t="s">
        <v>540</v>
      </c>
      <c r="AZA5" s="177" t="s">
        <v>542</v>
      </c>
      <c r="AZB5" s="179" t="s">
        <v>543</v>
      </c>
      <c r="AZC5" s="178" t="s">
        <v>543</v>
      </c>
      <c r="AZD5" s="177" t="s">
        <v>544</v>
      </c>
      <c r="AZE5" s="177" t="s">
        <v>540</v>
      </c>
      <c r="AZF5" s="177" t="s">
        <v>541</v>
      </c>
      <c r="AZG5" s="177" t="s">
        <v>540</v>
      </c>
      <c r="AZH5" s="177" t="s">
        <v>542</v>
      </c>
      <c r="AZI5" s="179" t="s">
        <v>543</v>
      </c>
      <c r="AZJ5" s="178" t="s">
        <v>543</v>
      </c>
      <c r="AZK5" s="177" t="s">
        <v>544</v>
      </c>
      <c r="AZL5" s="177" t="s">
        <v>540</v>
      </c>
      <c r="AZM5" s="177" t="s">
        <v>541</v>
      </c>
      <c r="AZN5" s="177" t="s">
        <v>540</v>
      </c>
      <c r="AZO5" s="177" t="s">
        <v>542</v>
      </c>
      <c r="AZP5" s="179" t="s">
        <v>543</v>
      </c>
      <c r="AZQ5" s="178" t="s">
        <v>543</v>
      </c>
      <c r="AZR5" s="177" t="s">
        <v>544</v>
      </c>
      <c r="AZS5" s="177" t="s">
        <v>540</v>
      </c>
      <c r="AZT5" s="177" t="s">
        <v>541</v>
      </c>
      <c r="AZU5" s="177" t="s">
        <v>540</v>
      </c>
      <c r="AZV5" s="177" t="s">
        <v>542</v>
      </c>
      <c r="AZW5" s="179" t="s">
        <v>543</v>
      </c>
      <c r="AZX5" s="178" t="s">
        <v>543</v>
      </c>
      <c r="AZY5" s="177" t="s">
        <v>544</v>
      </c>
      <c r="AZZ5" s="177" t="s">
        <v>540</v>
      </c>
      <c r="BAA5" s="177" t="s">
        <v>541</v>
      </c>
      <c r="BAB5" s="177" t="s">
        <v>540</v>
      </c>
      <c r="BAC5" s="177" t="s">
        <v>542</v>
      </c>
      <c r="BAD5" s="179" t="s">
        <v>543</v>
      </c>
      <c r="BAE5" s="178" t="s">
        <v>543</v>
      </c>
      <c r="BAF5" s="177" t="s">
        <v>544</v>
      </c>
      <c r="BAG5" s="177" t="s">
        <v>540</v>
      </c>
      <c r="BAH5" s="177" t="s">
        <v>541</v>
      </c>
      <c r="BAI5" s="177" t="s">
        <v>540</v>
      </c>
      <c r="BAJ5" s="177" t="s">
        <v>542</v>
      </c>
      <c r="BAK5" s="179" t="s">
        <v>543</v>
      </c>
      <c r="BAL5" s="178" t="s">
        <v>543</v>
      </c>
      <c r="BAM5" s="177" t="s">
        <v>544</v>
      </c>
      <c r="BAN5" s="177" t="s">
        <v>540</v>
      </c>
      <c r="BAO5" s="177" t="s">
        <v>541</v>
      </c>
      <c r="BAP5" s="177" t="s">
        <v>540</v>
      </c>
      <c r="BAQ5" s="177" t="s">
        <v>542</v>
      </c>
      <c r="BAR5" s="179" t="s">
        <v>543</v>
      </c>
      <c r="BAS5" s="178" t="s">
        <v>543</v>
      </c>
      <c r="BAT5" s="177" t="s">
        <v>544</v>
      </c>
      <c r="BAU5" s="177" t="s">
        <v>540</v>
      </c>
      <c r="BAV5" s="177" t="s">
        <v>541</v>
      </c>
      <c r="BAW5" s="177" t="s">
        <v>540</v>
      </c>
      <c r="BAX5" s="177" t="s">
        <v>542</v>
      </c>
      <c r="BAY5" s="179" t="s">
        <v>543</v>
      </c>
      <c r="BAZ5" s="178" t="s">
        <v>543</v>
      </c>
      <c r="BBA5" s="177" t="s">
        <v>544</v>
      </c>
      <c r="BBB5" s="177" t="s">
        <v>540</v>
      </c>
      <c r="BBC5" s="177" t="s">
        <v>541</v>
      </c>
      <c r="BBD5" s="177" t="s">
        <v>540</v>
      </c>
      <c r="BBE5" s="177" t="s">
        <v>542</v>
      </c>
      <c r="BBF5" s="179" t="s">
        <v>543</v>
      </c>
      <c r="BBG5" s="178" t="s">
        <v>543</v>
      </c>
      <c r="BBH5" s="177" t="s">
        <v>544</v>
      </c>
      <c r="BBI5" s="177" t="s">
        <v>540</v>
      </c>
      <c r="BBJ5" s="177" t="s">
        <v>541</v>
      </c>
      <c r="BBK5" s="177" t="s">
        <v>540</v>
      </c>
      <c r="BBL5" s="177" t="s">
        <v>542</v>
      </c>
      <c r="BBM5" s="179" t="s">
        <v>543</v>
      </c>
      <c r="BBN5" s="178" t="s">
        <v>543</v>
      </c>
      <c r="BBO5" s="177" t="s">
        <v>544</v>
      </c>
      <c r="BBP5" s="177" t="s">
        <v>540</v>
      </c>
      <c r="BBQ5" s="177" t="s">
        <v>541</v>
      </c>
      <c r="BBR5" s="177" t="s">
        <v>540</v>
      </c>
      <c r="BBS5" s="177" t="s">
        <v>542</v>
      </c>
      <c r="BBT5" s="179" t="s">
        <v>543</v>
      </c>
      <c r="BBU5" s="178" t="s">
        <v>543</v>
      </c>
      <c r="BBV5" s="177" t="s">
        <v>544</v>
      </c>
      <c r="BBW5" s="177" t="s">
        <v>540</v>
      </c>
      <c r="BBX5" s="177" t="s">
        <v>541</v>
      </c>
      <c r="BBY5" s="177" t="s">
        <v>540</v>
      </c>
      <c r="BBZ5" s="177" t="s">
        <v>542</v>
      </c>
      <c r="BCA5" s="179" t="s">
        <v>543</v>
      </c>
      <c r="BCB5" s="178" t="s">
        <v>543</v>
      </c>
      <c r="BCC5" s="177" t="s">
        <v>544</v>
      </c>
      <c r="BCD5" s="177" t="s">
        <v>540</v>
      </c>
      <c r="BCE5" s="177" t="s">
        <v>541</v>
      </c>
      <c r="BCF5" s="177" t="s">
        <v>540</v>
      </c>
      <c r="BCG5" s="177" t="s">
        <v>542</v>
      </c>
      <c r="BCH5" s="179" t="s">
        <v>543</v>
      </c>
      <c r="BCI5" s="178" t="s">
        <v>543</v>
      </c>
      <c r="BCJ5" s="177" t="s">
        <v>544</v>
      </c>
      <c r="BCK5" s="177" t="s">
        <v>540</v>
      </c>
      <c r="BCL5" s="177" t="s">
        <v>541</v>
      </c>
      <c r="BCM5" s="177" t="s">
        <v>540</v>
      </c>
      <c r="BCN5" s="177" t="s">
        <v>542</v>
      </c>
      <c r="BCO5" s="179" t="s">
        <v>543</v>
      </c>
      <c r="BCP5" s="178" t="s">
        <v>543</v>
      </c>
      <c r="BCQ5" s="177" t="s">
        <v>544</v>
      </c>
      <c r="BCR5" s="177" t="s">
        <v>540</v>
      </c>
      <c r="BCS5" s="177" t="s">
        <v>541</v>
      </c>
      <c r="BCT5" s="177" t="s">
        <v>540</v>
      </c>
      <c r="BCU5" s="177" t="s">
        <v>542</v>
      </c>
      <c r="BCV5" s="179" t="s">
        <v>543</v>
      </c>
      <c r="BCW5" s="178" t="s">
        <v>543</v>
      </c>
      <c r="BCX5" s="177" t="s">
        <v>544</v>
      </c>
      <c r="BCY5" s="177" t="s">
        <v>540</v>
      </c>
      <c r="BCZ5" s="177" t="s">
        <v>541</v>
      </c>
      <c r="BDA5" s="177" t="s">
        <v>540</v>
      </c>
      <c r="BDB5" s="177" t="s">
        <v>542</v>
      </c>
      <c r="BDC5" s="179" t="s">
        <v>543</v>
      </c>
      <c r="BDD5" s="178" t="s">
        <v>543</v>
      </c>
      <c r="BDE5" s="177" t="s">
        <v>544</v>
      </c>
      <c r="BDF5" s="177" t="s">
        <v>540</v>
      </c>
      <c r="BDG5" s="177" t="s">
        <v>541</v>
      </c>
      <c r="BDH5" s="177" t="s">
        <v>540</v>
      </c>
      <c r="BDI5" s="177" t="s">
        <v>542</v>
      </c>
      <c r="BDJ5" s="179" t="s">
        <v>543</v>
      </c>
      <c r="BDK5" s="178" t="s">
        <v>543</v>
      </c>
      <c r="BDL5" s="177" t="s">
        <v>544</v>
      </c>
      <c r="BDM5" s="177" t="s">
        <v>540</v>
      </c>
      <c r="BDN5" s="177" t="s">
        <v>541</v>
      </c>
      <c r="BDO5" s="177" t="s">
        <v>540</v>
      </c>
      <c r="BDP5" s="177" t="s">
        <v>542</v>
      </c>
      <c r="BDQ5" s="179" t="s">
        <v>543</v>
      </c>
      <c r="BDR5" s="178" t="s">
        <v>543</v>
      </c>
      <c r="BDS5" s="177" t="s">
        <v>544</v>
      </c>
      <c r="BDT5" s="177" t="s">
        <v>540</v>
      </c>
      <c r="BDU5" s="177" t="s">
        <v>541</v>
      </c>
      <c r="BDV5" s="177" t="s">
        <v>540</v>
      </c>
      <c r="BDW5" s="177" t="s">
        <v>542</v>
      </c>
      <c r="BDX5" s="179" t="s">
        <v>543</v>
      </c>
      <c r="BDY5" s="178" t="s">
        <v>543</v>
      </c>
      <c r="BDZ5" s="177" t="s">
        <v>544</v>
      </c>
      <c r="BEA5" s="177" t="s">
        <v>540</v>
      </c>
      <c r="BEB5" s="177" t="s">
        <v>541</v>
      </c>
      <c r="BEC5" s="177" t="s">
        <v>540</v>
      </c>
      <c r="BED5" s="177" t="s">
        <v>542</v>
      </c>
      <c r="BEE5" s="179" t="s">
        <v>543</v>
      </c>
      <c r="BEF5" s="178" t="s">
        <v>543</v>
      </c>
      <c r="BEG5" s="177" t="s">
        <v>544</v>
      </c>
      <c r="BEH5" s="177" t="s">
        <v>540</v>
      </c>
      <c r="BEI5" s="177" t="s">
        <v>541</v>
      </c>
      <c r="BEJ5" s="177" t="s">
        <v>540</v>
      </c>
      <c r="BEK5" s="177" t="s">
        <v>542</v>
      </c>
      <c r="BEL5" s="179" t="s">
        <v>543</v>
      </c>
      <c r="BEM5" s="178" t="s">
        <v>543</v>
      </c>
      <c r="BEN5" s="177" t="s">
        <v>544</v>
      </c>
      <c r="BEO5" s="177" t="s">
        <v>540</v>
      </c>
      <c r="BEP5" s="177" t="s">
        <v>541</v>
      </c>
      <c r="BEQ5" s="177" t="s">
        <v>540</v>
      </c>
      <c r="BER5" s="177" t="s">
        <v>542</v>
      </c>
      <c r="BES5" s="179" t="s">
        <v>543</v>
      </c>
      <c r="BET5" s="178" t="s">
        <v>543</v>
      </c>
      <c r="BEU5" s="177" t="s">
        <v>544</v>
      </c>
      <c r="BEV5" s="177" t="s">
        <v>540</v>
      </c>
      <c r="BEW5" s="177" t="s">
        <v>541</v>
      </c>
      <c r="BEX5" s="177" t="s">
        <v>540</v>
      </c>
      <c r="BEY5" s="177" t="s">
        <v>542</v>
      </c>
      <c r="BEZ5" s="179" t="s">
        <v>543</v>
      </c>
      <c r="BFA5" s="178" t="s">
        <v>543</v>
      </c>
      <c r="BFB5" s="177" t="s">
        <v>544</v>
      </c>
      <c r="BFC5" s="177" t="s">
        <v>540</v>
      </c>
      <c r="BFD5" s="177" t="s">
        <v>541</v>
      </c>
      <c r="BFE5" s="177" t="s">
        <v>540</v>
      </c>
      <c r="BFF5" s="177" t="s">
        <v>542</v>
      </c>
      <c r="BFG5" s="179" t="s">
        <v>543</v>
      </c>
      <c r="BFH5" s="178" t="s">
        <v>543</v>
      </c>
      <c r="BFI5" s="177" t="s">
        <v>544</v>
      </c>
      <c r="BFJ5" s="177" t="s">
        <v>540</v>
      </c>
      <c r="BFK5" s="177" t="s">
        <v>541</v>
      </c>
      <c r="BFL5" s="177" t="s">
        <v>540</v>
      </c>
      <c r="BFM5" s="177" t="s">
        <v>542</v>
      </c>
      <c r="BFN5" s="179" t="s">
        <v>543</v>
      </c>
      <c r="BFO5" s="178" t="s">
        <v>543</v>
      </c>
      <c r="BFP5" s="177" t="s">
        <v>544</v>
      </c>
      <c r="BFQ5" s="177" t="s">
        <v>540</v>
      </c>
      <c r="BFR5" s="177" t="s">
        <v>541</v>
      </c>
      <c r="BFS5" s="177" t="s">
        <v>540</v>
      </c>
      <c r="BFT5" s="177" t="s">
        <v>542</v>
      </c>
      <c r="BFU5" s="179" t="s">
        <v>543</v>
      </c>
      <c r="BFV5" s="178" t="s">
        <v>543</v>
      </c>
      <c r="BFW5" s="177" t="s">
        <v>544</v>
      </c>
      <c r="BFX5" s="177" t="s">
        <v>540</v>
      </c>
      <c r="BFY5" s="177" t="s">
        <v>541</v>
      </c>
      <c r="BFZ5" s="177" t="s">
        <v>540</v>
      </c>
      <c r="BGA5" s="177" t="s">
        <v>542</v>
      </c>
      <c r="BGB5" s="179" t="s">
        <v>543</v>
      </c>
      <c r="BGC5" s="178" t="s">
        <v>543</v>
      </c>
      <c r="BGD5" s="177" t="s">
        <v>544</v>
      </c>
      <c r="BGE5" s="177" t="s">
        <v>540</v>
      </c>
      <c r="BGF5" s="177" t="s">
        <v>541</v>
      </c>
      <c r="BGG5" s="177" t="s">
        <v>540</v>
      </c>
      <c r="BGH5" s="177" t="s">
        <v>542</v>
      </c>
      <c r="BGI5" s="179" t="s">
        <v>543</v>
      </c>
      <c r="BGJ5" s="178" t="s">
        <v>543</v>
      </c>
      <c r="BGK5" s="177" t="s">
        <v>544</v>
      </c>
      <c r="BGL5" s="177" t="s">
        <v>540</v>
      </c>
      <c r="BGM5" s="177" t="s">
        <v>541</v>
      </c>
      <c r="BGN5" s="177" t="s">
        <v>540</v>
      </c>
      <c r="BGO5" s="177" t="s">
        <v>542</v>
      </c>
      <c r="BGP5" s="179" t="s">
        <v>543</v>
      </c>
      <c r="BGQ5" s="178" t="s">
        <v>543</v>
      </c>
      <c r="BGR5" s="177" t="s">
        <v>544</v>
      </c>
      <c r="BGS5" s="177" t="s">
        <v>540</v>
      </c>
      <c r="BGT5" s="177" t="s">
        <v>541</v>
      </c>
      <c r="BGU5" s="177" t="s">
        <v>540</v>
      </c>
      <c r="BGV5" s="177" t="s">
        <v>542</v>
      </c>
      <c r="BGW5" s="179" t="s">
        <v>543</v>
      </c>
      <c r="BGX5" s="178" t="s">
        <v>543</v>
      </c>
      <c r="BGY5" s="177" t="s">
        <v>544</v>
      </c>
      <c r="BGZ5" s="177" t="s">
        <v>540</v>
      </c>
      <c r="BHA5" s="177" t="s">
        <v>541</v>
      </c>
      <c r="BHB5" s="177" t="s">
        <v>540</v>
      </c>
      <c r="BHC5" s="177" t="s">
        <v>542</v>
      </c>
      <c r="BHD5" s="179" t="s">
        <v>543</v>
      </c>
      <c r="BHE5" s="178" t="s">
        <v>543</v>
      </c>
      <c r="BHF5" s="177" t="s">
        <v>544</v>
      </c>
      <c r="BHG5" s="177" t="s">
        <v>540</v>
      </c>
      <c r="BHH5" s="177" t="s">
        <v>541</v>
      </c>
      <c r="BHI5" s="177" t="s">
        <v>540</v>
      </c>
      <c r="BHJ5" s="177" t="s">
        <v>542</v>
      </c>
      <c r="BHK5" s="179" t="s">
        <v>543</v>
      </c>
      <c r="BHL5" s="178" t="s">
        <v>543</v>
      </c>
      <c r="BHM5" s="177" t="s">
        <v>544</v>
      </c>
      <c r="BHN5" s="177" t="s">
        <v>540</v>
      </c>
      <c r="BHO5" s="177" t="s">
        <v>541</v>
      </c>
      <c r="BHP5" s="177" t="s">
        <v>540</v>
      </c>
      <c r="BHQ5" s="177" t="s">
        <v>542</v>
      </c>
      <c r="BHR5" s="179" t="s">
        <v>543</v>
      </c>
      <c r="BHS5" s="178" t="s">
        <v>543</v>
      </c>
      <c r="BHT5" s="177" t="s">
        <v>544</v>
      </c>
      <c r="BHU5" s="177" t="s">
        <v>540</v>
      </c>
      <c r="BHV5" s="177" t="s">
        <v>541</v>
      </c>
      <c r="BHW5" s="177" t="s">
        <v>540</v>
      </c>
      <c r="BHX5" s="177" t="s">
        <v>542</v>
      </c>
      <c r="BHY5" s="179" t="s">
        <v>543</v>
      </c>
      <c r="BHZ5" s="178" t="s">
        <v>543</v>
      </c>
      <c r="BIA5" s="177" t="s">
        <v>544</v>
      </c>
      <c r="BIB5" s="177" t="s">
        <v>540</v>
      </c>
      <c r="BIC5" s="177" t="s">
        <v>541</v>
      </c>
      <c r="BID5" s="177" t="s">
        <v>540</v>
      </c>
      <c r="BIE5" s="177" t="s">
        <v>542</v>
      </c>
      <c r="BIF5" s="179" t="s">
        <v>543</v>
      </c>
      <c r="BIG5" s="178" t="s">
        <v>543</v>
      </c>
      <c r="BIH5" s="177" t="s">
        <v>544</v>
      </c>
      <c r="BII5" s="177" t="s">
        <v>540</v>
      </c>
      <c r="BIJ5" s="177" t="s">
        <v>541</v>
      </c>
      <c r="BIK5" s="177" t="s">
        <v>540</v>
      </c>
      <c r="BIL5" s="177" t="s">
        <v>542</v>
      </c>
      <c r="BIM5" s="179" t="s">
        <v>543</v>
      </c>
      <c r="BIN5" s="178" t="s">
        <v>543</v>
      </c>
      <c r="BIO5" s="177" t="s">
        <v>544</v>
      </c>
      <c r="BIP5" s="177" t="s">
        <v>540</v>
      </c>
      <c r="BIQ5" s="177" t="s">
        <v>541</v>
      </c>
      <c r="BIR5" s="177" t="s">
        <v>540</v>
      </c>
      <c r="BIS5" s="177" t="s">
        <v>542</v>
      </c>
      <c r="BIT5" s="179" t="s">
        <v>543</v>
      </c>
      <c r="BIU5" s="178" t="s">
        <v>543</v>
      </c>
      <c r="BIV5" s="177" t="s">
        <v>544</v>
      </c>
      <c r="BIW5" s="177" t="s">
        <v>540</v>
      </c>
      <c r="BIX5" s="177" t="s">
        <v>541</v>
      </c>
      <c r="BIY5" s="177" t="s">
        <v>540</v>
      </c>
      <c r="BIZ5" s="177" t="s">
        <v>542</v>
      </c>
      <c r="BJA5" s="179" t="s">
        <v>543</v>
      </c>
      <c r="BJB5" s="178" t="s">
        <v>543</v>
      </c>
      <c r="BJC5" s="177" t="s">
        <v>544</v>
      </c>
      <c r="BJD5" s="177" t="s">
        <v>540</v>
      </c>
      <c r="BJE5" s="177" t="s">
        <v>541</v>
      </c>
      <c r="BJF5" s="177" t="s">
        <v>540</v>
      </c>
      <c r="BJG5" s="177" t="s">
        <v>542</v>
      </c>
      <c r="BJH5" s="179" t="s">
        <v>543</v>
      </c>
      <c r="BJI5" s="178" t="s">
        <v>543</v>
      </c>
      <c r="BJJ5" s="177" t="s">
        <v>544</v>
      </c>
      <c r="BJK5" s="177" t="s">
        <v>540</v>
      </c>
      <c r="BJL5" s="177" t="s">
        <v>541</v>
      </c>
      <c r="BJM5" s="177" t="s">
        <v>540</v>
      </c>
      <c r="BJN5" s="177" t="s">
        <v>542</v>
      </c>
      <c r="BJO5" s="179" t="s">
        <v>543</v>
      </c>
      <c r="BJP5" s="178" t="s">
        <v>543</v>
      </c>
      <c r="BJQ5" s="177" t="s">
        <v>544</v>
      </c>
      <c r="BJR5" s="177" t="s">
        <v>540</v>
      </c>
      <c r="BJS5" s="177" t="s">
        <v>541</v>
      </c>
      <c r="BJT5" s="177" t="s">
        <v>540</v>
      </c>
      <c r="BJU5" s="177" t="s">
        <v>542</v>
      </c>
      <c r="BJV5" s="179" t="s">
        <v>543</v>
      </c>
      <c r="BJW5" s="178" t="s">
        <v>543</v>
      </c>
      <c r="BJX5" s="177" t="s">
        <v>544</v>
      </c>
      <c r="BJY5" s="177" t="s">
        <v>540</v>
      </c>
      <c r="BJZ5" s="177" t="s">
        <v>541</v>
      </c>
      <c r="BKA5" s="177" t="s">
        <v>540</v>
      </c>
      <c r="BKB5" s="177" t="s">
        <v>542</v>
      </c>
      <c r="BKC5" s="179" t="s">
        <v>543</v>
      </c>
      <c r="BKD5" s="178" t="s">
        <v>543</v>
      </c>
      <c r="BKE5" s="177" t="s">
        <v>544</v>
      </c>
      <c r="BKF5" s="177" t="s">
        <v>540</v>
      </c>
      <c r="BKG5" s="177" t="s">
        <v>541</v>
      </c>
      <c r="BKH5" s="177" t="s">
        <v>540</v>
      </c>
      <c r="BKI5" s="177" t="s">
        <v>542</v>
      </c>
      <c r="BKJ5" s="179" t="s">
        <v>543</v>
      </c>
      <c r="BKK5" s="178" t="s">
        <v>543</v>
      </c>
      <c r="BKL5" s="177" t="s">
        <v>544</v>
      </c>
      <c r="BKM5" s="177" t="s">
        <v>540</v>
      </c>
      <c r="BKN5" s="177" t="s">
        <v>541</v>
      </c>
      <c r="BKO5" s="177" t="s">
        <v>540</v>
      </c>
      <c r="BKP5" s="177" t="s">
        <v>542</v>
      </c>
      <c r="BKQ5" s="179" t="s">
        <v>543</v>
      </c>
      <c r="BKR5" s="178" t="s">
        <v>543</v>
      </c>
      <c r="BKS5" s="177" t="s">
        <v>544</v>
      </c>
      <c r="BKT5" s="177" t="s">
        <v>540</v>
      </c>
      <c r="BKU5" s="177" t="s">
        <v>541</v>
      </c>
      <c r="BKV5" s="177" t="s">
        <v>540</v>
      </c>
      <c r="BKW5" s="177" t="s">
        <v>542</v>
      </c>
      <c r="BKX5" s="179" t="s">
        <v>543</v>
      </c>
      <c r="BKY5" s="178" t="s">
        <v>543</v>
      </c>
      <c r="BKZ5" s="177" t="s">
        <v>544</v>
      </c>
      <c r="BLA5" s="177" t="s">
        <v>540</v>
      </c>
      <c r="BLB5" s="177" t="s">
        <v>541</v>
      </c>
      <c r="BLC5" s="177" t="s">
        <v>540</v>
      </c>
      <c r="BLD5" s="177" t="s">
        <v>542</v>
      </c>
      <c r="BLE5" s="179" t="s">
        <v>543</v>
      </c>
      <c r="BLF5" s="178" t="s">
        <v>543</v>
      </c>
      <c r="BLG5" s="177" t="s">
        <v>544</v>
      </c>
      <c r="BLH5" s="177" t="s">
        <v>540</v>
      </c>
      <c r="BLI5" s="177" t="s">
        <v>541</v>
      </c>
      <c r="BLJ5" s="177" t="s">
        <v>540</v>
      </c>
      <c r="BLK5" s="177" t="s">
        <v>542</v>
      </c>
      <c r="BLL5" s="179" t="s">
        <v>543</v>
      </c>
      <c r="BLM5" s="178" t="s">
        <v>543</v>
      </c>
      <c r="BLN5" s="177" t="s">
        <v>544</v>
      </c>
      <c r="BLO5" s="177" t="s">
        <v>540</v>
      </c>
      <c r="BLP5" s="177" t="s">
        <v>541</v>
      </c>
      <c r="BLQ5" s="177" t="s">
        <v>540</v>
      </c>
      <c r="BLR5" s="177" t="s">
        <v>542</v>
      </c>
      <c r="BLS5" s="179" t="s">
        <v>543</v>
      </c>
      <c r="BLT5" s="178" t="s">
        <v>543</v>
      </c>
      <c r="BLU5" s="177" t="s">
        <v>544</v>
      </c>
      <c r="BLV5" s="177" t="s">
        <v>540</v>
      </c>
      <c r="BLW5" s="177" t="s">
        <v>541</v>
      </c>
      <c r="BLX5" s="177" t="s">
        <v>540</v>
      </c>
      <c r="BLY5" s="177" t="s">
        <v>542</v>
      </c>
      <c r="BLZ5" s="179" t="s">
        <v>543</v>
      </c>
      <c r="BMA5" s="178" t="s">
        <v>543</v>
      </c>
      <c r="BMB5" s="177" t="s">
        <v>544</v>
      </c>
      <c r="BMC5" s="177" t="s">
        <v>540</v>
      </c>
      <c r="BMD5" s="177" t="s">
        <v>541</v>
      </c>
      <c r="BME5" s="177" t="s">
        <v>540</v>
      </c>
      <c r="BMF5" s="177" t="s">
        <v>542</v>
      </c>
      <c r="BMG5" s="179" t="s">
        <v>543</v>
      </c>
      <c r="BMH5" s="178" t="s">
        <v>543</v>
      </c>
      <c r="BMI5" s="177" t="s">
        <v>544</v>
      </c>
      <c r="BMJ5" s="177" t="s">
        <v>540</v>
      </c>
      <c r="BMK5" s="177" t="s">
        <v>541</v>
      </c>
      <c r="BML5" s="177" t="s">
        <v>540</v>
      </c>
      <c r="BMM5" s="177" t="s">
        <v>542</v>
      </c>
      <c r="BMN5" s="179" t="s">
        <v>543</v>
      </c>
      <c r="BMO5" s="178" t="s">
        <v>543</v>
      </c>
      <c r="BMP5" s="177" t="s">
        <v>544</v>
      </c>
      <c r="BMQ5" s="177" t="s">
        <v>540</v>
      </c>
      <c r="BMR5" s="177" t="s">
        <v>541</v>
      </c>
      <c r="BMS5" s="177" t="s">
        <v>540</v>
      </c>
      <c r="BMT5" s="177" t="s">
        <v>542</v>
      </c>
      <c r="BMU5" s="179" t="s">
        <v>543</v>
      </c>
      <c r="BMV5" s="178" t="s">
        <v>543</v>
      </c>
      <c r="BMW5" s="177" t="s">
        <v>544</v>
      </c>
      <c r="BMX5" s="177" t="s">
        <v>540</v>
      </c>
      <c r="BMY5" s="177" t="s">
        <v>541</v>
      </c>
      <c r="BMZ5" s="177" t="s">
        <v>540</v>
      </c>
      <c r="BNA5" s="177" t="s">
        <v>542</v>
      </c>
      <c r="BNB5" s="179" t="s">
        <v>543</v>
      </c>
      <c r="BNC5" s="178" t="s">
        <v>543</v>
      </c>
      <c r="BND5" s="177" t="s">
        <v>544</v>
      </c>
      <c r="BNE5" s="177" t="s">
        <v>540</v>
      </c>
      <c r="BNF5" s="177" t="s">
        <v>541</v>
      </c>
      <c r="BNG5" s="177" t="s">
        <v>540</v>
      </c>
      <c r="BNH5" s="177" t="s">
        <v>542</v>
      </c>
      <c r="BNI5" s="179" t="s">
        <v>543</v>
      </c>
      <c r="BNJ5" s="178" t="s">
        <v>543</v>
      </c>
      <c r="BNK5" s="177" t="s">
        <v>544</v>
      </c>
      <c r="BNL5" s="177" t="s">
        <v>540</v>
      </c>
      <c r="BNM5" s="177" t="s">
        <v>541</v>
      </c>
      <c r="BNN5" s="177" t="s">
        <v>540</v>
      </c>
      <c r="BNO5" s="177" t="s">
        <v>542</v>
      </c>
      <c r="BNP5" s="179" t="s">
        <v>543</v>
      </c>
      <c r="BNQ5" s="178" t="s">
        <v>543</v>
      </c>
      <c r="BNR5" s="177" t="s">
        <v>544</v>
      </c>
      <c r="BNS5" s="177" t="s">
        <v>540</v>
      </c>
      <c r="BNT5" s="177" t="s">
        <v>541</v>
      </c>
      <c r="BNU5" s="177" t="s">
        <v>540</v>
      </c>
      <c r="BNV5" s="177" t="s">
        <v>542</v>
      </c>
      <c r="BNW5" s="179" t="s">
        <v>543</v>
      </c>
      <c r="BNX5" s="178" t="s">
        <v>543</v>
      </c>
      <c r="BNY5" s="177" t="s">
        <v>544</v>
      </c>
      <c r="BNZ5" s="177" t="s">
        <v>540</v>
      </c>
      <c r="BOA5" s="177" t="s">
        <v>541</v>
      </c>
      <c r="BOB5" s="177" t="s">
        <v>540</v>
      </c>
      <c r="BOC5" s="177" t="s">
        <v>542</v>
      </c>
      <c r="BOD5" s="179" t="s">
        <v>543</v>
      </c>
      <c r="BOE5" s="178" t="s">
        <v>543</v>
      </c>
      <c r="BOF5" s="177" t="s">
        <v>544</v>
      </c>
      <c r="BOG5" s="177" t="s">
        <v>540</v>
      </c>
      <c r="BOH5" s="177" t="s">
        <v>541</v>
      </c>
      <c r="BOI5" s="177" t="s">
        <v>540</v>
      </c>
      <c r="BOJ5" s="177" t="s">
        <v>542</v>
      </c>
      <c r="BOK5" s="179" t="s">
        <v>543</v>
      </c>
      <c r="BOL5" s="178" t="s">
        <v>543</v>
      </c>
      <c r="BOM5" s="177" t="s">
        <v>544</v>
      </c>
      <c r="BON5" s="177" t="s">
        <v>540</v>
      </c>
      <c r="BOO5" s="177" t="s">
        <v>541</v>
      </c>
      <c r="BOP5" s="177" t="s">
        <v>540</v>
      </c>
      <c r="BOQ5" s="177" t="s">
        <v>542</v>
      </c>
      <c r="BOR5" s="179" t="s">
        <v>543</v>
      </c>
      <c r="BOS5" s="178" t="s">
        <v>543</v>
      </c>
      <c r="BOT5" s="177" t="s">
        <v>544</v>
      </c>
      <c r="BOU5" s="177" t="s">
        <v>540</v>
      </c>
      <c r="BOV5" s="177" t="s">
        <v>541</v>
      </c>
      <c r="BOW5" s="177" t="s">
        <v>540</v>
      </c>
      <c r="BOX5" s="177" t="s">
        <v>542</v>
      </c>
      <c r="BOY5" s="179" t="s">
        <v>543</v>
      </c>
      <c r="BOZ5" s="178" t="s">
        <v>543</v>
      </c>
      <c r="BPA5" s="177" t="s">
        <v>544</v>
      </c>
      <c r="BPB5" s="177" t="s">
        <v>540</v>
      </c>
      <c r="BPC5" s="177" t="s">
        <v>541</v>
      </c>
      <c r="BPD5" s="177" t="s">
        <v>540</v>
      </c>
      <c r="BPE5" s="177" t="s">
        <v>542</v>
      </c>
      <c r="BPF5" s="179" t="s">
        <v>543</v>
      </c>
      <c r="BPG5" s="178" t="s">
        <v>543</v>
      </c>
      <c r="BPH5" s="177" t="s">
        <v>544</v>
      </c>
      <c r="BPI5" s="177" t="s">
        <v>540</v>
      </c>
      <c r="BPJ5" s="177" t="s">
        <v>541</v>
      </c>
      <c r="BPK5" s="177" t="s">
        <v>540</v>
      </c>
      <c r="BPL5" s="177" t="s">
        <v>542</v>
      </c>
      <c r="BPM5" s="179" t="s">
        <v>543</v>
      </c>
      <c r="BPN5" s="178" t="s">
        <v>543</v>
      </c>
      <c r="BPO5" s="177" t="s">
        <v>544</v>
      </c>
      <c r="BPP5" s="177" t="s">
        <v>540</v>
      </c>
      <c r="BPQ5" s="177" t="s">
        <v>541</v>
      </c>
      <c r="BPR5" s="177" t="s">
        <v>540</v>
      </c>
      <c r="BPS5" s="177" t="s">
        <v>542</v>
      </c>
      <c r="BPT5" s="179" t="s">
        <v>543</v>
      </c>
      <c r="BPU5" s="178" t="s">
        <v>543</v>
      </c>
      <c r="BPV5" s="177" t="s">
        <v>544</v>
      </c>
      <c r="BPW5" s="177" t="s">
        <v>540</v>
      </c>
      <c r="BPX5" s="177" t="s">
        <v>541</v>
      </c>
      <c r="BPY5" s="177" t="s">
        <v>540</v>
      </c>
      <c r="BPZ5" s="177" t="s">
        <v>542</v>
      </c>
      <c r="BQA5" s="179" t="s">
        <v>543</v>
      </c>
      <c r="BQB5" s="178" t="s">
        <v>543</v>
      </c>
      <c r="BQC5" s="177" t="s">
        <v>544</v>
      </c>
      <c r="BQD5" s="177" t="s">
        <v>540</v>
      </c>
      <c r="BQE5" s="177" t="s">
        <v>541</v>
      </c>
      <c r="BQF5" s="177" t="s">
        <v>540</v>
      </c>
      <c r="BQG5" s="177" t="s">
        <v>542</v>
      </c>
      <c r="BQH5" s="179" t="s">
        <v>543</v>
      </c>
      <c r="BQI5" s="178" t="s">
        <v>543</v>
      </c>
      <c r="BQJ5" s="177" t="s">
        <v>544</v>
      </c>
      <c r="BQK5" s="177" t="s">
        <v>540</v>
      </c>
      <c r="BQL5" s="177" t="s">
        <v>541</v>
      </c>
      <c r="BQM5" s="177" t="s">
        <v>540</v>
      </c>
      <c r="BQN5" s="177" t="s">
        <v>542</v>
      </c>
      <c r="BQO5" s="179" t="s">
        <v>543</v>
      </c>
      <c r="BQP5" s="178" t="s">
        <v>543</v>
      </c>
      <c r="BQQ5" s="177" t="s">
        <v>544</v>
      </c>
      <c r="BQR5" s="177" t="s">
        <v>540</v>
      </c>
      <c r="BQS5" s="177" t="s">
        <v>541</v>
      </c>
      <c r="BQT5" s="177" t="s">
        <v>540</v>
      </c>
      <c r="BQU5" s="177" t="s">
        <v>542</v>
      </c>
      <c r="BQV5" s="179" t="s">
        <v>543</v>
      </c>
      <c r="BQW5" s="178" t="s">
        <v>543</v>
      </c>
      <c r="BQX5" s="177" t="s">
        <v>544</v>
      </c>
      <c r="BQY5" s="177" t="s">
        <v>540</v>
      </c>
      <c r="BQZ5" s="177" t="s">
        <v>541</v>
      </c>
      <c r="BRA5" s="177" t="s">
        <v>540</v>
      </c>
      <c r="BRB5" s="177" t="s">
        <v>542</v>
      </c>
      <c r="BRC5" s="179" t="s">
        <v>543</v>
      </c>
      <c r="BRD5" s="178" t="s">
        <v>543</v>
      </c>
      <c r="BRE5" s="177" t="s">
        <v>544</v>
      </c>
      <c r="BRF5" s="177" t="s">
        <v>540</v>
      </c>
      <c r="BRG5" s="177" t="s">
        <v>541</v>
      </c>
      <c r="BRH5" s="177" t="s">
        <v>540</v>
      </c>
      <c r="BRI5" s="177" t="s">
        <v>542</v>
      </c>
      <c r="BRJ5" s="179" t="s">
        <v>543</v>
      </c>
      <c r="BRK5" s="178" t="s">
        <v>543</v>
      </c>
      <c r="BRL5" s="177" t="s">
        <v>544</v>
      </c>
      <c r="BRM5" s="177" t="s">
        <v>540</v>
      </c>
      <c r="BRN5" s="177" t="s">
        <v>541</v>
      </c>
      <c r="BRO5" s="177" t="s">
        <v>540</v>
      </c>
      <c r="BRP5" s="177" t="s">
        <v>542</v>
      </c>
      <c r="BRQ5" s="179" t="s">
        <v>543</v>
      </c>
      <c r="BRR5" s="178" t="s">
        <v>543</v>
      </c>
      <c r="BRS5" s="177" t="s">
        <v>544</v>
      </c>
      <c r="BRT5" s="177" t="s">
        <v>540</v>
      </c>
      <c r="BRU5" s="177" t="s">
        <v>541</v>
      </c>
      <c r="BRV5" s="177" t="s">
        <v>540</v>
      </c>
      <c r="BRW5" s="177" t="s">
        <v>542</v>
      </c>
      <c r="BRX5" s="179" t="s">
        <v>543</v>
      </c>
      <c r="BRY5" s="178" t="s">
        <v>543</v>
      </c>
      <c r="BRZ5" s="177" t="s">
        <v>544</v>
      </c>
      <c r="BSA5" s="177" t="s">
        <v>540</v>
      </c>
      <c r="BSB5" s="177" t="s">
        <v>541</v>
      </c>
      <c r="BSC5" s="177" t="s">
        <v>540</v>
      </c>
      <c r="BSD5" s="177" t="s">
        <v>542</v>
      </c>
      <c r="BSE5" s="179" t="s">
        <v>543</v>
      </c>
      <c r="BSF5" s="178" t="s">
        <v>543</v>
      </c>
      <c r="BSG5" s="177" t="s">
        <v>544</v>
      </c>
      <c r="BSH5" s="177" t="s">
        <v>540</v>
      </c>
      <c r="BSI5" s="177" t="s">
        <v>541</v>
      </c>
      <c r="BSJ5" s="177" t="s">
        <v>540</v>
      </c>
      <c r="BSK5" s="177" t="s">
        <v>542</v>
      </c>
      <c r="BSL5" s="179" t="s">
        <v>543</v>
      </c>
      <c r="BSM5" s="178" t="s">
        <v>543</v>
      </c>
      <c r="BSN5" s="177" t="s">
        <v>544</v>
      </c>
      <c r="BSO5" s="177" t="s">
        <v>540</v>
      </c>
      <c r="BSP5" s="177" t="s">
        <v>541</v>
      </c>
      <c r="BSQ5" s="177" t="s">
        <v>540</v>
      </c>
      <c r="BSR5" s="177" t="s">
        <v>542</v>
      </c>
      <c r="BSS5" s="179" t="s">
        <v>543</v>
      </c>
      <c r="BST5" s="178" t="s">
        <v>543</v>
      </c>
      <c r="BSU5" s="177" t="s">
        <v>544</v>
      </c>
      <c r="BSV5" s="177" t="s">
        <v>540</v>
      </c>
      <c r="BSW5" s="177" t="s">
        <v>541</v>
      </c>
      <c r="BSX5" s="177" t="s">
        <v>540</v>
      </c>
      <c r="BSY5" s="177" t="s">
        <v>542</v>
      </c>
      <c r="BSZ5" s="179" t="s">
        <v>543</v>
      </c>
      <c r="BTA5" s="178" t="s">
        <v>543</v>
      </c>
      <c r="BTB5" s="177" t="s">
        <v>544</v>
      </c>
      <c r="BTC5" s="177" t="s">
        <v>540</v>
      </c>
      <c r="BTD5" s="177" t="s">
        <v>541</v>
      </c>
      <c r="BTE5" s="177" t="s">
        <v>540</v>
      </c>
      <c r="BTF5" s="177" t="s">
        <v>542</v>
      </c>
      <c r="BTG5" s="179" t="s">
        <v>543</v>
      </c>
      <c r="BTH5" s="178" t="s">
        <v>543</v>
      </c>
      <c r="BTI5" s="177" t="s">
        <v>544</v>
      </c>
      <c r="BTJ5" s="177" t="s">
        <v>540</v>
      </c>
      <c r="BTK5" s="177" t="s">
        <v>541</v>
      </c>
      <c r="BTL5" s="177" t="s">
        <v>540</v>
      </c>
      <c r="BTM5" s="177" t="s">
        <v>542</v>
      </c>
      <c r="BTN5" s="179" t="s">
        <v>543</v>
      </c>
      <c r="BTO5" s="178" t="s">
        <v>543</v>
      </c>
      <c r="BTP5" s="177" t="s">
        <v>544</v>
      </c>
      <c r="BTQ5" s="177" t="s">
        <v>540</v>
      </c>
      <c r="BTR5" s="177" t="s">
        <v>541</v>
      </c>
      <c r="BTS5" s="177" t="s">
        <v>540</v>
      </c>
      <c r="BTT5" s="177" t="s">
        <v>542</v>
      </c>
      <c r="BTU5" s="179" t="s">
        <v>543</v>
      </c>
      <c r="BTV5" s="178" t="s">
        <v>543</v>
      </c>
      <c r="BTW5" s="177" t="s">
        <v>544</v>
      </c>
      <c r="BTX5" s="177" t="s">
        <v>540</v>
      </c>
      <c r="BTY5" s="177" t="s">
        <v>541</v>
      </c>
      <c r="BTZ5" s="177" t="s">
        <v>540</v>
      </c>
      <c r="BUA5" s="177" t="s">
        <v>542</v>
      </c>
      <c r="BUB5" s="179" t="s">
        <v>543</v>
      </c>
      <c r="BUC5" s="178" t="s">
        <v>543</v>
      </c>
      <c r="BUD5" s="177" t="s">
        <v>544</v>
      </c>
      <c r="BUE5" s="177" t="s">
        <v>540</v>
      </c>
      <c r="BUF5" s="177" t="s">
        <v>541</v>
      </c>
      <c r="BUG5" s="177" t="s">
        <v>540</v>
      </c>
      <c r="BUH5" s="177" t="s">
        <v>542</v>
      </c>
      <c r="BUI5" s="179" t="s">
        <v>543</v>
      </c>
      <c r="BUJ5" s="178" t="s">
        <v>543</v>
      </c>
      <c r="BUK5" s="177" t="s">
        <v>544</v>
      </c>
      <c r="BUL5" s="177" t="s">
        <v>540</v>
      </c>
      <c r="BUM5" s="177" t="s">
        <v>541</v>
      </c>
      <c r="BUN5" s="177" t="s">
        <v>540</v>
      </c>
      <c r="BUO5" s="177" t="s">
        <v>542</v>
      </c>
      <c r="BUP5" s="179" t="s">
        <v>543</v>
      </c>
      <c r="BUQ5" s="178" t="s">
        <v>543</v>
      </c>
      <c r="BUR5" s="177" t="s">
        <v>544</v>
      </c>
      <c r="BUS5" s="177" t="s">
        <v>540</v>
      </c>
      <c r="BUT5" s="177" t="s">
        <v>541</v>
      </c>
      <c r="BUU5" s="177" t="s">
        <v>540</v>
      </c>
      <c r="BUV5" s="177" t="s">
        <v>542</v>
      </c>
      <c r="BUW5" s="179" t="s">
        <v>543</v>
      </c>
      <c r="BUX5" s="178" t="s">
        <v>543</v>
      </c>
      <c r="BUY5" s="177" t="s">
        <v>544</v>
      </c>
      <c r="BUZ5" s="177" t="s">
        <v>540</v>
      </c>
      <c r="BVA5" s="177" t="s">
        <v>541</v>
      </c>
      <c r="BVB5" s="177" t="s">
        <v>540</v>
      </c>
      <c r="BVC5" s="177" t="s">
        <v>542</v>
      </c>
      <c r="BVD5" s="179" t="s">
        <v>543</v>
      </c>
      <c r="BVE5" s="178" t="s">
        <v>543</v>
      </c>
      <c r="BVF5" s="177" t="s">
        <v>544</v>
      </c>
      <c r="BVG5" s="177" t="s">
        <v>540</v>
      </c>
      <c r="BVH5" s="177" t="s">
        <v>541</v>
      </c>
      <c r="BVI5" s="177" t="s">
        <v>540</v>
      </c>
      <c r="BVJ5" s="177" t="s">
        <v>542</v>
      </c>
      <c r="BVK5" s="179" t="s">
        <v>543</v>
      </c>
      <c r="BVL5" s="178" t="s">
        <v>543</v>
      </c>
      <c r="BVM5" s="177" t="s">
        <v>544</v>
      </c>
      <c r="BVN5" s="177" t="s">
        <v>540</v>
      </c>
      <c r="BVO5" s="177" t="s">
        <v>541</v>
      </c>
      <c r="BVP5" s="177" t="s">
        <v>540</v>
      </c>
      <c r="BVQ5" s="177" t="s">
        <v>542</v>
      </c>
      <c r="BVR5" s="179" t="s">
        <v>543</v>
      </c>
      <c r="BVS5" s="178" t="s">
        <v>543</v>
      </c>
      <c r="BVT5" s="177" t="s">
        <v>544</v>
      </c>
      <c r="BVU5" s="177" t="s">
        <v>540</v>
      </c>
      <c r="BVV5" s="177" t="s">
        <v>541</v>
      </c>
      <c r="BVW5" s="177" t="s">
        <v>540</v>
      </c>
      <c r="BVX5" s="177" t="s">
        <v>542</v>
      </c>
      <c r="BVY5" s="179" t="s">
        <v>543</v>
      </c>
      <c r="BVZ5" s="178" t="s">
        <v>543</v>
      </c>
      <c r="BWA5" s="177" t="s">
        <v>544</v>
      </c>
      <c r="BWB5" s="177" t="s">
        <v>540</v>
      </c>
      <c r="BWC5" s="177" t="s">
        <v>541</v>
      </c>
      <c r="BWD5" s="177" t="s">
        <v>540</v>
      </c>
      <c r="BWE5" s="177" t="s">
        <v>542</v>
      </c>
      <c r="BWF5" s="179" t="s">
        <v>543</v>
      </c>
      <c r="BWG5" s="178" t="s">
        <v>543</v>
      </c>
      <c r="BWH5" s="177" t="s">
        <v>544</v>
      </c>
      <c r="BWI5" s="177" t="s">
        <v>540</v>
      </c>
      <c r="BWJ5" s="177" t="s">
        <v>541</v>
      </c>
      <c r="BWK5" s="177" t="s">
        <v>540</v>
      </c>
      <c r="BWL5" s="177" t="s">
        <v>542</v>
      </c>
      <c r="BWM5" s="179" t="s">
        <v>543</v>
      </c>
      <c r="BWN5" s="178" t="s">
        <v>543</v>
      </c>
      <c r="BWO5" s="177" t="s">
        <v>544</v>
      </c>
      <c r="BWP5" s="177" t="s">
        <v>540</v>
      </c>
      <c r="BWQ5" s="177" t="s">
        <v>541</v>
      </c>
      <c r="BWR5" s="177" t="s">
        <v>540</v>
      </c>
      <c r="BWS5" s="177" t="s">
        <v>542</v>
      </c>
      <c r="BWT5" s="179" t="s">
        <v>543</v>
      </c>
      <c r="BWU5" s="178" t="s">
        <v>543</v>
      </c>
      <c r="BWV5" s="177" t="s">
        <v>544</v>
      </c>
      <c r="BWW5" s="177" t="s">
        <v>540</v>
      </c>
      <c r="BWX5" s="177" t="s">
        <v>541</v>
      </c>
      <c r="BWY5" s="177" t="s">
        <v>540</v>
      </c>
      <c r="BWZ5" s="177" t="s">
        <v>542</v>
      </c>
      <c r="BXA5" s="179" t="s">
        <v>543</v>
      </c>
      <c r="BXB5" s="178" t="s">
        <v>543</v>
      </c>
      <c r="BXC5" s="177" t="s">
        <v>544</v>
      </c>
      <c r="BXD5" s="177" t="s">
        <v>540</v>
      </c>
      <c r="BXE5" s="177" t="s">
        <v>541</v>
      </c>
      <c r="BXF5" s="177" t="s">
        <v>540</v>
      </c>
      <c r="BXG5" s="177" t="s">
        <v>542</v>
      </c>
      <c r="BXH5" s="179" t="s">
        <v>543</v>
      </c>
      <c r="BXI5" s="178" t="s">
        <v>543</v>
      </c>
      <c r="BXJ5" s="177" t="s">
        <v>544</v>
      </c>
      <c r="BXK5" s="177" t="s">
        <v>540</v>
      </c>
      <c r="BXL5" s="177" t="s">
        <v>541</v>
      </c>
      <c r="BXM5" s="177" t="s">
        <v>540</v>
      </c>
      <c r="BXN5" s="177" t="s">
        <v>542</v>
      </c>
      <c r="BXO5" s="179" t="s">
        <v>543</v>
      </c>
      <c r="BXP5" s="178" t="s">
        <v>543</v>
      </c>
      <c r="BXQ5" s="177" t="s">
        <v>544</v>
      </c>
      <c r="BXR5" s="177" t="s">
        <v>540</v>
      </c>
      <c r="BXS5" s="177" t="s">
        <v>541</v>
      </c>
      <c r="BXT5" s="177" t="s">
        <v>540</v>
      </c>
      <c r="BXU5" s="177" t="s">
        <v>542</v>
      </c>
      <c r="BXV5" s="179" t="s">
        <v>543</v>
      </c>
      <c r="BXW5" s="178" t="s">
        <v>543</v>
      </c>
      <c r="BXX5" s="177" t="s">
        <v>544</v>
      </c>
      <c r="BXY5" s="177" t="s">
        <v>540</v>
      </c>
      <c r="BXZ5" s="177" t="s">
        <v>541</v>
      </c>
      <c r="BYA5" s="177" t="s">
        <v>540</v>
      </c>
      <c r="BYB5" s="177" t="s">
        <v>542</v>
      </c>
      <c r="BYC5" s="179" t="s">
        <v>543</v>
      </c>
      <c r="BYD5" s="178" t="s">
        <v>543</v>
      </c>
      <c r="BYE5" s="177" t="s">
        <v>544</v>
      </c>
      <c r="BYF5" s="177" t="s">
        <v>540</v>
      </c>
      <c r="BYG5" s="177" t="s">
        <v>541</v>
      </c>
      <c r="BYH5" s="177" t="s">
        <v>540</v>
      </c>
      <c r="BYI5" s="177" t="s">
        <v>542</v>
      </c>
      <c r="BYJ5" s="179" t="s">
        <v>543</v>
      </c>
      <c r="BYK5" s="178" t="s">
        <v>543</v>
      </c>
      <c r="BYL5" s="177" t="s">
        <v>544</v>
      </c>
      <c r="BYM5" s="177" t="s">
        <v>540</v>
      </c>
      <c r="BYN5" s="177" t="s">
        <v>541</v>
      </c>
      <c r="BYO5" s="177" t="s">
        <v>540</v>
      </c>
      <c r="BYP5" s="177" t="s">
        <v>542</v>
      </c>
      <c r="BYQ5" s="179" t="s">
        <v>543</v>
      </c>
      <c r="BYR5" s="178" t="s">
        <v>543</v>
      </c>
      <c r="BYS5" s="177" t="s">
        <v>544</v>
      </c>
      <c r="BYT5" s="177" t="s">
        <v>540</v>
      </c>
      <c r="BYU5" s="177" t="s">
        <v>541</v>
      </c>
      <c r="BYV5" s="177" t="s">
        <v>540</v>
      </c>
      <c r="BYW5" s="177" t="s">
        <v>542</v>
      </c>
      <c r="BYX5" s="179" t="s">
        <v>543</v>
      </c>
      <c r="BYY5" s="178" t="s">
        <v>543</v>
      </c>
      <c r="BYZ5" s="177" t="s">
        <v>544</v>
      </c>
      <c r="BZA5" s="177" t="s">
        <v>540</v>
      </c>
      <c r="BZB5" s="177" t="s">
        <v>541</v>
      </c>
      <c r="BZC5" s="177" t="s">
        <v>540</v>
      </c>
      <c r="BZD5" s="177" t="s">
        <v>542</v>
      </c>
      <c r="BZE5" s="179" t="s">
        <v>543</v>
      </c>
      <c r="BZF5" s="178" t="s">
        <v>543</v>
      </c>
      <c r="BZG5" s="177" t="s">
        <v>544</v>
      </c>
      <c r="BZH5" s="177" t="s">
        <v>540</v>
      </c>
      <c r="BZI5" s="177" t="s">
        <v>541</v>
      </c>
      <c r="BZJ5" s="177" t="s">
        <v>540</v>
      </c>
      <c r="BZK5" s="177" t="s">
        <v>542</v>
      </c>
      <c r="BZL5" s="179" t="s">
        <v>543</v>
      </c>
      <c r="BZM5" s="178" t="s">
        <v>543</v>
      </c>
      <c r="BZN5" s="177" t="s">
        <v>544</v>
      </c>
      <c r="BZO5" s="177" t="s">
        <v>540</v>
      </c>
      <c r="BZP5" s="177" t="s">
        <v>541</v>
      </c>
      <c r="BZQ5" s="177" t="s">
        <v>540</v>
      </c>
      <c r="BZR5" s="177" t="s">
        <v>542</v>
      </c>
      <c r="BZS5" s="179" t="s">
        <v>543</v>
      </c>
      <c r="BZT5" s="178" t="s">
        <v>543</v>
      </c>
      <c r="BZU5" s="177" t="s">
        <v>544</v>
      </c>
      <c r="BZV5" s="177" t="s">
        <v>540</v>
      </c>
      <c r="BZW5" s="177" t="s">
        <v>541</v>
      </c>
      <c r="BZX5" s="177" t="s">
        <v>540</v>
      </c>
      <c r="BZY5" s="177" t="s">
        <v>542</v>
      </c>
      <c r="BZZ5" s="179" t="s">
        <v>543</v>
      </c>
      <c r="CAA5" s="178" t="s">
        <v>543</v>
      </c>
      <c r="CAB5" s="177" t="s">
        <v>544</v>
      </c>
      <c r="CAC5" s="177" t="s">
        <v>540</v>
      </c>
      <c r="CAD5" s="177" t="s">
        <v>541</v>
      </c>
      <c r="CAE5" s="177" t="s">
        <v>540</v>
      </c>
      <c r="CAF5" s="177" t="s">
        <v>542</v>
      </c>
      <c r="CAG5" s="179" t="s">
        <v>543</v>
      </c>
      <c r="CAH5" s="178" t="s">
        <v>543</v>
      </c>
      <c r="CAI5" s="177" t="s">
        <v>544</v>
      </c>
      <c r="CAJ5" s="177" t="s">
        <v>540</v>
      </c>
      <c r="CAK5" s="177" t="s">
        <v>541</v>
      </c>
      <c r="CAL5" s="177" t="s">
        <v>540</v>
      </c>
      <c r="CAM5" s="177" t="s">
        <v>542</v>
      </c>
      <c r="CAN5" s="179" t="s">
        <v>543</v>
      </c>
      <c r="CAO5" s="178" t="s">
        <v>543</v>
      </c>
      <c r="CAP5" s="177" t="s">
        <v>544</v>
      </c>
      <c r="CAQ5" s="177" t="s">
        <v>540</v>
      </c>
      <c r="CAR5" s="177" t="s">
        <v>541</v>
      </c>
      <c r="CAS5" s="177" t="s">
        <v>540</v>
      </c>
      <c r="CAT5" s="177" t="s">
        <v>542</v>
      </c>
      <c r="CAU5" s="179" t="s">
        <v>543</v>
      </c>
      <c r="CAV5" s="178" t="s">
        <v>543</v>
      </c>
      <c r="CAW5" s="177" t="s">
        <v>544</v>
      </c>
      <c r="CAX5" s="177" t="s">
        <v>540</v>
      </c>
      <c r="CAY5" s="177" t="s">
        <v>541</v>
      </c>
      <c r="CAZ5" s="177" t="s">
        <v>540</v>
      </c>
      <c r="CBA5" s="177" t="s">
        <v>542</v>
      </c>
      <c r="CBB5" s="179" t="s">
        <v>543</v>
      </c>
      <c r="CBC5" s="178" t="s">
        <v>543</v>
      </c>
      <c r="CBD5" s="177" t="s">
        <v>544</v>
      </c>
      <c r="CBE5" s="177" t="s">
        <v>540</v>
      </c>
      <c r="CBF5" s="177" t="s">
        <v>541</v>
      </c>
      <c r="CBG5" s="177" t="s">
        <v>540</v>
      </c>
      <c r="CBH5" s="177" t="s">
        <v>542</v>
      </c>
      <c r="CBI5" s="179" t="s">
        <v>543</v>
      </c>
      <c r="CBJ5" s="178" t="s">
        <v>543</v>
      </c>
      <c r="CBK5" s="177" t="s">
        <v>544</v>
      </c>
      <c r="CBL5" s="177" t="s">
        <v>540</v>
      </c>
      <c r="CBM5" s="177" t="s">
        <v>541</v>
      </c>
      <c r="CBN5" s="177" t="s">
        <v>540</v>
      </c>
      <c r="CBO5" s="177" t="s">
        <v>542</v>
      </c>
      <c r="CBP5" s="179" t="s">
        <v>543</v>
      </c>
      <c r="CBQ5" s="178" t="s">
        <v>543</v>
      </c>
      <c r="CBR5" s="177" t="s">
        <v>544</v>
      </c>
      <c r="CBS5" s="177" t="s">
        <v>540</v>
      </c>
      <c r="CBT5" s="177" t="s">
        <v>541</v>
      </c>
      <c r="CBU5" s="177" t="s">
        <v>540</v>
      </c>
      <c r="CBV5" s="177" t="s">
        <v>542</v>
      </c>
      <c r="CBW5" s="179" t="s">
        <v>543</v>
      </c>
      <c r="CBX5" s="178" t="s">
        <v>543</v>
      </c>
      <c r="CBY5" s="177" t="s">
        <v>544</v>
      </c>
      <c r="CBZ5" s="177" t="s">
        <v>540</v>
      </c>
      <c r="CCA5" s="177" t="s">
        <v>541</v>
      </c>
      <c r="CCB5" s="177" t="s">
        <v>540</v>
      </c>
      <c r="CCC5" s="177" t="s">
        <v>542</v>
      </c>
      <c r="CCD5" s="179" t="s">
        <v>543</v>
      </c>
      <c r="CCE5" s="178" t="s">
        <v>543</v>
      </c>
      <c r="CCF5" s="177" t="s">
        <v>544</v>
      </c>
      <c r="CCG5" s="177" t="s">
        <v>540</v>
      </c>
      <c r="CCH5" s="177" t="s">
        <v>541</v>
      </c>
      <c r="CCI5" s="177" t="s">
        <v>540</v>
      </c>
      <c r="CCJ5" s="177" t="s">
        <v>542</v>
      </c>
      <c r="CCK5" s="179" t="s">
        <v>543</v>
      </c>
      <c r="CCL5" s="178" t="s">
        <v>543</v>
      </c>
      <c r="CCM5" s="177" t="s">
        <v>544</v>
      </c>
      <c r="CCN5" s="177" t="s">
        <v>540</v>
      </c>
      <c r="CCO5" s="177" t="s">
        <v>541</v>
      </c>
      <c r="CCP5" s="177" t="s">
        <v>540</v>
      </c>
      <c r="CCQ5" s="177" t="s">
        <v>542</v>
      </c>
      <c r="CCR5" s="179" t="s">
        <v>543</v>
      </c>
      <c r="CCS5" s="178" t="s">
        <v>543</v>
      </c>
      <c r="CCT5" s="177" t="s">
        <v>544</v>
      </c>
      <c r="CCU5" s="177" t="s">
        <v>540</v>
      </c>
      <c r="CCV5" s="177" t="s">
        <v>541</v>
      </c>
      <c r="CCW5" s="177" t="s">
        <v>540</v>
      </c>
      <c r="CCX5" s="177" t="s">
        <v>542</v>
      </c>
      <c r="CCY5" s="179" t="s">
        <v>543</v>
      </c>
      <c r="CCZ5" s="178" t="s">
        <v>543</v>
      </c>
      <c r="CDA5" s="177" t="s">
        <v>544</v>
      </c>
      <c r="CDB5" s="177" t="s">
        <v>540</v>
      </c>
      <c r="CDC5" s="177" t="s">
        <v>541</v>
      </c>
      <c r="CDD5" s="177" t="s">
        <v>540</v>
      </c>
      <c r="CDE5" s="177" t="s">
        <v>542</v>
      </c>
      <c r="CDF5" s="179" t="s">
        <v>543</v>
      </c>
      <c r="CDG5" s="178" t="s">
        <v>543</v>
      </c>
      <c r="CDH5" s="177" t="s">
        <v>544</v>
      </c>
      <c r="CDI5" s="177" t="s">
        <v>540</v>
      </c>
      <c r="CDJ5" s="177" t="s">
        <v>541</v>
      </c>
      <c r="CDK5" s="177" t="s">
        <v>540</v>
      </c>
      <c r="CDL5" s="177" t="s">
        <v>542</v>
      </c>
      <c r="CDM5" s="179" t="s">
        <v>543</v>
      </c>
      <c r="CDN5" s="178" t="s">
        <v>543</v>
      </c>
      <c r="CDO5" s="177" t="s">
        <v>544</v>
      </c>
      <c r="CDP5" s="177" t="s">
        <v>540</v>
      </c>
      <c r="CDQ5" s="177" t="s">
        <v>541</v>
      </c>
      <c r="CDR5" s="177" t="s">
        <v>540</v>
      </c>
      <c r="CDS5" s="177" t="s">
        <v>542</v>
      </c>
      <c r="CDT5" s="179" t="s">
        <v>543</v>
      </c>
      <c r="CDU5" s="178" t="s">
        <v>543</v>
      </c>
      <c r="CDV5" s="177" t="s">
        <v>544</v>
      </c>
      <c r="CDW5" s="177" t="s">
        <v>540</v>
      </c>
      <c r="CDX5" s="177" t="s">
        <v>541</v>
      </c>
      <c r="CDY5" s="177" t="s">
        <v>540</v>
      </c>
      <c r="CDZ5" s="177" t="s">
        <v>542</v>
      </c>
      <c r="CEA5" s="179" t="s">
        <v>543</v>
      </c>
      <c r="CEB5" s="178" t="s">
        <v>543</v>
      </c>
      <c r="CEC5" s="177" t="s">
        <v>544</v>
      </c>
      <c r="CED5" s="177" t="s">
        <v>540</v>
      </c>
      <c r="CEE5" s="177" t="s">
        <v>541</v>
      </c>
      <c r="CEF5" s="177" t="s">
        <v>540</v>
      </c>
      <c r="CEG5" s="177" t="s">
        <v>542</v>
      </c>
      <c r="CEH5" s="179" t="s">
        <v>543</v>
      </c>
      <c r="CEI5" s="178" t="s">
        <v>543</v>
      </c>
      <c r="CEJ5" s="177" t="s">
        <v>544</v>
      </c>
      <c r="CEK5" s="177" t="s">
        <v>540</v>
      </c>
      <c r="CEL5" s="177" t="s">
        <v>541</v>
      </c>
      <c r="CEM5" s="177" t="s">
        <v>540</v>
      </c>
      <c r="CEN5" s="177" t="s">
        <v>542</v>
      </c>
      <c r="CEO5" s="179" t="s">
        <v>543</v>
      </c>
      <c r="CEP5" s="178" t="s">
        <v>543</v>
      </c>
      <c r="CEQ5" s="177" t="s">
        <v>544</v>
      </c>
      <c r="CER5" s="177" t="s">
        <v>540</v>
      </c>
      <c r="CES5" s="177" t="s">
        <v>541</v>
      </c>
      <c r="CET5" s="177" t="s">
        <v>540</v>
      </c>
      <c r="CEU5" s="177" t="s">
        <v>542</v>
      </c>
      <c r="CEV5" s="179" t="s">
        <v>543</v>
      </c>
      <c r="CEW5" s="178" t="s">
        <v>543</v>
      </c>
      <c r="CEX5" s="177" t="s">
        <v>544</v>
      </c>
      <c r="CEY5" s="177" t="s">
        <v>540</v>
      </c>
      <c r="CEZ5" s="177" t="s">
        <v>541</v>
      </c>
      <c r="CFA5" s="177" t="s">
        <v>540</v>
      </c>
      <c r="CFB5" s="177" t="s">
        <v>542</v>
      </c>
      <c r="CFC5" s="179" t="s">
        <v>543</v>
      </c>
      <c r="CFD5" s="178" t="s">
        <v>543</v>
      </c>
      <c r="CFE5" s="177" t="s">
        <v>544</v>
      </c>
      <c r="CFF5" s="177" t="s">
        <v>540</v>
      </c>
      <c r="CFG5" s="177" t="s">
        <v>541</v>
      </c>
      <c r="CFH5" s="177" t="s">
        <v>540</v>
      </c>
      <c r="CFI5" s="177" t="s">
        <v>542</v>
      </c>
      <c r="CFJ5" s="179" t="s">
        <v>543</v>
      </c>
      <c r="CFK5" s="178" t="s">
        <v>543</v>
      </c>
      <c r="CFL5" s="177" t="s">
        <v>544</v>
      </c>
      <c r="CFM5" s="177" t="s">
        <v>540</v>
      </c>
      <c r="CFN5" s="177"/>
      <c r="CFO5" s="177"/>
      <c r="CFP5" s="177"/>
      <c r="CFQ5" s="177"/>
    </row>
    <row r="6" spans="1:2201">
      <c r="A6" s="180" t="s">
        <v>240</v>
      </c>
      <c r="B6" s="180" t="s">
        <v>241</v>
      </c>
      <c r="C6" s="181" t="s">
        <v>242</v>
      </c>
      <c r="D6" s="180" t="s">
        <v>243</v>
      </c>
      <c r="E6" s="180" t="s">
        <v>244</v>
      </c>
      <c r="F6" s="182">
        <v>43466</v>
      </c>
      <c r="G6" s="182">
        <v>43467</v>
      </c>
      <c r="H6" s="182">
        <v>43468</v>
      </c>
      <c r="I6" s="182">
        <v>43469</v>
      </c>
      <c r="J6" s="182">
        <v>43470</v>
      </c>
      <c r="K6" s="183">
        <v>43471</v>
      </c>
      <c r="L6" s="182">
        <v>43472</v>
      </c>
      <c r="M6" s="182">
        <v>43473</v>
      </c>
      <c r="N6" s="182">
        <v>43474</v>
      </c>
      <c r="O6" s="182">
        <v>43475</v>
      </c>
      <c r="P6" s="182">
        <v>43476</v>
      </c>
      <c r="Q6" s="184">
        <v>43477</v>
      </c>
      <c r="R6" s="183">
        <v>43478</v>
      </c>
      <c r="S6" s="182">
        <v>43479</v>
      </c>
      <c r="T6" s="182">
        <v>43480</v>
      </c>
      <c r="U6" s="182">
        <v>43481</v>
      </c>
      <c r="V6" s="182">
        <v>43482</v>
      </c>
      <c r="W6" s="182">
        <v>43483</v>
      </c>
      <c r="X6" s="184">
        <v>43484</v>
      </c>
      <c r="Y6" s="183">
        <v>43485</v>
      </c>
      <c r="Z6" s="182">
        <v>43486</v>
      </c>
      <c r="AA6" s="182">
        <v>43487</v>
      </c>
      <c r="AB6" s="182">
        <v>43488</v>
      </c>
      <c r="AC6" s="182">
        <v>43489</v>
      </c>
      <c r="AD6" s="182">
        <v>43490</v>
      </c>
      <c r="AE6" s="184">
        <v>43491</v>
      </c>
      <c r="AF6" s="183">
        <v>43492</v>
      </c>
      <c r="AG6" s="182">
        <v>43493</v>
      </c>
      <c r="AH6" s="182">
        <v>43494</v>
      </c>
      <c r="AI6" s="182">
        <v>43495</v>
      </c>
      <c r="AJ6" s="182">
        <v>43496</v>
      </c>
      <c r="AK6" s="182">
        <v>43497</v>
      </c>
      <c r="AL6" s="184">
        <v>43498</v>
      </c>
      <c r="AM6" s="183">
        <v>43499</v>
      </c>
      <c r="AN6" s="182">
        <v>43500</v>
      </c>
      <c r="AO6" s="182">
        <v>43501</v>
      </c>
      <c r="AP6" s="182">
        <v>43502</v>
      </c>
      <c r="AQ6" s="182">
        <v>43503</v>
      </c>
      <c r="AR6" s="182">
        <v>43504</v>
      </c>
      <c r="AS6" s="184">
        <v>43505</v>
      </c>
      <c r="AT6" s="183">
        <v>43506</v>
      </c>
      <c r="AU6" s="182">
        <v>43507</v>
      </c>
      <c r="AV6" s="182">
        <v>43508</v>
      </c>
      <c r="AW6" s="182">
        <v>43509</v>
      </c>
      <c r="AX6" s="182">
        <v>43510</v>
      </c>
      <c r="AY6" s="182">
        <v>43511</v>
      </c>
      <c r="AZ6" s="184">
        <v>43512</v>
      </c>
      <c r="BA6" s="183">
        <v>43513</v>
      </c>
      <c r="BB6" s="182">
        <v>43514</v>
      </c>
      <c r="BC6" s="182">
        <v>43515</v>
      </c>
      <c r="BD6" s="182">
        <v>43516</v>
      </c>
      <c r="BE6" s="182">
        <v>43517</v>
      </c>
      <c r="BF6" s="182">
        <v>43518</v>
      </c>
      <c r="BG6" s="184">
        <v>43519</v>
      </c>
      <c r="BH6" s="183">
        <v>43520</v>
      </c>
      <c r="BI6" s="182">
        <v>43521</v>
      </c>
      <c r="BJ6" s="182">
        <v>43522</v>
      </c>
      <c r="BK6" s="182">
        <v>43523</v>
      </c>
      <c r="BL6" s="182">
        <v>43524</v>
      </c>
      <c r="BM6" s="182">
        <v>43525</v>
      </c>
      <c r="BN6" s="184">
        <v>43526</v>
      </c>
      <c r="BO6" s="183">
        <v>43527</v>
      </c>
      <c r="BP6" s="182">
        <v>43528</v>
      </c>
      <c r="BQ6" s="182">
        <v>43529</v>
      </c>
      <c r="BR6" s="182">
        <v>43530</v>
      </c>
      <c r="BS6" s="182">
        <v>43531</v>
      </c>
      <c r="BT6" s="182">
        <v>43532</v>
      </c>
      <c r="BU6" s="184">
        <v>43533</v>
      </c>
      <c r="BV6" s="183">
        <v>43534</v>
      </c>
      <c r="BW6" s="182">
        <v>43535</v>
      </c>
      <c r="BX6" s="182">
        <v>43536</v>
      </c>
      <c r="BY6" s="182">
        <v>43537</v>
      </c>
      <c r="BZ6" s="182">
        <v>43538</v>
      </c>
      <c r="CA6" s="182">
        <v>43539</v>
      </c>
      <c r="CB6" s="184">
        <v>43540</v>
      </c>
      <c r="CC6" s="183">
        <v>43541</v>
      </c>
      <c r="CD6" s="182">
        <v>43542</v>
      </c>
      <c r="CE6" s="182">
        <v>43543</v>
      </c>
      <c r="CF6" s="182">
        <v>43544</v>
      </c>
      <c r="CG6" s="182">
        <v>43545</v>
      </c>
      <c r="CH6" s="182">
        <v>43546</v>
      </c>
      <c r="CI6" s="184">
        <v>43547</v>
      </c>
      <c r="CJ6" s="183">
        <v>43548</v>
      </c>
      <c r="CK6" s="182">
        <v>43549</v>
      </c>
      <c r="CL6" s="182">
        <v>43550</v>
      </c>
      <c r="CM6" s="182">
        <v>43551</v>
      </c>
      <c r="CN6" s="182">
        <v>43552</v>
      </c>
      <c r="CO6" s="182">
        <v>43553</v>
      </c>
      <c r="CP6" s="184">
        <v>43554</v>
      </c>
      <c r="CQ6" s="183">
        <v>43555</v>
      </c>
      <c r="CR6" s="182">
        <v>43556</v>
      </c>
      <c r="CS6" s="182">
        <v>43557</v>
      </c>
      <c r="CT6" s="182">
        <v>43558</v>
      </c>
      <c r="CU6" s="182">
        <v>43559</v>
      </c>
      <c r="CV6" s="182">
        <v>43560</v>
      </c>
      <c r="CW6" s="184">
        <v>43561</v>
      </c>
      <c r="CX6" s="183">
        <v>43562</v>
      </c>
      <c r="CY6" s="182">
        <v>43563</v>
      </c>
      <c r="CZ6" s="182">
        <v>43564</v>
      </c>
      <c r="DA6" s="182">
        <v>43565</v>
      </c>
      <c r="DB6" s="182">
        <v>43566</v>
      </c>
      <c r="DC6" s="182">
        <v>43567</v>
      </c>
      <c r="DD6" s="184">
        <v>43568</v>
      </c>
      <c r="DE6" s="183">
        <v>43569</v>
      </c>
      <c r="DF6" s="182">
        <v>43570</v>
      </c>
      <c r="DG6" s="182">
        <v>43571</v>
      </c>
      <c r="DH6" s="182">
        <v>43572</v>
      </c>
      <c r="DI6" s="182">
        <v>43573</v>
      </c>
      <c r="DJ6" s="182">
        <v>43574</v>
      </c>
      <c r="DK6" s="184">
        <v>43575</v>
      </c>
      <c r="DL6" s="183">
        <v>43576</v>
      </c>
      <c r="DM6" s="182">
        <v>43577</v>
      </c>
      <c r="DN6" s="182">
        <v>43578</v>
      </c>
      <c r="DO6" s="182">
        <v>43579</v>
      </c>
      <c r="DP6" s="182">
        <v>43580</v>
      </c>
      <c r="DQ6" s="182">
        <v>43581</v>
      </c>
      <c r="DR6" s="184">
        <v>43582</v>
      </c>
      <c r="DS6" s="183">
        <v>43583</v>
      </c>
      <c r="DT6" s="182">
        <v>43584</v>
      </c>
      <c r="DU6" s="182">
        <v>43585</v>
      </c>
      <c r="DV6" s="182">
        <v>43586</v>
      </c>
      <c r="DW6" s="182">
        <v>43587</v>
      </c>
      <c r="DX6" s="182">
        <v>43588</v>
      </c>
      <c r="DY6" s="184">
        <v>43589</v>
      </c>
      <c r="DZ6" s="183">
        <v>43590</v>
      </c>
      <c r="EA6" s="182">
        <v>43591</v>
      </c>
      <c r="EB6" s="182">
        <v>43592</v>
      </c>
      <c r="EC6" s="182">
        <v>43593</v>
      </c>
      <c r="ED6" s="182">
        <v>43594</v>
      </c>
      <c r="EE6" s="182">
        <v>43595</v>
      </c>
      <c r="EF6" s="184">
        <v>43596</v>
      </c>
      <c r="EG6" s="183">
        <v>43597</v>
      </c>
      <c r="EH6" s="182">
        <v>43598</v>
      </c>
      <c r="EI6" s="182">
        <v>43599</v>
      </c>
      <c r="EJ6" s="182">
        <v>43600</v>
      </c>
      <c r="EK6" s="182">
        <v>43601</v>
      </c>
      <c r="EL6" s="182">
        <v>43602</v>
      </c>
      <c r="EM6" s="184">
        <v>43603</v>
      </c>
      <c r="EN6" s="183">
        <v>43604</v>
      </c>
      <c r="EO6" s="182">
        <v>43605</v>
      </c>
      <c r="EP6" s="182">
        <v>43606</v>
      </c>
      <c r="EQ6" s="182">
        <v>43607</v>
      </c>
      <c r="ER6" s="182">
        <v>43608</v>
      </c>
      <c r="ES6" s="182">
        <v>43609</v>
      </c>
      <c r="ET6" s="184">
        <v>43610</v>
      </c>
      <c r="EU6" s="183">
        <v>43611</v>
      </c>
      <c r="EV6" s="182">
        <v>43612</v>
      </c>
      <c r="EW6" s="182">
        <v>43613</v>
      </c>
      <c r="EX6" s="182">
        <v>43614</v>
      </c>
      <c r="EY6" s="182">
        <v>43615</v>
      </c>
      <c r="EZ6" s="182">
        <v>43616</v>
      </c>
      <c r="FA6" s="184">
        <v>43617</v>
      </c>
      <c r="FB6" s="183">
        <v>43618</v>
      </c>
      <c r="FC6" s="182">
        <v>43619</v>
      </c>
      <c r="FD6" s="182">
        <v>43620</v>
      </c>
      <c r="FE6" s="182">
        <v>43621</v>
      </c>
      <c r="FF6" s="182">
        <v>43622</v>
      </c>
      <c r="FG6" s="182">
        <v>43623</v>
      </c>
      <c r="FH6" s="184">
        <v>43624</v>
      </c>
      <c r="FI6" s="183">
        <v>43625</v>
      </c>
      <c r="FJ6" s="182">
        <v>43626</v>
      </c>
      <c r="FK6" s="182">
        <v>43627</v>
      </c>
      <c r="FL6" s="182">
        <v>43628</v>
      </c>
      <c r="FM6" s="182">
        <v>43629</v>
      </c>
      <c r="FN6" s="182">
        <v>43630</v>
      </c>
      <c r="FO6" s="184">
        <v>43631</v>
      </c>
      <c r="FP6" s="183">
        <v>43632</v>
      </c>
      <c r="FQ6" s="182">
        <v>43633</v>
      </c>
      <c r="FR6" s="182">
        <v>43634</v>
      </c>
      <c r="FS6" s="182">
        <v>43635</v>
      </c>
      <c r="FT6" s="182">
        <v>43636</v>
      </c>
      <c r="FU6" s="182">
        <v>43637</v>
      </c>
      <c r="FV6" s="184">
        <v>43638</v>
      </c>
      <c r="FW6" s="183">
        <v>43639</v>
      </c>
      <c r="FX6" s="182">
        <v>43640</v>
      </c>
      <c r="FY6" s="182">
        <v>43641</v>
      </c>
      <c r="FZ6" s="182">
        <v>43642</v>
      </c>
      <c r="GA6" s="182">
        <v>43643</v>
      </c>
      <c r="GB6" s="182">
        <v>43644</v>
      </c>
      <c r="GC6" s="184">
        <v>43645</v>
      </c>
      <c r="GD6" s="183">
        <v>43646</v>
      </c>
      <c r="GE6" s="182">
        <v>43647</v>
      </c>
      <c r="GF6" s="182">
        <v>43648</v>
      </c>
      <c r="GG6" s="182">
        <v>43649</v>
      </c>
      <c r="GH6" s="182">
        <v>43650</v>
      </c>
      <c r="GI6" s="182">
        <v>43651</v>
      </c>
      <c r="GJ6" s="184">
        <v>43652</v>
      </c>
      <c r="GK6" s="183">
        <v>43653</v>
      </c>
      <c r="GL6" s="182">
        <v>43654</v>
      </c>
      <c r="GM6" s="182">
        <v>43655</v>
      </c>
      <c r="GN6" s="182">
        <v>43656</v>
      </c>
      <c r="GO6" s="182">
        <v>43657</v>
      </c>
      <c r="GP6" s="182">
        <v>43658</v>
      </c>
      <c r="GQ6" s="184">
        <v>43659</v>
      </c>
      <c r="GR6" s="183">
        <v>43660</v>
      </c>
      <c r="GS6" s="182">
        <v>43661</v>
      </c>
      <c r="GT6" s="182">
        <v>43662</v>
      </c>
      <c r="GU6" s="182">
        <v>43663</v>
      </c>
      <c r="GV6" s="182">
        <v>43664</v>
      </c>
      <c r="GW6" s="182">
        <v>43665</v>
      </c>
      <c r="GX6" s="184">
        <v>43666</v>
      </c>
      <c r="GY6" s="183">
        <v>43667</v>
      </c>
      <c r="GZ6" s="182">
        <v>43668</v>
      </c>
      <c r="HA6" s="182">
        <v>43669</v>
      </c>
      <c r="HB6" s="182">
        <v>43670</v>
      </c>
      <c r="HC6" s="182">
        <v>43671</v>
      </c>
      <c r="HD6" s="182">
        <v>43672</v>
      </c>
      <c r="HE6" s="184">
        <v>43673</v>
      </c>
      <c r="HF6" s="183">
        <v>43674</v>
      </c>
      <c r="HG6" s="182">
        <v>43675</v>
      </c>
      <c r="HH6" s="182">
        <v>43676</v>
      </c>
      <c r="HI6" s="182">
        <v>43677</v>
      </c>
      <c r="HJ6" s="182">
        <v>43678</v>
      </c>
      <c r="HK6" s="182">
        <v>43679</v>
      </c>
      <c r="HL6" s="184">
        <v>43680</v>
      </c>
      <c r="HM6" s="183">
        <v>43681</v>
      </c>
      <c r="HN6" s="182">
        <v>43682</v>
      </c>
      <c r="HO6" s="182">
        <v>43683</v>
      </c>
      <c r="HP6" s="182">
        <v>43684</v>
      </c>
      <c r="HQ6" s="182">
        <v>43685</v>
      </c>
      <c r="HR6" s="182">
        <v>43686</v>
      </c>
      <c r="HS6" s="184">
        <v>43687</v>
      </c>
      <c r="HT6" s="183">
        <v>43688</v>
      </c>
      <c r="HU6" s="182">
        <v>43689</v>
      </c>
      <c r="HV6" s="182">
        <v>43690</v>
      </c>
      <c r="HW6" s="182">
        <v>43691</v>
      </c>
      <c r="HX6" s="182">
        <v>43692</v>
      </c>
      <c r="HY6" s="182">
        <v>43693</v>
      </c>
      <c r="HZ6" s="184">
        <v>43694</v>
      </c>
      <c r="IA6" s="183">
        <v>43695</v>
      </c>
      <c r="IB6" s="182">
        <v>43696</v>
      </c>
      <c r="IC6" s="182">
        <v>43697</v>
      </c>
      <c r="ID6" s="182">
        <v>43698</v>
      </c>
      <c r="IE6" s="182">
        <v>43699</v>
      </c>
      <c r="IF6" s="182">
        <v>43700</v>
      </c>
      <c r="IG6" s="184">
        <v>43701</v>
      </c>
      <c r="IH6" s="183">
        <v>43702</v>
      </c>
      <c r="II6" s="182">
        <v>43703</v>
      </c>
      <c r="IJ6" s="182">
        <v>43704</v>
      </c>
      <c r="IK6" s="182">
        <v>43705</v>
      </c>
      <c r="IL6" s="182">
        <v>43706</v>
      </c>
      <c r="IM6" s="182">
        <v>43707</v>
      </c>
      <c r="IN6" s="184">
        <v>43708</v>
      </c>
      <c r="IO6" s="183">
        <v>43709</v>
      </c>
      <c r="IP6" s="182">
        <v>43710</v>
      </c>
      <c r="IQ6" s="182">
        <v>43711</v>
      </c>
      <c r="IR6" s="182">
        <v>43712</v>
      </c>
      <c r="IS6" s="182">
        <v>43713</v>
      </c>
      <c r="IT6" s="182">
        <v>43714</v>
      </c>
      <c r="IU6" s="184">
        <v>43715</v>
      </c>
      <c r="IV6" s="183">
        <v>43716</v>
      </c>
      <c r="IW6" s="182">
        <v>43717</v>
      </c>
      <c r="IX6" s="182">
        <v>43718</v>
      </c>
      <c r="IY6" s="182">
        <v>43719</v>
      </c>
      <c r="IZ6" s="182">
        <v>43720</v>
      </c>
      <c r="JA6" s="182">
        <v>43721</v>
      </c>
      <c r="JB6" s="184">
        <v>43722</v>
      </c>
      <c r="JC6" s="183">
        <v>43723</v>
      </c>
      <c r="JD6" s="182">
        <v>43724</v>
      </c>
      <c r="JE6" s="182">
        <v>43725</v>
      </c>
      <c r="JF6" s="182">
        <v>43726</v>
      </c>
      <c r="JG6" s="182">
        <v>43727</v>
      </c>
      <c r="JH6" s="182">
        <v>43728</v>
      </c>
      <c r="JI6" s="184">
        <v>43729</v>
      </c>
      <c r="JJ6" s="183">
        <v>43730</v>
      </c>
      <c r="JK6" s="182">
        <v>43731</v>
      </c>
      <c r="JL6" s="182">
        <v>43732</v>
      </c>
      <c r="JM6" s="182">
        <v>43733</v>
      </c>
      <c r="JN6" s="182">
        <v>43734</v>
      </c>
      <c r="JO6" s="182">
        <v>43735</v>
      </c>
      <c r="JP6" s="184">
        <v>43736</v>
      </c>
      <c r="JQ6" s="183">
        <v>43737</v>
      </c>
      <c r="JR6" s="182">
        <v>43738</v>
      </c>
      <c r="JS6" s="182">
        <v>43739</v>
      </c>
      <c r="JT6" s="182">
        <v>43740</v>
      </c>
      <c r="JU6" s="182">
        <v>43741</v>
      </c>
      <c r="JV6" s="182">
        <v>43742</v>
      </c>
      <c r="JW6" s="184">
        <v>43743</v>
      </c>
      <c r="JX6" s="183">
        <v>43744</v>
      </c>
      <c r="JY6" s="182">
        <v>43745</v>
      </c>
      <c r="JZ6" s="182">
        <v>43746</v>
      </c>
      <c r="KA6" s="182">
        <v>43747</v>
      </c>
      <c r="KB6" s="182">
        <v>43748</v>
      </c>
      <c r="KC6" s="182">
        <v>43749</v>
      </c>
      <c r="KD6" s="184">
        <v>43750</v>
      </c>
      <c r="KE6" s="183">
        <v>43751</v>
      </c>
      <c r="KF6" s="182">
        <v>43752</v>
      </c>
      <c r="KG6" s="182">
        <v>43753</v>
      </c>
      <c r="KH6" s="182">
        <v>43754</v>
      </c>
      <c r="KI6" s="182">
        <v>43755</v>
      </c>
      <c r="KJ6" s="182">
        <v>43756</v>
      </c>
      <c r="KK6" s="184">
        <v>43757</v>
      </c>
      <c r="KL6" s="183">
        <v>43758</v>
      </c>
      <c r="KM6" s="182">
        <v>43759</v>
      </c>
      <c r="KN6" s="182">
        <v>43760</v>
      </c>
      <c r="KO6" s="182">
        <v>43761</v>
      </c>
      <c r="KP6" s="182">
        <v>43762</v>
      </c>
      <c r="KQ6" s="182">
        <v>43763</v>
      </c>
      <c r="KR6" s="184">
        <v>43764</v>
      </c>
      <c r="KS6" s="183">
        <v>43765</v>
      </c>
      <c r="KT6" s="182">
        <v>43766</v>
      </c>
      <c r="KU6" s="182">
        <v>43767</v>
      </c>
      <c r="KV6" s="182">
        <v>43768</v>
      </c>
      <c r="KW6" s="182">
        <v>43769</v>
      </c>
      <c r="KX6" s="182">
        <v>43770</v>
      </c>
      <c r="KY6" s="184">
        <v>43771</v>
      </c>
      <c r="KZ6" s="183">
        <v>43772</v>
      </c>
      <c r="LA6" s="182">
        <v>43773</v>
      </c>
      <c r="LB6" s="182">
        <v>43774</v>
      </c>
      <c r="LC6" s="182">
        <v>43775</v>
      </c>
      <c r="LD6" s="182">
        <v>43776</v>
      </c>
      <c r="LE6" s="182">
        <v>43777</v>
      </c>
      <c r="LF6" s="184">
        <v>43778</v>
      </c>
      <c r="LG6" s="183">
        <v>43779</v>
      </c>
      <c r="LH6" s="182">
        <v>43780</v>
      </c>
      <c r="LI6" s="182">
        <v>43781</v>
      </c>
      <c r="LJ6" s="182">
        <v>43782</v>
      </c>
      <c r="LK6" s="182">
        <v>43783</v>
      </c>
      <c r="LL6" s="182">
        <v>43784</v>
      </c>
      <c r="LM6" s="184">
        <v>43785</v>
      </c>
      <c r="LN6" s="183">
        <v>43786</v>
      </c>
      <c r="LO6" s="182">
        <v>43787</v>
      </c>
      <c r="LP6" s="182">
        <v>43788</v>
      </c>
      <c r="LQ6" s="182">
        <v>43789</v>
      </c>
      <c r="LR6" s="182">
        <v>43790</v>
      </c>
      <c r="LS6" s="182">
        <v>43791</v>
      </c>
      <c r="LT6" s="184">
        <v>43792</v>
      </c>
      <c r="LU6" s="183">
        <v>43793</v>
      </c>
      <c r="LV6" s="182">
        <v>43794</v>
      </c>
      <c r="LW6" s="182">
        <v>43795</v>
      </c>
      <c r="LX6" s="182">
        <v>43796</v>
      </c>
      <c r="LY6" s="182">
        <v>43797</v>
      </c>
      <c r="LZ6" s="182">
        <v>43798</v>
      </c>
      <c r="MA6" s="184">
        <v>43799</v>
      </c>
      <c r="MB6" s="183">
        <v>43800</v>
      </c>
      <c r="MC6" s="182">
        <v>43801</v>
      </c>
      <c r="MD6" s="182">
        <v>43802</v>
      </c>
      <c r="ME6" s="182">
        <v>43803</v>
      </c>
      <c r="MF6" s="182">
        <v>43804</v>
      </c>
      <c r="MG6" s="182">
        <v>43805</v>
      </c>
      <c r="MH6" s="184">
        <v>43806</v>
      </c>
      <c r="MI6" s="183">
        <v>43807</v>
      </c>
      <c r="MJ6" s="182">
        <v>43808</v>
      </c>
      <c r="MK6" s="182">
        <v>43809</v>
      </c>
      <c r="ML6" s="182">
        <v>43810</v>
      </c>
      <c r="MM6" s="182">
        <v>43811</v>
      </c>
      <c r="MN6" s="182">
        <v>43812</v>
      </c>
      <c r="MO6" s="184">
        <v>43813</v>
      </c>
      <c r="MP6" s="183">
        <v>43814</v>
      </c>
      <c r="MQ6" s="182">
        <v>43815</v>
      </c>
      <c r="MR6" s="182">
        <v>43816</v>
      </c>
      <c r="MS6" s="182">
        <v>43817</v>
      </c>
      <c r="MT6" s="182">
        <v>43818</v>
      </c>
      <c r="MU6" s="182">
        <v>43819</v>
      </c>
      <c r="MV6" s="184">
        <v>43820</v>
      </c>
      <c r="MW6" s="183">
        <v>43821</v>
      </c>
      <c r="MX6" s="182">
        <v>43822</v>
      </c>
      <c r="MY6" s="182">
        <v>43823</v>
      </c>
      <c r="MZ6" s="182">
        <v>43824</v>
      </c>
      <c r="NA6" s="182">
        <v>43825</v>
      </c>
      <c r="NB6" s="182">
        <v>43826</v>
      </c>
      <c r="NC6" s="184">
        <v>43827</v>
      </c>
      <c r="ND6" s="183">
        <v>43828</v>
      </c>
      <c r="NE6" s="182">
        <v>43829</v>
      </c>
      <c r="NF6" s="182">
        <v>43830</v>
      </c>
      <c r="NG6" s="182">
        <v>43831</v>
      </c>
      <c r="NH6" s="182">
        <v>43832</v>
      </c>
      <c r="NI6" s="182">
        <v>43833</v>
      </c>
      <c r="NJ6" s="184">
        <v>43834</v>
      </c>
      <c r="NK6" s="183">
        <v>43835</v>
      </c>
      <c r="NL6" s="182">
        <v>43836</v>
      </c>
      <c r="NM6" s="182">
        <v>43837</v>
      </c>
      <c r="NN6" s="182">
        <v>43838</v>
      </c>
      <c r="NO6" s="182">
        <v>43839</v>
      </c>
      <c r="NP6" s="182">
        <v>43840</v>
      </c>
      <c r="NQ6" s="184">
        <v>43841</v>
      </c>
      <c r="NR6" s="183">
        <v>43842</v>
      </c>
      <c r="NS6" s="182">
        <v>43843</v>
      </c>
      <c r="NT6" s="182">
        <v>43844</v>
      </c>
      <c r="NU6" s="182">
        <v>43845</v>
      </c>
      <c r="NV6" s="182">
        <v>43846</v>
      </c>
      <c r="NW6" s="182">
        <v>43847</v>
      </c>
      <c r="NX6" s="184">
        <v>43848</v>
      </c>
      <c r="NY6" s="183">
        <v>43849</v>
      </c>
      <c r="NZ6" s="182">
        <v>43850</v>
      </c>
      <c r="OA6" s="182">
        <v>43851</v>
      </c>
      <c r="OB6" s="182">
        <v>43852</v>
      </c>
      <c r="OC6" s="182">
        <v>43853</v>
      </c>
      <c r="OD6" s="182">
        <v>43854</v>
      </c>
      <c r="OE6" s="184">
        <v>43855</v>
      </c>
      <c r="OF6" s="183">
        <v>43856</v>
      </c>
      <c r="OG6" s="182">
        <v>43857</v>
      </c>
      <c r="OH6" s="182">
        <v>43858</v>
      </c>
      <c r="OI6" s="182">
        <v>43859</v>
      </c>
      <c r="OJ6" s="182">
        <v>43860</v>
      </c>
      <c r="OK6" s="182">
        <v>43861</v>
      </c>
      <c r="OL6" s="184">
        <v>43862</v>
      </c>
      <c r="OM6" s="183">
        <v>43863</v>
      </c>
      <c r="ON6" s="182">
        <v>43864</v>
      </c>
      <c r="OO6" s="182">
        <v>43865</v>
      </c>
      <c r="OP6" s="182">
        <v>43866</v>
      </c>
      <c r="OQ6" s="182">
        <v>43867</v>
      </c>
      <c r="OR6" s="182">
        <v>43868</v>
      </c>
      <c r="OS6" s="184">
        <v>43869</v>
      </c>
      <c r="OT6" s="183">
        <v>43870</v>
      </c>
      <c r="OU6" s="182">
        <v>43871</v>
      </c>
      <c r="OV6" s="182">
        <v>43872</v>
      </c>
      <c r="OW6" s="182">
        <v>43873</v>
      </c>
      <c r="OX6" s="182">
        <v>43874</v>
      </c>
      <c r="OY6" s="182">
        <v>43875</v>
      </c>
      <c r="OZ6" s="184">
        <v>43876</v>
      </c>
      <c r="PA6" s="183">
        <v>43877</v>
      </c>
      <c r="PB6" s="182">
        <v>43878</v>
      </c>
      <c r="PC6" s="182">
        <v>43879</v>
      </c>
      <c r="PD6" s="182">
        <v>43880</v>
      </c>
      <c r="PE6" s="182">
        <v>43881</v>
      </c>
      <c r="PF6" s="182">
        <v>43882</v>
      </c>
      <c r="PG6" s="184">
        <v>43883</v>
      </c>
      <c r="PH6" s="183">
        <v>43884</v>
      </c>
      <c r="PI6" s="182">
        <v>43885</v>
      </c>
      <c r="PJ6" s="182">
        <v>43886</v>
      </c>
      <c r="PK6" s="182">
        <v>43887</v>
      </c>
      <c r="PL6" s="182">
        <v>43888</v>
      </c>
      <c r="PM6" s="182">
        <v>43889</v>
      </c>
      <c r="PN6" s="184">
        <v>43890</v>
      </c>
      <c r="PO6" s="183">
        <v>43891</v>
      </c>
      <c r="PP6" s="182">
        <v>43892</v>
      </c>
      <c r="PQ6" s="182">
        <v>43893</v>
      </c>
      <c r="PR6" s="182">
        <v>43894</v>
      </c>
      <c r="PS6" s="182">
        <v>43895</v>
      </c>
      <c r="PT6" s="182">
        <v>43896</v>
      </c>
      <c r="PU6" s="184">
        <v>43897</v>
      </c>
      <c r="PV6" s="183">
        <v>43898</v>
      </c>
      <c r="PW6" s="182">
        <v>43899</v>
      </c>
      <c r="PX6" s="182">
        <v>43900</v>
      </c>
      <c r="PY6" s="182">
        <v>43901</v>
      </c>
      <c r="PZ6" s="182">
        <v>43902</v>
      </c>
      <c r="QA6" s="182">
        <v>43903</v>
      </c>
      <c r="QB6" s="184">
        <v>43904</v>
      </c>
      <c r="QC6" s="183">
        <v>43905</v>
      </c>
      <c r="QD6" s="182">
        <v>43906</v>
      </c>
      <c r="QE6" s="182">
        <v>43907</v>
      </c>
      <c r="QF6" s="182">
        <v>43908</v>
      </c>
      <c r="QG6" s="182">
        <v>43909</v>
      </c>
      <c r="QH6" s="182">
        <v>43910</v>
      </c>
      <c r="QI6" s="184">
        <v>43911</v>
      </c>
      <c r="QJ6" s="183">
        <v>43912</v>
      </c>
      <c r="QK6" s="182">
        <v>43913</v>
      </c>
      <c r="QL6" s="182">
        <v>43914</v>
      </c>
      <c r="QM6" s="182">
        <v>43915</v>
      </c>
      <c r="QN6" s="182">
        <v>43916</v>
      </c>
      <c r="QO6" s="182">
        <v>43917</v>
      </c>
      <c r="QP6" s="184">
        <v>43918</v>
      </c>
      <c r="QQ6" s="183">
        <v>43919</v>
      </c>
      <c r="QR6" s="182">
        <v>43920</v>
      </c>
      <c r="QS6" s="182">
        <v>43921</v>
      </c>
      <c r="QT6" s="182">
        <v>43922</v>
      </c>
      <c r="QU6" s="182">
        <v>43923</v>
      </c>
      <c r="QV6" s="182">
        <v>43924</v>
      </c>
      <c r="QW6" s="184">
        <v>43925</v>
      </c>
      <c r="QX6" s="183">
        <v>43926</v>
      </c>
      <c r="QY6" s="182">
        <v>43927</v>
      </c>
      <c r="QZ6" s="182">
        <v>43928</v>
      </c>
      <c r="RA6" s="182">
        <v>43929</v>
      </c>
      <c r="RB6" s="182">
        <v>43930</v>
      </c>
      <c r="RC6" s="182">
        <v>43931</v>
      </c>
      <c r="RD6" s="184">
        <v>43932</v>
      </c>
      <c r="RE6" s="183">
        <v>43933</v>
      </c>
      <c r="RF6" s="182">
        <v>43934</v>
      </c>
      <c r="RG6" s="182">
        <v>43935</v>
      </c>
      <c r="RH6" s="182">
        <v>43936</v>
      </c>
      <c r="RI6" s="182">
        <v>43937</v>
      </c>
      <c r="RJ6" s="182">
        <v>43938</v>
      </c>
      <c r="RK6" s="184">
        <v>43939</v>
      </c>
      <c r="RL6" s="183">
        <v>43940</v>
      </c>
      <c r="RM6" s="182">
        <v>43941</v>
      </c>
      <c r="RN6" s="182">
        <v>43942</v>
      </c>
      <c r="RO6" s="182">
        <v>43943</v>
      </c>
      <c r="RP6" s="182">
        <v>43944</v>
      </c>
      <c r="RQ6" s="182">
        <v>43945</v>
      </c>
      <c r="RR6" s="184">
        <v>43946</v>
      </c>
      <c r="RS6" s="183">
        <v>43947</v>
      </c>
      <c r="RT6" s="182">
        <v>43948</v>
      </c>
      <c r="RU6" s="182">
        <v>43949</v>
      </c>
      <c r="RV6" s="182">
        <v>43950</v>
      </c>
      <c r="RW6" s="182">
        <v>43951</v>
      </c>
      <c r="RX6" s="182">
        <v>43952</v>
      </c>
      <c r="RY6" s="184">
        <v>43953</v>
      </c>
      <c r="RZ6" s="183">
        <v>43954</v>
      </c>
      <c r="SA6" s="182">
        <v>43955</v>
      </c>
      <c r="SB6" s="182">
        <v>43956</v>
      </c>
      <c r="SC6" s="182">
        <v>43957</v>
      </c>
      <c r="SD6" s="182">
        <v>43958</v>
      </c>
      <c r="SE6" s="182">
        <v>43959</v>
      </c>
      <c r="SF6" s="184">
        <v>43960</v>
      </c>
      <c r="SG6" s="183">
        <v>43961</v>
      </c>
      <c r="SH6" s="182">
        <v>43962</v>
      </c>
      <c r="SI6" s="182">
        <v>43963</v>
      </c>
      <c r="SJ6" s="182">
        <v>43964</v>
      </c>
      <c r="SK6" s="182">
        <v>43965</v>
      </c>
      <c r="SL6" s="182">
        <v>43966</v>
      </c>
      <c r="SM6" s="184">
        <v>43967</v>
      </c>
      <c r="SN6" s="183">
        <v>43968</v>
      </c>
      <c r="SO6" s="182">
        <v>43969</v>
      </c>
      <c r="SP6" s="182">
        <v>43970</v>
      </c>
      <c r="SQ6" s="182">
        <v>43971</v>
      </c>
      <c r="SR6" s="182">
        <v>43972</v>
      </c>
      <c r="SS6" s="182">
        <v>43973</v>
      </c>
      <c r="ST6" s="184">
        <v>43974</v>
      </c>
      <c r="SU6" s="183">
        <v>43975</v>
      </c>
      <c r="SV6" s="182">
        <v>43976</v>
      </c>
      <c r="SW6" s="182">
        <v>43977</v>
      </c>
      <c r="SX6" s="182">
        <v>43978</v>
      </c>
      <c r="SY6" s="182">
        <v>43979</v>
      </c>
      <c r="SZ6" s="182">
        <v>43980</v>
      </c>
      <c r="TA6" s="184">
        <v>43981</v>
      </c>
      <c r="TB6" s="183">
        <v>43982</v>
      </c>
      <c r="TC6" s="182">
        <v>43983</v>
      </c>
      <c r="TD6" s="182">
        <v>43984</v>
      </c>
      <c r="TE6" s="182">
        <v>43985</v>
      </c>
      <c r="TF6" s="182">
        <v>43986</v>
      </c>
      <c r="TG6" s="182">
        <v>43987</v>
      </c>
      <c r="TH6" s="184">
        <v>43988</v>
      </c>
      <c r="TI6" s="183">
        <v>43989</v>
      </c>
      <c r="TJ6" s="182">
        <v>43990</v>
      </c>
      <c r="TK6" s="182">
        <v>43991</v>
      </c>
      <c r="TL6" s="182">
        <v>43992</v>
      </c>
      <c r="TM6" s="182">
        <v>43993</v>
      </c>
      <c r="TN6" s="182">
        <v>43994</v>
      </c>
      <c r="TO6" s="184">
        <v>43995</v>
      </c>
      <c r="TP6" s="183">
        <v>43996</v>
      </c>
      <c r="TQ6" s="182">
        <v>43997</v>
      </c>
      <c r="TR6" s="182">
        <v>43998</v>
      </c>
      <c r="TS6" s="182">
        <v>43999</v>
      </c>
      <c r="TT6" s="182">
        <v>44000</v>
      </c>
      <c r="TU6" s="182">
        <v>44001</v>
      </c>
      <c r="TV6" s="184">
        <v>44002</v>
      </c>
      <c r="TW6" s="183">
        <v>44003</v>
      </c>
      <c r="TX6" s="182">
        <v>44004</v>
      </c>
      <c r="TY6" s="182">
        <v>44005</v>
      </c>
      <c r="TZ6" s="182">
        <v>44006</v>
      </c>
      <c r="UA6" s="182">
        <v>44007</v>
      </c>
      <c r="UB6" s="182">
        <v>44008</v>
      </c>
      <c r="UC6" s="184">
        <v>44009</v>
      </c>
      <c r="UD6" s="183">
        <v>44010</v>
      </c>
      <c r="UE6" s="182">
        <v>44011</v>
      </c>
      <c r="UF6" s="182">
        <v>44012</v>
      </c>
      <c r="UG6" s="182">
        <v>44013</v>
      </c>
      <c r="UH6" s="182">
        <v>44014</v>
      </c>
      <c r="UI6" s="182">
        <v>44015</v>
      </c>
      <c r="UJ6" s="184">
        <v>44016</v>
      </c>
      <c r="UK6" s="183">
        <v>44017</v>
      </c>
      <c r="UL6" s="182">
        <v>44018</v>
      </c>
      <c r="UM6" s="182">
        <v>44019</v>
      </c>
      <c r="UN6" s="182">
        <v>44020</v>
      </c>
      <c r="UO6" s="182">
        <v>44021</v>
      </c>
      <c r="UP6" s="182">
        <v>44022</v>
      </c>
      <c r="UQ6" s="184">
        <v>44023</v>
      </c>
      <c r="UR6" s="183">
        <v>44024</v>
      </c>
      <c r="US6" s="182">
        <v>44025</v>
      </c>
      <c r="UT6" s="182">
        <v>44026</v>
      </c>
      <c r="UU6" s="182">
        <v>44027</v>
      </c>
      <c r="UV6" s="182">
        <v>44028</v>
      </c>
      <c r="UW6" s="182">
        <v>44029</v>
      </c>
      <c r="UX6" s="184">
        <v>44030</v>
      </c>
      <c r="UY6" s="183">
        <v>44031</v>
      </c>
      <c r="UZ6" s="182">
        <v>44032</v>
      </c>
      <c r="VA6" s="182">
        <v>44033</v>
      </c>
      <c r="VB6" s="182">
        <v>44034</v>
      </c>
      <c r="VC6" s="182">
        <v>44035</v>
      </c>
      <c r="VD6" s="182">
        <v>44036</v>
      </c>
      <c r="VE6" s="184">
        <v>44037</v>
      </c>
      <c r="VF6" s="183">
        <v>44038</v>
      </c>
      <c r="VG6" s="182">
        <v>44039</v>
      </c>
      <c r="VH6" s="182">
        <v>44040</v>
      </c>
      <c r="VI6" s="182">
        <v>44041</v>
      </c>
      <c r="VJ6" s="182">
        <v>44042</v>
      </c>
      <c r="VK6" s="182">
        <v>44043</v>
      </c>
      <c r="VL6" s="184">
        <v>44044</v>
      </c>
      <c r="VM6" s="183">
        <v>44045</v>
      </c>
      <c r="VN6" s="182">
        <v>44046</v>
      </c>
      <c r="VO6" s="182">
        <v>44047</v>
      </c>
      <c r="VP6" s="182">
        <v>44048</v>
      </c>
      <c r="VQ6" s="182">
        <v>44049</v>
      </c>
      <c r="VR6" s="182">
        <v>44050</v>
      </c>
      <c r="VS6" s="184">
        <v>44051</v>
      </c>
      <c r="VT6" s="183">
        <v>44052</v>
      </c>
      <c r="VU6" s="182">
        <v>44053</v>
      </c>
      <c r="VV6" s="182">
        <v>44054</v>
      </c>
      <c r="VW6" s="182">
        <v>44055</v>
      </c>
      <c r="VX6" s="182">
        <v>44056</v>
      </c>
      <c r="VY6" s="182">
        <v>44057</v>
      </c>
      <c r="VZ6" s="184">
        <v>44058</v>
      </c>
      <c r="WA6" s="183">
        <v>44059</v>
      </c>
      <c r="WB6" s="182">
        <v>44060</v>
      </c>
      <c r="WC6" s="182">
        <v>44061</v>
      </c>
      <c r="WD6" s="182">
        <v>44062</v>
      </c>
      <c r="WE6" s="182">
        <v>44063</v>
      </c>
      <c r="WF6" s="182">
        <v>44064</v>
      </c>
      <c r="WG6" s="184">
        <v>44065</v>
      </c>
      <c r="WH6" s="183">
        <v>44066</v>
      </c>
      <c r="WI6" s="182">
        <v>44067</v>
      </c>
      <c r="WJ6" s="182">
        <v>44068</v>
      </c>
      <c r="WK6" s="182">
        <v>44069</v>
      </c>
      <c r="WL6" s="182">
        <v>44070</v>
      </c>
      <c r="WM6" s="182">
        <v>44071</v>
      </c>
      <c r="WN6" s="184">
        <v>44072</v>
      </c>
      <c r="WO6" s="183">
        <v>44073</v>
      </c>
      <c r="WP6" s="182">
        <v>44074</v>
      </c>
      <c r="WQ6" s="182">
        <v>44075</v>
      </c>
      <c r="WR6" s="182">
        <v>44076</v>
      </c>
      <c r="WS6" s="182">
        <v>44077</v>
      </c>
      <c r="WT6" s="182">
        <v>44078</v>
      </c>
      <c r="WU6" s="184">
        <v>44079</v>
      </c>
      <c r="WV6" s="183">
        <v>44080</v>
      </c>
      <c r="WW6" s="182">
        <v>44081</v>
      </c>
      <c r="WX6" s="182">
        <v>44082</v>
      </c>
      <c r="WY6" s="182">
        <v>44083</v>
      </c>
      <c r="WZ6" s="182">
        <v>44084</v>
      </c>
      <c r="XA6" s="182">
        <v>44085</v>
      </c>
      <c r="XB6" s="184">
        <v>44086</v>
      </c>
      <c r="XC6" s="183">
        <v>44087</v>
      </c>
      <c r="XD6" s="182">
        <v>44088</v>
      </c>
      <c r="XE6" s="182">
        <v>44089</v>
      </c>
      <c r="XF6" s="182">
        <v>44090</v>
      </c>
      <c r="XG6" s="182">
        <v>44091</v>
      </c>
      <c r="XH6" s="182">
        <v>44092</v>
      </c>
      <c r="XI6" s="184">
        <v>44093</v>
      </c>
      <c r="XJ6" s="183">
        <v>44094</v>
      </c>
      <c r="XK6" s="182">
        <v>44095</v>
      </c>
      <c r="XL6" s="182">
        <v>44096</v>
      </c>
      <c r="XM6" s="182">
        <v>44097</v>
      </c>
      <c r="XN6" s="182">
        <v>44098</v>
      </c>
      <c r="XO6" s="182">
        <v>44099</v>
      </c>
      <c r="XP6" s="184">
        <v>44100</v>
      </c>
      <c r="XQ6" s="183">
        <v>44101</v>
      </c>
      <c r="XR6" s="182">
        <v>44102</v>
      </c>
      <c r="XS6" s="182">
        <v>44103</v>
      </c>
      <c r="XT6" s="182">
        <v>44104</v>
      </c>
      <c r="XU6" s="182">
        <v>44105</v>
      </c>
      <c r="XV6" s="182">
        <v>44106</v>
      </c>
      <c r="XW6" s="184">
        <v>44107</v>
      </c>
      <c r="XX6" s="183">
        <v>44108</v>
      </c>
      <c r="XY6" s="182">
        <v>44109</v>
      </c>
      <c r="XZ6" s="182">
        <v>44110</v>
      </c>
      <c r="YA6" s="182">
        <v>44111</v>
      </c>
      <c r="YB6" s="182">
        <v>44112</v>
      </c>
      <c r="YC6" s="182">
        <v>44113</v>
      </c>
      <c r="YD6" s="184">
        <v>44114</v>
      </c>
      <c r="YE6" s="183">
        <v>44115</v>
      </c>
      <c r="YF6" s="182">
        <v>44116</v>
      </c>
      <c r="YG6" s="182">
        <v>44117</v>
      </c>
      <c r="YH6" s="182">
        <v>44118</v>
      </c>
      <c r="YI6" s="182">
        <v>44119</v>
      </c>
      <c r="YJ6" s="182">
        <v>44120</v>
      </c>
      <c r="YK6" s="184">
        <v>44121</v>
      </c>
      <c r="YL6" s="183">
        <v>44122</v>
      </c>
      <c r="YM6" s="182">
        <v>44123</v>
      </c>
      <c r="YN6" s="182">
        <v>44124</v>
      </c>
      <c r="YO6" s="182">
        <v>44125</v>
      </c>
      <c r="YP6" s="182">
        <v>44126</v>
      </c>
      <c r="YQ6" s="182">
        <v>44127</v>
      </c>
      <c r="YR6" s="184">
        <v>44128</v>
      </c>
      <c r="YS6" s="183">
        <v>44129</v>
      </c>
      <c r="YT6" s="182">
        <v>44130</v>
      </c>
      <c r="YU6" s="182">
        <v>44131</v>
      </c>
      <c r="YV6" s="182">
        <v>44132</v>
      </c>
      <c r="YW6" s="182">
        <v>44133</v>
      </c>
      <c r="YX6" s="182">
        <v>44134</v>
      </c>
      <c r="YY6" s="184">
        <v>44135</v>
      </c>
      <c r="YZ6" s="183">
        <v>44136</v>
      </c>
      <c r="ZA6" s="182">
        <v>44137</v>
      </c>
      <c r="ZB6" s="182">
        <v>44138</v>
      </c>
      <c r="ZC6" s="182">
        <v>44139</v>
      </c>
      <c r="ZD6" s="182">
        <v>44140</v>
      </c>
      <c r="ZE6" s="182">
        <v>44141</v>
      </c>
      <c r="ZF6" s="184">
        <v>44142</v>
      </c>
      <c r="ZG6" s="183">
        <v>44143</v>
      </c>
      <c r="ZH6" s="182">
        <v>44144</v>
      </c>
      <c r="ZI6" s="182">
        <v>44145</v>
      </c>
      <c r="ZJ6" s="182">
        <v>44146</v>
      </c>
      <c r="ZK6" s="182">
        <v>44147</v>
      </c>
      <c r="ZL6" s="182">
        <v>44148</v>
      </c>
      <c r="ZM6" s="184">
        <v>44149</v>
      </c>
      <c r="ZN6" s="183">
        <v>44150</v>
      </c>
      <c r="ZO6" s="182">
        <v>44151</v>
      </c>
      <c r="ZP6" s="182">
        <v>44152</v>
      </c>
      <c r="ZQ6" s="182">
        <v>44153</v>
      </c>
      <c r="ZR6" s="182">
        <v>44154</v>
      </c>
      <c r="ZS6" s="182">
        <v>44155</v>
      </c>
      <c r="ZT6" s="184">
        <v>44156</v>
      </c>
      <c r="ZU6" s="183">
        <v>44157</v>
      </c>
      <c r="ZV6" s="182">
        <v>44158</v>
      </c>
      <c r="ZW6" s="182">
        <v>44159</v>
      </c>
      <c r="ZX6" s="182">
        <v>44160</v>
      </c>
      <c r="ZY6" s="182">
        <v>44161</v>
      </c>
      <c r="ZZ6" s="182">
        <v>44162</v>
      </c>
      <c r="AAA6" s="184">
        <v>44163</v>
      </c>
      <c r="AAB6" s="183">
        <v>44164</v>
      </c>
      <c r="AAC6" s="182">
        <v>44165</v>
      </c>
      <c r="AAD6" s="182">
        <v>44166</v>
      </c>
      <c r="AAE6" s="182">
        <v>44167</v>
      </c>
      <c r="AAF6" s="182">
        <v>44168</v>
      </c>
      <c r="AAG6" s="182">
        <v>44169</v>
      </c>
      <c r="AAH6" s="184">
        <v>44170</v>
      </c>
      <c r="AAI6" s="183">
        <v>44171</v>
      </c>
      <c r="AAJ6" s="182">
        <v>44172</v>
      </c>
      <c r="AAK6" s="182">
        <v>44173</v>
      </c>
      <c r="AAL6" s="182">
        <v>44174</v>
      </c>
      <c r="AAM6" s="182">
        <v>44175</v>
      </c>
      <c r="AAN6" s="182">
        <v>44176</v>
      </c>
      <c r="AAO6" s="184">
        <v>44177</v>
      </c>
      <c r="AAP6" s="183">
        <v>44178</v>
      </c>
      <c r="AAQ6" s="182">
        <v>44179</v>
      </c>
      <c r="AAR6" s="182">
        <v>44180</v>
      </c>
      <c r="AAS6" s="182">
        <v>44181</v>
      </c>
      <c r="AAT6" s="182">
        <v>44182</v>
      </c>
      <c r="AAU6" s="182">
        <v>44183</v>
      </c>
      <c r="AAV6" s="184">
        <v>44184</v>
      </c>
      <c r="AAW6" s="183">
        <v>44185</v>
      </c>
      <c r="AAX6" s="182">
        <v>44186</v>
      </c>
      <c r="AAY6" s="182">
        <v>44187</v>
      </c>
      <c r="AAZ6" s="182">
        <v>44188</v>
      </c>
      <c r="ABA6" s="182">
        <v>44189</v>
      </c>
      <c r="ABB6" s="182">
        <v>44190</v>
      </c>
      <c r="ABC6" s="184">
        <v>44191</v>
      </c>
      <c r="ABD6" s="183">
        <v>44192</v>
      </c>
      <c r="ABE6" s="182">
        <v>44193</v>
      </c>
      <c r="ABF6" s="182">
        <v>44194</v>
      </c>
      <c r="ABG6" s="182">
        <v>44195</v>
      </c>
      <c r="ABH6" s="182">
        <v>44196</v>
      </c>
      <c r="ABI6" s="182">
        <v>44197</v>
      </c>
      <c r="ABJ6" s="184">
        <v>44198</v>
      </c>
      <c r="ABK6" s="183">
        <v>44199</v>
      </c>
      <c r="ABL6" s="182">
        <v>44200</v>
      </c>
      <c r="ABM6" s="182">
        <v>44201</v>
      </c>
      <c r="ABN6" s="182">
        <v>44202</v>
      </c>
      <c r="ABO6" s="182">
        <v>44203</v>
      </c>
      <c r="ABP6" s="182">
        <v>44204</v>
      </c>
      <c r="ABQ6" s="184">
        <v>44205</v>
      </c>
      <c r="ABR6" s="183">
        <v>44206</v>
      </c>
      <c r="ABS6" s="182">
        <v>44207</v>
      </c>
      <c r="ABT6" s="182">
        <v>44208</v>
      </c>
      <c r="ABU6" s="182">
        <v>44209</v>
      </c>
      <c r="ABV6" s="182">
        <v>44210</v>
      </c>
      <c r="ABW6" s="182">
        <v>44211</v>
      </c>
      <c r="ABX6" s="184">
        <v>44212</v>
      </c>
      <c r="ABY6" s="183">
        <v>44213</v>
      </c>
      <c r="ABZ6" s="182">
        <v>44214</v>
      </c>
      <c r="ACA6" s="182">
        <v>44215</v>
      </c>
      <c r="ACB6" s="182">
        <v>44216</v>
      </c>
      <c r="ACC6" s="182">
        <v>44217</v>
      </c>
      <c r="ACD6" s="182">
        <v>44218</v>
      </c>
      <c r="ACE6" s="184">
        <v>44219</v>
      </c>
      <c r="ACF6" s="183">
        <v>44220</v>
      </c>
      <c r="ACG6" s="182">
        <v>44221</v>
      </c>
      <c r="ACH6" s="182">
        <v>44222</v>
      </c>
      <c r="ACI6" s="182">
        <v>44223</v>
      </c>
      <c r="ACJ6" s="182">
        <v>44224</v>
      </c>
      <c r="ACK6" s="182">
        <v>44225</v>
      </c>
      <c r="ACL6" s="184">
        <v>44226</v>
      </c>
      <c r="ACM6" s="183">
        <v>44227</v>
      </c>
      <c r="ACN6" s="182">
        <v>44228</v>
      </c>
      <c r="ACO6" s="182">
        <v>44229</v>
      </c>
      <c r="ACP6" s="182">
        <v>44230</v>
      </c>
      <c r="ACQ6" s="182">
        <v>44231</v>
      </c>
      <c r="ACR6" s="182">
        <v>44232</v>
      </c>
      <c r="ACS6" s="184">
        <v>44233</v>
      </c>
      <c r="ACT6" s="183">
        <v>44234</v>
      </c>
      <c r="ACU6" s="182">
        <v>44235</v>
      </c>
      <c r="ACV6" s="182">
        <v>44236</v>
      </c>
      <c r="ACW6" s="182">
        <v>44237</v>
      </c>
      <c r="ACX6" s="182">
        <v>44238</v>
      </c>
      <c r="ACY6" s="182">
        <v>44239</v>
      </c>
      <c r="ACZ6" s="184">
        <v>44240</v>
      </c>
      <c r="ADA6" s="183">
        <v>44241</v>
      </c>
      <c r="ADB6" s="182">
        <v>44242</v>
      </c>
      <c r="ADC6" s="182">
        <v>44243</v>
      </c>
      <c r="ADD6" s="182">
        <v>44244</v>
      </c>
      <c r="ADE6" s="182">
        <v>44245</v>
      </c>
      <c r="ADF6" s="182">
        <v>44246</v>
      </c>
      <c r="ADG6" s="184">
        <v>44247</v>
      </c>
      <c r="ADH6" s="183">
        <v>44248</v>
      </c>
      <c r="ADI6" s="182">
        <v>44249</v>
      </c>
      <c r="ADJ6" s="182">
        <v>44250</v>
      </c>
      <c r="ADK6" s="182">
        <v>44251</v>
      </c>
      <c r="ADL6" s="182">
        <v>44252</v>
      </c>
      <c r="ADM6" s="182">
        <v>44253</v>
      </c>
      <c r="ADN6" s="184">
        <v>44254</v>
      </c>
      <c r="ADO6" s="183">
        <v>44255</v>
      </c>
      <c r="ADP6" s="182">
        <v>44256</v>
      </c>
      <c r="ADQ6" s="182">
        <v>44257</v>
      </c>
      <c r="ADR6" s="182">
        <v>44258</v>
      </c>
      <c r="ADS6" s="182">
        <v>44259</v>
      </c>
      <c r="ADT6" s="182">
        <v>44260</v>
      </c>
      <c r="ADU6" s="184">
        <v>44261</v>
      </c>
      <c r="ADV6" s="183">
        <v>44262</v>
      </c>
      <c r="ADW6" s="182">
        <v>44263</v>
      </c>
      <c r="ADX6" s="182">
        <v>44264</v>
      </c>
      <c r="ADY6" s="182">
        <v>44265</v>
      </c>
      <c r="ADZ6" s="182">
        <v>44266</v>
      </c>
      <c r="AEA6" s="182">
        <v>44267</v>
      </c>
      <c r="AEB6" s="184">
        <v>44268</v>
      </c>
      <c r="AEC6" s="183">
        <v>44269</v>
      </c>
      <c r="AED6" s="182">
        <v>44270</v>
      </c>
      <c r="AEE6" s="182">
        <v>44271</v>
      </c>
      <c r="AEF6" s="182">
        <v>44272</v>
      </c>
      <c r="AEG6" s="182">
        <v>44273</v>
      </c>
      <c r="AEH6" s="182">
        <v>44274</v>
      </c>
      <c r="AEI6" s="184">
        <v>44275</v>
      </c>
      <c r="AEJ6" s="183">
        <v>44276</v>
      </c>
      <c r="AEK6" s="182">
        <v>44277</v>
      </c>
      <c r="AEL6" s="182">
        <v>44278</v>
      </c>
      <c r="AEM6" s="182">
        <v>44279</v>
      </c>
      <c r="AEN6" s="182">
        <v>44280</v>
      </c>
      <c r="AEO6" s="182">
        <v>44281</v>
      </c>
      <c r="AEP6" s="184">
        <v>44282</v>
      </c>
      <c r="AEQ6" s="183">
        <v>44283</v>
      </c>
      <c r="AER6" s="182">
        <v>44284</v>
      </c>
      <c r="AES6" s="182">
        <v>44285</v>
      </c>
      <c r="AET6" s="182">
        <v>44286</v>
      </c>
      <c r="AEU6" s="182">
        <v>44287</v>
      </c>
      <c r="AEV6" s="182">
        <v>44288</v>
      </c>
      <c r="AEW6" s="184">
        <v>44289</v>
      </c>
      <c r="AEX6" s="183">
        <v>44290</v>
      </c>
      <c r="AEY6" s="182">
        <v>44291</v>
      </c>
      <c r="AEZ6" s="182">
        <v>44292</v>
      </c>
      <c r="AFA6" s="182">
        <v>44293</v>
      </c>
      <c r="AFB6" s="182">
        <v>44294</v>
      </c>
      <c r="AFC6" s="182">
        <v>44295</v>
      </c>
      <c r="AFD6" s="184">
        <v>44296</v>
      </c>
      <c r="AFE6" s="183">
        <v>44297</v>
      </c>
      <c r="AFF6" s="182">
        <v>44298</v>
      </c>
      <c r="AFG6" s="182">
        <v>44299</v>
      </c>
      <c r="AFH6" s="182">
        <v>44300</v>
      </c>
      <c r="AFI6" s="182">
        <v>44301</v>
      </c>
      <c r="AFJ6" s="182">
        <v>44302</v>
      </c>
      <c r="AFK6" s="184">
        <v>44303</v>
      </c>
      <c r="AFL6" s="183">
        <v>44304</v>
      </c>
      <c r="AFM6" s="182">
        <v>44305</v>
      </c>
      <c r="AFN6" s="182">
        <v>44306</v>
      </c>
      <c r="AFO6" s="182">
        <v>44307</v>
      </c>
      <c r="AFP6" s="182">
        <v>44308</v>
      </c>
      <c r="AFQ6" s="182">
        <v>44309</v>
      </c>
      <c r="AFR6" s="184">
        <v>44310</v>
      </c>
      <c r="AFS6" s="183">
        <v>44311</v>
      </c>
      <c r="AFT6" s="182">
        <v>44312</v>
      </c>
      <c r="AFU6" s="182">
        <v>44313</v>
      </c>
      <c r="AFV6" s="182">
        <v>44314</v>
      </c>
      <c r="AFW6" s="182">
        <v>44315</v>
      </c>
      <c r="AFX6" s="182">
        <v>44316</v>
      </c>
      <c r="AFY6" s="184">
        <v>44317</v>
      </c>
      <c r="AFZ6" s="183">
        <v>44318</v>
      </c>
      <c r="AGA6" s="182">
        <v>44319</v>
      </c>
      <c r="AGB6" s="182">
        <v>44320</v>
      </c>
      <c r="AGC6" s="182">
        <v>44321</v>
      </c>
      <c r="AGD6" s="182">
        <v>44322</v>
      </c>
      <c r="AGE6" s="182">
        <v>44323</v>
      </c>
      <c r="AGF6" s="184">
        <v>44324</v>
      </c>
      <c r="AGG6" s="183">
        <v>44325</v>
      </c>
      <c r="AGH6" s="182">
        <v>44326</v>
      </c>
      <c r="AGI6" s="182">
        <v>44327</v>
      </c>
      <c r="AGJ6" s="182">
        <v>44328</v>
      </c>
      <c r="AGK6" s="182">
        <v>44329</v>
      </c>
      <c r="AGL6" s="182">
        <v>44330</v>
      </c>
      <c r="AGM6" s="184">
        <v>44331</v>
      </c>
      <c r="AGN6" s="183">
        <v>44332</v>
      </c>
      <c r="AGO6" s="182">
        <v>44333</v>
      </c>
      <c r="AGP6" s="182">
        <v>44334</v>
      </c>
      <c r="AGQ6" s="182">
        <v>44335</v>
      </c>
      <c r="AGR6" s="182">
        <v>44336</v>
      </c>
      <c r="AGS6" s="182">
        <v>44337</v>
      </c>
      <c r="AGT6" s="184">
        <v>44338</v>
      </c>
      <c r="AGU6" s="183">
        <v>44339</v>
      </c>
      <c r="AGV6" s="182">
        <v>44340</v>
      </c>
      <c r="AGW6" s="182">
        <v>44341</v>
      </c>
      <c r="AGX6" s="182">
        <v>44342</v>
      </c>
      <c r="AGY6" s="182">
        <v>44343</v>
      </c>
      <c r="AGZ6" s="182">
        <v>44344</v>
      </c>
      <c r="AHA6" s="184">
        <v>44345</v>
      </c>
      <c r="AHB6" s="183">
        <v>44346</v>
      </c>
      <c r="AHC6" s="182">
        <v>44347</v>
      </c>
      <c r="AHD6" s="182">
        <v>44348</v>
      </c>
      <c r="AHE6" s="182">
        <v>44349</v>
      </c>
      <c r="AHF6" s="182">
        <v>44350</v>
      </c>
      <c r="AHG6" s="182">
        <v>44351</v>
      </c>
      <c r="AHH6" s="184">
        <v>44352</v>
      </c>
      <c r="AHI6" s="183">
        <v>44353</v>
      </c>
      <c r="AHJ6" s="182">
        <v>44354</v>
      </c>
      <c r="AHK6" s="182">
        <v>44355</v>
      </c>
      <c r="AHL6" s="182">
        <v>44356</v>
      </c>
      <c r="AHM6" s="182">
        <v>44357</v>
      </c>
      <c r="AHN6" s="182">
        <v>44358</v>
      </c>
      <c r="AHO6" s="184">
        <v>44359</v>
      </c>
      <c r="AHP6" s="183">
        <v>44360</v>
      </c>
      <c r="AHQ6" s="182">
        <v>44361</v>
      </c>
      <c r="AHR6" s="182">
        <v>44362</v>
      </c>
      <c r="AHS6" s="182">
        <v>44363</v>
      </c>
      <c r="AHT6" s="182">
        <v>44364</v>
      </c>
      <c r="AHU6" s="182">
        <v>44365</v>
      </c>
      <c r="AHV6" s="184">
        <v>44366</v>
      </c>
      <c r="AHW6" s="183">
        <v>44367</v>
      </c>
      <c r="AHX6" s="182">
        <v>44368</v>
      </c>
      <c r="AHY6" s="182">
        <v>44369</v>
      </c>
      <c r="AHZ6" s="182">
        <v>44370</v>
      </c>
      <c r="AIA6" s="182">
        <v>44371</v>
      </c>
      <c r="AIB6" s="182">
        <v>44372</v>
      </c>
      <c r="AIC6" s="184">
        <v>44373</v>
      </c>
      <c r="AID6" s="183">
        <v>44374</v>
      </c>
      <c r="AIE6" s="182">
        <v>44375</v>
      </c>
      <c r="AIF6" s="182">
        <v>44376</v>
      </c>
      <c r="AIG6" s="182">
        <v>44377</v>
      </c>
      <c r="AIH6" s="182">
        <v>44378</v>
      </c>
      <c r="AII6" s="182">
        <v>44379</v>
      </c>
      <c r="AIJ6" s="184">
        <v>44380</v>
      </c>
      <c r="AIK6" s="183">
        <v>44381</v>
      </c>
      <c r="AIL6" s="182">
        <v>44382</v>
      </c>
      <c r="AIM6" s="182">
        <v>44383</v>
      </c>
      <c r="AIN6" s="182">
        <v>44384</v>
      </c>
      <c r="AIO6" s="182">
        <v>44385</v>
      </c>
      <c r="AIP6" s="182">
        <v>44386</v>
      </c>
      <c r="AIQ6" s="184">
        <v>44387</v>
      </c>
      <c r="AIR6" s="183">
        <v>44388</v>
      </c>
      <c r="AIS6" s="182">
        <v>44389</v>
      </c>
      <c r="AIT6" s="182">
        <v>44390</v>
      </c>
      <c r="AIU6" s="182">
        <v>44391</v>
      </c>
      <c r="AIV6" s="182">
        <v>44392</v>
      </c>
      <c r="AIW6" s="182">
        <v>44393</v>
      </c>
      <c r="AIX6" s="184">
        <v>44394</v>
      </c>
      <c r="AIY6" s="183">
        <v>44395</v>
      </c>
      <c r="AIZ6" s="182">
        <v>44396</v>
      </c>
      <c r="AJA6" s="182">
        <v>44397</v>
      </c>
      <c r="AJB6" s="182">
        <v>44398</v>
      </c>
      <c r="AJC6" s="182">
        <v>44399</v>
      </c>
      <c r="AJD6" s="182">
        <v>44400</v>
      </c>
      <c r="AJE6" s="184">
        <v>44401</v>
      </c>
      <c r="AJF6" s="183">
        <v>44402</v>
      </c>
      <c r="AJG6" s="182">
        <v>44403</v>
      </c>
      <c r="AJH6" s="182">
        <v>44404</v>
      </c>
      <c r="AJI6" s="182">
        <v>44405</v>
      </c>
      <c r="AJJ6" s="182">
        <v>44406</v>
      </c>
      <c r="AJK6" s="182">
        <v>44407</v>
      </c>
      <c r="AJL6" s="184">
        <v>44408</v>
      </c>
      <c r="AJM6" s="183">
        <v>44409</v>
      </c>
      <c r="AJN6" s="182">
        <v>44410</v>
      </c>
      <c r="AJO6" s="182">
        <v>44411</v>
      </c>
      <c r="AJP6" s="182">
        <v>44412</v>
      </c>
      <c r="AJQ6" s="182">
        <v>44413</v>
      </c>
      <c r="AJR6" s="182">
        <v>44414</v>
      </c>
      <c r="AJS6" s="184">
        <v>44415</v>
      </c>
      <c r="AJT6" s="183">
        <v>44416</v>
      </c>
      <c r="AJU6" s="182">
        <v>44417</v>
      </c>
      <c r="AJV6" s="182">
        <v>44418</v>
      </c>
      <c r="AJW6" s="182">
        <v>44419</v>
      </c>
      <c r="AJX6" s="182">
        <v>44420</v>
      </c>
      <c r="AJY6" s="182">
        <v>44421</v>
      </c>
      <c r="AJZ6" s="184">
        <v>44422</v>
      </c>
      <c r="AKA6" s="183">
        <v>44423</v>
      </c>
      <c r="AKB6" s="182">
        <v>44424</v>
      </c>
      <c r="AKC6" s="182">
        <v>44425</v>
      </c>
      <c r="AKD6" s="182">
        <v>44426</v>
      </c>
      <c r="AKE6" s="182">
        <v>44427</v>
      </c>
      <c r="AKF6" s="182">
        <v>44428</v>
      </c>
      <c r="AKG6" s="184">
        <v>44429</v>
      </c>
      <c r="AKH6" s="183">
        <v>44430</v>
      </c>
      <c r="AKI6" s="182">
        <v>44431</v>
      </c>
      <c r="AKJ6" s="182">
        <v>44432</v>
      </c>
      <c r="AKK6" s="182">
        <v>44433</v>
      </c>
      <c r="AKL6" s="182">
        <v>44434</v>
      </c>
      <c r="AKM6" s="182">
        <v>44435</v>
      </c>
      <c r="AKN6" s="184">
        <v>44436</v>
      </c>
      <c r="AKO6" s="183">
        <v>44437</v>
      </c>
      <c r="AKP6" s="182">
        <v>44438</v>
      </c>
      <c r="AKQ6" s="182">
        <v>44439</v>
      </c>
      <c r="AKR6" s="182">
        <v>44440</v>
      </c>
      <c r="AKS6" s="182">
        <v>44441</v>
      </c>
      <c r="AKT6" s="182">
        <v>44442</v>
      </c>
      <c r="AKU6" s="184">
        <v>44443</v>
      </c>
      <c r="AKV6" s="183">
        <v>44444</v>
      </c>
      <c r="AKW6" s="182">
        <v>44445</v>
      </c>
      <c r="AKX6" s="182">
        <v>44446</v>
      </c>
      <c r="AKY6" s="182">
        <v>44447</v>
      </c>
      <c r="AKZ6" s="182">
        <v>44448</v>
      </c>
      <c r="ALA6" s="182">
        <v>44449</v>
      </c>
      <c r="ALB6" s="184">
        <v>44450</v>
      </c>
      <c r="ALC6" s="183">
        <v>44451</v>
      </c>
      <c r="ALD6" s="182">
        <v>44452</v>
      </c>
      <c r="ALE6" s="182">
        <v>44453</v>
      </c>
      <c r="ALF6" s="182">
        <v>44454</v>
      </c>
      <c r="ALG6" s="182">
        <v>44455</v>
      </c>
      <c r="ALH6" s="182">
        <v>44456</v>
      </c>
      <c r="ALI6" s="184">
        <v>44457</v>
      </c>
      <c r="ALJ6" s="183">
        <v>44458</v>
      </c>
      <c r="ALK6" s="182">
        <v>44459</v>
      </c>
      <c r="ALL6" s="182">
        <v>44460</v>
      </c>
      <c r="ALM6" s="182">
        <v>44461</v>
      </c>
      <c r="ALN6" s="182">
        <v>44462</v>
      </c>
      <c r="ALO6" s="182">
        <v>44463</v>
      </c>
      <c r="ALP6" s="184">
        <v>44464</v>
      </c>
      <c r="ALQ6" s="183">
        <v>44465</v>
      </c>
      <c r="ALR6" s="182">
        <v>44466</v>
      </c>
      <c r="ALS6" s="182">
        <v>44467</v>
      </c>
      <c r="ALT6" s="182">
        <v>44468</v>
      </c>
      <c r="ALU6" s="182">
        <v>44469</v>
      </c>
      <c r="ALV6" s="182">
        <v>44470</v>
      </c>
      <c r="ALW6" s="184">
        <v>44471</v>
      </c>
      <c r="ALX6" s="183">
        <v>44472</v>
      </c>
      <c r="ALY6" s="182">
        <v>44473</v>
      </c>
      <c r="ALZ6" s="182">
        <v>44474</v>
      </c>
      <c r="AMA6" s="182">
        <v>44475</v>
      </c>
      <c r="AMB6" s="182">
        <v>44476</v>
      </c>
      <c r="AMC6" s="182">
        <v>44477</v>
      </c>
      <c r="AMD6" s="184">
        <v>44478</v>
      </c>
      <c r="AME6" s="183">
        <v>44479</v>
      </c>
      <c r="AMF6" s="182">
        <v>44480</v>
      </c>
      <c r="AMG6" s="182">
        <v>44481</v>
      </c>
      <c r="AMH6" s="182">
        <v>44482</v>
      </c>
      <c r="AMI6" s="182">
        <v>44483</v>
      </c>
      <c r="AMJ6" s="182">
        <v>44484</v>
      </c>
      <c r="AMK6" s="184">
        <v>44485</v>
      </c>
      <c r="AML6" s="183">
        <v>44486</v>
      </c>
      <c r="AMM6" s="182">
        <v>44487</v>
      </c>
      <c r="AMN6" s="182">
        <v>44488</v>
      </c>
      <c r="AMO6" s="182">
        <v>44489</v>
      </c>
      <c r="AMP6" s="182">
        <v>44490</v>
      </c>
      <c r="AMQ6" s="182">
        <v>44491</v>
      </c>
      <c r="AMR6" s="184">
        <v>44492</v>
      </c>
      <c r="AMS6" s="183">
        <v>44493</v>
      </c>
      <c r="AMT6" s="182">
        <v>44494</v>
      </c>
      <c r="AMU6" s="182">
        <v>44495</v>
      </c>
      <c r="AMV6" s="182">
        <v>44496</v>
      </c>
      <c r="AMW6" s="182">
        <v>44497</v>
      </c>
      <c r="AMX6" s="182">
        <v>44498</v>
      </c>
      <c r="AMY6" s="184">
        <v>44499</v>
      </c>
      <c r="AMZ6" s="183">
        <v>44500</v>
      </c>
      <c r="ANA6" s="182">
        <v>44501</v>
      </c>
      <c r="ANB6" s="182">
        <v>44502</v>
      </c>
      <c r="ANC6" s="182">
        <v>44503</v>
      </c>
      <c r="AND6" s="182">
        <v>44504</v>
      </c>
      <c r="ANE6" s="182">
        <v>44505</v>
      </c>
      <c r="ANF6" s="184">
        <v>44506</v>
      </c>
      <c r="ANG6" s="183">
        <v>44507</v>
      </c>
      <c r="ANH6" s="182">
        <v>44508</v>
      </c>
      <c r="ANI6" s="182">
        <v>44509</v>
      </c>
      <c r="ANJ6" s="182">
        <v>44510</v>
      </c>
      <c r="ANK6" s="182">
        <v>44511</v>
      </c>
      <c r="ANL6" s="182">
        <v>44512</v>
      </c>
      <c r="ANM6" s="184">
        <v>44513</v>
      </c>
      <c r="ANN6" s="183">
        <v>44514</v>
      </c>
      <c r="ANO6" s="182">
        <v>44515</v>
      </c>
      <c r="ANP6" s="182">
        <v>44516</v>
      </c>
      <c r="ANQ6" s="182">
        <v>44517</v>
      </c>
      <c r="ANR6" s="182">
        <v>44518</v>
      </c>
      <c r="ANS6" s="182">
        <v>44519</v>
      </c>
      <c r="ANT6" s="184">
        <v>44520</v>
      </c>
      <c r="ANU6" s="183">
        <v>44521</v>
      </c>
      <c r="ANV6" s="182">
        <v>44522</v>
      </c>
      <c r="ANW6" s="182">
        <v>44523</v>
      </c>
      <c r="ANX6" s="182">
        <v>44524</v>
      </c>
      <c r="ANY6" s="182">
        <v>44525</v>
      </c>
      <c r="ANZ6" s="182">
        <v>44526</v>
      </c>
      <c r="AOA6" s="184">
        <v>44527</v>
      </c>
      <c r="AOB6" s="183">
        <v>44528</v>
      </c>
      <c r="AOC6" s="182">
        <v>44529</v>
      </c>
      <c r="AOD6" s="182">
        <v>44530</v>
      </c>
      <c r="AOE6" s="182">
        <v>44531</v>
      </c>
      <c r="AOF6" s="182">
        <v>44532</v>
      </c>
      <c r="AOG6" s="182">
        <v>44533</v>
      </c>
      <c r="AOH6" s="184">
        <v>44534</v>
      </c>
      <c r="AOI6" s="183">
        <v>44535</v>
      </c>
      <c r="AOJ6" s="182">
        <v>44536</v>
      </c>
      <c r="AOK6" s="182">
        <v>44537</v>
      </c>
      <c r="AOL6" s="182">
        <v>44538</v>
      </c>
      <c r="AOM6" s="182">
        <v>44539</v>
      </c>
      <c r="AON6" s="182">
        <v>44540</v>
      </c>
      <c r="AOO6" s="184">
        <v>44541</v>
      </c>
      <c r="AOP6" s="183">
        <v>44542</v>
      </c>
      <c r="AOQ6" s="182">
        <v>44543</v>
      </c>
      <c r="AOR6" s="182">
        <v>44544</v>
      </c>
      <c r="AOS6" s="182">
        <v>44545</v>
      </c>
      <c r="AOT6" s="182">
        <v>44546</v>
      </c>
      <c r="AOU6" s="182">
        <v>44547</v>
      </c>
      <c r="AOV6" s="184">
        <v>44548</v>
      </c>
      <c r="AOW6" s="183">
        <v>44549</v>
      </c>
      <c r="AOX6" s="182">
        <v>44550</v>
      </c>
      <c r="AOY6" s="182">
        <v>44551</v>
      </c>
      <c r="AOZ6" s="182">
        <v>44552</v>
      </c>
      <c r="APA6" s="182">
        <v>44553</v>
      </c>
      <c r="APB6" s="182">
        <v>44554</v>
      </c>
      <c r="APC6" s="184">
        <v>44555</v>
      </c>
      <c r="APD6" s="183">
        <v>44556</v>
      </c>
      <c r="APE6" s="182">
        <v>44557</v>
      </c>
      <c r="APF6" s="182">
        <v>44558</v>
      </c>
      <c r="APG6" s="182">
        <v>44559</v>
      </c>
      <c r="APH6" s="182">
        <v>44560</v>
      </c>
      <c r="API6" s="182">
        <v>44561</v>
      </c>
      <c r="APJ6" s="184">
        <v>44562</v>
      </c>
      <c r="APK6" s="183">
        <v>44563</v>
      </c>
      <c r="APL6" s="182">
        <v>44564</v>
      </c>
      <c r="APM6" s="182">
        <v>44565</v>
      </c>
      <c r="APN6" s="182">
        <v>44566</v>
      </c>
      <c r="APO6" s="182">
        <v>44567</v>
      </c>
      <c r="APP6" s="182">
        <v>44568</v>
      </c>
      <c r="APQ6" s="184">
        <v>44569</v>
      </c>
      <c r="APR6" s="183">
        <v>44570</v>
      </c>
      <c r="APS6" s="182">
        <v>44571</v>
      </c>
      <c r="APT6" s="182">
        <v>44572</v>
      </c>
      <c r="APU6" s="182">
        <v>44573</v>
      </c>
      <c r="APV6" s="182">
        <v>44574</v>
      </c>
      <c r="APW6" s="182">
        <v>44575</v>
      </c>
      <c r="APX6" s="184">
        <v>44576</v>
      </c>
      <c r="APY6" s="183">
        <v>44577</v>
      </c>
      <c r="APZ6" s="182">
        <v>44578</v>
      </c>
      <c r="AQA6" s="182">
        <v>44579</v>
      </c>
      <c r="AQB6" s="182">
        <v>44580</v>
      </c>
      <c r="AQC6" s="182">
        <v>44581</v>
      </c>
      <c r="AQD6" s="182">
        <v>44582</v>
      </c>
      <c r="AQE6" s="184">
        <v>44583</v>
      </c>
      <c r="AQF6" s="183">
        <v>44584</v>
      </c>
      <c r="AQG6" s="182">
        <v>44585</v>
      </c>
      <c r="AQH6" s="182">
        <v>44586</v>
      </c>
      <c r="AQI6" s="182">
        <v>44587</v>
      </c>
      <c r="AQJ6" s="182">
        <v>44588</v>
      </c>
      <c r="AQK6" s="182">
        <v>44589</v>
      </c>
      <c r="AQL6" s="184">
        <v>44590</v>
      </c>
      <c r="AQM6" s="183">
        <v>44591</v>
      </c>
      <c r="AQN6" s="182">
        <v>44592</v>
      </c>
      <c r="AQO6" s="182">
        <v>44593</v>
      </c>
      <c r="AQP6" s="182">
        <v>44594</v>
      </c>
      <c r="AQQ6" s="182">
        <v>44595</v>
      </c>
      <c r="AQR6" s="182">
        <v>44596</v>
      </c>
      <c r="AQS6" s="184">
        <v>44597</v>
      </c>
      <c r="AQT6" s="183">
        <v>44598</v>
      </c>
      <c r="AQU6" s="182">
        <v>44599</v>
      </c>
      <c r="AQV6" s="182">
        <v>44600</v>
      </c>
      <c r="AQW6" s="182">
        <v>44601</v>
      </c>
      <c r="AQX6" s="182">
        <v>44602</v>
      </c>
      <c r="AQY6" s="182">
        <v>44603</v>
      </c>
      <c r="AQZ6" s="184">
        <v>44604</v>
      </c>
      <c r="ARA6" s="183">
        <v>44605</v>
      </c>
      <c r="ARB6" s="182">
        <v>44606</v>
      </c>
      <c r="ARC6" s="182">
        <v>44607</v>
      </c>
      <c r="ARD6" s="182">
        <v>44608</v>
      </c>
      <c r="ARE6" s="182">
        <v>44609</v>
      </c>
      <c r="ARF6" s="182">
        <v>44610</v>
      </c>
      <c r="ARG6" s="184">
        <v>44611</v>
      </c>
      <c r="ARH6" s="183">
        <v>44612</v>
      </c>
      <c r="ARI6" s="182">
        <v>44613</v>
      </c>
      <c r="ARJ6" s="182">
        <v>44614</v>
      </c>
      <c r="ARK6" s="182">
        <v>44615</v>
      </c>
      <c r="ARL6" s="182">
        <v>44616</v>
      </c>
      <c r="ARM6" s="182">
        <v>44617</v>
      </c>
      <c r="ARN6" s="184">
        <v>44618</v>
      </c>
      <c r="ARO6" s="183">
        <v>44619</v>
      </c>
      <c r="ARP6" s="182">
        <v>44620</v>
      </c>
      <c r="ARQ6" s="182">
        <v>44621</v>
      </c>
      <c r="ARR6" s="182">
        <v>44622</v>
      </c>
      <c r="ARS6" s="182">
        <v>44623</v>
      </c>
      <c r="ART6" s="182">
        <v>44624</v>
      </c>
      <c r="ARU6" s="184">
        <v>44625</v>
      </c>
      <c r="ARV6" s="183">
        <v>44626</v>
      </c>
      <c r="ARW6" s="182">
        <v>44627</v>
      </c>
      <c r="ARX6" s="182">
        <v>44628</v>
      </c>
      <c r="ARY6" s="182">
        <v>44629</v>
      </c>
      <c r="ARZ6" s="182">
        <v>44630</v>
      </c>
      <c r="ASA6" s="182">
        <v>44631</v>
      </c>
      <c r="ASB6" s="184">
        <v>44632</v>
      </c>
      <c r="ASC6" s="183">
        <v>44633</v>
      </c>
      <c r="ASD6" s="182">
        <v>44634</v>
      </c>
      <c r="ASE6" s="182">
        <v>44635</v>
      </c>
      <c r="ASF6" s="182">
        <v>44636</v>
      </c>
      <c r="ASG6" s="182">
        <v>44637</v>
      </c>
      <c r="ASH6" s="182">
        <v>44638</v>
      </c>
      <c r="ASI6" s="184">
        <v>44639</v>
      </c>
      <c r="ASJ6" s="183">
        <v>44640</v>
      </c>
      <c r="ASK6" s="182">
        <v>44641</v>
      </c>
      <c r="ASL6" s="182">
        <v>44642</v>
      </c>
      <c r="ASM6" s="182">
        <v>44643</v>
      </c>
      <c r="ASN6" s="182">
        <v>44644</v>
      </c>
      <c r="ASO6" s="182">
        <v>44645</v>
      </c>
      <c r="ASP6" s="184">
        <v>44646</v>
      </c>
      <c r="ASQ6" s="183">
        <v>44647</v>
      </c>
      <c r="ASR6" s="182">
        <v>44648</v>
      </c>
      <c r="ASS6" s="182">
        <v>44649</v>
      </c>
      <c r="AST6" s="182">
        <v>44650</v>
      </c>
      <c r="ASU6" s="182">
        <v>44651</v>
      </c>
      <c r="ASV6" s="182">
        <v>44652</v>
      </c>
      <c r="ASW6" s="184">
        <v>44653</v>
      </c>
      <c r="ASX6" s="183">
        <v>44654</v>
      </c>
      <c r="ASY6" s="182">
        <v>44655</v>
      </c>
      <c r="ASZ6" s="182">
        <v>44656</v>
      </c>
      <c r="ATA6" s="182">
        <v>44657</v>
      </c>
      <c r="ATB6" s="182">
        <v>44658</v>
      </c>
      <c r="ATC6" s="182">
        <v>44659</v>
      </c>
      <c r="ATD6" s="184">
        <v>44660</v>
      </c>
      <c r="ATE6" s="183">
        <v>44661</v>
      </c>
      <c r="ATF6" s="182">
        <v>44662</v>
      </c>
      <c r="ATG6" s="182">
        <v>44663</v>
      </c>
      <c r="ATH6" s="182">
        <v>44664</v>
      </c>
      <c r="ATI6" s="182">
        <v>44665</v>
      </c>
      <c r="ATJ6" s="182">
        <v>44666</v>
      </c>
      <c r="ATK6" s="184">
        <v>44667</v>
      </c>
      <c r="ATL6" s="183">
        <v>44668</v>
      </c>
      <c r="ATM6" s="182">
        <v>44669</v>
      </c>
      <c r="ATN6" s="182">
        <v>44670</v>
      </c>
      <c r="ATO6" s="182">
        <v>44671</v>
      </c>
      <c r="ATP6" s="182">
        <v>44672</v>
      </c>
      <c r="ATQ6" s="182">
        <v>44673</v>
      </c>
      <c r="ATR6" s="184">
        <v>44674</v>
      </c>
      <c r="ATS6" s="183">
        <v>44675</v>
      </c>
      <c r="ATT6" s="182">
        <v>44676</v>
      </c>
      <c r="ATU6" s="182">
        <v>44677</v>
      </c>
      <c r="ATV6" s="182">
        <v>44678</v>
      </c>
      <c r="ATW6" s="182">
        <v>44679</v>
      </c>
      <c r="ATX6" s="182">
        <v>44680</v>
      </c>
      <c r="ATY6" s="184">
        <v>44681</v>
      </c>
      <c r="ATZ6" s="183">
        <v>44682</v>
      </c>
      <c r="AUA6" s="182">
        <v>44683</v>
      </c>
      <c r="AUB6" s="182">
        <v>44684</v>
      </c>
      <c r="AUC6" s="182">
        <v>44685</v>
      </c>
      <c r="AUD6" s="182">
        <v>44686</v>
      </c>
      <c r="AUE6" s="182">
        <v>44687</v>
      </c>
      <c r="AUF6" s="184">
        <v>44688</v>
      </c>
      <c r="AUG6" s="183">
        <v>44689</v>
      </c>
      <c r="AUH6" s="182">
        <v>44690</v>
      </c>
      <c r="AUI6" s="182">
        <v>44691</v>
      </c>
      <c r="AUJ6" s="182">
        <v>44692</v>
      </c>
      <c r="AUK6" s="182">
        <v>44693</v>
      </c>
      <c r="AUL6" s="182">
        <v>44694</v>
      </c>
      <c r="AUM6" s="184">
        <v>44695</v>
      </c>
      <c r="AUN6" s="183">
        <v>44696</v>
      </c>
      <c r="AUO6" s="182">
        <v>44697</v>
      </c>
      <c r="AUP6" s="182">
        <v>44698</v>
      </c>
      <c r="AUQ6" s="182">
        <v>44699</v>
      </c>
      <c r="AUR6" s="182">
        <v>44700</v>
      </c>
      <c r="AUS6" s="182">
        <v>44701</v>
      </c>
      <c r="AUT6" s="184">
        <v>44702</v>
      </c>
      <c r="AUU6" s="183">
        <v>44703</v>
      </c>
      <c r="AUV6" s="182">
        <v>44704</v>
      </c>
      <c r="AUW6" s="182">
        <v>44705</v>
      </c>
      <c r="AUX6" s="182">
        <v>44706</v>
      </c>
      <c r="AUY6" s="182">
        <v>44707</v>
      </c>
      <c r="AUZ6" s="182">
        <v>44708</v>
      </c>
      <c r="AVA6" s="184">
        <v>44709</v>
      </c>
      <c r="AVB6" s="183">
        <v>44710</v>
      </c>
      <c r="AVC6" s="182">
        <v>44711</v>
      </c>
      <c r="AVD6" s="182">
        <v>44712</v>
      </c>
      <c r="AVE6" s="182">
        <v>44713</v>
      </c>
      <c r="AVF6" s="182">
        <v>44714</v>
      </c>
      <c r="AVG6" s="182">
        <v>44715</v>
      </c>
      <c r="AVH6" s="184">
        <v>44716</v>
      </c>
      <c r="AVI6" s="183">
        <v>44717</v>
      </c>
      <c r="AVJ6" s="182">
        <v>44718</v>
      </c>
      <c r="AVK6" s="182">
        <v>44719</v>
      </c>
      <c r="AVL6" s="182">
        <v>44720</v>
      </c>
      <c r="AVM6" s="182">
        <v>44721</v>
      </c>
      <c r="AVN6" s="182">
        <v>44722</v>
      </c>
      <c r="AVO6" s="184">
        <v>44723</v>
      </c>
      <c r="AVP6" s="183">
        <v>44724</v>
      </c>
      <c r="AVQ6" s="182">
        <v>44725</v>
      </c>
      <c r="AVR6" s="182">
        <v>44726</v>
      </c>
      <c r="AVS6" s="182">
        <v>44727</v>
      </c>
      <c r="AVT6" s="182">
        <v>44728</v>
      </c>
      <c r="AVU6" s="182">
        <v>44729</v>
      </c>
      <c r="AVV6" s="184">
        <v>44730</v>
      </c>
      <c r="AVW6" s="183">
        <v>44731</v>
      </c>
      <c r="AVX6" s="182">
        <v>44732</v>
      </c>
      <c r="AVY6" s="182">
        <v>44733</v>
      </c>
      <c r="AVZ6" s="182">
        <v>44734</v>
      </c>
      <c r="AWA6" s="182">
        <v>44735</v>
      </c>
      <c r="AWB6" s="182">
        <v>44736</v>
      </c>
      <c r="AWC6" s="184">
        <v>44737</v>
      </c>
      <c r="AWD6" s="183">
        <v>44738</v>
      </c>
      <c r="AWE6" s="182">
        <v>44739</v>
      </c>
      <c r="AWF6" s="182">
        <v>44740</v>
      </c>
      <c r="AWG6" s="182">
        <v>44741</v>
      </c>
      <c r="AWH6" s="182">
        <v>44742</v>
      </c>
      <c r="AWI6" s="182">
        <v>44743</v>
      </c>
      <c r="AWJ6" s="184">
        <v>44744</v>
      </c>
      <c r="AWK6" s="183">
        <v>44745</v>
      </c>
      <c r="AWL6" s="182">
        <v>44746</v>
      </c>
      <c r="AWM6" s="182">
        <v>44747</v>
      </c>
      <c r="AWN6" s="182">
        <v>44748</v>
      </c>
      <c r="AWO6" s="182">
        <v>44749</v>
      </c>
      <c r="AWP6" s="182">
        <v>44750</v>
      </c>
      <c r="AWQ6" s="184">
        <v>44751</v>
      </c>
      <c r="AWR6" s="183">
        <v>44752</v>
      </c>
      <c r="AWS6" s="182">
        <v>44753</v>
      </c>
      <c r="AWT6" s="182">
        <v>44754</v>
      </c>
      <c r="AWU6" s="182">
        <v>44755</v>
      </c>
      <c r="AWV6" s="182">
        <v>44756</v>
      </c>
      <c r="AWW6" s="182">
        <v>44757</v>
      </c>
      <c r="AWX6" s="184">
        <v>44758</v>
      </c>
      <c r="AWY6" s="183">
        <v>44759</v>
      </c>
      <c r="AWZ6" s="182">
        <v>44760</v>
      </c>
      <c r="AXA6" s="182">
        <v>44761</v>
      </c>
      <c r="AXB6" s="182">
        <v>44762</v>
      </c>
      <c r="AXC6" s="182">
        <v>44763</v>
      </c>
      <c r="AXD6" s="182">
        <v>44764</v>
      </c>
      <c r="AXE6" s="184">
        <v>44765</v>
      </c>
      <c r="AXF6" s="183">
        <v>44766</v>
      </c>
      <c r="AXG6" s="182">
        <v>44767</v>
      </c>
      <c r="AXH6" s="182">
        <v>44768</v>
      </c>
      <c r="AXI6" s="182">
        <v>44769</v>
      </c>
      <c r="AXJ6" s="182">
        <v>44770</v>
      </c>
      <c r="AXK6" s="182">
        <v>44771</v>
      </c>
      <c r="AXL6" s="184">
        <v>44772</v>
      </c>
      <c r="AXM6" s="183">
        <v>44773</v>
      </c>
      <c r="AXN6" s="182">
        <v>44774</v>
      </c>
      <c r="AXO6" s="182">
        <v>44775</v>
      </c>
      <c r="AXP6" s="182">
        <v>44776</v>
      </c>
      <c r="AXQ6" s="182">
        <v>44777</v>
      </c>
      <c r="AXR6" s="182">
        <v>44778</v>
      </c>
      <c r="AXS6" s="184">
        <v>44779</v>
      </c>
      <c r="AXT6" s="183">
        <v>44780</v>
      </c>
      <c r="AXU6" s="182">
        <v>44781</v>
      </c>
      <c r="AXV6" s="182">
        <v>44782</v>
      </c>
      <c r="AXW6" s="182">
        <v>44783</v>
      </c>
      <c r="AXX6" s="182">
        <v>44784</v>
      </c>
      <c r="AXY6" s="182">
        <v>44785</v>
      </c>
      <c r="AXZ6" s="184">
        <v>44786</v>
      </c>
      <c r="AYA6" s="183">
        <v>44787</v>
      </c>
      <c r="AYB6" s="182">
        <v>44788</v>
      </c>
      <c r="AYC6" s="182">
        <v>44789</v>
      </c>
      <c r="AYD6" s="182">
        <v>44790</v>
      </c>
      <c r="AYE6" s="182">
        <v>44791</v>
      </c>
      <c r="AYF6" s="182">
        <v>44792</v>
      </c>
      <c r="AYG6" s="184">
        <v>44793</v>
      </c>
      <c r="AYH6" s="183">
        <v>44794</v>
      </c>
      <c r="AYI6" s="182">
        <v>44795</v>
      </c>
      <c r="AYJ6" s="182">
        <v>44796</v>
      </c>
      <c r="AYK6" s="182">
        <v>44797</v>
      </c>
      <c r="AYL6" s="182">
        <v>44798</v>
      </c>
      <c r="AYM6" s="182">
        <v>44799</v>
      </c>
      <c r="AYN6" s="184">
        <v>44800</v>
      </c>
      <c r="AYO6" s="183">
        <v>44801</v>
      </c>
      <c r="AYP6" s="182">
        <v>44802</v>
      </c>
      <c r="AYQ6" s="182">
        <v>44803</v>
      </c>
      <c r="AYR6" s="182">
        <v>44804</v>
      </c>
      <c r="AYS6" s="182">
        <v>44805</v>
      </c>
      <c r="AYT6" s="182">
        <v>44806</v>
      </c>
      <c r="AYU6" s="184">
        <v>44807</v>
      </c>
      <c r="AYV6" s="183">
        <v>44808</v>
      </c>
      <c r="AYW6" s="182">
        <v>44809</v>
      </c>
      <c r="AYX6" s="182">
        <v>44810</v>
      </c>
      <c r="AYY6" s="182">
        <v>44811</v>
      </c>
      <c r="AYZ6" s="182">
        <v>44812</v>
      </c>
      <c r="AZA6" s="182">
        <v>44813</v>
      </c>
      <c r="AZB6" s="184">
        <v>44814</v>
      </c>
      <c r="AZC6" s="183">
        <v>44815</v>
      </c>
      <c r="AZD6" s="182">
        <v>44816</v>
      </c>
      <c r="AZE6" s="182">
        <v>44817</v>
      </c>
      <c r="AZF6" s="182">
        <v>44818</v>
      </c>
      <c r="AZG6" s="182">
        <v>44819</v>
      </c>
      <c r="AZH6" s="182">
        <v>44820</v>
      </c>
      <c r="AZI6" s="184">
        <v>44821</v>
      </c>
      <c r="AZJ6" s="183">
        <v>44822</v>
      </c>
      <c r="AZK6" s="182">
        <v>44823</v>
      </c>
      <c r="AZL6" s="182">
        <v>44824</v>
      </c>
      <c r="AZM6" s="182">
        <v>44825</v>
      </c>
      <c r="AZN6" s="182">
        <v>44826</v>
      </c>
      <c r="AZO6" s="182">
        <v>44827</v>
      </c>
      <c r="AZP6" s="184">
        <v>44828</v>
      </c>
      <c r="AZQ6" s="183">
        <v>44829</v>
      </c>
      <c r="AZR6" s="182">
        <v>44830</v>
      </c>
      <c r="AZS6" s="182">
        <v>44831</v>
      </c>
      <c r="AZT6" s="182">
        <v>44832</v>
      </c>
      <c r="AZU6" s="182">
        <v>44833</v>
      </c>
      <c r="AZV6" s="182">
        <v>44834</v>
      </c>
      <c r="AZW6" s="184">
        <v>44835</v>
      </c>
      <c r="AZX6" s="183">
        <v>44836</v>
      </c>
      <c r="AZY6" s="182">
        <v>44837</v>
      </c>
      <c r="AZZ6" s="182">
        <v>44838</v>
      </c>
      <c r="BAA6" s="182">
        <v>44839</v>
      </c>
      <c r="BAB6" s="182">
        <v>44840</v>
      </c>
      <c r="BAC6" s="182">
        <v>44841</v>
      </c>
      <c r="BAD6" s="184">
        <v>44842</v>
      </c>
      <c r="BAE6" s="183">
        <v>44843</v>
      </c>
      <c r="BAF6" s="182">
        <v>44844</v>
      </c>
      <c r="BAG6" s="182">
        <v>44845</v>
      </c>
      <c r="BAH6" s="182">
        <v>44846</v>
      </c>
      <c r="BAI6" s="182">
        <v>44847</v>
      </c>
      <c r="BAJ6" s="182">
        <v>44848</v>
      </c>
      <c r="BAK6" s="184">
        <v>44849</v>
      </c>
      <c r="BAL6" s="183">
        <v>44850</v>
      </c>
      <c r="BAM6" s="182">
        <v>44851</v>
      </c>
      <c r="BAN6" s="182">
        <v>44852</v>
      </c>
      <c r="BAO6" s="182">
        <v>44853</v>
      </c>
      <c r="BAP6" s="182">
        <v>44854</v>
      </c>
      <c r="BAQ6" s="182">
        <v>44855</v>
      </c>
      <c r="BAR6" s="184">
        <v>44856</v>
      </c>
      <c r="BAS6" s="183">
        <v>44857</v>
      </c>
      <c r="BAT6" s="182">
        <v>44858</v>
      </c>
      <c r="BAU6" s="182">
        <v>44859</v>
      </c>
      <c r="BAV6" s="182">
        <v>44860</v>
      </c>
      <c r="BAW6" s="182">
        <v>44861</v>
      </c>
      <c r="BAX6" s="182">
        <v>44862</v>
      </c>
      <c r="BAY6" s="184">
        <v>44863</v>
      </c>
      <c r="BAZ6" s="183">
        <v>44864</v>
      </c>
      <c r="BBA6" s="182">
        <v>44865</v>
      </c>
      <c r="BBB6" s="182">
        <v>44866</v>
      </c>
      <c r="BBC6" s="182">
        <v>44867</v>
      </c>
      <c r="BBD6" s="182">
        <v>44868</v>
      </c>
      <c r="BBE6" s="182">
        <v>44869</v>
      </c>
      <c r="BBF6" s="184">
        <v>44870</v>
      </c>
      <c r="BBG6" s="183">
        <v>44871</v>
      </c>
      <c r="BBH6" s="182">
        <v>44872</v>
      </c>
      <c r="BBI6" s="182">
        <v>44873</v>
      </c>
      <c r="BBJ6" s="182">
        <v>44874</v>
      </c>
      <c r="BBK6" s="182">
        <v>44875</v>
      </c>
      <c r="BBL6" s="182">
        <v>44876</v>
      </c>
      <c r="BBM6" s="184">
        <v>44877</v>
      </c>
      <c r="BBN6" s="183">
        <v>44878</v>
      </c>
      <c r="BBO6" s="182">
        <v>44879</v>
      </c>
      <c r="BBP6" s="182">
        <v>44880</v>
      </c>
      <c r="BBQ6" s="182">
        <v>44881</v>
      </c>
      <c r="BBR6" s="182">
        <v>44882</v>
      </c>
      <c r="BBS6" s="182">
        <v>44883</v>
      </c>
      <c r="BBT6" s="184">
        <v>44884</v>
      </c>
      <c r="BBU6" s="183">
        <v>44885</v>
      </c>
      <c r="BBV6" s="182">
        <v>44886</v>
      </c>
      <c r="BBW6" s="182">
        <v>44887</v>
      </c>
      <c r="BBX6" s="182">
        <v>44888</v>
      </c>
      <c r="BBY6" s="182">
        <v>44889</v>
      </c>
      <c r="BBZ6" s="182">
        <v>44890</v>
      </c>
      <c r="BCA6" s="184">
        <v>44891</v>
      </c>
      <c r="BCB6" s="183">
        <v>44892</v>
      </c>
      <c r="BCC6" s="182">
        <v>44893</v>
      </c>
      <c r="BCD6" s="182">
        <v>44894</v>
      </c>
      <c r="BCE6" s="182">
        <v>44895</v>
      </c>
      <c r="BCF6" s="182">
        <v>44896</v>
      </c>
      <c r="BCG6" s="182">
        <v>44897</v>
      </c>
      <c r="BCH6" s="184">
        <v>44898</v>
      </c>
      <c r="BCI6" s="183">
        <v>44899</v>
      </c>
      <c r="BCJ6" s="182">
        <v>44900</v>
      </c>
      <c r="BCK6" s="182">
        <v>44901</v>
      </c>
      <c r="BCL6" s="182">
        <v>44902</v>
      </c>
      <c r="BCM6" s="182">
        <v>44903</v>
      </c>
      <c r="BCN6" s="182">
        <v>44904</v>
      </c>
      <c r="BCO6" s="184">
        <v>44905</v>
      </c>
      <c r="BCP6" s="183">
        <v>44906</v>
      </c>
      <c r="BCQ6" s="182">
        <v>44907</v>
      </c>
      <c r="BCR6" s="182">
        <v>44908</v>
      </c>
      <c r="BCS6" s="182">
        <v>44909</v>
      </c>
      <c r="BCT6" s="182">
        <v>44910</v>
      </c>
      <c r="BCU6" s="182">
        <v>44911</v>
      </c>
      <c r="BCV6" s="184">
        <v>44912</v>
      </c>
      <c r="BCW6" s="183">
        <v>44913</v>
      </c>
      <c r="BCX6" s="182">
        <v>44914</v>
      </c>
      <c r="BCY6" s="182">
        <v>44915</v>
      </c>
      <c r="BCZ6" s="182">
        <v>44916</v>
      </c>
      <c r="BDA6" s="182">
        <v>44917</v>
      </c>
      <c r="BDB6" s="182">
        <v>44918</v>
      </c>
      <c r="BDC6" s="184">
        <v>44919</v>
      </c>
      <c r="BDD6" s="183">
        <v>44920</v>
      </c>
      <c r="BDE6" s="182">
        <v>44921</v>
      </c>
      <c r="BDF6" s="182">
        <v>44922</v>
      </c>
      <c r="BDG6" s="182">
        <v>44923</v>
      </c>
      <c r="BDH6" s="182">
        <v>44924</v>
      </c>
      <c r="BDI6" s="182">
        <v>44925</v>
      </c>
      <c r="BDJ6" s="184">
        <v>44926</v>
      </c>
      <c r="BDK6" s="183">
        <v>44927</v>
      </c>
      <c r="BDL6" s="182">
        <v>44928</v>
      </c>
      <c r="BDM6" s="182">
        <v>44929</v>
      </c>
      <c r="BDN6" s="182">
        <v>44930</v>
      </c>
      <c r="BDO6" s="182">
        <v>44931</v>
      </c>
      <c r="BDP6" s="182">
        <v>44932</v>
      </c>
      <c r="BDQ6" s="184">
        <v>44933</v>
      </c>
      <c r="BDR6" s="183">
        <v>44934</v>
      </c>
      <c r="BDS6" s="182">
        <v>44935</v>
      </c>
      <c r="BDT6" s="182">
        <v>44936</v>
      </c>
      <c r="BDU6" s="182">
        <v>44937</v>
      </c>
      <c r="BDV6" s="182">
        <v>44938</v>
      </c>
      <c r="BDW6" s="182">
        <v>44939</v>
      </c>
      <c r="BDX6" s="184">
        <v>44940</v>
      </c>
      <c r="BDY6" s="183">
        <v>44941</v>
      </c>
      <c r="BDZ6" s="182">
        <v>44942</v>
      </c>
      <c r="BEA6" s="182">
        <v>44943</v>
      </c>
      <c r="BEB6" s="182">
        <v>44944</v>
      </c>
      <c r="BEC6" s="182">
        <v>44945</v>
      </c>
      <c r="BED6" s="182">
        <v>44946</v>
      </c>
      <c r="BEE6" s="184">
        <v>44947</v>
      </c>
      <c r="BEF6" s="183">
        <v>44948</v>
      </c>
      <c r="BEG6" s="182">
        <v>44949</v>
      </c>
      <c r="BEH6" s="182">
        <v>44950</v>
      </c>
      <c r="BEI6" s="182">
        <v>44951</v>
      </c>
      <c r="BEJ6" s="182">
        <v>44952</v>
      </c>
      <c r="BEK6" s="182">
        <v>44953</v>
      </c>
      <c r="BEL6" s="184">
        <v>44954</v>
      </c>
      <c r="BEM6" s="183">
        <v>44955</v>
      </c>
      <c r="BEN6" s="182">
        <v>44956</v>
      </c>
      <c r="BEO6" s="182">
        <v>44957</v>
      </c>
      <c r="BEP6" s="182">
        <v>44958</v>
      </c>
      <c r="BEQ6" s="182">
        <v>44959</v>
      </c>
      <c r="BER6" s="182">
        <v>44960</v>
      </c>
      <c r="BES6" s="184">
        <v>44961</v>
      </c>
      <c r="BET6" s="183">
        <v>44962</v>
      </c>
      <c r="BEU6" s="182">
        <v>44963</v>
      </c>
      <c r="BEV6" s="182">
        <v>44964</v>
      </c>
      <c r="BEW6" s="182">
        <v>44965</v>
      </c>
      <c r="BEX6" s="182">
        <v>44966</v>
      </c>
      <c r="BEY6" s="182">
        <v>44967</v>
      </c>
      <c r="BEZ6" s="184">
        <v>44968</v>
      </c>
      <c r="BFA6" s="183">
        <v>44969</v>
      </c>
      <c r="BFB6" s="182">
        <v>44970</v>
      </c>
      <c r="BFC6" s="182">
        <v>44971</v>
      </c>
      <c r="BFD6" s="182">
        <v>44972</v>
      </c>
      <c r="BFE6" s="182">
        <v>44973</v>
      </c>
      <c r="BFF6" s="182">
        <v>44974</v>
      </c>
      <c r="BFG6" s="184">
        <v>44975</v>
      </c>
      <c r="BFH6" s="183">
        <v>44976</v>
      </c>
      <c r="BFI6" s="182">
        <v>44977</v>
      </c>
      <c r="BFJ6" s="182">
        <v>44978</v>
      </c>
      <c r="BFK6" s="182">
        <v>44979</v>
      </c>
      <c r="BFL6" s="182">
        <v>44980</v>
      </c>
      <c r="BFM6" s="182">
        <v>44981</v>
      </c>
      <c r="BFN6" s="184">
        <v>44982</v>
      </c>
      <c r="BFO6" s="183">
        <v>44983</v>
      </c>
      <c r="BFP6" s="182">
        <v>44984</v>
      </c>
      <c r="BFQ6" s="182">
        <v>44985</v>
      </c>
      <c r="BFR6" s="182">
        <v>44986</v>
      </c>
      <c r="BFS6" s="182">
        <v>44987</v>
      </c>
      <c r="BFT6" s="182">
        <v>44988</v>
      </c>
      <c r="BFU6" s="184">
        <v>44989</v>
      </c>
      <c r="BFV6" s="183">
        <v>44990</v>
      </c>
      <c r="BFW6" s="182">
        <v>44991</v>
      </c>
      <c r="BFX6" s="182">
        <v>44992</v>
      </c>
      <c r="BFY6" s="182">
        <v>44993</v>
      </c>
      <c r="BFZ6" s="182">
        <v>44994</v>
      </c>
      <c r="BGA6" s="182">
        <v>44995</v>
      </c>
      <c r="BGB6" s="184">
        <v>44996</v>
      </c>
      <c r="BGC6" s="183">
        <v>44997</v>
      </c>
      <c r="BGD6" s="182">
        <v>44998</v>
      </c>
      <c r="BGE6" s="182">
        <v>44999</v>
      </c>
      <c r="BGF6" s="182">
        <v>45000</v>
      </c>
      <c r="BGG6" s="182">
        <v>45001</v>
      </c>
      <c r="BGH6" s="182">
        <v>45002</v>
      </c>
      <c r="BGI6" s="184">
        <v>45003</v>
      </c>
      <c r="BGJ6" s="183">
        <v>45004</v>
      </c>
      <c r="BGK6" s="182">
        <v>45005</v>
      </c>
      <c r="BGL6" s="182">
        <v>45006</v>
      </c>
      <c r="BGM6" s="182">
        <v>45007</v>
      </c>
      <c r="BGN6" s="182">
        <v>45008</v>
      </c>
      <c r="BGO6" s="182">
        <v>45009</v>
      </c>
      <c r="BGP6" s="184">
        <v>45010</v>
      </c>
      <c r="BGQ6" s="183">
        <v>45011</v>
      </c>
      <c r="BGR6" s="182">
        <v>45012</v>
      </c>
      <c r="BGS6" s="182">
        <v>45013</v>
      </c>
      <c r="BGT6" s="182">
        <v>45014</v>
      </c>
      <c r="BGU6" s="182">
        <v>45015</v>
      </c>
      <c r="BGV6" s="182">
        <v>45016</v>
      </c>
      <c r="BGW6" s="184">
        <v>45017</v>
      </c>
      <c r="BGX6" s="183">
        <v>45018</v>
      </c>
      <c r="BGY6" s="182">
        <v>45019</v>
      </c>
      <c r="BGZ6" s="182">
        <v>45020</v>
      </c>
      <c r="BHA6" s="182">
        <v>45021</v>
      </c>
      <c r="BHB6" s="182">
        <v>45022</v>
      </c>
      <c r="BHC6" s="182">
        <v>45023</v>
      </c>
      <c r="BHD6" s="184">
        <v>45024</v>
      </c>
      <c r="BHE6" s="183">
        <v>45025</v>
      </c>
      <c r="BHF6" s="182">
        <v>45026</v>
      </c>
      <c r="BHG6" s="182">
        <v>45027</v>
      </c>
      <c r="BHH6" s="182">
        <v>45028</v>
      </c>
      <c r="BHI6" s="182">
        <v>45029</v>
      </c>
      <c r="BHJ6" s="182">
        <v>45030</v>
      </c>
      <c r="BHK6" s="184">
        <v>45031</v>
      </c>
      <c r="BHL6" s="183">
        <v>45032</v>
      </c>
      <c r="BHM6" s="182">
        <v>45033</v>
      </c>
      <c r="BHN6" s="182">
        <v>45034</v>
      </c>
      <c r="BHO6" s="182">
        <v>45035</v>
      </c>
      <c r="BHP6" s="182">
        <v>45036</v>
      </c>
      <c r="BHQ6" s="182">
        <v>45037</v>
      </c>
      <c r="BHR6" s="184">
        <v>45038</v>
      </c>
      <c r="BHS6" s="183">
        <v>45039</v>
      </c>
      <c r="BHT6" s="182">
        <v>45040</v>
      </c>
      <c r="BHU6" s="182">
        <v>45041</v>
      </c>
      <c r="BHV6" s="182">
        <v>45042</v>
      </c>
      <c r="BHW6" s="182">
        <v>45043</v>
      </c>
      <c r="BHX6" s="182">
        <v>45044</v>
      </c>
      <c r="BHY6" s="184">
        <v>45045</v>
      </c>
      <c r="BHZ6" s="183">
        <v>45046</v>
      </c>
      <c r="BIA6" s="182">
        <v>45047</v>
      </c>
      <c r="BIB6" s="182">
        <v>45048</v>
      </c>
      <c r="BIC6" s="182">
        <v>45049</v>
      </c>
      <c r="BID6" s="182">
        <v>45050</v>
      </c>
      <c r="BIE6" s="182">
        <v>45051</v>
      </c>
      <c r="BIF6" s="184">
        <v>45052</v>
      </c>
      <c r="BIG6" s="183">
        <v>45053</v>
      </c>
      <c r="BIH6" s="182">
        <v>45054</v>
      </c>
      <c r="BII6" s="182">
        <v>45055</v>
      </c>
      <c r="BIJ6" s="182">
        <v>45056</v>
      </c>
      <c r="BIK6" s="182">
        <v>45057</v>
      </c>
      <c r="BIL6" s="182">
        <v>45058</v>
      </c>
      <c r="BIM6" s="184">
        <v>45059</v>
      </c>
      <c r="BIN6" s="183">
        <v>45060</v>
      </c>
      <c r="BIO6" s="182">
        <v>45061</v>
      </c>
      <c r="BIP6" s="182">
        <v>45062</v>
      </c>
      <c r="BIQ6" s="182">
        <v>45063</v>
      </c>
      <c r="BIR6" s="182">
        <v>45064</v>
      </c>
      <c r="BIS6" s="182">
        <v>45065</v>
      </c>
      <c r="BIT6" s="184">
        <v>45066</v>
      </c>
      <c r="BIU6" s="183">
        <v>45067</v>
      </c>
      <c r="BIV6" s="182">
        <v>45068</v>
      </c>
      <c r="BIW6" s="182">
        <v>45069</v>
      </c>
      <c r="BIX6" s="182">
        <v>45070</v>
      </c>
      <c r="BIY6" s="182">
        <v>45071</v>
      </c>
      <c r="BIZ6" s="182">
        <v>45072</v>
      </c>
      <c r="BJA6" s="184">
        <v>45073</v>
      </c>
      <c r="BJB6" s="183">
        <v>45074</v>
      </c>
      <c r="BJC6" s="182">
        <v>45075</v>
      </c>
      <c r="BJD6" s="182">
        <v>45076</v>
      </c>
      <c r="BJE6" s="182">
        <v>45077</v>
      </c>
      <c r="BJF6" s="182">
        <v>45078</v>
      </c>
      <c r="BJG6" s="182">
        <v>45079</v>
      </c>
      <c r="BJH6" s="184">
        <v>45080</v>
      </c>
      <c r="BJI6" s="183">
        <v>45081</v>
      </c>
      <c r="BJJ6" s="182">
        <v>45082</v>
      </c>
      <c r="BJK6" s="182">
        <v>45083</v>
      </c>
      <c r="BJL6" s="182">
        <v>45084</v>
      </c>
      <c r="BJM6" s="182">
        <v>45085</v>
      </c>
      <c r="BJN6" s="182">
        <v>45086</v>
      </c>
      <c r="BJO6" s="184">
        <v>45087</v>
      </c>
      <c r="BJP6" s="183">
        <v>45088</v>
      </c>
      <c r="BJQ6" s="182">
        <v>45089</v>
      </c>
      <c r="BJR6" s="182">
        <v>45090</v>
      </c>
      <c r="BJS6" s="182">
        <v>45091</v>
      </c>
      <c r="BJT6" s="182">
        <v>45092</v>
      </c>
      <c r="BJU6" s="182">
        <v>45093</v>
      </c>
      <c r="BJV6" s="184">
        <v>45094</v>
      </c>
      <c r="BJW6" s="183">
        <v>45095</v>
      </c>
      <c r="BJX6" s="182">
        <v>45096</v>
      </c>
      <c r="BJY6" s="182">
        <v>45097</v>
      </c>
      <c r="BJZ6" s="182">
        <v>45098</v>
      </c>
      <c r="BKA6" s="182">
        <v>45099</v>
      </c>
      <c r="BKB6" s="182">
        <v>45100</v>
      </c>
      <c r="BKC6" s="184">
        <v>45101</v>
      </c>
      <c r="BKD6" s="183">
        <v>45102</v>
      </c>
      <c r="BKE6" s="182">
        <v>45103</v>
      </c>
      <c r="BKF6" s="182">
        <v>45104</v>
      </c>
      <c r="BKG6" s="182">
        <v>45105</v>
      </c>
      <c r="BKH6" s="182">
        <v>45106</v>
      </c>
      <c r="BKI6" s="182">
        <v>45107</v>
      </c>
      <c r="BKJ6" s="184">
        <v>45108</v>
      </c>
      <c r="BKK6" s="183">
        <v>45109</v>
      </c>
      <c r="BKL6" s="182">
        <v>45110</v>
      </c>
      <c r="BKM6" s="182">
        <v>45111</v>
      </c>
      <c r="BKN6" s="182">
        <v>45112</v>
      </c>
      <c r="BKO6" s="182">
        <v>45113</v>
      </c>
      <c r="BKP6" s="182">
        <v>45114</v>
      </c>
      <c r="BKQ6" s="184">
        <v>45115</v>
      </c>
      <c r="BKR6" s="183">
        <v>45116</v>
      </c>
      <c r="BKS6" s="182">
        <v>45117</v>
      </c>
      <c r="BKT6" s="182">
        <v>45118</v>
      </c>
      <c r="BKU6" s="182">
        <v>45119</v>
      </c>
      <c r="BKV6" s="182">
        <v>45120</v>
      </c>
      <c r="BKW6" s="182">
        <v>45121</v>
      </c>
      <c r="BKX6" s="184">
        <v>45122</v>
      </c>
      <c r="BKY6" s="183">
        <v>45123</v>
      </c>
      <c r="BKZ6" s="182">
        <v>45124</v>
      </c>
      <c r="BLA6" s="182">
        <v>45125</v>
      </c>
      <c r="BLB6" s="182">
        <v>45126</v>
      </c>
      <c r="BLC6" s="182">
        <v>45127</v>
      </c>
      <c r="BLD6" s="182">
        <v>45128</v>
      </c>
      <c r="BLE6" s="184">
        <v>45129</v>
      </c>
      <c r="BLF6" s="183">
        <v>45130</v>
      </c>
      <c r="BLG6" s="182">
        <v>45131</v>
      </c>
      <c r="BLH6" s="182">
        <v>45132</v>
      </c>
      <c r="BLI6" s="182">
        <v>45133</v>
      </c>
      <c r="BLJ6" s="182">
        <v>45134</v>
      </c>
      <c r="BLK6" s="182">
        <v>45135</v>
      </c>
      <c r="BLL6" s="184">
        <v>45136</v>
      </c>
      <c r="BLM6" s="183">
        <v>45137</v>
      </c>
      <c r="BLN6" s="182">
        <v>45138</v>
      </c>
      <c r="BLO6" s="182">
        <v>45139</v>
      </c>
      <c r="BLP6" s="182">
        <v>45140</v>
      </c>
      <c r="BLQ6" s="182">
        <v>45141</v>
      </c>
      <c r="BLR6" s="182">
        <v>45142</v>
      </c>
      <c r="BLS6" s="184">
        <v>45143</v>
      </c>
      <c r="BLT6" s="183">
        <v>45144</v>
      </c>
      <c r="BLU6" s="182">
        <v>45145</v>
      </c>
      <c r="BLV6" s="182">
        <v>45146</v>
      </c>
      <c r="BLW6" s="182">
        <v>45147</v>
      </c>
      <c r="BLX6" s="182">
        <v>45148</v>
      </c>
      <c r="BLY6" s="182">
        <v>45149</v>
      </c>
      <c r="BLZ6" s="184">
        <v>45150</v>
      </c>
      <c r="BMA6" s="183">
        <v>45151</v>
      </c>
      <c r="BMB6" s="182">
        <v>45152</v>
      </c>
      <c r="BMC6" s="182">
        <v>45153</v>
      </c>
      <c r="BMD6" s="182">
        <v>45154</v>
      </c>
      <c r="BME6" s="182">
        <v>45155</v>
      </c>
      <c r="BMF6" s="182">
        <v>45156</v>
      </c>
      <c r="BMG6" s="184">
        <v>45157</v>
      </c>
      <c r="BMH6" s="183">
        <v>45158</v>
      </c>
      <c r="BMI6" s="182">
        <v>45159</v>
      </c>
      <c r="BMJ6" s="182">
        <v>45160</v>
      </c>
      <c r="BMK6" s="182">
        <v>45161</v>
      </c>
      <c r="BML6" s="182">
        <v>45162</v>
      </c>
      <c r="BMM6" s="182">
        <v>45163</v>
      </c>
      <c r="BMN6" s="184">
        <v>45164</v>
      </c>
      <c r="BMO6" s="183">
        <v>45165</v>
      </c>
      <c r="BMP6" s="182">
        <v>45166</v>
      </c>
      <c r="BMQ6" s="182">
        <v>45167</v>
      </c>
      <c r="BMR6" s="182">
        <v>45168</v>
      </c>
      <c r="BMS6" s="182">
        <v>45169</v>
      </c>
      <c r="BMT6" s="182">
        <v>45170</v>
      </c>
      <c r="BMU6" s="184">
        <v>45171</v>
      </c>
      <c r="BMV6" s="183">
        <v>45172</v>
      </c>
      <c r="BMW6" s="182">
        <v>45173</v>
      </c>
      <c r="BMX6" s="182">
        <v>45174</v>
      </c>
      <c r="BMY6" s="182">
        <v>45175</v>
      </c>
      <c r="BMZ6" s="182">
        <v>45176</v>
      </c>
      <c r="BNA6" s="182">
        <v>45177</v>
      </c>
      <c r="BNB6" s="184">
        <v>45178</v>
      </c>
      <c r="BNC6" s="183">
        <v>45179</v>
      </c>
      <c r="BND6" s="182">
        <v>45180</v>
      </c>
      <c r="BNE6" s="182">
        <v>45181</v>
      </c>
      <c r="BNF6" s="182">
        <v>45182</v>
      </c>
      <c r="BNG6" s="182">
        <v>45183</v>
      </c>
      <c r="BNH6" s="182">
        <v>45184</v>
      </c>
      <c r="BNI6" s="184">
        <v>45185</v>
      </c>
      <c r="BNJ6" s="183">
        <v>45186</v>
      </c>
      <c r="BNK6" s="182">
        <v>45187</v>
      </c>
      <c r="BNL6" s="182">
        <v>45188</v>
      </c>
      <c r="BNM6" s="182">
        <v>45189</v>
      </c>
      <c r="BNN6" s="182">
        <v>45190</v>
      </c>
      <c r="BNO6" s="182">
        <v>45191</v>
      </c>
      <c r="BNP6" s="184">
        <v>45192</v>
      </c>
      <c r="BNQ6" s="183">
        <v>45193</v>
      </c>
      <c r="BNR6" s="182">
        <v>45194</v>
      </c>
      <c r="BNS6" s="182">
        <v>45195</v>
      </c>
      <c r="BNT6" s="182">
        <v>45196</v>
      </c>
      <c r="BNU6" s="182">
        <v>45197</v>
      </c>
      <c r="BNV6" s="182">
        <v>45198</v>
      </c>
      <c r="BNW6" s="184">
        <v>45199</v>
      </c>
      <c r="BNX6" s="183">
        <v>45200</v>
      </c>
      <c r="BNY6" s="182">
        <v>45201</v>
      </c>
      <c r="BNZ6" s="182">
        <v>45202</v>
      </c>
      <c r="BOA6" s="182">
        <v>45203</v>
      </c>
      <c r="BOB6" s="182">
        <v>45204</v>
      </c>
      <c r="BOC6" s="182">
        <v>45205</v>
      </c>
      <c r="BOD6" s="184">
        <v>45206</v>
      </c>
      <c r="BOE6" s="183">
        <v>45207</v>
      </c>
      <c r="BOF6" s="182">
        <v>45208</v>
      </c>
      <c r="BOG6" s="182">
        <v>45209</v>
      </c>
      <c r="BOH6" s="182">
        <v>45210</v>
      </c>
      <c r="BOI6" s="182">
        <v>45211</v>
      </c>
      <c r="BOJ6" s="182">
        <v>45212</v>
      </c>
      <c r="BOK6" s="184">
        <v>45213</v>
      </c>
      <c r="BOL6" s="183">
        <v>45214</v>
      </c>
      <c r="BOM6" s="182">
        <v>45215</v>
      </c>
      <c r="BON6" s="182">
        <v>45216</v>
      </c>
      <c r="BOO6" s="182">
        <v>45217</v>
      </c>
      <c r="BOP6" s="182">
        <v>45218</v>
      </c>
      <c r="BOQ6" s="182">
        <v>45219</v>
      </c>
      <c r="BOR6" s="184">
        <v>45220</v>
      </c>
      <c r="BOS6" s="183">
        <v>45221</v>
      </c>
      <c r="BOT6" s="182">
        <v>45222</v>
      </c>
      <c r="BOU6" s="182">
        <v>45223</v>
      </c>
      <c r="BOV6" s="182">
        <v>45224</v>
      </c>
      <c r="BOW6" s="182">
        <v>45225</v>
      </c>
      <c r="BOX6" s="182">
        <v>45226</v>
      </c>
      <c r="BOY6" s="184">
        <v>45227</v>
      </c>
      <c r="BOZ6" s="183">
        <v>45228</v>
      </c>
      <c r="BPA6" s="182">
        <v>45229</v>
      </c>
      <c r="BPB6" s="182">
        <v>45230</v>
      </c>
      <c r="BPC6" s="182">
        <v>45231</v>
      </c>
      <c r="BPD6" s="182">
        <v>45232</v>
      </c>
      <c r="BPE6" s="182">
        <v>45233</v>
      </c>
      <c r="BPF6" s="184">
        <v>45234</v>
      </c>
      <c r="BPG6" s="183">
        <v>45235</v>
      </c>
      <c r="BPH6" s="182">
        <v>45236</v>
      </c>
      <c r="BPI6" s="182">
        <v>45237</v>
      </c>
      <c r="BPJ6" s="182">
        <v>45238</v>
      </c>
      <c r="BPK6" s="182">
        <v>45239</v>
      </c>
      <c r="BPL6" s="182">
        <v>45240</v>
      </c>
      <c r="BPM6" s="184">
        <v>45241</v>
      </c>
      <c r="BPN6" s="183">
        <v>45242</v>
      </c>
      <c r="BPO6" s="182">
        <v>45243</v>
      </c>
      <c r="BPP6" s="182">
        <v>45244</v>
      </c>
      <c r="BPQ6" s="182">
        <v>45245</v>
      </c>
      <c r="BPR6" s="182">
        <v>45246</v>
      </c>
      <c r="BPS6" s="182">
        <v>45247</v>
      </c>
      <c r="BPT6" s="184">
        <v>45248</v>
      </c>
      <c r="BPU6" s="183">
        <v>45249</v>
      </c>
      <c r="BPV6" s="182">
        <v>45250</v>
      </c>
      <c r="BPW6" s="182">
        <v>45251</v>
      </c>
      <c r="BPX6" s="182">
        <v>45252</v>
      </c>
      <c r="BPY6" s="182">
        <v>45253</v>
      </c>
      <c r="BPZ6" s="182">
        <v>45254</v>
      </c>
      <c r="BQA6" s="184">
        <v>45255</v>
      </c>
      <c r="BQB6" s="183">
        <v>45256</v>
      </c>
      <c r="BQC6" s="182">
        <v>45257</v>
      </c>
      <c r="BQD6" s="182">
        <v>45258</v>
      </c>
      <c r="BQE6" s="182">
        <v>45259</v>
      </c>
      <c r="BQF6" s="182">
        <v>45260</v>
      </c>
      <c r="BQG6" s="182">
        <v>45261</v>
      </c>
      <c r="BQH6" s="184">
        <v>45262</v>
      </c>
      <c r="BQI6" s="183">
        <v>45263</v>
      </c>
      <c r="BQJ6" s="182">
        <v>45264</v>
      </c>
      <c r="BQK6" s="182">
        <v>45265</v>
      </c>
      <c r="BQL6" s="182">
        <v>45266</v>
      </c>
      <c r="BQM6" s="182">
        <v>45267</v>
      </c>
      <c r="BQN6" s="182">
        <v>45268</v>
      </c>
      <c r="BQO6" s="184">
        <v>45269</v>
      </c>
      <c r="BQP6" s="183">
        <v>45270</v>
      </c>
      <c r="BQQ6" s="182">
        <v>45271</v>
      </c>
      <c r="BQR6" s="182">
        <v>45272</v>
      </c>
      <c r="BQS6" s="182">
        <v>45273</v>
      </c>
      <c r="BQT6" s="182">
        <v>45274</v>
      </c>
      <c r="BQU6" s="182">
        <v>45275</v>
      </c>
      <c r="BQV6" s="184">
        <v>45276</v>
      </c>
      <c r="BQW6" s="183">
        <v>45277</v>
      </c>
      <c r="BQX6" s="182">
        <v>45278</v>
      </c>
      <c r="BQY6" s="182">
        <v>45279</v>
      </c>
      <c r="BQZ6" s="182">
        <v>45280</v>
      </c>
      <c r="BRA6" s="182">
        <v>45281</v>
      </c>
      <c r="BRB6" s="182">
        <v>45282</v>
      </c>
      <c r="BRC6" s="184">
        <v>45283</v>
      </c>
      <c r="BRD6" s="183">
        <v>45284</v>
      </c>
      <c r="BRE6" s="182">
        <v>45285</v>
      </c>
      <c r="BRF6" s="182">
        <v>45286</v>
      </c>
      <c r="BRG6" s="182">
        <v>45287</v>
      </c>
      <c r="BRH6" s="182">
        <v>45288</v>
      </c>
      <c r="BRI6" s="182">
        <v>45289</v>
      </c>
      <c r="BRJ6" s="184">
        <v>45290</v>
      </c>
      <c r="BRK6" s="183">
        <v>45291</v>
      </c>
      <c r="BRL6" s="182">
        <v>45292</v>
      </c>
      <c r="BRM6" s="182">
        <v>45293</v>
      </c>
      <c r="BRN6" s="182">
        <v>45294</v>
      </c>
      <c r="BRO6" s="182">
        <v>45295</v>
      </c>
      <c r="BRP6" s="182">
        <v>45296</v>
      </c>
      <c r="BRQ6" s="184">
        <v>45297</v>
      </c>
      <c r="BRR6" s="183">
        <v>45298</v>
      </c>
      <c r="BRS6" s="182">
        <v>45299</v>
      </c>
      <c r="BRT6" s="182">
        <v>45300</v>
      </c>
      <c r="BRU6" s="182">
        <v>45301</v>
      </c>
      <c r="BRV6" s="182">
        <v>45302</v>
      </c>
      <c r="BRW6" s="182">
        <v>45303</v>
      </c>
      <c r="BRX6" s="184">
        <v>45304</v>
      </c>
      <c r="BRY6" s="183">
        <v>45305</v>
      </c>
      <c r="BRZ6" s="182">
        <v>45306</v>
      </c>
      <c r="BSA6" s="182">
        <v>45307</v>
      </c>
      <c r="BSB6" s="182">
        <v>45308</v>
      </c>
      <c r="BSC6" s="182">
        <v>45309</v>
      </c>
      <c r="BSD6" s="182">
        <v>45310</v>
      </c>
      <c r="BSE6" s="184">
        <v>45311</v>
      </c>
      <c r="BSF6" s="183">
        <v>45312</v>
      </c>
      <c r="BSG6" s="182">
        <v>45313</v>
      </c>
      <c r="BSH6" s="182">
        <v>45314</v>
      </c>
      <c r="BSI6" s="182">
        <v>45315</v>
      </c>
      <c r="BSJ6" s="182">
        <v>45316</v>
      </c>
      <c r="BSK6" s="182">
        <v>45317</v>
      </c>
      <c r="BSL6" s="184">
        <v>45318</v>
      </c>
      <c r="BSM6" s="183">
        <v>45319</v>
      </c>
      <c r="BSN6" s="182">
        <v>45320</v>
      </c>
      <c r="BSO6" s="182">
        <v>45321</v>
      </c>
      <c r="BSP6" s="182">
        <v>45322</v>
      </c>
      <c r="BSQ6" s="182">
        <v>45323</v>
      </c>
      <c r="BSR6" s="182">
        <v>45324</v>
      </c>
      <c r="BSS6" s="184">
        <v>45325</v>
      </c>
      <c r="BST6" s="183">
        <v>45326</v>
      </c>
      <c r="BSU6" s="182">
        <v>45327</v>
      </c>
      <c r="BSV6" s="182">
        <v>45328</v>
      </c>
      <c r="BSW6" s="182">
        <v>45329</v>
      </c>
      <c r="BSX6" s="182">
        <v>45330</v>
      </c>
      <c r="BSY6" s="182">
        <v>45331</v>
      </c>
      <c r="BSZ6" s="184">
        <v>45332</v>
      </c>
      <c r="BTA6" s="183">
        <v>45333</v>
      </c>
      <c r="BTB6" s="182">
        <v>45334</v>
      </c>
      <c r="BTC6" s="182">
        <v>45335</v>
      </c>
      <c r="BTD6" s="182">
        <v>45336</v>
      </c>
      <c r="BTE6" s="182">
        <v>45337</v>
      </c>
      <c r="BTF6" s="182">
        <v>45338</v>
      </c>
      <c r="BTG6" s="184">
        <v>45339</v>
      </c>
      <c r="BTH6" s="183">
        <v>45340</v>
      </c>
      <c r="BTI6" s="182">
        <v>45341</v>
      </c>
      <c r="BTJ6" s="182">
        <v>45342</v>
      </c>
      <c r="BTK6" s="182">
        <v>45343</v>
      </c>
      <c r="BTL6" s="182">
        <v>45344</v>
      </c>
      <c r="BTM6" s="182">
        <v>45345</v>
      </c>
      <c r="BTN6" s="184">
        <v>45346</v>
      </c>
      <c r="BTO6" s="183">
        <v>45347</v>
      </c>
      <c r="BTP6" s="182">
        <v>45348</v>
      </c>
      <c r="BTQ6" s="182">
        <v>45349</v>
      </c>
      <c r="BTR6" s="182">
        <v>45350</v>
      </c>
      <c r="BTS6" s="182">
        <v>45351</v>
      </c>
      <c r="BTT6" s="182">
        <v>45352</v>
      </c>
      <c r="BTU6" s="184">
        <v>45353</v>
      </c>
      <c r="BTV6" s="183">
        <v>45354</v>
      </c>
      <c r="BTW6" s="182">
        <v>45355</v>
      </c>
      <c r="BTX6" s="182">
        <v>45356</v>
      </c>
      <c r="BTY6" s="182">
        <v>45357</v>
      </c>
      <c r="BTZ6" s="182">
        <v>45358</v>
      </c>
      <c r="BUA6" s="182">
        <v>45359</v>
      </c>
      <c r="BUB6" s="184">
        <v>45360</v>
      </c>
      <c r="BUC6" s="183">
        <v>45361</v>
      </c>
      <c r="BUD6" s="182">
        <v>45362</v>
      </c>
      <c r="BUE6" s="182">
        <v>45363</v>
      </c>
      <c r="BUF6" s="182">
        <v>45364</v>
      </c>
      <c r="BUG6" s="182">
        <v>45365</v>
      </c>
      <c r="BUH6" s="182">
        <v>45366</v>
      </c>
      <c r="BUI6" s="184">
        <v>45367</v>
      </c>
      <c r="BUJ6" s="183">
        <v>45368</v>
      </c>
      <c r="BUK6" s="182">
        <v>45369</v>
      </c>
      <c r="BUL6" s="182">
        <v>45370</v>
      </c>
      <c r="BUM6" s="182">
        <v>45371</v>
      </c>
      <c r="BUN6" s="182">
        <v>45372</v>
      </c>
      <c r="BUO6" s="182">
        <v>45373</v>
      </c>
      <c r="BUP6" s="184">
        <v>45374</v>
      </c>
      <c r="BUQ6" s="183">
        <v>45375</v>
      </c>
      <c r="BUR6" s="182">
        <v>45376</v>
      </c>
      <c r="BUS6" s="182">
        <v>45377</v>
      </c>
      <c r="BUT6" s="182">
        <v>45378</v>
      </c>
      <c r="BUU6" s="182">
        <v>45379</v>
      </c>
      <c r="BUV6" s="182">
        <v>45380</v>
      </c>
      <c r="BUW6" s="184">
        <v>45381</v>
      </c>
      <c r="BUX6" s="183">
        <v>45382</v>
      </c>
      <c r="BUY6" s="182">
        <v>45383</v>
      </c>
      <c r="BUZ6" s="182">
        <v>45384</v>
      </c>
      <c r="BVA6" s="182">
        <v>45385</v>
      </c>
      <c r="BVB6" s="182">
        <v>45386</v>
      </c>
      <c r="BVC6" s="182">
        <v>45387</v>
      </c>
      <c r="BVD6" s="184">
        <v>45388</v>
      </c>
      <c r="BVE6" s="183">
        <v>45389</v>
      </c>
      <c r="BVF6" s="182">
        <v>45390</v>
      </c>
      <c r="BVG6" s="182">
        <v>45391</v>
      </c>
      <c r="BVH6" s="182">
        <v>45392</v>
      </c>
      <c r="BVI6" s="182">
        <v>45393</v>
      </c>
      <c r="BVJ6" s="182">
        <v>45394</v>
      </c>
      <c r="BVK6" s="184">
        <v>45395</v>
      </c>
      <c r="BVL6" s="183">
        <v>45396</v>
      </c>
      <c r="BVM6" s="182">
        <v>45397</v>
      </c>
      <c r="BVN6" s="182">
        <v>45398</v>
      </c>
      <c r="BVO6" s="182">
        <v>45399</v>
      </c>
      <c r="BVP6" s="182">
        <v>45400</v>
      </c>
      <c r="BVQ6" s="182">
        <v>45401</v>
      </c>
      <c r="BVR6" s="184">
        <v>45402</v>
      </c>
      <c r="BVS6" s="183">
        <v>45403</v>
      </c>
      <c r="BVT6" s="182">
        <v>45404</v>
      </c>
      <c r="BVU6" s="182">
        <v>45405</v>
      </c>
      <c r="BVV6" s="182">
        <v>45406</v>
      </c>
      <c r="BVW6" s="182">
        <v>45407</v>
      </c>
      <c r="BVX6" s="182">
        <v>45408</v>
      </c>
      <c r="BVY6" s="184">
        <v>45409</v>
      </c>
      <c r="BVZ6" s="183">
        <v>45410</v>
      </c>
      <c r="BWA6" s="182">
        <v>45411</v>
      </c>
      <c r="BWB6" s="182">
        <v>45412</v>
      </c>
      <c r="BWC6" s="182">
        <v>45413</v>
      </c>
      <c r="BWD6" s="182">
        <v>45414</v>
      </c>
      <c r="BWE6" s="182">
        <v>45415</v>
      </c>
      <c r="BWF6" s="184">
        <v>45416</v>
      </c>
      <c r="BWG6" s="183">
        <v>45417</v>
      </c>
      <c r="BWH6" s="182">
        <v>45418</v>
      </c>
      <c r="BWI6" s="182">
        <v>45419</v>
      </c>
      <c r="BWJ6" s="182">
        <v>45420</v>
      </c>
      <c r="BWK6" s="182">
        <v>45421</v>
      </c>
      <c r="BWL6" s="182">
        <v>45422</v>
      </c>
      <c r="BWM6" s="184">
        <v>45423</v>
      </c>
      <c r="BWN6" s="183">
        <v>45424</v>
      </c>
      <c r="BWO6" s="182">
        <v>45425</v>
      </c>
      <c r="BWP6" s="182">
        <v>45426</v>
      </c>
      <c r="BWQ6" s="182">
        <v>45427</v>
      </c>
      <c r="BWR6" s="182">
        <v>45428</v>
      </c>
      <c r="BWS6" s="182">
        <v>45429</v>
      </c>
      <c r="BWT6" s="184">
        <v>45430</v>
      </c>
      <c r="BWU6" s="183">
        <v>45431</v>
      </c>
      <c r="BWV6" s="182">
        <v>45432</v>
      </c>
      <c r="BWW6" s="182">
        <v>45433</v>
      </c>
      <c r="BWX6" s="182">
        <v>45434</v>
      </c>
      <c r="BWY6" s="182">
        <v>45435</v>
      </c>
      <c r="BWZ6" s="182">
        <v>45436</v>
      </c>
      <c r="BXA6" s="184">
        <v>45437</v>
      </c>
      <c r="BXB6" s="183">
        <v>45438</v>
      </c>
      <c r="BXC6" s="182">
        <v>45439</v>
      </c>
      <c r="BXD6" s="182">
        <v>45440</v>
      </c>
      <c r="BXE6" s="182">
        <v>45441</v>
      </c>
      <c r="BXF6" s="182">
        <v>45442</v>
      </c>
      <c r="BXG6" s="182">
        <v>45443</v>
      </c>
      <c r="BXH6" s="184">
        <v>45444</v>
      </c>
      <c r="BXI6" s="183">
        <v>45445</v>
      </c>
      <c r="BXJ6" s="182">
        <v>45446</v>
      </c>
      <c r="BXK6" s="182">
        <v>45447</v>
      </c>
      <c r="BXL6" s="182">
        <v>45448</v>
      </c>
      <c r="BXM6" s="182">
        <v>45449</v>
      </c>
      <c r="BXN6" s="182">
        <v>45450</v>
      </c>
      <c r="BXO6" s="184">
        <v>45451</v>
      </c>
      <c r="BXP6" s="183">
        <v>45452</v>
      </c>
      <c r="BXQ6" s="182">
        <v>45453</v>
      </c>
      <c r="BXR6" s="182">
        <v>45454</v>
      </c>
      <c r="BXS6" s="182">
        <v>45455</v>
      </c>
      <c r="BXT6" s="182">
        <v>45456</v>
      </c>
      <c r="BXU6" s="182">
        <v>45457</v>
      </c>
      <c r="BXV6" s="184">
        <v>45458</v>
      </c>
      <c r="BXW6" s="183">
        <v>45459</v>
      </c>
      <c r="BXX6" s="182">
        <v>45460</v>
      </c>
      <c r="BXY6" s="182">
        <v>45461</v>
      </c>
      <c r="BXZ6" s="182">
        <v>45462</v>
      </c>
      <c r="BYA6" s="182">
        <v>45463</v>
      </c>
      <c r="BYB6" s="182">
        <v>45464</v>
      </c>
      <c r="BYC6" s="184">
        <v>45465</v>
      </c>
      <c r="BYD6" s="183">
        <v>45466</v>
      </c>
      <c r="BYE6" s="182">
        <v>45467</v>
      </c>
      <c r="BYF6" s="182">
        <v>45468</v>
      </c>
      <c r="BYG6" s="182">
        <v>45469</v>
      </c>
      <c r="BYH6" s="182">
        <v>45470</v>
      </c>
      <c r="BYI6" s="182">
        <v>45471</v>
      </c>
      <c r="BYJ6" s="184">
        <v>45472</v>
      </c>
      <c r="BYK6" s="183">
        <v>45473</v>
      </c>
      <c r="BYL6" s="182">
        <v>45474</v>
      </c>
      <c r="BYM6" s="182">
        <v>45475</v>
      </c>
      <c r="BYN6" s="182">
        <v>45476</v>
      </c>
      <c r="BYO6" s="182">
        <v>45477</v>
      </c>
      <c r="BYP6" s="182">
        <v>45478</v>
      </c>
      <c r="BYQ6" s="184">
        <v>45479</v>
      </c>
      <c r="BYR6" s="183">
        <v>45480</v>
      </c>
      <c r="BYS6" s="182">
        <v>45481</v>
      </c>
      <c r="BYT6" s="182">
        <v>45482</v>
      </c>
      <c r="BYU6" s="182">
        <v>45483</v>
      </c>
      <c r="BYV6" s="182">
        <v>45484</v>
      </c>
      <c r="BYW6" s="182">
        <v>45485</v>
      </c>
      <c r="BYX6" s="184">
        <v>45486</v>
      </c>
      <c r="BYY6" s="183">
        <v>45487</v>
      </c>
      <c r="BYZ6" s="182">
        <v>45488</v>
      </c>
      <c r="BZA6" s="182">
        <v>45489</v>
      </c>
      <c r="BZB6" s="182">
        <v>45490</v>
      </c>
      <c r="BZC6" s="182">
        <v>45491</v>
      </c>
      <c r="BZD6" s="182">
        <v>45492</v>
      </c>
      <c r="BZE6" s="184">
        <v>45493</v>
      </c>
      <c r="BZF6" s="183">
        <v>45494</v>
      </c>
      <c r="BZG6" s="182">
        <v>45495</v>
      </c>
      <c r="BZH6" s="182">
        <v>45496</v>
      </c>
      <c r="BZI6" s="182">
        <v>45497</v>
      </c>
      <c r="BZJ6" s="182">
        <v>45498</v>
      </c>
      <c r="BZK6" s="182">
        <v>45499</v>
      </c>
      <c r="BZL6" s="184">
        <v>45500</v>
      </c>
      <c r="BZM6" s="183">
        <v>45501</v>
      </c>
      <c r="BZN6" s="182">
        <v>45502</v>
      </c>
      <c r="BZO6" s="182">
        <v>45503</v>
      </c>
      <c r="BZP6" s="182">
        <v>45504</v>
      </c>
      <c r="BZQ6" s="182">
        <v>45505</v>
      </c>
      <c r="BZR6" s="182">
        <v>45506</v>
      </c>
      <c r="BZS6" s="184">
        <v>45507</v>
      </c>
      <c r="BZT6" s="183">
        <v>45508</v>
      </c>
      <c r="BZU6" s="182">
        <v>45509</v>
      </c>
      <c r="BZV6" s="182">
        <v>45510</v>
      </c>
      <c r="BZW6" s="182">
        <v>45511</v>
      </c>
      <c r="BZX6" s="182">
        <v>45512</v>
      </c>
      <c r="BZY6" s="182">
        <v>45513</v>
      </c>
      <c r="BZZ6" s="184">
        <v>45514</v>
      </c>
      <c r="CAA6" s="183">
        <v>45515</v>
      </c>
      <c r="CAB6" s="182">
        <v>45516</v>
      </c>
      <c r="CAC6" s="182">
        <v>45517</v>
      </c>
      <c r="CAD6" s="182">
        <v>45518</v>
      </c>
      <c r="CAE6" s="182">
        <v>45519</v>
      </c>
      <c r="CAF6" s="182">
        <v>45520</v>
      </c>
      <c r="CAG6" s="184">
        <v>45521</v>
      </c>
      <c r="CAH6" s="183">
        <v>45522</v>
      </c>
      <c r="CAI6" s="182">
        <v>45523</v>
      </c>
      <c r="CAJ6" s="182">
        <v>45524</v>
      </c>
      <c r="CAK6" s="182">
        <v>45525</v>
      </c>
      <c r="CAL6" s="182">
        <v>45526</v>
      </c>
      <c r="CAM6" s="182">
        <v>45527</v>
      </c>
      <c r="CAN6" s="184">
        <v>45528</v>
      </c>
      <c r="CAO6" s="183">
        <v>45529</v>
      </c>
      <c r="CAP6" s="182">
        <v>45530</v>
      </c>
      <c r="CAQ6" s="182">
        <v>45531</v>
      </c>
      <c r="CAR6" s="182">
        <v>45532</v>
      </c>
      <c r="CAS6" s="182">
        <v>45533</v>
      </c>
      <c r="CAT6" s="182">
        <v>45534</v>
      </c>
      <c r="CAU6" s="184">
        <v>45535</v>
      </c>
      <c r="CAV6" s="183">
        <v>45536</v>
      </c>
      <c r="CAW6" s="182">
        <v>45537</v>
      </c>
      <c r="CAX6" s="182">
        <v>45538</v>
      </c>
      <c r="CAY6" s="182">
        <v>45539</v>
      </c>
      <c r="CAZ6" s="182">
        <v>45540</v>
      </c>
      <c r="CBA6" s="182">
        <v>45541</v>
      </c>
      <c r="CBB6" s="184">
        <v>45542</v>
      </c>
      <c r="CBC6" s="183">
        <v>45543</v>
      </c>
      <c r="CBD6" s="182">
        <v>45544</v>
      </c>
      <c r="CBE6" s="182">
        <v>45545</v>
      </c>
      <c r="CBF6" s="182">
        <v>45546</v>
      </c>
      <c r="CBG6" s="182">
        <v>45547</v>
      </c>
      <c r="CBH6" s="182">
        <v>45548</v>
      </c>
      <c r="CBI6" s="184">
        <v>45549</v>
      </c>
      <c r="CBJ6" s="183">
        <v>45550</v>
      </c>
      <c r="CBK6" s="182">
        <v>45551</v>
      </c>
      <c r="CBL6" s="182">
        <v>45552</v>
      </c>
      <c r="CBM6" s="182">
        <v>45553</v>
      </c>
      <c r="CBN6" s="182">
        <v>45554</v>
      </c>
      <c r="CBO6" s="182">
        <v>45555</v>
      </c>
      <c r="CBP6" s="184">
        <v>45556</v>
      </c>
      <c r="CBQ6" s="183">
        <v>45557</v>
      </c>
      <c r="CBR6" s="182">
        <v>45558</v>
      </c>
      <c r="CBS6" s="182">
        <v>45559</v>
      </c>
      <c r="CBT6" s="182">
        <v>45560</v>
      </c>
      <c r="CBU6" s="182">
        <v>45561</v>
      </c>
      <c r="CBV6" s="182">
        <v>45562</v>
      </c>
      <c r="CBW6" s="184">
        <v>45563</v>
      </c>
      <c r="CBX6" s="183">
        <v>45564</v>
      </c>
      <c r="CBY6" s="182">
        <v>45565</v>
      </c>
      <c r="CBZ6" s="182">
        <v>45566</v>
      </c>
      <c r="CCA6" s="182">
        <v>45567</v>
      </c>
      <c r="CCB6" s="182">
        <v>45568</v>
      </c>
      <c r="CCC6" s="182">
        <v>45569</v>
      </c>
      <c r="CCD6" s="184">
        <v>45570</v>
      </c>
      <c r="CCE6" s="183">
        <v>45571</v>
      </c>
      <c r="CCF6" s="182">
        <v>45572</v>
      </c>
      <c r="CCG6" s="182">
        <v>45573</v>
      </c>
      <c r="CCH6" s="182">
        <v>45574</v>
      </c>
      <c r="CCI6" s="182">
        <v>45575</v>
      </c>
      <c r="CCJ6" s="182">
        <v>45576</v>
      </c>
      <c r="CCK6" s="184">
        <v>45577</v>
      </c>
      <c r="CCL6" s="183">
        <v>45578</v>
      </c>
      <c r="CCM6" s="182">
        <v>45579</v>
      </c>
      <c r="CCN6" s="182">
        <v>45580</v>
      </c>
      <c r="CCO6" s="182">
        <v>45581</v>
      </c>
      <c r="CCP6" s="182">
        <v>45582</v>
      </c>
      <c r="CCQ6" s="182">
        <v>45583</v>
      </c>
      <c r="CCR6" s="184">
        <v>45584</v>
      </c>
      <c r="CCS6" s="183">
        <v>45585</v>
      </c>
      <c r="CCT6" s="182">
        <v>45586</v>
      </c>
      <c r="CCU6" s="182">
        <v>45587</v>
      </c>
      <c r="CCV6" s="182">
        <v>45588</v>
      </c>
      <c r="CCW6" s="182">
        <v>45589</v>
      </c>
      <c r="CCX6" s="182">
        <v>45590</v>
      </c>
      <c r="CCY6" s="184">
        <v>45591</v>
      </c>
      <c r="CCZ6" s="183">
        <v>45592</v>
      </c>
      <c r="CDA6" s="182">
        <v>45593</v>
      </c>
      <c r="CDB6" s="182">
        <v>45594</v>
      </c>
      <c r="CDC6" s="182">
        <v>45595</v>
      </c>
      <c r="CDD6" s="182">
        <v>45596</v>
      </c>
      <c r="CDE6" s="182">
        <v>45597</v>
      </c>
      <c r="CDF6" s="184">
        <v>45598</v>
      </c>
      <c r="CDG6" s="183">
        <v>45599</v>
      </c>
      <c r="CDH6" s="182">
        <v>45600</v>
      </c>
      <c r="CDI6" s="182">
        <v>45601</v>
      </c>
      <c r="CDJ6" s="182">
        <v>45602</v>
      </c>
      <c r="CDK6" s="182">
        <v>45603</v>
      </c>
      <c r="CDL6" s="182">
        <v>45604</v>
      </c>
      <c r="CDM6" s="184">
        <v>45605</v>
      </c>
      <c r="CDN6" s="183">
        <v>45606</v>
      </c>
      <c r="CDO6" s="182">
        <v>45607</v>
      </c>
      <c r="CDP6" s="182">
        <v>45608</v>
      </c>
      <c r="CDQ6" s="182">
        <v>45609</v>
      </c>
      <c r="CDR6" s="182">
        <v>45610</v>
      </c>
      <c r="CDS6" s="182">
        <v>45611</v>
      </c>
      <c r="CDT6" s="184">
        <v>45612</v>
      </c>
      <c r="CDU6" s="183">
        <v>45613</v>
      </c>
      <c r="CDV6" s="182">
        <v>45614</v>
      </c>
      <c r="CDW6" s="182">
        <v>45615</v>
      </c>
      <c r="CDX6" s="182">
        <v>45616</v>
      </c>
      <c r="CDY6" s="182">
        <v>45617</v>
      </c>
      <c r="CDZ6" s="182">
        <v>45618</v>
      </c>
      <c r="CEA6" s="184">
        <v>45619</v>
      </c>
      <c r="CEB6" s="183">
        <v>45620</v>
      </c>
      <c r="CEC6" s="182">
        <v>45621</v>
      </c>
      <c r="CED6" s="182">
        <v>45622</v>
      </c>
      <c r="CEE6" s="182">
        <v>45623</v>
      </c>
      <c r="CEF6" s="182">
        <v>45624</v>
      </c>
      <c r="CEG6" s="182">
        <v>45625</v>
      </c>
      <c r="CEH6" s="184">
        <v>45626</v>
      </c>
      <c r="CEI6" s="183">
        <v>45627</v>
      </c>
      <c r="CEJ6" s="182">
        <v>45628</v>
      </c>
      <c r="CEK6" s="182">
        <v>45629</v>
      </c>
      <c r="CEL6" s="182">
        <v>45630</v>
      </c>
      <c r="CEM6" s="182">
        <v>45631</v>
      </c>
      <c r="CEN6" s="182">
        <v>45632</v>
      </c>
      <c r="CEO6" s="184">
        <v>45633</v>
      </c>
      <c r="CEP6" s="183">
        <v>45634</v>
      </c>
      <c r="CEQ6" s="182">
        <v>45635</v>
      </c>
      <c r="CER6" s="182">
        <v>45636</v>
      </c>
      <c r="CES6" s="182">
        <v>45637</v>
      </c>
      <c r="CET6" s="182">
        <v>45638</v>
      </c>
      <c r="CEU6" s="182">
        <v>45639</v>
      </c>
      <c r="CEV6" s="184">
        <v>45640</v>
      </c>
      <c r="CEW6" s="183">
        <v>45641</v>
      </c>
      <c r="CEX6" s="182">
        <v>45642</v>
      </c>
      <c r="CEY6" s="182">
        <v>45643</v>
      </c>
      <c r="CEZ6" s="182">
        <v>45644</v>
      </c>
      <c r="CFA6" s="182">
        <v>45645</v>
      </c>
      <c r="CFB6" s="182">
        <v>45646</v>
      </c>
      <c r="CFC6" s="184">
        <v>45647</v>
      </c>
      <c r="CFD6" s="183">
        <v>45648</v>
      </c>
      <c r="CFE6" s="182">
        <v>45649</v>
      </c>
      <c r="CFF6" s="182">
        <v>45650</v>
      </c>
      <c r="CFG6" s="182">
        <v>45651</v>
      </c>
      <c r="CFH6" s="182">
        <v>45652</v>
      </c>
      <c r="CFI6" s="182">
        <v>45653</v>
      </c>
      <c r="CFJ6" s="184">
        <v>45654</v>
      </c>
      <c r="CFK6" s="183">
        <v>45655</v>
      </c>
      <c r="CFL6" s="182">
        <v>45656</v>
      </c>
      <c r="CFM6" s="182">
        <v>45657</v>
      </c>
      <c r="CFN6" s="185"/>
      <c r="CFO6" s="185"/>
      <c r="CFP6" s="185"/>
      <c r="CFQ6" s="185"/>
    </row>
    <row r="7" spans="1:2201">
      <c r="C7" s="164" t="s">
        <v>250</v>
      </c>
      <c r="D7" s="186"/>
      <c r="E7" s="186"/>
      <c r="K7" s="187"/>
      <c r="Q7" s="188"/>
      <c r="R7" s="187"/>
      <c r="X7" s="188"/>
      <c r="Y7" s="187"/>
      <c r="AE7" s="188"/>
      <c r="AF7" s="187"/>
      <c r="AJ7" s="168"/>
      <c r="AK7" s="189"/>
      <c r="AL7" s="188"/>
      <c r="AM7" s="187"/>
      <c r="AS7" s="188"/>
      <c r="AT7" s="187"/>
      <c r="AZ7" s="188"/>
      <c r="BA7" s="187"/>
      <c r="BG7" s="188"/>
      <c r="BH7" s="187"/>
      <c r="BL7" s="168"/>
      <c r="BM7" s="189"/>
      <c r="BN7" s="188"/>
      <c r="BO7" s="187"/>
      <c r="BU7" s="188"/>
      <c r="BV7" s="187"/>
      <c r="CB7" s="188"/>
      <c r="CC7" s="187"/>
      <c r="CI7" s="188"/>
      <c r="CJ7" s="187"/>
      <c r="CP7" s="188"/>
      <c r="CQ7" s="190"/>
      <c r="CR7" s="189"/>
      <c r="CW7" s="188"/>
      <c r="CX7" s="187"/>
      <c r="DD7" s="188"/>
      <c r="DE7" s="187"/>
      <c r="DK7" s="188"/>
      <c r="DL7" s="187"/>
      <c r="DR7" s="188"/>
      <c r="DS7" s="187"/>
      <c r="DU7" s="168"/>
      <c r="DV7" s="189"/>
      <c r="DY7" s="188"/>
      <c r="DZ7" s="187"/>
      <c r="EF7" s="188"/>
      <c r="EG7" s="187"/>
      <c r="EM7" s="188"/>
      <c r="EN7" s="187"/>
      <c r="ET7" s="188"/>
      <c r="EU7" s="187"/>
      <c r="EZ7" s="168"/>
      <c r="FA7" s="191"/>
      <c r="FB7" s="187"/>
      <c r="FH7" s="188"/>
      <c r="FI7" s="187"/>
      <c r="FO7" s="188"/>
      <c r="FP7" s="187"/>
      <c r="FV7" s="188"/>
      <c r="FW7" s="187"/>
      <c r="GC7" s="188"/>
      <c r="GD7" s="190"/>
      <c r="GE7" s="189"/>
      <c r="GJ7" s="188"/>
      <c r="GK7" s="187"/>
      <c r="GQ7" s="188"/>
      <c r="GR7" s="187"/>
      <c r="GX7" s="188"/>
      <c r="GY7" s="187"/>
      <c r="HE7" s="188"/>
      <c r="HF7" s="187"/>
      <c r="HI7" s="168"/>
      <c r="HJ7" s="189"/>
      <c r="HL7" s="188"/>
      <c r="HM7" s="187"/>
      <c r="HS7" s="188"/>
      <c r="HT7" s="187"/>
      <c r="HZ7" s="188"/>
      <c r="IA7" s="187"/>
      <c r="IG7" s="188"/>
      <c r="IH7" s="187"/>
      <c r="IN7" s="168"/>
      <c r="IO7" s="189"/>
      <c r="IU7" s="188"/>
      <c r="IV7" s="187"/>
      <c r="JB7" s="188"/>
      <c r="JC7" s="187"/>
      <c r="JI7" s="188"/>
      <c r="JJ7" s="187"/>
      <c r="JP7" s="188"/>
      <c r="JQ7" s="187"/>
      <c r="JR7" s="168"/>
      <c r="JS7" s="189"/>
      <c r="JW7" s="188"/>
      <c r="JX7" s="187"/>
      <c r="KD7" s="188"/>
      <c r="KE7" s="187"/>
      <c r="KK7" s="188"/>
      <c r="KL7" s="187"/>
      <c r="KR7" s="188"/>
      <c r="KS7" s="187"/>
      <c r="KW7" s="168"/>
      <c r="KX7" s="189"/>
      <c r="KY7" s="188"/>
      <c r="KZ7" s="187"/>
      <c r="LF7" s="188"/>
      <c r="LG7" s="187"/>
      <c r="LM7" s="188"/>
      <c r="LN7" s="187"/>
      <c r="LT7" s="188"/>
      <c r="LU7" s="187"/>
      <c r="MA7" s="168"/>
      <c r="MB7" s="189"/>
      <c r="MH7" s="188"/>
      <c r="MI7" s="187"/>
      <c r="MO7" s="188"/>
      <c r="MP7" s="187"/>
      <c r="MV7" s="188"/>
      <c r="MW7" s="187"/>
      <c r="NC7" s="188"/>
      <c r="ND7" s="187"/>
      <c r="NF7" s="168"/>
      <c r="NG7" s="189"/>
      <c r="NJ7" s="188"/>
      <c r="NK7" s="187"/>
      <c r="NQ7" s="188"/>
      <c r="NR7" s="187"/>
      <c r="NX7" s="188"/>
      <c r="NY7" s="187"/>
      <c r="OE7" s="188"/>
      <c r="OF7" s="187"/>
      <c r="OK7" s="168"/>
      <c r="OL7" s="191"/>
      <c r="OM7" s="187"/>
      <c r="OS7" s="188"/>
      <c r="OT7" s="187"/>
      <c r="OZ7" s="188"/>
      <c r="PA7" s="187"/>
      <c r="PG7" s="188"/>
      <c r="PH7" s="187"/>
      <c r="PN7" s="168"/>
      <c r="PO7" s="189"/>
      <c r="PU7" s="188"/>
      <c r="PV7" s="187"/>
      <c r="QB7" s="188"/>
      <c r="QC7" s="187"/>
      <c r="QI7" s="188"/>
      <c r="QJ7" s="187"/>
      <c r="QP7" s="188"/>
      <c r="QQ7" s="187"/>
      <c r="QS7" s="168"/>
      <c r="QT7" s="189"/>
      <c r="QW7" s="188"/>
      <c r="QX7" s="187"/>
      <c r="RD7" s="188"/>
      <c r="RE7" s="187"/>
      <c r="RK7" s="188"/>
      <c r="RL7" s="187"/>
      <c r="RR7" s="188"/>
      <c r="RS7" s="187"/>
      <c r="RW7" s="168"/>
      <c r="RX7" s="189"/>
      <c r="RY7" s="188"/>
      <c r="RZ7" s="187"/>
      <c r="SF7" s="188"/>
      <c r="SG7" s="187"/>
      <c r="SM7" s="188"/>
      <c r="SN7" s="187"/>
      <c r="ST7" s="188"/>
      <c r="SU7" s="187"/>
      <c r="TA7" s="188"/>
      <c r="TB7" s="190"/>
      <c r="TC7" s="189"/>
      <c r="TH7" s="188"/>
      <c r="TI7" s="187"/>
      <c r="TO7" s="188"/>
      <c r="TP7" s="187"/>
      <c r="TV7" s="188"/>
      <c r="TW7" s="187"/>
      <c r="UC7" s="188"/>
      <c r="UD7" s="187"/>
      <c r="UF7" s="168"/>
      <c r="UG7" s="189"/>
      <c r="UJ7" s="188"/>
      <c r="UK7" s="187"/>
      <c r="UQ7" s="188"/>
      <c r="UR7" s="187"/>
      <c r="UX7" s="188"/>
      <c r="UY7" s="187"/>
      <c r="VE7" s="188"/>
      <c r="VF7" s="187"/>
      <c r="VK7" s="168"/>
      <c r="VL7" s="191"/>
      <c r="VM7" s="187"/>
      <c r="VS7" s="188"/>
      <c r="VT7" s="187"/>
      <c r="VZ7" s="188"/>
      <c r="WA7" s="187"/>
      <c r="WG7" s="188"/>
      <c r="WH7" s="187"/>
      <c r="WN7" s="188"/>
      <c r="WO7" s="187"/>
      <c r="WP7" s="168"/>
      <c r="WQ7" s="189"/>
      <c r="WU7" s="188"/>
      <c r="WV7" s="187"/>
      <c r="XB7" s="188"/>
      <c r="XC7" s="187"/>
      <c r="XI7" s="188"/>
      <c r="XJ7" s="187"/>
      <c r="XP7" s="188"/>
      <c r="XQ7" s="187"/>
      <c r="XT7" s="168"/>
      <c r="XU7" s="189"/>
      <c r="XW7" s="188"/>
      <c r="XX7" s="187"/>
      <c r="YD7" s="188"/>
      <c r="YE7" s="187"/>
      <c r="YK7" s="188"/>
      <c r="YL7" s="187"/>
      <c r="YR7" s="188"/>
      <c r="YS7" s="187"/>
      <c r="YY7" s="168"/>
      <c r="YZ7" s="189"/>
      <c r="ZF7" s="188"/>
      <c r="ZG7" s="187"/>
      <c r="ZM7" s="188"/>
      <c r="ZN7" s="187"/>
      <c r="ZT7" s="188"/>
      <c r="ZU7" s="187"/>
      <c r="AAA7" s="188"/>
      <c r="AAB7" s="187"/>
      <c r="AAC7" s="168"/>
      <c r="AAD7" s="189"/>
      <c r="AAH7" s="188"/>
      <c r="AAI7" s="187"/>
      <c r="AAO7" s="188"/>
      <c r="AAP7" s="187"/>
      <c r="AAV7" s="188"/>
      <c r="AAW7" s="187"/>
      <c r="ABC7" s="188"/>
      <c r="ABD7" s="187"/>
      <c r="ABH7" s="168"/>
      <c r="ABI7" s="189"/>
      <c r="ABJ7" s="188"/>
      <c r="ABK7" s="187"/>
      <c r="ABQ7" s="188"/>
      <c r="ABR7" s="187"/>
      <c r="ABX7" s="188"/>
      <c r="ABY7" s="187"/>
      <c r="ACE7" s="188"/>
      <c r="ACF7" s="187"/>
      <c r="ACL7" s="188"/>
      <c r="ACM7" s="190"/>
      <c r="ACN7" s="189"/>
      <c r="ACS7" s="188"/>
      <c r="ACT7" s="187"/>
      <c r="ACZ7" s="188"/>
      <c r="ADA7" s="187"/>
      <c r="ADG7" s="188"/>
      <c r="ADH7" s="187"/>
      <c r="ADN7" s="188"/>
      <c r="ADO7" s="190"/>
      <c r="ADP7" s="189"/>
      <c r="ADU7" s="188"/>
      <c r="ADV7" s="187"/>
      <c r="AEB7" s="188"/>
      <c r="AEC7" s="187"/>
      <c r="AEI7" s="188"/>
      <c r="AEJ7" s="187"/>
      <c r="AEP7" s="188"/>
      <c r="AEQ7" s="187"/>
      <c r="AET7" s="168"/>
      <c r="AEU7" s="189"/>
      <c r="AEW7" s="188"/>
      <c r="AEX7" s="187"/>
      <c r="AFD7" s="188"/>
      <c r="AFE7" s="187"/>
      <c r="AFK7" s="188"/>
      <c r="AFL7" s="187"/>
      <c r="AFR7" s="188"/>
      <c r="AFS7" s="187"/>
      <c r="AFX7" s="168"/>
      <c r="AFY7" s="191"/>
      <c r="AFZ7" s="187"/>
      <c r="AGF7" s="188"/>
      <c r="AGG7" s="187"/>
      <c r="AGM7" s="188"/>
      <c r="AGN7" s="187"/>
      <c r="AGT7" s="188"/>
      <c r="AGU7" s="187"/>
      <c r="AHA7" s="188"/>
      <c r="AHB7" s="187"/>
      <c r="AHC7" s="168"/>
      <c r="AHD7" s="189"/>
      <c r="AHH7" s="188"/>
      <c r="AHI7" s="187"/>
      <c r="AHO7" s="188"/>
      <c r="AHP7" s="187"/>
      <c r="AHV7" s="188"/>
      <c r="AHW7" s="187"/>
      <c r="AIC7" s="188"/>
      <c r="AID7" s="187"/>
      <c r="AIG7" s="168"/>
      <c r="AIH7" s="189"/>
      <c r="AIJ7" s="188"/>
      <c r="AIK7" s="187"/>
      <c r="AIQ7" s="188"/>
      <c r="AIR7" s="187"/>
      <c r="AIX7" s="188"/>
      <c r="AIY7" s="187"/>
      <c r="AJE7" s="188"/>
      <c r="AJF7" s="187"/>
      <c r="AJL7" s="168"/>
      <c r="AJM7" s="189"/>
      <c r="AJS7" s="188"/>
      <c r="AJT7" s="187"/>
      <c r="AJZ7" s="188"/>
      <c r="AKA7" s="187"/>
      <c r="AKG7" s="188"/>
      <c r="AKH7" s="187"/>
      <c r="AKN7" s="188"/>
      <c r="AKO7" s="187"/>
      <c r="AKQ7" s="168"/>
      <c r="AKR7" s="189"/>
      <c r="AKU7" s="188"/>
      <c r="AKV7" s="187"/>
      <c r="ALB7" s="188"/>
      <c r="ALC7" s="187"/>
      <c r="ALI7" s="188"/>
      <c r="ALJ7" s="187"/>
      <c r="ALP7" s="188"/>
      <c r="ALQ7" s="187"/>
      <c r="ALU7" s="168"/>
      <c r="ALV7" s="189"/>
      <c r="ALW7" s="188"/>
      <c r="ALX7" s="187"/>
      <c r="AMD7" s="188"/>
      <c r="AME7" s="187"/>
      <c r="AMK7" s="188"/>
      <c r="AML7" s="187"/>
      <c r="AMR7" s="188"/>
      <c r="AMS7" s="187"/>
      <c r="AMY7" s="188"/>
      <c r="AMZ7" s="190"/>
      <c r="ANA7" s="189"/>
      <c r="ANF7" s="188"/>
      <c r="ANG7" s="187"/>
      <c r="ANM7" s="188"/>
      <c r="ANN7" s="187"/>
      <c r="ANT7" s="188"/>
      <c r="ANU7" s="187"/>
      <c r="AOA7" s="188"/>
      <c r="AOB7" s="187"/>
      <c r="AOD7" s="168"/>
      <c r="AOE7" s="189"/>
      <c r="AOH7" s="188"/>
      <c r="AOI7" s="187"/>
      <c r="AOO7" s="188"/>
      <c r="AOP7" s="187"/>
      <c r="AOV7" s="188"/>
      <c r="AOW7" s="187"/>
      <c r="APC7" s="188"/>
      <c r="APD7" s="187"/>
      <c r="API7" s="168"/>
      <c r="APJ7" s="191"/>
      <c r="APK7" s="187"/>
      <c r="APQ7" s="188"/>
      <c r="APR7" s="187"/>
      <c r="APX7" s="188"/>
      <c r="APY7" s="187"/>
      <c r="AQE7" s="188"/>
      <c r="AQF7" s="187"/>
      <c r="AQL7" s="188"/>
      <c r="AQM7" s="187"/>
      <c r="AQN7" s="168"/>
      <c r="AQO7" s="189"/>
      <c r="AQS7" s="188"/>
      <c r="AQT7" s="187"/>
      <c r="AQZ7" s="188"/>
      <c r="ARA7" s="187"/>
      <c r="ARG7" s="188"/>
      <c r="ARH7" s="187"/>
      <c r="ARN7" s="188"/>
      <c r="ARO7" s="187"/>
      <c r="ARP7" s="168"/>
      <c r="ARQ7" s="189"/>
      <c r="ARU7" s="188"/>
      <c r="ARV7" s="187"/>
      <c r="ASB7" s="188"/>
      <c r="ASC7" s="187"/>
      <c r="ASI7" s="188"/>
      <c r="ASJ7" s="187"/>
      <c r="ASP7" s="188"/>
      <c r="ASQ7" s="187"/>
      <c r="ASU7" s="168"/>
      <c r="ASV7" s="189"/>
      <c r="ASW7" s="188"/>
      <c r="ASX7" s="187"/>
      <c r="ATD7" s="188"/>
      <c r="ATE7" s="187"/>
      <c r="ATK7" s="188"/>
      <c r="ATL7" s="187"/>
      <c r="ATR7" s="188"/>
      <c r="ATS7" s="187"/>
      <c r="ATY7" s="168"/>
      <c r="ATZ7" s="189"/>
      <c r="AUF7" s="188"/>
      <c r="AUG7" s="187"/>
      <c r="AUM7" s="188"/>
      <c r="AUN7" s="187"/>
      <c r="AUT7" s="188"/>
      <c r="AUU7" s="187"/>
      <c r="AVA7" s="188"/>
      <c r="AVB7" s="187"/>
      <c r="AVD7" s="168"/>
      <c r="AVE7" s="189"/>
      <c r="AVH7" s="188"/>
      <c r="AVI7" s="187"/>
      <c r="AVO7" s="188"/>
      <c r="AVP7" s="187"/>
      <c r="AVV7" s="188"/>
      <c r="AVW7" s="187"/>
      <c r="AWC7" s="188"/>
      <c r="AWD7" s="187"/>
      <c r="AWH7" s="168"/>
      <c r="AWI7" s="189"/>
      <c r="AWJ7" s="188"/>
      <c r="AWK7" s="187"/>
      <c r="AWQ7" s="188"/>
      <c r="AWR7" s="187"/>
      <c r="AWX7" s="188"/>
      <c r="AWY7" s="187"/>
      <c r="AXE7" s="188"/>
      <c r="AXF7" s="187"/>
      <c r="AXL7" s="188"/>
      <c r="AXM7" s="190"/>
      <c r="AXN7" s="189"/>
      <c r="AXS7" s="188"/>
      <c r="AXT7" s="187"/>
      <c r="AXZ7" s="188"/>
      <c r="AYA7" s="187"/>
      <c r="AYG7" s="188"/>
      <c r="AYH7" s="187"/>
      <c r="AYN7" s="188"/>
      <c r="AYO7" s="187"/>
      <c r="AYR7" s="168"/>
      <c r="AYS7" s="189"/>
      <c r="AYU7" s="188"/>
      <c r="AYV7" s="187"/>
      <c r="AZB7" s="188"/>
      <c r="AZC7" s="187"/>
      <c r="AZI7" s="188"/>
      <c r="AZJ7" s="187"/>
      <c r="AZP7" s="188"/>
      <c r="AZQ7" s="187"/>
      <c r="AZV7" s="168"/>
      <c r="AZW7" s="191"/>
      <c r="AZX7" s="187"/>
      <c r="BAD7" s="188"/>
      <c r="BAE7" s="187"/>
      <c r="BAK7" s="188"/>
      <c r="BAL7" s="187"/>
      <c r="BAR7" s="188"/>
      <c r="BAS7" s="187"/>
      <c r="BAY7" s="188"/>
      <c r="BAZ7" s="187"/>
      <c r="BBA7" s="168"/>
      <c r="BBB7" s="189"/>
      <c r="BBF7" s="188"/>
      <c r="BBG7" s="187"/>
      <c r="BBM7" s="188"/>
      <c r="BBN7" s="187"/>
      <c r="BBT7" s="188"/>
      <c r="BBU7" s="187"/>
      <c r="BCA7" s="188"/>
      <c r="BCB7" s="187"/>
      <c r="BCE7" s="168"/>
      <c r="BCF7" s="189"/>
      <c r="BCH7" s="188"/>
      <c r="BCI7" s="187"/>
      <c r="BCO7" s="188"/>
      <c r="BCP7" s="187"/>
      <c r="BCV7" s="188"/>
      <c r="BCW7" s="187"/>
      <c r="BDC7" s="188"/>
      <c r="BDD7" s="187"/>
      <c r="BDJ7" s="168"/>
      <c r="BDK7" s="189"/>
      <c r="BDQ7" s="188"/>
      <c r="BDR7" s="187"/>
      <c r="BDX7" s="188"/>
      <c r="BDY7" s="187"/>
      <c r="BEE7" s="188"/>
      <c r="BEF7" s="187"/>
      <c r="BEL7" s="188"/>
      <c r="BEM7" s="187"/>
      <c r="BEO7" s="168"/>
      <c r="BEP7" s="189"/>
      <c r="BES7" s="188"/>
      <c r="BET7" s="187"/>
      <c r="BEZ7" s="188"/>
      <c r="BFA7" s="187"/>
      <c r="BFG7" s="188"/>
      <c r="BFH7" s="187"/>
      <c r="BFN7" s="188"/>
      <c r="BFO7" s="187"/>
      <c r="BFQ7" s="168"/>
      <c r="BFR7" s="189"/>
      <c r="BFU7" s="188"/>
      <c r="BFV7" s="187"/>
      <c r="BGB7" s="188"/>
      <c r="BGC7" s="187"/>
      <c r="BGI7" s="188"/>
      <c r="BGJ7" s="187"/>
      <c r="BGP7" s="188"/>
      <c r="BGQ7" s="187"/>
      <c r="BGV7" s="168"/>
      <c r="BGW7" s="191"/>
      <c r="BGX7" s="187"/>
      <c r="BHD7" s="188"/>
      <c r="BHE7" s="187"/>
      <c r="BHK7" s="188"/>
      <c r="BHL7" s="187"/>
      <c r="BHR7" s="188"/>
      <c r="BHS7" s="187"/>
      <c r="BHY7" s="188"/>
      <c r="BHZ7" s="190"/>
      <c r="BIA7" s="189"/>
      <c r="BIF7" s="188"/>
      <c r="BIG7" s="187"/>
      <c r="BIM7" s="188"/>
      <c r="BIN7" s="187"/>
      <c r="BIT7" s="188"/>
      <c r="BIU7" s="187"/>
      <c r="BJA7" s="188"/>
      <c r="BJB7" s="187"/>
      <c r="BJE7" s="168"/>
      <c r="BJF7" s="189"/>
      <c r="BJH7" s="188"/>
      <c r="BJI7" s="187"/>
      <c r="BJO7" s="188"/>
      <c r="BJP7" s="187"/>
      <c r="BJV7" s="188"/>
      <c r="BJW7" s="187"/>
      <c r="BKC7" s="188"/>
      <c r="BKD7" s="187"/>
      <c r="BKI7" s="168"/>
      <c r="BKJ7" s="191"/>
      <c r="BKK7" s="187"/>
      <c r="BKQ7" s="188"/>
      <c r="BKR7" s="187"/>
      <c r="BKX7" s="188"/>
      <c r="BKY7" s="187"/>
      <c r="BLE7" s="188"/>
      <c r="BLF7" s="187"/>
      <c r="BLL7" s="188"/>
      <c r="BLM7" s="187"/>
      <c r="BLN7" s="168"/>
      <c r="BLO7" s="189"/>
      <c r="BLS7" s="188"/>
      <c r="BLT7" s="187"/>
      <c r="BLZ7" s="188"/>
      <c r="BMA7" s="187"/>
      <c r="BMG7" s="188"/>
      <c r="BMH7" s="187"/>
      <c r="BMN7" s="188"/>
      <c r="BMO7" s="187"/>
      <c r="BMS7" s="168"/>
      <c r="BMT7" s="189"/>
      <c r="BMU7" s="188"/>
      <c r="BMV7" s="187"/>
      <c r="BNB7" s="188"/>
      <c r="BNC7" s="187"/>
      <c r="BNI7" s="188"/>
      <c r="BNJ7" s="187"/>
      <c r="BNP7" s="188"/>
      <c r="BNQ7" s="187"/>
      <c r="BNW7" s="168"/>
      <c r="BNX7" s="189"/>
      <c r="BOD7" s="188"/>
      <c r="BOE7" s="187"/>
      <c r="BOK7" s="188"/>
      <c r="BOL7" s="187"/>
      <c r="BOR7" s="188"/>
      <c r="BOS7" s="187"/>
      <c r="BOY7" s="188"/>
      <c r="BOZ7" s="187"/>
      <c r="BPB7" s="168"/>
      <c r="BPC7" s="189"/>
      <c r="BPF7" s="188"/>
      <c r="BPG7" s="187"/>
      <c r="BPM7" s="188"/>
      <c r="BPN7" s="187"/>
      <c r="BPT7" s="188"/>
      <c r="BPU7" s="187"/>
      <c r="BQA7" s="188"/>
      <c r="BQB7" s="187"/>
      <c r="BQF7" s="168"/>
      <c r="BQG7" s="189"/>
      <c r="BQH7" s="188"/>
      <c r="BQI7" s="187"/>
      <c r="BQO7" s="188"/>
      <c r="BQP7" s="187"/>
      <c r="BQV7" s="188"/>
      <c r="BQW7" s="187"/>
      <c r="BRC7" s="188"/>
      <c r="BRD7" s="187"/>
      <c r="BRJ7" s="188"/>
      <c r="BRK7" s="190"/>
      <c r="BRL7" s="189"/>
      <c r="BRQ7" s="188"/>
      <c r="BRR7" s="187"/>
      <c r="BRX7" s="188"/>
      <c r="BRY7" s="187"/>
      <c r="BSE7" s="188"/>
      <c r="BSF7" s="187"/>
      <c r="BSL7" s="188"/>
      <c r="BSM7" s="187"/>
      <c r="BSP7" s="168"/>
      <c r="BSQ7" s="189"/>
      <c r="BSS7" s="188"/>
      <c r="BST7" s="187"/>
      <c r="BSZ7" s="188"/>
      <c r="BTA7" s="187"/>
      <c r="BTG7" s="188"/>
      <c r="BTH7" s="187"/>
      <c r="BTN7" s="188"/>
      <c r="BTO7" s="187"/>
      <c r="BTS7" s="168"/>
      <c r="BTT7" s="189"/>
      <c r="BTU7" s="188"/>
      <c r="BTV7" s="187"/>
      <c r="BUB7" s="188"/>
      <c r="BUC7" s="187"/>
      <c r="BUI7" s="188"/>
      <c r="BUJ7" s="187"/>
      <c r="BUP7" s="188"/>
      <c r="BUQ7" s="187"/>
      <c r="BUW7" s="188"/>
      <c r="BUX7" s="190"/>
      <c r="BUY7" s="189"/>
      <c r="BVD7" s="188"/>
      <c r="BVE7" s="187"/>
      <c r="BVK7" s="188"/>
      <c r="BVL7" s="187"/>
      <c r="BVR7" s="188"/>
      <c r="BVS7" s="187"/>
      <c r="BVY7" s="188"/>
      <c r="BVZ7" s="187"/>
      <c r="BWB7" s="168"/>
      <c r="BWC7" s="189"/>
      <c r="BWF7" s="188"/>
      <c r="BWG7" s="187"/>
      <c r="BWM7" s="188"/>
      <c r="BWN7" s="187"/>
      <c r="BWT7" s="188"/>
      <c r="BWU7" s="187"/>
      <c r="BXA7" s="188"/>
      <c r="BXB7" s="187"/>
      <c r="BXG7" s="168"/>
      <c r="BXH7" s="191"/>
      <c r="BXI7" s="187"/>
      <c r="BXO7" s="188"/>
      <c r="BXP7" s="187"/>
      <c r="BXV7" s="188"/>
      <c r="BXW7" s="187"/>
      <c r="BYC7" s="188"/>
      <c r="BYD7" s="187"/>
      <c r="BYJ7" s="188"/>
      <c r="BYK7" s="190"/>
      <c r="BYL7" s="189"/>
      <c r="BYQ7" s="188"/>
      <c r="BYR7" s="187"/>
      <c r="BYX7" s="188"/>
      <c r="BYY7" s="187"/>
      <c r="BZE7" s="188"/>
      <c r="BZF7" s="187"/>
      <c r="BZL7" s="188"/>
      <c r="BZM7" s="187"/>
      <c r="BZP7" s="168"/>
      <c r="BZQ7" s="189"/>
      <c r="BZS7" s="188"/>
      <c r="BZT7" s="187"/>
      <c r="BZZ7" s="188"/>
      <c r="CAA7" s="187"/>
      <c r="CAG7" s="188"/>
      <c r="CAH7" s="187"/>
      <c r="CAN7" s="188"/>
      <c r="CAO7" s="187"/>
      <c r="CAU7" s="168"/>
      <c r="CAV7" s="189"/>
      <c r="CBB7" s="188"/>
      <c r="CBC7" s="187"/>
      <c r="CBI7" s="188"/>
      <c r="CBJ7" s="187"/>
      <c r="CBP7" s="188"/>
      <c r="CBQ7" s="187"/>
      <c r="CBW7" s="188"/>
      <c r="CBX7" s="187"/>
      <c r="CBY7" s="168"/>
      <c r="CBZ7" s="189"/>
      <c r="CCD7" s="188"/>
      <c r="CCE7" s="187"/>
      <c r="CCK7" s="188"/>
      <c r="CCL7" s="187"/>
      <c r="CCR7" s="188"/>
      <c r="CCS7" s="187"/>
      <c r="CCY7" s="188"/>
      <c r="CCZ7" s="187"/>
      <c r="CDD7" s="168"/>
      <c r="CDE7" s="189"/>
      <c r="CDF7" s="188"/>
      <c r="CDG7" s="187"/>
      <c r="CDM7" s="188"/>
      <c r="CDN7" s="187"/>
      <c r="CDT7" s="188"/>
      <c r="CDU7" s="187"/>
      <c r="CEA7" s="188"/>
      <c r="CEB7" s="187"/>
      <c r="CEH7" s="168"/>
      <c r="CEI7" s="189"/>
      <c r="CEO7" s="188"/>
      <c r="CEP7" s="187"/>
      <c r="CEV7" s="188"/>
      <c r="CEW7" s="187"/>
      <c r="CFC7" s="188"/>
      <c r="CFD7" s="187"/>
      <c r="CFJ7" s="188"/>
      <c r="CFK7" s="187"/>
    </row>
    <row r="8" spans="1:2201">
      <c r="A8" s="164" t="s">
        <v>251</v>
      </c>
      <c r="C8" s="164" t="s">
        <v>252</v>
      </c>
      <c r="D8" s="186">
        <v>44607</v>
      </c>
      <c r="E8" s="186">
        <v>44611</v>
      </c>
      <c r="K8" s="187"/>
      <c r="Q8" s="188"/>
      <c r="R8" s="187"/>
      <c r="X8" s="188"/>
      <c r="Y8" s="187"/>
      <c r="AE8" s="188"/>
      <c r="AF8" s="187"/>
      <c r="AJ8" s="168"/>
      <c r="AK8" s="189"/>
      <c r="AL8" s="188"/>
      <c r="AM8" s="187"/>
      <c r="AS8" s="188"/>
      <c r="AT8" s="187"/>
      <c r="AZ8" s="188"/>
      <c r="BA8" s="187"/>
      <c r="BG8" s="188"/>
      <c r="BH8" s="187"/>
      <c r="BL8" s="168"/>
      <c r="BM8" s="189"/>
      <c r="BN8" s="188"/>
      <c r="BO8" s="187"/>
      <c r="BU8" s="188"/>
      <c r="BV8" s="187"/>
      <c r="CB8" s="188"/>
      <c r="CC8" s="187"/>
      <c r="CI8" s="188"/>
      <c r="CJ8" s="187"/>
      <c r="CP8" s="188"/>
      <c r="CQ8" s="190"/>
      <c r="CR8" s="189"/>
      <c r="CW8" s="188"/>
      <c r="CX8" s="187"/>
      <c r="DD8" s="188"/>
      <c r="DE8" s="187"/>
      <c r="DK8" s="188"/>
      <c r="DL8" s="187"/>
      <c r="DR8" s="188"/>
      <c r="DS8" s="187"/>
      <c r="DU8" s="168"/>
      <c r="DV8" s="189"/>
      <c r="DY8" s="188"/>
      <c r="DZ8" s="187"/>
      <c r="EF8" s="188"/>
      <c r="EG8" s="187"/>
      <c r="EM8" s="188"/>
      <c r="EN8" s="187"/>
      <c r="ET8" s="188"/>
      <c r="EU8" s="187"/>
      <c r="EZ8" s="168"/>
      <c r="FA8" s="191"/>
      <c r="FB8" s="187"/>
      <c r="FH8" s="188"/>
      <c r="FI8" s="187"/>
      <c r="FO8" s="188"/>
      <c r="FP8" s="187"/>
      <c r="FV8" s="188"/>
      <c r="FW8" s="187"/>
      <c r="GC8" s="188"/>
      <c r="GD8" s="190"/>
      <c r="GE8" s="189"/>
      <c r="GJ8" s="188"/>
      <c r="GK8" s="187"/>
      <c r="GQ8" s="188"/>
      <c r="GR8" s="187"/>
      <c r="GX8" s="188"/>
      <c r="GY8" s="187"/>
      <c r="HE8" s="188"/>
      <c r="HF8" s="187"/>
      <c r="HI8" s="168"/>
      <c r="HJ8" s="189"/>
      <c r="HL8" s="188"/>
      <c r="HM8" s="187"/>
      <c r="HS8" s="188"/>
      <c r="HT8" s="187"/>
      <c r="HZ8" s="188"/>
      <c r="IA8" s="187"/>
      <c r="IG8" s="188"/>
      <c r="IH8" s="187"/>
      <c r="IN8" s="168"/>
      <c r="IO8" s="189"/>
      <c r="IU8" s="188"/>
      <c r="IV8" s="187"/>
      <c r="JB8" s="188"/>
      <c r="JC8" s="187"/>
      <c r="JI8" s="188"/>
      <c r="JJ8" s="187"/>
      <c r="JP8" s="188"/>
      <c r="JQ8" s="187"/>
      <c r="JR8" s="168"/>
      <c r="JS8" s="189"/>
      <c r="JW8" s="188"/>
      <c r="JX8" s="187"/>
      <c r="KD8" s="188"/>
      <c r="KE8" s="187"/>
      <c r="KK8" s="188"/>
      <c r="KL8" s="187"/>
      <c r="KR8" s="188"/>
      <c r="KS8" s="187"/>
      <c r="KW8" s="168"/>
      <c r="KX8" s="189"/>
      <c r="KY8" s="188"/>
      <c r="KZ8" s="187"/>
      <c r="LF8" s="188"/>
      <c r="LG8" s="187"/>
      <c r="LM8" s="188"/>
      <c r="LN8" s="187"/>
      <c r="LT8" s="188"/>
      <c r="LU8" s="187"/>
      <c r="MA8" s="168"/>
      <c r="MB8" s="189"/>
      <c r="MH8" s="188"/>
      <c r="MI8" s="187"/>
      <c r="MO8" s="188"/>
      <c r="MP8" s="187"/>
      <c r="MV8" s="188"/>
      <c r="MW8" s="187"/>
      <c r="NC8" s="188"/>
      <c r="ND8" s="187"/>
      <c r="NF8" s="168"/>
      <c r="NG8" s="189"/>
      <c r="NJ8" s="188"/>
      <c r="NK8" s="187"/>
      <c r="NQ8" s="188"/>
      <c r="NR8" s="187"/>
      <c r="NX8" s="188"/>
      <c r="NY8" s="187"/>
      <c r="OE8" s="188"/>
      <c r="OF8" s="187"/>
      <c r="OK8" s="168"/>
      <c r="OL8" s="191"/>
      <c r="OM8" s="187"/>
      <c r="OS8" s="188"/>
      <c r="OT8" s="187"/>
      <c r="OZ8" s="188"/>
      <c r="PA8" s="187"/>
      <c r="PG8" s="188"/>
      <c r="PH8" s="187"/>
      <c r="PN8" s="168"/>
      <c r="PO8" s="189"/>
      <c r="PU8" s="188"/>
      <c r="PV8" s="187"/>
      <c r="QB8" s="188"/>
      <c r="QC8" s="187"/>
      <c r="QI8" s="188"/>
      <c r="QJ8" s="187"/>
      <c r="QP8" s="188"/>
      <c r="QQ8" s="187"/>
      <c r="QS8" s="168"/>
      <c r="QT8" s="189"/>
      <c r="QW8" s="188"/>
      <c r="QX8" s="187"/>
      <c r="RD8" s="188"/>
      <c r="RE8" s="187"/>
      <c r="RK8" s="188"/>
      <c r="RL8" s="187"/>
      <c r="RR8" s="188"/>
      <c r="RS8" s="187"/>
      <c r="RW8" s="168"/>
      <c r="RX8" s="189"/>
      <c r="RY8" s="188"/>
      <c r="RZ8" s="187"/>
      <c r="SF8" s="188"/>
      <c r="SG8" s="187"/>
      <c r="SM8" s="188"/>
      <c r="SN8" s="187"/>
      <c r="ST8" s="188"/>
      <c r="SU8" s="187"/>
      <c r="TA8" s="188"/>
      <c r="TB8" s="190"/>
      <c r="TC8" s="189"/>
      <c r="TH8" s="188"/>
      <c r="TI8" s="187"/>
      <c r="TO8" s="188"/>
      <c r="TP8" s="187"/>
      <c r="TV8" s="188"/>
      <c r="TW8" s="187"/>
      <c r="UC8" s="188"/>
      <c r="UD8" s="187"/>
      <c r="UF8" s="168"/>
      <c r="UG8" s="189"/>
      <c r="UJ8" s="188"/>
      <c r="UK8" s="187"/>
      <c r="UQ8" s="188"/>
      <c r="UR8" s="187"/>
      <c r="UX8" s="188"/>
      <c r="UY8" s="187"/>
      <c r="VE8" s="188"/>
      <c r="VF8" s="187"/>
      <c r="VK8" s="168"/>
      <c r="VL8" s="191"/>
      <c r="VM8" s="187"/>
      <c r="VS8" s="188"/>
      <c r="VT8" s="187"/>
      <c r="VZ8" s="188"/>
      <c r="WA8" s="187"/>
      <c r="WG8" s="188"/>
      <c r="WH8" s="187"/>
      <c r="WN8" s="188"/>
      <c r="WO8" s="187"/>
      <c r="WP8" s="168"/>
      <c r="WQ8" s="189"/>
      <c r="WU8" s="188"/>
      <c r="WV8" s="187"/>
      <c r="XB8" s="188"/>
      <c r="XC8" s="187"/>
      <c r="XI8" s="188"/>
      <c r="XJ8" s="187"/>
      <c r="XP8" s="188"/>
      <c r="XQ8" s="187"/>
      <c r="XT8" s="168"/>
      <c r="XU8" s="189"/>
      <c r="XW8" s="188"/>
      <c r="XX8" s="187"/>
      <c r="YD8" s="188"/>
      <c r="YE8" s="187"/>
      <c r="YK8" s="188"/>
      <c r="YL8" s="187"/>
      <c r="YR8" s="188"/>
      <c r="YS8" s="187"/>
      <c r="YY8" s="168"/>
      <c r="YZ8" s="189"/>
      <c r="ZF8" s="188"/>
      <c r="ZG8" s="187"/>
      <c r="ZM8" s="188"/>
      <c r="ZN8" s="187"/>
      <c r="ZT8" s="188"/>
      <c r="ZU8" s="187"/>
      <c r="AAA8" s="188"/>
      <c r="AAB8" s="187"/>
      <c r="AAC8" s="168"/>
      <c r="AAD8" s="189"/>
      <c r="AAH8" s="188"/>
      <c r="AAI8" s="187"/>
      <c r="AAO8" s="188"/>
      <c r="AAP8" s="187"/>
      <c r="AAV8" s="188"/>
      <c r="AAW8" s="187"/>
      <c r="ABC8" s="188"/>
      <c r="ABD8" s="187"/>
      <c r="ABH8" s="168"/>
      <c r="ABI8" s="189"/>
      <c r="ABJ8" s="188"/>
      <c r="ABK8" s="187"/>
      <c r="ABQ8" s="188"/>
      <c r="ABR8" s="187"/>
      <c r="ABX8" s="188"/>
      <c r="ABY8" s="187"/>
      <c r="ACE8" s="188"/>
      <c r="ACF8" s="187"/>
      <c r="ACL8" s="188"/>
      <c r="ACM8" s="190"/>
      <c r="ACN8" s="189"/>
      <c r="ACS8" s="188"/>
      <c r="ACT8" s="187"/>
      <c r="ACZ8" s="188"/>
      <c r="ADA8" s="187"/>
      <c r="ADG8" s="188"/>
      <c r="ADH8" s="187"/>
      <c r="ADN8" s="188"/>
      <c r="ADO8" s="190"/>
      <c r="ADP8" s="189"/>
      <c r="ADU8" s="188"/>
      <c r="ADV8" s="187"/>
      <c r="AEB8" s="188"/>
      <c r="AEC8" s="187"/>
      <c r="AEI8" s="188"/>
      <c r="AEJ8" s="187"/>
      <c r="AEP8" s="188"/>
      <c r="AEQ8" s="187"/>
      <c r="AET8" s="168"/>
      <c r="AEU8" s="189"/>
      <c r="AEW8" s="188"/>
      <c r="AEX8" s="187"/>
      <c r="AFD8" s="188"/>
      <c r="AFE8" s="187"/>
      <c r="AFK8" s="188"/>
      <c r="AFL8" s="187"/>
      <c r="AFR8" s="188"/>
      <c r="AFS8" s="187"/>
      <c r="AFX8" s="168"/>
      <c r="AFY8" s="191"/>
      <c r="AFZ8" s="187"/>
      <c r="AGF8" s="188"/>
      <c r="AGG8" s="187"/>
      <c r="AGM8" s="188"/>
      <c r="AGN8" s="187"/>
      <c r="AGT8" s="188"/>
      <c r="AGU8" s="187"/>
      <c r="AHA8" s="188"/>
      <c r="AHB8" s="187"/>
      <c r="AHC8" s="168"/>
      <c r="AHD8" s="189"/>
      <c r="AHH8" s="188"/>
      <c r="AHI8" s="187"/>
      <c r="AHO8" s="188"/>
      <c r="AHP8" s="187"/>
      <c r="AHV8" s="188"/>
      <c r="AHW8" s="187"/>
      <c r="AIC8" s="188"/>
      <c r="AID8" s="187"/>
      <c r="AIG8" s="168"/>
      <c r="AIH8" s="189"/>
      <c r="AIJ8" s="188"/>
      <c r="AIK8" s="187"/>
      <c r="AIQ8" s="188"/>
      <c r="AIR8" s="187"/>
      <c r="AIX8" s="188"/>
      <c r="AIY8" s="187"/>
      <c r="AJE8" s="188"/>
      <c r="AJF8" s="187"/>
      <c r="AJL8" s="168"/>
      <c r="AJM8" s="189"/>
      <c r="AJS8" s="188"/>
      <c r="AJT8" s="187"/>
      <c r="AJZ8" s="188"/>
      <c r="AKA8" s="187"/>
      <c r="AKG8" s="188"/>
      <c r="AKH8" s="187"/>
      <c r="AKN8" s="188"/>
      <c r="AKO8" s="187"/>
      <c r="AKQ8" s="168"/>
      <c r="AKR8" s="189"/>
      <c r="AKU8" s="188"/>
      <c r="AKV8" s="187"/>
      <c r="ALB8" s="188"/>
      <c r="ALC8" s="187"/>
      <c r="ALI8" s="188"/>
      <c r="ALJ8" s="187"/>
      <c r="ALP8" s="188"/>
      <c r="ALQ8" s="187"/>
      <c r="ALU8" s="168"/>
      <c r="ALV8" s="189"/>
      <c r="ALW8" s="188"/>
      <c r="ALX8" s="187"/>
      <c r="AMD8" s="188"/>
      <c r="AME8" s="187"/>
      <c r="AMK8" s="188"/>
      <c r="AML8" s="187"/>
      <c r="AMR8" s="188"/>
      <c r="AMS8" s="187"/>
      <c r="AMY8" s="188"/>
      <c r="AMZ8" s="190"/>
      <c r="ANA8" s="189"/>
      <c r="ANF8" s="188"/>
      <c r="ANG8" s="187"/>
      <c r="ANM8" s="188"/>
      <c r="ANN8" s="187"/>
      <c r="ANT8" s="188"/>
      <c r="ANU8" s="187"/>
      <c r="AOA8" s="188"/>
      <c r="AOB8" s="187"/>
      <c r="AOD8" s="168"/>
      <c r="AOE8" s="189"/>
      <c r="AOH8" s="188"/>
      <c r="AOI8" s="187"/>
      <c r="AOO8" s="188"/>
      <c r="AOP8" s="187"/>
      <c r="AOV8" s="188"/>
      <c r="AOW8" s="187"/>
      <c r="APC8" s="188"/>
      <c r="APD8" s="187"/>
      <c r="API8" s="168"/>
      <c r="APJ8" s="191"/>
      <c r="APK8" s="187"/>
      <c r="APQ8" s="188"/>
      <c r="APR8" s="187"/>
      <c r="APX8" s="188"/>
      <c r="APY8" s="187"/>
      <c r="AQE8" s="188"/>
      <c r="AQF8" s="187"/>
      <c r="AQL8" s="188"/>
      <c r="AQM8" s="187"/>
      <c r="AQN8" s="168"/>
      <c r="AQO8" s="189"/>
      <c r="AQS8" s="188"/>
      <c r="AQT8" s="187"/>
      <c r="AQZ8" s="188"/>
      <c r="ARA8" s="187"/>
      <c r="ARC8" s="164">
        <v>1</v>
      </c>
      <c r="ARD8" s="164">
        <v>1</v>
      </c>
      <c r="ARE8" s="164">
        <v>1</v>
      </c>
      <c r="ARF8" s="164">
        <v>1</v>
      </c>
      <c r="ARG8" s="188">
        <v>1</v>
      </c>
      <c r="ARH8" s="187"/>
      <c r="ARN8" s="188"/>
      <c r="ARO8" s="187"/>
      <c r="ARP8" s="168"/>
      <c r="ARQ8" s="189"/>
      <c r="ARU8" s="188"/>
      <c r="ARV8" s="187"/>
      <c r="ASB8" s="188"/>
      <c r="ASC8" s="187"/>
      <c r="ASI8" s="188"/>
      <c r="ASJ8" s="187"/>
      <c r="ASP8" s="188"/>
      <c r="ASQ8" s="187"/>
      <c r="ASU8" s="168"/>
      <c r="ASV8" s="189"/>
      <c r="ASW8" s="188"/>
      <c r="ASX8" s="187"/>
      <c r="ATD8" s="188"/>
      <c r="ATE8" s="187"/>
      <c r="ATK8" s="188"/>
      <c r="ATL8" s="187"/>
      <c r="ATR8" s="188"/>
      <c r="ATS8" s="187"/>
      <c r="ATY8" s="168"/>
      <c r="ATZ8" s="189"/>
      <c r="AUF8" s="188"/>
      <c r="AUG8" s="187"/>
      <c r="AUM8" s="188"/>
      <c r="AUN8" s="187"/>
      <c r="AUT8" s="188"/>
      <c r="AUU8" s="187"/>
      <c r="AVA8" s="188"/>
      <c r="AVB8" s="187"/>
      <c r="AVD8" s="168"/>
      <c r="AVE8" s="189"/>
      <c r="AVH8" s="188"/>
      <c r="AVI8" s="187"/>
      <c r="AVO8" s="188"/>
      <c r="AVP8" s="187"/>
      <c r="AVV8" s="188"/>
      <c r="AVW8" s="187"/>
      <c r="AWC8" s="188"/>
      <c r="AWD8" s="187"/>
      <c r="AWH8" s="168"/>
      <c r="AWI8" s="189"/>
      <c r="AWJ8" s="188"/>
      <c r="AWK8" s="187"/>
      <c r="AWQ8" s="188"/>
      <c r="AWR8" s="187"/>
      <c r="AWX8" s="188"/>
      <c r="AWY8" s="187"/>
      <c r="AXE8" s="188"/>
      <c r="AXF8" s="187"/>
      <c r="AXL8" s="188"/>
      <c r="AXM8" s="190"/>
      <c r="AXN8" s="189"/>
      <c r="AXS8" s="188"/>
      <c r="AXT8" s="187"/>
      <c r="AXZ8" s="188"/>
      <c r="AYA8" s="187"/>
      <c r="AYG8" s="188"/>
      <c r="AYH8" s="187"/>
      <c r="AYN8" s="188"/>
      <c r="AYO8" s="187"/>
      <c r="AYR8" s="168"/>
      <c r="AYS8" s="189"/>
      <c r="AYU8" s="188"/>
      <c r="AYV8" s="187"/>
      <c r="AZB8" s="188"/>
      <c r="AZC8" s="187"/>
      <c r="AZI8" s="188"/>
      <c r="AZJ8" s="187"/>
      <c r="AZP8" s="188"/>
      <c r="AZQ8" s="187"/>
      <c r="AZV8" s="168"/>
      <c r="AZW8" s="191"/>
      <c r="AZX8" s="187"/>
      <c r="BAD8" s="188"/>
      <c r="BAE8" s="187"/>
      <c r="BAK8" s="188"/>
      <c r="BAL8" s="187"/>
      <c r="BAR8" s="188"/>
      <c r="BAS8" s="187"/>
      <c r="BAY8" s="188"/>
      <c r="BAZ8" s="187"/>
      <c r="BBA8" s="168"/>
      <c r="BBB8" s="189"/>
      <c r="BBF8" s="188"/>
      <c r="BBG8" s="187"/>
      <c r="BBM8" s="188"/>
      <c r="BBN8" s="187"/>
      <c r="BBT8" s="188"/>
      <c r="BBU8" s="187"/>
      <c r="BCA8" s="188"/>
      <c r="BCB8" s="187"/>
      <c r="BCE8" s="168"/>
      <c r="BCF8" s="189"/>
      <c r="BCH8" s="188"/>
      <c r="BCI8" s="187"/>
      <c r="BCO8" s="188"/>
      <c r="BCP8" s="187"/>
      <c r="BCV8" s="188"/>
      <c r="BCW8" s="187"/>
      <c r="BDC8" s="188"/>
      <c r="BDD8" s="187"/>
      <c r="BDJ8" s="168"/>
      <c r="BDK8" s="189"/>
      <c r="BDQ8" s="188"/>
      <c r="BDR8" s="187"/>
      <c r="BDX8" s="188"/>
      <c r="BDY8" s="187"/>
      <c r="BEE8" s="188"/>
      <c r="BEF8" s="187"/>
      <c r="BEL8" s="188"/>
      <c r="BEM8" s="187"/>
      <c r="BEO8" s="168"/>
      <c r="BEP8" s="189"/>
      <c r="BES8" s="188"/>
      <c r="BET8" s="187"/>
      <c r="BEZ8" s="188"/>
      <c r="BFA8" s="187"/>
      <c r="BFG8" s="188"/>
      <c r="BFH8" s="187"/>
      <c r="BFN8" s="188"/>
      <c r="BFO8" s="187"/>
      <c r="BFQ8" s="168"/>
      <c r="BFR8" s="189"/>
      <c r="BFU8" s="188"/>
      <c r="BFV8" s="187"/>
      <c r="BGB8" s="188"/>
      <c r="BGC8" s="187"/>
      <c r="BGI8" s="188"/>
      <c r="BGJ8" s="187"/>
      <c r="BGP8" s="188"/>
      <c r="BGQ8" s="187"/>
      <c r="BGV8" s="168"/>
      <c r="BGW8" s="191"/>
      <c r="BGX8" s="187"/>
      <c r="BHD8" s="188"/>
      <c r="BHE8" s="187"/>
      <c r="BHK8" s="188"/>
      <c r="BHL8" s="187"/>
      <c r="BHR8" s="188"/>
      <c r="BHS8" s="187"/>
      <c r="BHY8" s="188"/>
      <c r="BHZ8" s="190"/>
      <c r="BIA8" s="189"/>
      <c r="BIF8" s="188"/>
      <c r="BIG8" s="187"/>
      <c r="BIM8" s="188"/>
      <c r="BIN8" s="187"/>
      <c r="BIT8" s="188"/>
      <c r="BIU8" s="187"/>
      <c r="BJA8" s="188"/>
      <c r="BJB8" s="187"/>
      <c r="BJE8" s="168"/>
      <c r="BJF8" s="189"/>
      <c r="BJH8" s="188"/>
      <c r="BJI8" s="187"/>
      <c r="BJO8" s="188"/>
      <c r="BJP8" s="187"/>
      <c r="BJV8" s="188"/>
      <c r="BJW8" s="187"/>
      <c r="BKC8" s="188"/>
      <c r="BKD8" s="187"/>
      <c r="BKI8" s="168"/>
      <c r="BKJ8" s="191"/>
      <c r="BKK8" s="187"/>
      <c r="BKQ8" s="188"/>
      <c r="BKR8" s="187"/>
      <c r="BKX8" s="188"/>
      <c r="BKY8" s="187"/>
      <c r="BLE8" s="188"/>
      <c r="BLF8" s="187"/>
      <c r="BLL8" s="188"/>
      <c r="BLM8" s="187"/>
      <c r="BLN8" s="168"/>
      <c r="BLO8" s="189"/>
      <c r="BLS8" s="188"/>
      <c r="BLT8" s="187"/>
      <c r="BLZ8" s="188"/>
      <c r="BMA8" s="187"/>
      <c r="BMG8" s="188"/>
      <c r="BMH8" s="187"/>
      <c r="BMN8" s="188"/>
      <c r="BMO8" s="187"/>
      <c r="BMS8" s="168"/>
      <c r="BMT8" s="189"/>
      <c r="BMU8" s="188"/>
      <c r="BMV8" s="187"/>
      <c r="BNB8" s="188"/>
      <c r="BNC8" s="187"/>
      <c r="BNI8" s="188"/>
      <c r="BNJ8" s="187"/>
      <c r="BNP8" s="188"/>
      <c r="BNQ8" s="187"/>
      <c r="BNW8" s="168"/>
      <c r="BNX8" s="189"/>
      <c r="BOD8" s="188"/>
      <c r="BOE8" s="187"/>
      <c r="BOK8" s="188"/>
      <c r="BOL8" s="187"/>
      <c r="BOR8" s="188"/>
      <c r="BOS8" s="187"/>
      <c r="BOY8" s="188"/>
      <c r="BOZ8" s="187"/>
      <c r="BPB8" s="168"/>
      <c r="BPC8" s="189"/>
      <c r="BPF8" s="188"/>
      <c r="BPG8" s="187"/>
      <c r="BPM8" s="188"/>
      <c r="BPN8" s="187"/>
      <c r="BPT8" s="188"/>
      <c r="BPU8" s="187"/>
      <c r="BQA8" s="188"/>
      <c r="BQB8" s="187"/>
      <c r="BQF8" s="168"/>
      <c r="BQG8" s="189"/>
      <c r="BQH8" s="188"/>
      <c r="BQI8" s="187"/>
      <c r="BQO8" s="188"/>
      <c r="BQP8" s="187"/>
      <c r="BQV8" s="188"/>
      <c r="BQW8" s="187"/>
      <c r="BRC8" s="188"/>
      <c r="BRD8" s="187"/>
      <c r="BRJ8" s="188"/>
      <c r="BRK8" s="190"/>
      <c r="BRL8" s="189"/>
      <c r="BRQ8" s="188"/>
      <c r="BRR8" s="187"/>
      <c r="BRX8" s="188"/>
      <c r="BRY8" s="187"/>
      <c r="BSE8" s="188"/>
      <c r="BSF8" s="187"/>
      <c r="BSL8" s="188"/>
      <c r="BSM8" s="187"/>
      <c r="BSP8" s="168"/>
      <c r="BSQ8" s="189"/>
      <c r="BSS8" s="188"/>
      <c r="BST8" s="187"/>
      <c r="BSZ8" s="188"/>
      <c r="BTA8" s="187"/>
      <c r="BTG8" s="188"/>
      <c r="BTH8" s="187"/>
      <c r="BTN8" s="188"/>
      <c r="BTO8" s="187"/>
      <c r="BTS8" s="168"/>
      <c r="BTT8" s="189"/>
      <c r="BTU8" s="188"/>
      <c r="BTV8" s="187"/>
      <c r="BUB8" s="188"/>
      <c r="BUC8" s="187"/>
      <c r="BUI8" s="188"/>
      <c r="BUJ8" s="187"/>
      <c r="BUP8" s="188"/>
      <c r="BUQ8" s="187"/>
      <c r="BUW8" s="188"/>
      <c r="BUX8" s="190"/>
      <c r="BUY8" s="189"/>
      <c r="BVD8" s="188"/>
      <c r="BVE8" s="187"/>
      <c r="BVK8" s="188"/>
      <c r="BVL8" s="187"/>
      <c r="BVR8" s="188"/>
      <c r="BVS8" s="187"/>
      <c r="BVY8" s="188"/>
      <c r="BVZ8" s="187"/>
      <c r="BWB8" s="168"/>
      <c r="BWC8" s="189"/>
      <c r="BWF8" s="188"/>
      <c r="BWG8" s="187"/>
      <c r="BWM8" s="188"/>
      <c r="BWN8" s="187"/>
      <c r="BWT8" s="188"/>
      <c r="BWU8" s="187"/>
      <c r="BXA8" s="188"/>
      <c r="BXB8" s="187"/>
      <c r="BXG8" s="168"/>
      <c r="BXH8" s="191"/>
      <c r="BXI8" s="187"/>
      <c r="BXO8" s="188"/>
      <c r="BXP8" s="187"/>
      <c r="BXV8" s="188"/>
      <c r="BXW8" s="187"/>
      <c r="BYC8" s="188"/>
      <c r="BYD8" s="187"/>
      <c r="BYJ8" s="188"/>
      <c r="BYK8" s="190"/>
      <c r="BYL8" s="189"/>
      <c r="BYQ8" s="188"/>
      <c r="BYR8" s="187"/>
      <c r="BYX8" s="188"/>
      <c r="BYY8" s="187"/>
      <c r="BZE8" s="188"/>
      <c r="BZF8" s="187"/>
      <c r="BZL8" s="188"/>
      <c r="BZM8" s="187"/>
      <c r="BZP8" s="168"/>
      <c r="BZQ8" s="189"/>
      <c r="BZS8" s="188"/>
      <c r="BZT8" s="187"/>
      <c r="BZZ8" s="188"/>
      <c r="CAA8" s="187"/>
      <c r="CAG8" s="188"/>
      <c r="CAH8" s="187"/>
      <c r="CAN8" s="188"/>
      <c r="CAO8" s="187"/>
      <c r="CAU8" s="168"/>
      <c r="CAV8" s="189"/>
      <c r="CBB8" s="188"/>
      <c r="CBC8" s="187"/>
      <c r="CBI8" s="188"/>
      <c r="CBJ8" s="187"/>
      <c r="CBP8" s="188"/>
      <c r="CBQ8" s="187"/>
      <c r="CBW8" s="188"/>
      <c r="CBX8" s="187"/>
      <c r="CBY8" s="168"/>
      <c r="CBZ8" s="189"/>
      <c r="CCD8" s="188"/>
      <c r="CCE8" s="187"/>
      <c r="CCK8" s="188"/>
      <c r="CCL8" s="187"/>
      <c r="CCR8" s="188"/>
      <c r="CCS8" s="187"/>
      <c r="CCY8" s="188"/>
      <c r="CCZ8" s="187"/>
      <c r="CDD8" s="168"/>
      <c r="CDE8" s="189"/>
      <c r="CDF8" s="188"/>
      <c r="CDG8" s="187"/>
      <c r="CDM8" s="188"/>
      <c r="CDN8" s="187"/>
      <c r="CDT8" s="188"/>
      <c r="CDU8" s="187"/>
      <c r="CEA8" s="188"/>
      <c r="CEB8" s="187"/>
      <c r="CEH8" s="168"/>
      <c r="CEI8" s="189"/>
      <c r="CEO8" s="188"/>
      <c r="CEP8" s="187"/>
      <c r="CEV8" s="188"/>
      <c r="CEW8" s="187"/>
      <c r="CFC8" s="188"/>
      <c r="CFD8" s="187"/>
      <c r="CFJ8" s="188"/>
      <c r="CFK8" s="187"/>
    </row>
    <row r="9" spans="1:2201">
      <c r="A9" s="164" t="s">
        <v>253</v>
      </c>
      <c r="D9" s="186"/>
      <c r="E9" s="186"/>
      <c r="K9" s="187"/>
      <c r="Q9" s="188"/>
      <c r="R9" s="187"/>
      <c r="X9" s="188"/>
      <c r="Y9" s="187"/>
      <c r="AE9" s="188"/>
      <c r="AF9" s="187"/>
      <c r="AJ9" s="168"/>
      <c r="AK9" s="189"/>
      <c r="AL9" s="188"/>
      <c r="AM9" s="187"/>
      <c r="AS9" s="188"/>
      <c r="AT9" s="187"/>
      <c r="AZ9" s="188"/>
      <c r="BA9" s="187"/>
      <c r="BG9" s="188"/>
      <c r="BH9" s="187"/>
      <c r="BL9" s="168"/>
      <c r="BM9" s="189"/>
      <c r="BN9" s="188"/>
      <c r="BO9" s="187"/>
      <c r="BU9" s="188"/>
      <c r="BV9" s="187"/>
      <c r="CB9" s="188"/>
      <c r="CC9" s="187"/>
      <c r="CI9" s="188"/>
      <c r="CJ9" s="187"/>
      <c r="CP9" s="188"/>
      <c r="CQ9" s="190"/>
      <c r="CR9" s="189"/>
      <c r="CW9" s="188"/>
      <c r="CX9" s="187"/>
      <c r="DD9" s="188"/>
      <c r="DE9" s="187"/>
      <c r="DK9" s="188"/>
      <c r="DL9" s="187"/>
      <c r="DR9" s="188"/>
      <c r="DS9" s="187"/>
      <c r="DU9" s="168"/>
      <c r="DV9" s="189"/>
      <c r="DY9" s="188"/>
      <c r="DZ9" s="187"/>
      <c r="EF9" s="188"/>
      <c r="EG9" s="187"/>
      <c r="EM9" s="188"/>
      <c r="EN9" s="187"/>
      <c r="ET9" s="188"/>
      <c r="EU9" s="187"/>
      <c r="EZ9" s="168"/>
      <c r="FA9" s="191"/>
      <c r="FB9" s="187"/>
      <c r="FH9" s="188"/>
      <c r="FI9" s="187"/>
      <c r="FO9" s="188"/>
      <c r="FP9" s="187"/>
      <c r="FV9" s="188"/>
      <c r="FW9" s="187"/>
      <c r="GC9" s="188"/>
      <c r="GD9" s="190"/>
      <c r="GE9" s="189"/>
      <c r="GJ9" s="188"/>
      <c r="GK9" s="187"/>
      <c r="GQ9" s="188"/>
      <c r="GR9" s="187"/>
      <c r="GX9" s="188"/>
      <c r="GY9" s="187"/>
      <c r="HE9" s="188"/>
      <c r="HF9" s="187"/>
      <c r="HI9" s="168"/>
      <c r="HJ9" s="189"/>
      <c r="HL9" s="188"/>
      <c r="HM9" s="187"/>
      <c r="HS9" s="188"/>
      <c r="HT9" s="187"/>
      <c r="HZ9" s="188"/>
      <c r="IA9" s="187"/>
      <c r="IG9" s="188"/>
      <c r="IH9" s="187"/>
      <c r="IN9" s="168"/>
      <c r="IO9" s="189"/>
      <c r="IU9" s="188"/>
      <c r="IV9" s="187"/>
      <c r="JB9" s="188"/>
      <c r="JC9" s="187"/>
      <c r="JI9" s="188"/>
      <c r="JJ9" s="187"/>
      <c r="JP9" s="188"/>
      <c r="JQ9" s="187"/>
      <c r="JR9" s="168"/>
      <c r="JS9" s="189"/>
      <c r="JW9" s="188"/>
      <c r="JX9" s="187"/>
      <c r="KD9" s="188"/>
      <c r="KE9" s="187"/>
      <c r="KK9" s="188"/>
      <c r="KL9" s="187"/>
      <c r="KR9" s="188"/>
      <c r="KS9" s="187"/>
      <c r="KW9" s="168"/>
      <c r="KX9" s="189"/>
      <c r="KY9" s="188"/>
      <c r="KZ9" s="187"/>
      <c r="LF9" s="188"/>
      <c r="LG9" s="187"/>
      <c r="LM9" s="188"/>
      <c r="LN9" s="187"/>
      <c r="LT9" s="188"/>
      <c r="LU9" s="187"/>
      <c r="MA9" s="168"/>
      <c r="MB9" s="189"/>
      <c r="MH9" s="188"/>
      <c r="MI9" s="187"/>
      <c r="MO9" s="188"/>
      <c r="MP9" s="187"/>
      <c r="MV9" s="188"/>
      <c r="MW9" s="187"/>
      <c r="NC9" s="188"/>
      <c r="ND9" s="187"/>
      <c r="NF9" s="168"/>
      <c r="NG9" s="189"/>
      <c r="NJ9" s="188"/>
      <c r="NK9" s="187"/>
      <c r="NQ9" s="188"/>
      <c r="NR9" s="187"/>
      <c r="NX9" s="188"/>
      <c r="NY9" s="187"/>
      <c r="OE9" s="188"/>
      <c r="OF9" s="187"/>
      <c r="OK9" s="168"/>
      <c r="OL9" s="191"/>
      <c r="OM9" s="187"/>
      <c r="OS9" s="188"/>
      <c r="OT9" s="187"/>
      <c r="OZ9" s="188"/>
      <c r="PA9" s="187"/>
      <c r="PG9" s="188"/>
      <c r="PH9" s="187"/>
      <c r="PN9" s="168"/>
      <c r="PO9" s="189"/>
      <c r="PU9" s="188"/>
      <c r="PV9" s="187"/>
      <c r="QB9" s="188"/>
      <c r="QC9" s="187"/>
      <c r="QI9" s="188"/>
      <c r="QJ9" s="187"/>
      <c r="QP9" s="188"/>
      <c r="QQ9" s="187"/>
      <c r="QS9" s="168"/>
      <c r="QT9" s="189"/>
      <c r="QW9" s="188"/>
      <c r="QX9" s="187"/>
      <c r="RD9" s="188"/>
      <c r="RE9" s="187"/>
      <c r="RK9" s="188"/>
      <c r="RL9" s="187"/>
      <c r="RR9" s="188"/>
      <c r="RS9" s="187"/>
      <c r="RW9" s="168"/>
      <c r="RX9" s="189"/>
      <c r="RY9" s="188"/>
      <c r="RZ9" s="187"/>
      <c r="SF9" s="188"/>
      <c r="SG9" s="187"/>
      <c r="SM9" s="188"/>
      <c r="SN9" s="187"/>
      <c r="ST9" s="188"/>
      <c r="SU9" s="187"/>
      <c r="TA9" s="188"/>
      <c r="TB9" s="190"/>
      <c r="TC9" s="189"/>
      <c r="TH9" s="188"/>
      <c r="TI9" s="187"/>
      <c r="TO9" s="188"/>
      <c r="TP9" s="187"/>
      <c r="TV9" s="188"/>
      <c r="TW9" s="187"/>
      <c r="UC9" s="188"/>
      <c r="UD9" s="187"/>
      <c r="UF9" s="168"/>
      <c r="UG9" s="189"/>
      <c r="UJ9" s="188"/>
      <c r="UK9" s="187"/>
      <c r="UQ9" s="188"/>
      <c r="UR9" s="187"/>
      <c r="UX9" s="188"/>
      <c r="UY9" s="187"/>
      <c r="VE9" s="188"/>
      <c r="VF9" s="187"/>
      <c r="VK9" s="168"/>
      <c r="VL9" s="191"/>
      <c r="VM9" s="187"/>
      <c r="VS9" s="188"/>
      <c r="VT9" s="187"/>
      <c r="VZ9" s="188"/>
      <c r="WA9" s="187"/>
      <c r="WG9" s="188"/>
      <c r="WH9" s="187"/>
      <c r="WN9" s="188"/>
      <c r="WO9" s="187"/>
      <c r="WP9" s="168"/>
      <c r="WQ9" s="189"/>
      <c r="WU9" s="188"/>
      <c r="WV9" s="187"/>
      <c r="XB9" s="188"/>
      <c r="XC9" s="187"/>
      <c r="XI9" s="188"/>
      <c r="XJ9" s="187"/>
      <c r="XP9" s="188"/>
      <c r="XQ9" s="187"/>
      <c r="XT9" s="168"/>
      <c r="XU9" s="189"/>
      <c r="XW9" s="188"/>
      <c r="XX9" s="187"/>
      <c r="YD9" s="188"/>
      <c r="YE9" s="187"/>
      <c r="YK9" s="188"/>
      <c r="YL9" s="187"/>
      <c r="YR9" s="188"/>
      <c r="YS9" s="187"/>
      <c r="YY9" s="168"/>
      <c r="YZ9" s="189"/>
      <c r="ZF9" s="188"/>
      <c r="ZG9" s="187"/>
      <c r="ZM9" s="188"/>
      <c r="ZN9" s="187"/>
      <c r="ZT9" s="188"/>
      <c r="ZU9" s="187"/>
      <c r="AAA9" s="188"/>
      <c r="AAB9" s="187"/>
      <c r="AAC9" s="168"/>
      <c r="AAD9" s="189"/>
      <c r="AAH9" s="188"/>
      <c r="AAI9" s="187"/>
      <c r="AAO9" s="188"/>
      <c r="AAP9" s="187"/>
      <c r="AAV9" s="188"/>
      <c r="AAW9" s="187"/>
      <c r="ABC9" s="188"/>
      <c r="ABD9" s="187"/>
      <c r="ABH9" s="168"/>
      <c r="ABI9" s="189"/>
      <c r="ABJ9" s="188"/>
      <c r="ABK9" s="187"/>
      <c r="ABQ9" s="188"/>
      <c r="ABR9" s="187"/>
      <c r="ABX9" s="188"/>
      <c r="ABY9" s="187"/>
      <c r="ACE9" s="188"/>
      <c r="ACF9" s="187"/>
      <c r="ACL9" s="188"/>
      <c r="ACM9" s="190"/>
      <c r="ACN9" s="189"/>
      <c r="ACS9" s="188"/>
      <c r="ACT9" s="187"/>
      <c r="ACZ9" s="188"/>
      <c r="ADA9" s="187"/>
      <c r="ADG9" s="188"/>
      <c r="ADH9" s="187"/>
      <c r="ADN9" s="188"/>
      <c r="ADO9" s="190"/>
      <c r="ADP9" s="189"/>
      <c r="ADU9" s="188"/>
      <c r="ADV9" s="187"/>
      <c r="AEB9" s="188"/>
      <c r="AEC9" s="187"/>
      <c r="AEI9" s="188"/>
      <c r="AEJ9" s="187"/>
      <c r="AEP9" s="188"/>
      <c r="AEQ9" s="187"/>
      <c r="AET9" s="168"/>
      <c r="AEU9" s="189"/>
      <c r="AEW9" s="188"/>
      <c r="AEX9" s="187"/>
      <c r="AFD9" s="188"/>
      <c r="AFE9" s="187"/>
      <c r="AFK9" s="188"/>
      <c r="AFL9" s="187"/>
      <c r="AFR9" s="188"/>
      <c r="AFS9" s="187"/>
      <c r="AFX9" s="168"/>
      <c r="AFY9" s="191"/>
      <c r="AFZ9" s="187"/>
      <c r="AGF9" s="188"/>
      <c r="AGG9" s="187"/>
      <c r="AGM9" s="188"/>
      <c r="AGN9" s="187"/>
      <c r="AGT9" s="188"/>
      <c r="AGU9" s="187"/>
      <c r="AHA9" s="188"/>
      <c r="AHB9" s="187"/>
      <c r="AHC9" s="168"/>
      <c r="AHD9" s="189"/>
      <c r="AHH9" s="188"/>
      <c r="AHI9" s="187"/>
      <c r="AHO9" s="188"/>
      <c r="AHP9" s="187"/>
      <c r="AHV9" s="188"/>
      <c r="AHW9" s="187"/>
      <c r="AIC9" s="188"/>
      <c r="AID9" s="187"/>
      <c r="AIG9" s="168"/>
      <c r="AIH9" s="189"/>
      <c r="AIJ9" s="188"/>
      <c r="AIK9" s="187"/>
      <c r="AIQ9" s="188"/>
      <c r="AIR9" s="187"/>
      <c r="AIX9" s="188"/>
      <c r="AIY9" s="187"/>
      <c r="AJE9" s="188"/>
      <c r="AJF9" s="187"/>
      <c r="AJL9" s="168"/>
      <c r="AJM9" s="189"/>
      <c r="AJS9" s="188"/>
      <c r="AJT9" s="187"/>
      <c r="AJZ9" s="188"/>
      <c r="AKA9" s="187"/>
      <c r="AKG9" s="188"/>
      <c r="AKH9" s="187"/>
      <c r="AKN9" s="188"/>
      <c r="AKO9" s="187"/>
      <c r="AKQ9" s="168"/>
      <c r="AKR9" s="189"/>
      <c r="AKU9" s="188"/>
      <c r="AKV9" s="187"/>
      <c r="ALB9" s="188"/>
      <c r="ALC9" s="187"/>
      <c r="ALI9" s="188"/>
      <c r="ALJ9" s="187"/>
      <c r="ALP9" s="188"/>
      <c r="ALQ9" s="187"/>
      <c r="ALU9" s="168"/>
      <c r="ALV9" s="189"/>
      <c r="ALW9" s="188"/>
      <c r="ALX9" s="187"/>
      <c r="AMD9" s="188"/>
      <c r="AME9" s="187"/>
      <c r="AMK9" s="188"/>
      <c r="AML9" s="187"/>
      <c r="AMR9" s="188"/>
      <c r="AMS9" s="187"/>
      <c r="AMY9" s="188"/>
      <c r="AMZ9" s="190"/>
      <c r="ANA9" s="189"/>
      <c r="ANF9" s="188"/>
      <c r="ANG9" s="187"/>
      <c r="ANM9" s="188"/>
      <c r="ANN9" s="187"/>
      <c r="ANT9" s="188"/>
      <c r="ANU9" s="187"/>
      <c r="AOA9" s="188"/>
      <c r="AOB9" s="187"/>
      <c r="AOD9" s="168"/>
      <c r="AOE9" s="189"/>
      <c r="AOH9" s="188"/>
      <c r="AOI9" s="187"/>
      <c r="AOO9" s="188"/>
      <c r="AOP9" s="187"/>
      <c r="AOV9" s="188"/>
      <c r="AOW9" s="187"/>
      <c r="APC9" s="188"/>
      <c r="APD9" s="187"/>
      <c r="API9" s="168"/>
      <c r="APJ9" s="191"/>
      <c r="APK9" s="187"/>
      <c r="APQ9" s="188"/>
      <c r="APR9" s="187"/>
      <c r="APX9" s="188"/>
      <c r="APY9" s="187"/>
      <c r="AQE9" s="188"/>
      <c r="AQF9" s="187"/>
      <c r="AQL9" s="188"/>
      <c r="AQM9" s="187"/>
      <c r="AQN9" s="168"/>
      <c r="AQO9" s="189"/>
      <c r="AQS9" s="188"/>
      <c r="AQT9" s="187"/>
      <c r="AQZ9" s="188"/>
      <c r="ARA9" s="187"/>
      <c r="ARG9" s="188"/>
      <c r="ARH9" s="187"/>
      <c r="ARN9" s="188"/>
      <c r="ARO9" s="187"/>
      <c r="ARP9" s="168"/>
      <c r="ARQ9" s="189"/>
      <c r="ARU9" s="188"/>
      <c r="ARV9" s="187"/>
      <c r="ASB9" s="188"/>
      <c r="ASC9" s="187"/>
      <c r="ASI9" s="188"/>
      <c r="ASJ9" s="187"/>
      <c r="ASP9" s="188"/>
      <c r="ASQ9" s="187"/>
      <c r="ASU9" s="168"/>
      <c r="ASV9" s="189"/>
      <c r="ASW9" s="188"/>
      <c r="ASX9" s="187"/>
      <c r="ATD9" s="188"/>
      <c r="ATE9" s="187"/>
      <c r="ATK9" s="188"/>
      <c r="ATL9" s="187"/>
      <c r="ATR9" s="188"/>
      <c r="ATS9" s="187"/>
      <c r="ATY9" s="168"/>
      <c r="ATZ9" s="189"/>
      <c r="AUF9" s="188"/>
      <c r="AUG9" s="187"/>
      <c r="AUM9" s="188"/>
      <c r="AUN9" s="187"/>
      <c r="AUT9" s="188"/>
      <c r="AUU9" s="187"/>
      <c r="AVA9" s="188"/>
      <c r="AVB9" s="187"/>
      <c r="AVD9" s="168"/>
      <c r="AVE9" s="189"/>
      <c r="AVH9" s="188"/>
      <c r="AVI9" s="187"/>
      <c r="AVO9" s="188"/>
      <c r="AVP9" s="187"/>
      <c r="AVV9" s="188"/>
      <c r="AVW9" s="187"/>
      <c r="AWC9" s="188"/>
      <c r="AWD9" s="187"/>
      <c r="AWH9" s="168"/>
      <c r="AWI9" s="189"/>
      <c r="AWJ9" s="188"/>
      <c r="AWK9" s="187"/>
      <c r="AWQ9" s="188"/>
      <c r="AWR9" s="187"/>
      <c r="AWX9" s="188"/>
      <c r="AWY9" s="187"/>
      <c r="AXE9" s="188"/>
      <c r="AXF9" s="187"/>
      <c r="AXL9" s="188"/>
      <c r="AXM9" s="190"/>
      <c r="AXN9" s="189"/>
      <c r="AXS9" s="188"/>
      <c r="AXT9" s="187"/>
      <c r="AXZ9" s="188"/>
      <c r="AYA9" s="187"/>
      <c r="AYG9" s="188"/>
      <c r="AYH9" s="187"/>
      <c r="AYN9" s="188"/>
      <c r="AYO9" s="187"/>
      <c r="AYR9" s="168"/>
      <c r="AYS9" s="189"/>
      <c r="AYU9" s="188"/>
      <c r="AYV9" s="187"/>
      <c r="AZB9" s="188"/>
      <c r="AZC9" s="187"/>
      <c r="AZI9" s="188"/>
      <c r="AZJ9" s="187"/>
      <c r="AZP9" s="188"/>
      <c r="AZQ9" s="187"/>
      <c r="AZV9" s="168"/>
      <c r="AZW9" s="191"/>
      <c r="AZX9" s="187"/>
      <c r="BAD9" s="188"/>
      <c r="BAE9" s="187"/>
      <c r="BAK9" s="188"/>
      <c r="BAL9" s="187"/>
      <c r="BAR9" s="188"/>
      <c r="BAS9" s="187"/>
      <c r="BAY9" s="188"/>
      <c r="BAZ9" s="187"/>
      <c r="BBA9" s="168"/>
      <c r="BBB9" s="189"/>
      <c r="BBF9" s="188"/>
      <c r="BBG9" s="187"/>
      <c r="BBM9" s="188"/>
      <c r="BBN9" s="187"/>
      <c r="BBT9" s="188"/>
      <c r="BBU9" s="187"/>
      <c r="BCA9" s="188"/>
      <c r="BCB9" s="187"/>
      <c r="BCE9" s="168"/>
      <c r="BCF9" s="189"/>
      <c r="BCH9" s="188"/>
      <c r="BCI9" s="187"/>
      <c r="BCO9" s="188"/>
      <c r="BCP9" s="187"/>
      <c r="BCV9" s="188"/>
      <c r="BCW9" s="187"/>
      <c r="BDC9" s="188"/>
      <c r="BDD9" s="187"/>
      <c r="BDJ9" s="168"/>
      <c r="BDK9" s="189"/>
      <c r="BDQ9" s="188"/>
      <c r="BDR9" s="187"/>
      <c r="BDX9" s="188"/>
      <c r="BDY9" s="187"/>
      <c r="BEE9" s="188"/>
      <c r="BEF9" s="187"/>
      <c r="BEL9" s="188"/>
      <c r="BEM9" s="187"/>
      <c r="BEO9" s="168"/>
      <c r="BEP9" s="189"/>
      <c r="BES9" s="188"/>
      <c r="BET9" s="187"/>
      <c r="BEZ9" s="188"/>
      <c r="BFA9" s="187"/>
      <c r="BFG9" s="188"/>
      <c r="BFH9" s="187"/>
      <c r="BFN9" s="188"/>
      <c r="BFO9" s="187"/>
      <c r="BFQ9" s="168"/>
      <c r="BFR9" s="189"/>
      <c r="BFU9" s="188"/>
      <c r="BFV9" s="187"/>
      <c r="BGB9" s="188"/>
      <c r="BGC9" s="187"/>
      <c r="BGI9" s="188"/>
      <c r="BGJ9" s="187"/>
      <c r="BGP9" s="188"/>
      <c r="BGQ9" s="187"/>
      <c r="BGV9" s="168"/>
      <c r="BGW9" s="191"/>
      <c r="BGX9" s="187"/>
      <c r="BHD9" s="188"/>
      <c r="BHE9" s="187"/>
      <c r="BHK9" s="188"/>
      <c r="BHL9" s="187"/>
      <c r="BHR9" s="188"/>
      <c r="BHS9" s="187"/>
      <c r="BHY9" s="188"/>
      <c r="BHZ9" s="190"/>
      <c r="BIA9" s="189"/>
      <c r="BIF9" s="188"/>
      <c r="BIG9" s="187"/>
      <c r="BIM9" s="188"/>
      <c r="BIN9" s="187"/>
      <c r="BIT9" s="188"/>
      <c r="BIU9" s="187"/>
      <c r="BJA9" s="188"/>
      <c r="BJB9" s="187"/>
      <c r="BJE9" s="168"/>
      <c r="BJF9" s="189"/>
      <c r="BJH9" s="188"/>
      <c r="BJI9" s="187"/>
      <c r="BJO9" s="188"/>
      <c r="BJP9" s="187"/>
      <c r="BJV9" s="188"/>
      <c r="BJW9" s="187"/>
      <c r="BKC9" s="188"/>
      <c r="BKD9" s="187"/>
      <c r="BKI9" s="168"/>
      <c r="BKJ9" s="191"/>
      <c r="BKK9" s="187"/>
      <c r="BKQ9" s="188"/>
      <c r="BKR9" s="187"/>
      <c r="BKX9" s="188"/>
      <c r="BKY9" s="187"/>
      <c r="BLE9" s="188"/>
      <c r="BLF9" s="187"/>
      <c r="BLL9" s="188"/>
      <c r="BLM9" s="187"/>
      <c r="BLN9" s="168"/>
      <c r="BLO9" s="189"/>
      <c r="BLS9" s="188"/>
      <c r="BLT9" s="187"/>
      <c r="BLZ9" s="188"/>
      <c r="BMA9" s="187"/>
      <c r="BMG9" s="188"/>
      <c r="BMH9" s="187"/>
      <c r="BMN9" s="188"/>
      <c r="BMO9" s="187"/>
      <c r="BMS9" s="168"/>
      <c r="BMT9" s="189"/>
      <c r="BMU9" s="188"/>
      <c r="BMV9" s="187"/>
      <c r="BNB9" s="188"/>
      <c r="BNC9" s="187"/>
      <c r="BNI9" s="188"/>
      <c r="BNJ9" s="187"/>
      <c r="BNP9" s="188"/>
      <c r="BNQ9" s="187"/>
      <c r="BNW9" s="168"/>
      <c r="BNX9" s="189"/>
      <c r="BOD9" s="188"/>
      <c r="BOE9" s="187"/>
      <c r="BOK9" s="188"/>
      <c r="BOL9" s="187"/>
      <c r="BOR9" s="188"/>
      <c r="BOS9" s="187"/>
      <c r="BOY9" s="188"/>
      <c r="BOZ9" s="187"/>
      <c r="BPB9" s="168"/>
      <c r="BPC9" s="189"/>
      <c r="BPF9" s="188"/>
      <c r="BPG9" s="187"/>
      <c r="BPM9" s="188"/>
      <c r="BPN9" s="187"/>
      <c r="BPT9" s="188"/>
      <c r="BPU9" s="187"/>
      <c r="BQA9" s="188"/>
      <c r="BQB9" s="187"/>
      <c r="BQF9" s="168"/>
      <c r="BQG9" s="189"/>
      <c r="BQH9" s="188"/>
      <c r="BQI9" s="187"/>
      <c r="BQO9" s="188"/>
      <c r="BQP9" s="187"/>
      <c r="BQV9" s="188"/>
      <c r="BQW9" s="187"/>
      <c r="BRC9" s="188"/>
      <c r="BRD9" s="187"/>
      <c r="BRJ9" s="188"/>
      <c r="BRK9" s="190"/>
      <c r="BRL9" s="189"/>
      <c r="BRQ9" s="188"/>
      <c r="BRR9" s="187"/>
      <c r="BRX9" s="188"/>
      <c r="BRY9" s="187"/>
      <c r="BSE9" s="188"/>
      <c r="BSF9" s="187"/>
      <c r="BSL9" s="188"/>
      <c r="BSM9" s="187"/>
      <c r="BSP9" s="168"/>
      <c r="BSQ9" s="189"/>
      <c r="BSS9" s="188"/>
      <c r="BST9" s="187"/>
      <c r="BSZ9" s="188"/>
      <c r="BTA9" s="187"/>
      <c r="BTG9" s="188"/>
      <c r="BTH9" s="187"/>
      <c r="BTN9" s="188"/>
      <c r="BTO9" s="187"/>
      <c r="BTS9" s="168"/>
      <c r="BTT9" s="189"/>
      <c r="BTU9" s="188"/>
      <c r="BTV9" s="187"/>
      <c r="BUB9" s="188"/>
      <c r="BUC9" s="187"/>
      <c r="BUI9" s="188"/>
      <c r="BUJ9" s="187"/>
      <c r="BUP9" s="188"/>
      <c r="BUQ9" s="187"/>
      <c r="BUW9" s="188"/>
      <c r="BUX9" s="190"/>
      <c r="BUY9" s="189"/>
      <c r="BVD9" s="188"/>
      <c r="BVE9" s="187"/>
      <c r="BVK9" s="188"/>
      <c r="BVL9" s="187"/>
      <c r="BVR9" s="188"/>
      <c r="BVS9" s="187"/>
      <c r="BVY9" s="188"/>
      <c r="BVZ9" s="187"/>
      <c r="BWB9" s="168"/>
      <c r="BWC9" s="189"/>
      <c r="BWF9" s="188"/>
      <c r="BWG9" s="187"/>
      <c r="BWM9" s="188"/>
      <c r="BWN9" s="187"/>
      <c r="BWT9" s="188"/>
      <c r="BWU9" s="187"/>
      <c r="BXA9" s="188"/>
      <c r="BXB9" s="187"/>
      <c r="BXG9" s="168"/>
      <c r="BXH9" s="191"/>
      <c r="BXI9" s="187"/>
      <c r="BXO9" s="188"/>
      <c r="BXP9" s="187"/>
      <c r="BXV9" s="188"/>
      <c r="BXW9" s="187"/>
      <c r="BYC9" s="188"/>
      <c r="BYD9" s="187"/>
      <c r="BYJ9" s="188"/>
      <c r="BYK9" s="190"/>
      <c r="BYL9" s="189"/>
      <c r="BYQ9" s="188"/>
      <c r="BYR9" s="187"/>
      <c r="BYX9" s="188"/>
      <c r="BYY9" s="187"/>
      <c r="BZE9" s="188"/>
      <c r="BZF9" s="187"/>
      <c r="BZL9" s="188"/>
      <c r="BZM9" s="187"/>
      <c r="BZP9" s="168"/>
      <c r="BZQ9" s="189"/>
      <c r="BZS9" s="188"/>
      <c r="BZT9" s="187"/>
      <c r="BZZ9" s="188"/>
      <c r="CAA9" s="187"/>
      <c r="CAG9" s="188"/>
      <c r="CAH9" s="187"/>
      <c r="CAN9" s="188"/>
      <c r="CAO9" s="187"/>
      <c r="CAU9" s="168"/>
      <c r="CAV9" s="189"/>
      <c r="CBB9" s="188"/>
      <c r="CBC9" s="187"/>
      <c r="CBI9" s="188"/>
      <c r="CBJ9" s="187"/>
      <c r="CBP9" s="188"/>
      <c r="CBQ9" s="187"/>
      <c r="CBW9" s="188"/>
      <c r="CBX9" s="187"/>
      <c r="CBY9" s="168"/>
      <c r="CBZ9" s="189"/>
      <c r="CCD9" s="188"/>
      <c r="CCE9" s="187"/>
      <c r="CCK9" s="188"/>
      <c r="CCL9" s="187"/>
      <c r="CCR9" s="188"/>
      <c r="CCS9" s="187"/>
      <c r="CCY9" s="188"/>
      <c r="CCZ9" s="187"/>
      <c r="CDD9" s="168"/>
      <c r="CDE9" s="189"/>
      <c r="CDF9" s="188"/>
      <c r="CDG9" s="187"/>
      <c r="CDM9" s="188"/>
      <c r="CDN9" s="187"/>
      <c r="CDT9" s="188"/>
      <c r="CDU9" s="187"/>
      <c r="CEA9" s="188"/>
      <c r="CEB9" s="187"/>
      <c r="CEH9" s="168"/>
      <c r="CEI9" s="189"/>
      <c r="CEO9" s="188"/>
      <c r="CEP9" s="187"/>
      <c r="CEV9" s="188"/>
      <c r="CEW9" s="187"/>
      <c r="CFC9" s="188"/>
      <c r="CFD9" s="187"/>
      <c r="CFJ9" s="188"/>
      <c r="CFK9" s="187"/>
    </row>
    <row r="10" spans="1:2201">
      <c r="A10" s="164" t="s">
        <v>254</v>
      </c>
      <c r="D10" s="186"/>
      <c r="E10" s="186"/>
      <c r="K10" s="187"/>
      <c r="Q10" s="188"/>
      <c r="R10" s="187"/>
      <c r="X10" s="188"/>
      <c r="Y10" s="187"/>
      <c r="AE10" s="188"/>
      <c r="AF10" s="187"/>
      <c r="AJ10" s="168"/>
      <c r="AK10" s="189"/>
      <c r="AL10" s="188"/>
      <c r="AM10" s="187"/>
      <c r="AS10" s="188"/>
      <c r="AT10" s="187"/>
      <c r="AZ10" s="188"/>
      <c r="BA10" s="187"/>
      <c r="BG10" s="188"/>
      <c r="BH10" s="187"/>
      <c r="BL10" s="168"/>
      <c r="BM10" s="189"/>
      <c r="BN10" s="188"/>
      <c r="BO10" s="187"/>
      <c r="BU10" s="188"/>
      <c r="BV10" s="187"/>
      <c r="CB10" s="188"/>
      <c r="CC10" s="187"/>
      <c r="CI10" s="188"/>
      <c r="CJ10" s="187"/>
      <c r="CP10" s="188"/>
      <c r="CQ10" s="190"/>
      <c r="CR10" s="189"/>
      <c r="CW10" s="188"/>
      <c r="CX10" s="187"/>
      <c r="DD10" s="188"/>
      <c r="DE10" s="187"/>
      <c r="DK10" s="188"/>
      <c r="DL10" s="187"/>
      <c r="DR10" s="188"/>
      <c r="DS10" s="187"/>
      <c r="DU10" s="168"/>
      <c r="DV10" s="189"/>
      <c r="DY10" s="188"/>
      <c r="DZ10" s="187"/>
      <c r="EF10" s="188"/>
      <c r="EG10" s="187"/>
      <c r="EM10" s="188"/>
      <c r="EN10" s="187"/>
      <c r="ET10" s="188"/>
      <c r="EU10" s="187"/>
      <c r="EZ10" s="168"/>
      <c r="FA10" s="191"/>
      <c r="FB10" s="187"/>
      <c r="FH10" s="188"/>
      <c r="FI10" s="187"/>
      <c r="FO10" s="188"/>
      <c r="FP10" s="187"/>
      <c r="FV10" s="188"/>
      <c r="FW10" s="187"/>
      <c r="GC10" s="188"/>
      <c r="GD10" s="190"/>
      <c r="GE10" s="189"/>
      <c r="GJ10" s="188"/>
      <c r="GK10" s="187"/>
      <c r="GQ10" s="188"/>
      <c r="GR10" s="187"/>
      <c r="GX10" s="188"/>
      <c r="GY10" s="187"/>
      <c r="HE10" s="188"/>
      <c r="HF10" s="187"/>
      <c r="HI10" s="168"/>
      <c r="HJ10" s="189"/>
      <c r="HL10" s="188"/>
      <c r="HM10" s="187"/>
      <c r="HS10" s="188"/>
      <c r="HT10" s="187"/>
      <c r="HZ10" s="188"/>
      <c r="IA10" s="187"/>
      <c r="IG10" s="188"/>
      <c r="IH10" s="187"/>
      <c r="IN10" s="168"/>
      <c r="IO10" s="189"/>
      <c r="IU10" s="188"/>
      <c r="IV10" s="187"/>
      <c r="JB10" s="188"/>
      <c r="JC10" s="187"/>
      <c r="JI10" s="188"/>
      <c r="JJ10" s="187"/>
      <c r="JP10" s="188"/>
      <c r="JQ10" s="187"/>
      <c r="JR10" s="168"/>
      <c r="JS10" s="189"/>
      <c r="JW10" s="188"/>
      <c r="JX10" s="187"/>
      <c r="KD10" s="188"/>
      <c r="KE10" s="187"/>
      <c r="KK10" s="188"/>
      <c r="KL10" s="187"/>
      <c r="KR10" s="188"/>
      <c r="KS10" s="187"/>
      <c r="KW10" s="168"/>
      <c r="KX10" s="189"/>
      <c r="KY10" s="188"/>
      <c r="KZ10" s="187"/>
      <c r="LF10" s="188"/>
      <c r="LG10" s="187"/>
      <c r="LM10" s="188"/>
      <c r="LN10" s="187"/>
      <c r="LT10" s="188"/>
      <c r="LU10" s="187"/>
      <c r="MA10" s="168"/>
      <c r="MB10" s="189"/>
      <c r="MH10" s="188"/>
      <c r="MI10" s="187"/>
      <c r="MO10" s="188"/>
      <c r="MP10" s="187"/>
      <c r="MV10" s="188"/>
      <c r="MW10" s="187"/>
      <c r="NC10" s="188"/>
      <c r="ND10" s="187"/>
      <c r="NF10" s="168"/>
      <c r="NG10" s="189"/>
      <c r="NJ10" s="188"/>
      <c r="NK10" s="187"/>
      <c r="NQ10" s="188"/>
      <c r="NR10" s="187"/>
      <c r="NX10" s="188"/>
      <c r="NY10" s="187"/>
      <c r="OE10" s="188"/>
      <c r="OF10" s="187"/>
      <c r="OK10" s="168"/>
      <c r="OL10" s="191"/>
      <c r="OM10" s="187"/>
      <c r="OS10" s="188"/>
      <c r="OT10" s="187"/>
      <c r="OZ10" s="188"/>
      <c r="PA10" s="187"/>
      <c r="PG10" s="188"/>
      <c r="PH10" s="187"/>
      <c r="PN10" s="168"/>
      <c r="PO10" s="189"/>
      <c r="PU10" s="188"/>
      <c r="PV10" s="187"/>
      <c r="QB10" s="188"/>
      <c r="QC10" s="187"/>
      <c r="QI10" s="188"/>
      <c r="QJ10" s="187"/>
      <c r="QP10" s="188"/>
      <c r="QQ10" s="187"/>
      <c r="QS10" s="168"/>
      <c r="QT10" s="189"/>
      <c r="QW10" s="188"/>
      <c r="QX10" s="187"/>
      <c r="RD10" s="188"/>
      <c r="RE10" s="187"/>
      <c r="RK10" s="188"/>
      <c r="RL10" s="187"/>
      <c r="RR10" s="188"/>
      <c r="RS10" s="187"/>
      <c r="RW10" s="168"/>
      <c r="RX10" s="189"/>
      <c r="RY10" s="188"/>
      <c r="RZ10" s="187"/>
      <c r="SF10" s="188"/>
      <c r="SG10" s="187"/>
      <c r="SM10" s="188"/>
      <c r="SN10" s="187"/>
      <c r="ST10" s="188"/>
      <c r="SU10" s="187"/>
      <c r="TA10" s="188"/>
      <c r="TB10" s="190"/>
      <c r="TC10" s="189"/>
      <c r="TH10" s="188"/>
      <c r="TI10" s="187"/>
      <c r="TO10" s="188"/>
      <c r="TP10" s="187"/>
      <c r="TV10" s="188"/>
      <c r="TW10" s="187"/>
      <c r="UC10" s="188"/>
      <c r="UD10" s="187"/>
      <c r="UF10" s="168"/>
      <c r="UG10" s="189"/>
      <c r="UJ10" s="188"/>
      <c r="UK10" s="187"/>
      <c r="UQ10" s="188"/>
      <c r="UR10" s="187"/>
      <c r="UX10" s="188"/>
      <c r="UY10" s="187"/>
      <c r="VE10" s="188"/>
      <c r="VF10" s="187"/>
      <c r="VK10" s="168"/>
      <c r="VL10" s="191"/>
      <c r="VM10" s="187"/>
      <c r="VS10" s="188"/>
      <c r="VT10" s="187"/>
      <c r="VZ10" s="188"/>
      <c r="WA10" s="187"/>
      <c r="WG10" s="188"/>
      <c r="WH10" s="187"/>
      <c r="WN10" s="188"/>
      <c r="WO10" s="187"/>
      <c r="WP10" s="168"/>
      <c r="WQ10" s="189"/>
      <c r="WU10" s="188"/>
      <c r="WV10" s="187"/>
      <c r="XB10" s="188"/>
      <c r="XC10" s="187"/>
      <c r="XI10" s="188"/>
      <c r="XJ10" s="187"/>
      <c r="XP10" s="188"/>
      <c r="XQ10" s="187"/>
      <c r="XT10" s="168"/>
      <c r="XU10" s="189"/>
      <c r="XW10" s="188"/>
      <c r="XX10" s="187"/>
      <c r="YD10" s="188"/>
      <c r="YE10" s="187"/>
      <c r="YK10" s="188"/>
      <c r="YL10" s="187"/>
      <c r="YR10" s="188"/>
      <c r="YS10" s="187"/>
      <c r="YY10" s="168"/>
      <c r="YZ10" s="189"/>
      <c r="ZF10" s="188"/>
      <c r="ZG10" s="187"/>
      <c r="ZM10" s="188"/>
      <c r="ZN10" s="187"/>
      <c r="ZT10" s="188"/>
      <c r="ZU10" s="187"/>
      <c r="AAA10" s="188"/>
      <c r="AAB10" s="187"/>
      <c r="AAC10" s="168"/>
      <c r="AAD10" s="189"/>
      <c r="AAH10" s="188"/>
      <c r="AAI10" s="187"/>
      <c r="AAO10" s="188"/>
      <c r="AAP10" s="187"/>
      <c r="AAV10" s="188"/>
      <c r="AAW10" s="187"/>
      <c r="ABC10" s="188"/>
      <c r="ABD10" s="187"/>
      <c r="ABH10" s="168"/>
      <c r="ABI10" s="189"/>
      <c r="ABJ10" s="188"/>
      <c r="ABK10" s="187"/>
      <c r="ABQ10" s="188"/>
      <c r="ABR10" s="187"/>
      <c r="ABX10" s="188"/>
      <c r="ABY10" s="187"/>
      <c r="ACE10" s="188"/>
      <c r="ACF10" s="187"/>
      <c r="ACL10" s="188"/>
      <c r="ACM10" s="190"/>
      <c r="ACN10" s="189"/>
      <c r="ACS10" s="188"/>
      <c r="ACT10" s="187"/>
      <c r="ACZ10" s="188"/>
      <c r="ADA10" s="187"/>
      <c r="ADG10" s="188"/>
      <c r="ADH10" s="187"/>
      <c r="ADN10" s="188"/>
      <c r="ADO10" s="190"/>
      <c r="ADP10" s="189"/>
      <c r="ADU10" s="188"/>
      <c r="ADV10" s="187"/>
      <c r="AEB10" s="188"/>
      <c r="AEC10" s="187"/>
      <c r="AEI10" s="188"/>
      <c r="AEJ10" s="187"/>
      <c r="AEP10" s="188"/>
      <c r="AEQ10" s="187"/>
      <c r="AET10" s="168"/>
      <c r="AEU10" s="189"/>
      <c r="AEW10" s="188"/>
      <c r="AEX10" s="187"/>
      <c r="AFD10" s="188"/>
      <c r="AFE10" s="187"/>
      <c r="AFK10" s="188"/>
      <c r="AFL10" s="187"/>
      <c r="AFR10" s="188"/>
      <c r="AFS10" s="187"/>
      <c r="AFX10" s="168"/>
      <c r="AFY10" s="191"/>
      <c r="AFZ10" s="187"/>
      <c r="AGF10" s="188"/>
      <c r="AGG10" s="187"/>
      <c r="AGM10" s="188"/>
      <c r="AGN10" s="187"/>
      <c r="AGT10" s="188"/>
      <c r="AGU10" s="187"/>
      <c r="AHA10" s="188"/>
      <c r="AHB10" s="187"/>
      <c r="AHC10" s="168"/>
      <c r="AHD10" s="189"/>
      <c r="AHH10" s="188"/>
      <c r="AHI10" s="187"/>
      <c r="AHO10" s="188"/>
      <c r="AHP10" s="187"/>
      <c r="AHV10" s="188"/>
      <c r="AHW10" s="187"/>
      <c r="AIC10" s="188"/>
      <c r="AID10" s="187"/>
      <c r="AIG10" s="168"/>
      <c r="AIH10" s="189"/>
      <c r="AIJ10" s="188"/>
      <c r="AIK10" s="187"/>
      <c r="AIQ10" s="188"/>
      <c r="AIR10" s="187"/>
      <c r="AIX10" s="188"/>
      <c r="AIY10" s="187"/>
      <c r="AJE10" s="188"/>
      <c r="AJF10" s="187"/>
      <c r="AJL10" s="168"/>
      <c r="AJM10" s="189"/>
      <c r="AJS10" s="188"/>
      <c r="AJT10" s="187"/>
      <c r="AJZ10" s="188"/>
      <c r="AKA10" s="187"/>
      <c r="AKG10" s="188"/>
      <c r="AKH10" s="187"/>
      <c r="AKN10" s="188"/>
      <c r="AKO10" s="187"/>
      <c r="AKQ10" s="168"/>
      <c r="AKR10" s="189"/>
      <c r="AKU10" s="188"/>
      <c r="AKV10" s="187"/>
      <c r="ALB10" s="188"/>
      <c r="ALC10" s="187"/>
      <c r="ALI10" s="188"/>
      <c r="ALJ10" s="187"/>
      <c r="ALP10" s="188"/>
      <c r="ALQ10" s="187"/>
      <c r="ALU10" s="168"/>
      <c r="ALV10" s="189"/>
      <c r="ALW10" s="188"/>
      <c r="ALX10" s="187"/>
      <c r="AMD10" s="188"/>
      <c r="AME10" s="187"/>
      <c r="AMK10" s="188"/>
      <c r="AML10" s="187"/>
      <c r="AMR10" s="188"/>
      <c r="AMS10" s="187"/>
      <c r="AMY10" s="188"/>
      <c r="AMZ10" s="190"/>
      <c r="ANA10" s="189"/>
      <c r="ANF10" s="188"/>
      <c r="ANG10" s="187"/>
      <c r="ANM10" s="188"/>
      <c r="ANN10" s="187"/>
      <c r="ANT10" s="188"/>
      <c r="ANU10" s="187"/>
      <c r="AOA10" s="188"/>
      <c r="AOB10" s="187"/>
      <c r="AOD10" s="168"/>
      <c r="AOE10" s="189"/>
      <c r="AOH10" s="188"/>
      <c r="AOI10" s="187"/>
      <c r="AOO10" s="188"/>
      <c r="AOP10" s="187"/>
      <c r="AOV10" s="188"/>
      <c r="AOW10" s="187"/>
      <c r="APC10" s="188"/>
      <c r="APD10" s="187"/>
      <c r="API10" s="168"/>
      <c r="APJ10" s="191"/>
      <c r="APK10" s="187"/>
      <c r="APQ10" s="188"/>
      <c r="APR10" s="187"/>
      <c r="APX10" s="188"/>
      <c r="APY10" s="187"/>
      <c r="AQE10" s="188"/>
      <c r="AQF10" s="187"/>
      <c r="AQL10" s="188"/>
      <c r="AQM10" s="187"/>
      <c r="AQN10" s="168"/>
      <c r="AQO10" s="189"/>
      <c r="AQS10" s="188"/>
      <c r="AQT10" s="187"/>
      <c r="AQZ10" s="188"/>
      <c r="ARA10" s="187"/>
      <c r="ARG10" s="188"/>
      <c r="ARH10" s="187"/>
      <c r="ARN10" s="188"/>
      <c r="ARO10" s="187"/>
      <c r="ARP10" s="168"/>
      <c r="ARQ10" s="189"/>
      <c r="ARU10" s="188"/>
      <c r="ARV10" s="187"/>
      <c r="ASB10" s="188"/>
      <c r="ASC10" s="187"/>
      <c r="ASI10" s="188"/>
      <c r="ASJ10" s="187"/>
      <c r="ASP10" s="188"/>
      <c r="ASQ10" s="187"/>
      <c r="ASU10" s="168"/>
      <c r="ASV10" s="189"/>
      <c r="ASW10" s="188"/>
      <c r="ASX10" s="187"/>
      <c r="ATD10" s="188"/>
      <c r="ATE10" s="187"/>
      <c r="ATK10" s="188"/>
      <c r="ATL10" s="187"/>
      <c r="ATR10" s="188"/>
      <c r="ATS10" s="187"/>
      <c r="ATY10" s="168"/>
      <c r="ATZ10" s="189"/>
      <c r="AUF10" s="188"/>
      <c r="AUG10" s="187"/>
      <c r="AUM10" s="188"/>
      <c r="AUN10" s="187"/>
      <c r="AUT10" s="188"/>
      <c r="AUU10" s="187"/>
      <c r="AVA10" s="188"/>
      <c r="AVB10" s="187"/>
      <c r="AVD10" s="168"/>
      <c r="AVE10" s="189"/>
      <c r="AVH10" s="188"/>
      <c r="AVI10" s="187"/>
      <c r="AVO10" s="188"/>
      <c r="AVP10" s="187"/>
      <c r="AVV10" s="188"/>
      <c r="AVW10" s="187"/>
      <c r="AWC10" s="188"/>
      <c r="AWD10" s="187"/>
      <c r="AWH10" s="168"/>
      <c r="AWI10" s="189"/>
      <c r="AWJ10" s="188"/>
      <c r="AWK10" s="187"/>
      <c r="AWQ10" s="188"/>
      <c r="AWR10" s="187"/>
      <c r="AWX10" s="188"/>
      <c r="AWY10" s="187"/>
      <c r="AXE10" s="188"/>
      <c r="AXF10" s="187"/>
      <c r="AXL10" s="188"/>
      <c r="AXM10" s="190"/>
      <c r="AXN10" s="189"/>
      <c r="AXS10" s="188"/>
      <c r="AXT10" s="187"/>
      <c r="AXZ10" s="188"/>
      <c r="AYA10" s="187"/>
      <c r="AYG10" s="188"/>
      <c r="AYH10" s="187"/>
      <c r="AYN10" s="188"/>
      <c r="AYO10" s="187"/>
      <c r="AYR10" s="168"/>
      <c r="AYS10" s="189"/>
      <c r="AYU10" s="188"/>
      <c r="AYV10" s="187"/>
      <c r="AZB10" s="188"/>
      <c r="AZC10" s="187"/>
      <c r="AZI10" s="188"/>
      <c r="AZJ10" s="187"/>
      <c r="AZP10" s="188"/>
      <c r="AZQ10" s="187"/>
      <c r="AZV10" s="168"/>
      <c r="AZW10" s="191"/>
      <c r="AZX10" s="187"/>
      <c r="BAD10" s="188"/>
      <c r="BAE10" s="187"/>
      <c r="BAK10" s="188"/>
      <c r="BAL10" s="187"/>
      <c r="BAR10" s="188"/>
      <c r="BAS10" s="187"/>
      <c r="BAY10" s="188"/>
      <c r="BAZ10" s="187"/>
      <c r="BBA10" s="168"/>
      <c r="BBB10" s="189"/>
      <c r="BBF10" s="188"/>
      <c r="BBG10" s="187"/>
      <c r="BBM10" s="188"/>
      <c r="BBN10" s="187"/>
      <c r="BBT10" s="188"/>
      <c r="BBU10" s="187"/>
      <c r="BCA10" s="188"/>
      <c r="BCB10" s="187"/>
      <c r="BCE10" s="168"/>
      <c r="BCF10" s="189"/>
      <c r="BCH10" s="188"/>
      <c r="BCI10" s="187"/>
      <c r="BCO10" s="188"/>
      <c r="BCP10" s="187"/>
      <c r="BCV10" s="188"/>
      <c r="BCW10" s="187"/>
      <c r="BDC10" s="188"/>
      <c r="BDD10" s="187"/>
      <c r="BDJ10" s="168"/>
      <c r="BDK10" s="189"/>
      <c r="BDQ10" s="188"/>
      <c r="BDR10" s="187"/>
      <c r="BDX10" s="188"/>
      <c r="BDY10" s="187"/>
      <c r="BEE10" s="188"/>
      <c r="BEF10" s="187"/>
      <c r="BEL10" s="188"/>
      <c r="BEM10" s="187"/>
      <c r="BEO10" s="168"/>
      <c r="BEP10" s="189"/>
      <c r="BES10" s="188"/>
      <c r="BET10" s="187"/>
      <c r="BEZ10" s="188"/>
      <c r="BFA10" s="187"/>
      <c r="BFG10" s="188"/>
      <c r="BFH10" s="187"/>
      <c r="BFN10" s="188"/>
      <c r="BFO10" s="187"/>
      <c r="BFQ10" s="168"/>
      <c r="BFR10" s="189"/>
      <c r="BFU10" s="188"/>
      <c r="BFV10" s="187"/>
      <c r="BGB10" s="188"/>
      <c r="BGC10" s="187"/>
      <c r="BGI10" s="188"/>
      <c r="BGJ10" s="187"/>
      <c r="BGP10" s="188"/>
      <c r="BGQ10" s="187"/>
      <c r="BGV10" s="168"/>
      <c r="BGW10" s="191"/>
      <c r="BGX10" s="187"/>
      <c r="BHD10" s="188"/>
      <c r="BHE10" s="187"/>
      <c r="BHK10" s="188"/>
      <c r="BHL10" s="187"/>
      <c r="BHR10" s="188"/>
      <c r="BHS10" s="187"/>
      <c r="BHY10" s="188"/>
      <c r="BHZ10" s="190"/>
      <c r="BIA10" s="189"/>
      <c r="BIF10" s="188"/>
      <c r="BIG10" s="187"/>
      <c r="BIM10" s="188"/>
      <c r="BIN10" s="187"/>
      <c r="BIT10" s="188"/>
      <c r="BIU10" s="187"/>
      <c r="BJA10" s="188"/>
      <c r="BJB10" s="187"/>
      <c r="BJE10" s="168"/>
      <c r="BJF10" s="189"/>
      <c r="BJH10" s="188"/>
      <c r="BJI10" s="187"/>
      <c r="BJO10" s="188"/>
      <c r="BJP10" s="187"/>
      <c r="BJV10" s="188"/>
      <c r="BJW10" s="187"/>
      <c r="BKC10" s="188"/>
      <c r="BKD10" s="187"/>
      <c r="BKI10" s="168"/>
      <c r="BKJ10" s="191"/>
      <c r="BKK10" s="187"/>
      <c r="BKQ10" s="188"/>
      <c r="BKR10" s="187"/>
      <c r="BKX10" s="188"/>
      <c r="BKY10" s="187"/>
      <c r="BLE10" s="188"/>
      <c r="BLF10" s="187"/>
      <c r="BLL10" s="188"/>
      <c r="BLM10" s="187"/>
      <c r="BLN10" s="168"/>
      <c r="BLO10" s="189"/>
      <c r="BLS10" s="188"/>
      <c r="BLT10" s="187"/>
      <c r="BLZ10" s="188"/>
      <c r="BMA10" s="187"/>
      <c r="BMG10" s="188"/>
      <c r="BMH10" s="187"/>
      <c r="BMN10" s="188"/>
      <c r="BMO10" s="187"/>
      <c r="BMS10" s="168"/>
      <c r="BMT10" s="189"/>
      <c r="BMU10" s="188"/>
      <c r="BMV10" s="187"/>
      <c r="BNB10" s="188"/>
      <c r="BNC10" s="187"/>
      <c r="BNI10" s="188"/>
      <c r="BNJ10" s="187"/>
      <c r="BNP10" s="188"/>
      <c r="BNQ10" s="187"/>
      <c r="BNW10" s="168"/>
      <c r="BNX10" s="189"/>
      <c r="BOD10" s="188"/>
      <c r="BOE10" s="187"/>
      <c r="BOK10" s="188"/>
      <c r="BOL10" s="187"/>
      <c r="BOR10" s="188"/>
      <c r="BOS10" s="187"/>
      <c r="BOY10" s="188"/>
      <c r="BOZ10" s="187"/>
      <c r="BPB10" s="168"/>
      <c r="BPC10" s="189"/>
      <c r="BPF10" s="188"/>
      <c r="BPG10" s="187"/>
      <c r="BPM10" s="188"/>
      <c r="BPN10" s="187"/>
      <c r="BPT10" s="188"/>
      <c r="BPU10" s="187"/>
      <c r="BQA10" s="188"/>
      <c r="BQB10" s="187"/>
      <c r="BQF10" s="168"/>
      <c r="BQG10" s="189"/>
      <c r="BQH10" s="188"/>
      <c r="BQI10" s="187"/>
      <c r="BQO10" s="188"/>
      <c r="BQP10" s="187"/>
      <c r="BQV10" s="188"/>
      <c r="BQW10" s="187"/>
      <c r="BRC10" s="188"/>
      <c r="BRD10" s="187"/>
      <c r="BRJ10" s="188"/>
      <c r="BRK10" s="190"/>
      <c r="BRL10" s="189"/>
      <c r="BRQ10" s="188"/>
      <c r="BRR10" s="187"/>
      <c r="BRX10" s="188"/>
      <c r="BRY10" s="187"/>
      <c r="BSE10" s="188"/>
      <c r="BSF10" s="187"/>
      <c r="BSL10" s="188"/>
      <c r="BSM10" s="187"/>
      <c r="BSP10" s="168"/>
      <c r="BSQ10" s="189"/>
      <c r="BSS10" s="188"/>
      <c r="BST10" s="187"/>
      <c r="BSZ10" s="188"/>
      <c r="BTA10" s="187"/>
      <c r="BTG10" s="188"/>
      <c r="BTH10" s="187"/>
      <c r="BTN10" s="188"/>
      <c r="BTO10" s="187"/>
      <c r="BTS10" s="168"/>
      <c r="BTT10" s="189"/>
      <c r="BTU10" s="188"/>
      <c r="BTV10" s="187"/>
      <c r="BUB10" s="188"/>
      <c r="BUC10" s="187"/>
      <c r="BUI10" s="188"/>
      <c r="BUJ10" s="187"/>
      <c r="BUP10" s="188"/>
      <c r="BUQ10" s="187"/>
      <c r="BUW10" s="188"/>
      <c r="BUX10" s="190"/>
      <c r="BUY10" s="189"/>
      <c r="BVD10" s="188"/>
      <c r="BVE10" s="187"/>
      <c r="BVK10" s="188"/>
      <c r="BVL10" s="187"/>
      <c r="BVR10" s="188"/>
      <c r="BVS10" s="187"/>
      <c r="BVY10" s="188"/>
      <c r="BVZ10" s="187"/>
      <c r="BWB10" s="168"/>
      <c r="BWC10" s="189"/>
      <c r="BWF10" s="188"/>
      <c r="BWG10" s="187"/>
      <c r="BWM10" s="188"/>
      <c r="BWN10" s="187"/>
      <c r="BWT10" s="188"/>
      <c r="BWU10" s="187"/>
      <c r="BXA10" s="188"/>
      <c r="BXB10" s="187"/>
      <c r="BXG10" s="168"/>
      <c r="BXH10" s="191"/>
      <c r="BXI10" s="187"/>
      <c r="BXO10" s="188"/>
      <c r="BXP10" s="187"/>
      <c r="BXV10" s="188"/>
      <c r="BXW10" s="187"/>
      <c r="BYC10" s="188"/>
      <c r="BYD10" s="187"/>
      <c r="BYJ10" s="188"/>
      <c r="BYK10" s="190"/>
      <c r="BYL10" s="189"/>
      <c r="BYQ10" s="188"/>
      <c r="BYR10" s="187"/>
      <c r="BYX10" s="188"/>
      <c r="BYY10" s="187"/>
      <c r="BZE10" s="188"/>
      <c r="BZF10" s="187"/>
      <c r="BZL10" s="188"/>
      <c r="BZM10" s="187"/>
      <c r="BZP10" s="168"/>
      <c r="BZQ10" s="189"/>
      <c r="BZS10" s="188"/>
      <c r="BZT10" s="187"/>
      <c r="BZZ10" s="188"/>
      <c r="CAA10" s="187"/>
      <c r="CAG10" s="188"/>
      <c r="CAH10" s="187"/>
      <c r="CAN10" s="188"/>
      <c r="CAO10" s="187"/>
      <c r="CAU10" s="168"/>
      <c r="CAV10" s="189"/>
      <c r="CBB10" s="188"/>
      <c r="CBC10" s="187"/>
      <c r="CBI10" s="188"/>
      <c r="CBJ10" s="187"/>
      <c r="CBP10" s="188"/>
      <c r="CBQ10" s="187"/>
      <c r="CBW10" s="188"/>
      <c r="CBX10" s="187"/>
      <c r="CBY10" s="168"/>
      <c r="CBZ10" s="189"/>
      <c r="CCD10" s="188"/>
      <c r="CCE10" s="187"/>
      <c r="CCK10" s="188"/>
      <c r="CCL10" s="187"/>
      <c r="CCR10" s="188"/>
      <c r="CCS10" s="187"/>
      <c r="CCY10" s="188"/>
      <c r="CCZ10" s="187"/>
      <c r="CDD10" s="168"/>
      <c r="CDE10" s="189"/>
      <c r="CDF10" s="188"/>
      <c r="CDG10" s="187"/>
      <c r="CDM10" s="188"/>
      <c r="CDN10" s="187"/>
      <c r="CDT10" s="188"/>
      <c r="CDU10" s="187"/>
      <c r="CEA10" s="188"/>
      <c r="CEB10" s="187"/>
      <c r="CEH10" s="168"/>
      <c r="CEI10" s="189"/>
      <c r="CEO10" s="188"/>
      <c r="CEP10" s="187"/>
      <c r="CEV10" s="188"/>
      <c r="CEW10" s="187"/>
      <c r="CFC10" s="188"/>
      <c r="CFD10" s="187"/>
      <c r="CFJ10" s="188"/>
      <c r="CFK10" s="187"/>
    </row>
    <row r="11" spans="1:2201">
      <c r="A11" s="164" t="s">
        <v>255</v>
      </c>
      <c r="D11" s="186"/>
      <c r="E11" s="186"/>
      <c r="K11" s="187"/>
      <c r="Q11" s="188"/>
      <c r="R11" s="187"/>
      <c r="X11" s="188"/>
      <c r="Y11" s="187"/>
      <c r="AE11" s="188"/>
      <c r="AF11" s="187"/>
      <c r="AJ11" s="168"/>
      <c r="AK11" s="189"/>
      <c r="AL11" s="188"/>
      <c r="AM11" s="187"/>
      <c r="AS11" s="188"/>
      <c r="AT11" s="187"/>
      <c r="AZ11" s="188"/>
      <c r="BA11" s="187"/>
      <c r="BG11" s="188"/>
      <c r="BH11" s="187"/>
      <c r="BL11" s="168"/>
      <c r="BM11" s="189"/>
      <c r="BN11" s="188"/>
      <c r="BO11" s="187"/>
      <c r="BU11" s="188"/>
      <c r="BV11" s="187"/>
      <c r="CB11" s="188"/>
      <c r="CC11" s="187"/>
      <c r="CI11" s="188"/>
      <c r="CJ11" s="187"/>
      <c r="CP11" s="188"/>
      <c r="CQ11" s="190"/>
      <c r="CR11" s="189"/>
      <c r="CW11" s="188"/>
      <c r="CX11" s="187"/>
      <c r="DD11" s="188"/>
      <c r="DE11" s="187"/>
      <c r="DK11" s="188"/>
      <c r="DL11" s="187"/>
      <c r="DR11" s="188"/>
      <c r="DS11" s="187"/>
      <c r="DU11" s="168"/>
      <c r="DV11" s="189"/>
      <c r="DY11" s="188"/>
      <c r="DZ11" s="187"/>
      <c r="EF11" s="188"/>
      <c r="EG11" s="187"/>
      <c r="EM11" s="188"/>
      <c r="EN11" s="187"/>
      <c r="ET11" s="188"/>
      <c r="EU11" s="187"/>
      <c r="EZ11" s="168"/>
      <c r="FA11" s="191"/>
      <c r="FB11" s="187"/>
      <c r="FH11" s="188"/>
      <c r="FI11" s="187"/>
      <c r="FO11" s="188"/>
      <c r="FP11" s="187"/>
      <c r="FV11" s="188"/>
      <c r="FW11" s="187"/>
      <c r="GC11" s="188"/>
      <c r="GD11" s="190"/>
      <c r="GE11" s="189"/>
      <c r="GJ11" s="188"/>
      <c r="GK11" s="187"/>
      <c r="GQ11" s="188"/>
      <c r="GR11" s="187"/>
      <c r="GX11" s="188"/>
      <c r="GY11" s="187"/>
      <c r="HE11" s="188"/>
      <c r="HF11" s="187"/>
      <c r="HI11" s="168"/>
      <c r="HJ11" s="189"/>
      <c r="HL11" s="188"/>
      <c r="HM11" s="187"/>
      <c r="HS11" s="188"/>
      <c r="HT11" s="187"/>
      <c r="HZ11" s="188"/>
      <c r="IA11" s="187"/>
      <c r="IG11" s="188"/>
      <c r="IH11" s="187"/>
      <c r="IN11" s="168"/>
      <c r="IO11" s="189"/>
      <c r="IU11" s="188"/>
      <c r="IV11" s="187"/>
      <c r="JB11" s="188"/>
      <c r="JC11" s="187"/>
      <c r="JI11" s="188"/>
      <c r="JJ11" s="187"/>
      <c r="JP11" s="188"/>
      <c r="JQ11" s="187"/>
      <c r="JR11" s="168"/>
      <c r="JS11" s="189"/>
      <c r="JW11" s="188"/>
      <c r="JX11" s="187"/>
      <c r="KD11" s="188"/>
      <c r="KE11" s="187"/>
      <c r="KK11" s="188"/>
      <c r="KL11" s="187"/>
      <c r="KR11" s="188"/>
      <c r="KS11" s="187"/>
      <c r="KW11" s="168"/>
      <c r="KX11" s="189"/>
      <c r="KY11" s="188"/>
      <c r="KZ11" s="187"/>
      <c r="LF11" s="188"/>
      <c r="LG11" s="187"/>
      <c r="LM11" s="188"/>
      <c r="LN11" s="187"/>
      <c r="LT11" s="188"/>
      <c r="LU11" s="187"/>
      <c r="MA11" s="168"/>
      <c r="MB11" s="189"/>
      <c r="MH11" s="188"/>
      <c r="MI11" s="187"/>
      <c r="MO11" s="188"/>
      <c r="MP11" s="187"/>
      <c r="MV11" s="188"/>
      <c r="MW11" s="187"/>
      <c r="NC11" s="188"/>
      <c r="ND11" s="187"/>
      <c r="NF11" s="168"/>
      <c r="NG11" s="189"/>
      <c r="NJ11" s="188"/>
      <c r="NK11" s="187"/>
      <c r="NQ11" s="188"/>
      <c r="NR11" s="187"/>
      <c r="NX11" s="188"/>
      <c r="NY11" s="187"/>
      <c r="OE11" s="188"/>
      <c r="OF11" s="187"/>
      <c r="OK11" s="168"/>
      <c r="OL11" s="191"/>
      <c r="OM11" s="187"/>
      <c r="OS11" s="188"/>
      <c r="OT11" s="187"/>
      <c r="OZ11" s="188"/>
      <c r="PA11" s="187"/>
      <c r="PG11" s="188"/>
      <c r="PH11" s="187"/>
      <c r="PN11" s="168"/>
      <c r="PO11" s="189"/>
      <c r="PU11" s="188"/>
      <c r="PV11" s="187"/>
      <c r="QB11" s="188"/>
      <c r="QC11" s="187"/>
      <c r="QI11" s="188"/>
      <c r="QJ11" s="187"/>
      <c r="QP11" s="188"/>
      <c r="QQ11" s="187"/>
      <c r="QS11" s="168"/>
      <c r="QT11" s="189"/>
      <c r="QW11" s="188"/>
      <c r="QX11" s="187"/>
      <c r="RD11" s="188"/>
      <c r="RE11" s="187"/>
      <c r="RK11" s="188"/>
      <c r="RL11" s="187"/>
      <c r="RR11" s="188"/>
      <c r="RS11" s="187"/>
      <c r="RW11" s="168"/>
      <c r="RX11" s="189"/>
      <c r="RY11" s="188"/>
      <c r="RZ11" s="187"/>
      <c r="SF11" s="188"/>
      <c r="SG11" s="187"/>
      <c r="SM11" s="188"/>
      <c r="SN11" s="187"/>
      <c r="ST11" s="188"/>
      <c r="SU11" s="187"/>
      <c r="TA11" s="188"/>
      <c r="TB11" s="190"/>
      <c r="TC11" s="189"/>
      <c r="TH11" s="188"/>
      <c r="TI11" s="187"/>
      <c r="TO11" s="188"/>
      <c r="TP11" s="187"/>
      <c r="TV11" s="188"/>
      <c r="TW11" s="187"/>
      <c r="UC11" s="188"/>
      <c r="UD11" s="187"/>
      <c r="UF11" s="168"/>
      <c r="UG11" s="189"/>
      <c r="UJ11" s="188"/>
      <c r="UK11" s="187"/>
      <c r="UQ11" s="188"/>
      <c r="UR11" s="187"/>
      <c r="UX11" s="188"/>
      <c r="UY11" s="187"/>
      <c r="VE11" s="188"/>
      <c r="VF11" s="187"/>
      <c r="VK11" s="168"/>
      <c r="VL11" s="191"/>
      <c r="VM11" s="187"/>
      <c r="VS11" s="188"/>
      <c r="VT11" s="187"/>
      <c r="VZ11" s="188"/>
      <c r="WA11" s="187"/>
      <c r="WG11" s="188"/>
      <c r="WH11" s="187"/>
      <c r="WN11" s="188"/>
      <c r="WO11" s="187"/>
      <c r="WP11" s="168"/>
      <c r="WQ11" s="189"/>
      <c r="WU11" s="188"/>
      <c r="WV11" s="187"/>
      <c r="XB11" s="188"/>
      <c r="XC11" s="187"/>
      <c r="XI11" s="188"/>
      <c r="XJ11" s="187"/>
      <c r="XP11" s="188"/>
      <c r="XQ11" s="187"/>
      <c r="XT11" s="168"/>
      <c r="XU11" s="189"/>
      <c r="XW11" s="188"/>
      <c r="XX11" s="187"/>
      <c r="YD11" s="188"/>
      <c r="YE11" s="187"/>
      <c r="YK11" s="188"/>
      <c r="YL11" s="187"/>
      <c r="YR11" s="188"/>
      <c r="YS11" s="187"/>
      <c r="YY11" s="168"/>
      <c r="YZ11" s="189"/>
      <c r="ZF11" s="188"/>
      <c r="ZG11" s="187"/>
      <c r="ZM11" s="188"/>
      <c r="ZN11" s="187"/>
      <c r="ZT11" s="188"/>
      <c r="ZU11" s="187"/>
      <c r="AAA11" s="188"/>
      <c r="AAB11" s="187"/>
      <c r="AAC11" s="168"/>
      <c r="AAD11" s="189"/>
      <c r="AAH11" s="188"/>
      <c r="AAI11" s="187"/>
      <c r="AAO11" s="188"/>
      <c r="AAP11" s="187"/>
      <c r="AAV11" s="188"/>
      <c r="AAW11" s="187"/>
      <c r="ABC11" s="188"/>
      <c r="ABD11" s="187"/>
      <c r="ABH11" s="168"/>
      <c r="ABI11" s="189"/>
      <c r="ABJ11" s="188"/>
      <c r="ABK11" s="187"/>
      <c r="ABQ11" s="188"/>
      <c r="ABR11" s="187"/>
      <c r="ABX11" s="188"/>
      <c r="ABY11" s="187"/>
      <c r="ACE11" s="188"/>
      <c r="ACF11" s="187"/>
      <c r="ACL11" s="188"/>
      <c r="ACM11" s="190"/>
      <c r="ACN11" s="189"/>
      <c r="ACS11" s="188"/>
      <c r="ACT11" s="187"/>
      <c r="ACZ11" s="188"/>
      <c r="ADA11" s="187"/>
      <c r="ADG11" s="188"/>
      <c r="ADH11" s="187"/>
      <c r="ADN11" s="188"/>
      <c r="ADO11" s="190"/>
      <c r="ADP11" s="189"/>
      <c r="ADU11" s="188"/>
      <c r="ADV11" s="187"/>
      <c r="AEB11" s="188"/>
      <c r="AEC11" s="187"/>
      <c r="AEI11" s="188"/>
      <c r="AEJ11" s="187"/>
      <c r="AEP11" s="188"/>
      <c r="AEQ11" s="187"/>
      <c r="AET11" s="168"/>
      <c r="AEU11" s="189"/>
      <c r="AEW11" s="188"/>
      <c r="AEX11" s="187"/>
      <c r="AFD11" s="188"/>
      <c r="AFE11" s="187"/>
      <c r="AFK11" s="188"/>
      <c r="AFL11" s="187"/>
      <c r="AFR11" s="188"/>
      <c r="AFS11" s="187"/>
      <c r="AFX11" s="168"/>
      <c r="AFY11" s="191"/>
      <c r="AFZ11" s="187"/>
      <c r="AGF11" s="188"/>
      <c r="AGG11" s="187"/>
      <c r="AGM11" s="188"/>
      <c r="AGN11" s="187"/>
      <c r="AGT11" s="188"/>
      <c r="AGU11" s="187"/>
      <c r="AHA11" s="188"/>
      <c r="AHB11" s="187"/>
      <c r="AHC11" s="168"/>
      <c r="AHD11" s="189"/>
      <c r="AHH11" s="188"/>
      <c r="AHI11" s="187"/>
      <c r="AHO11" s="188"/>
      <c r="AHP11" s="187"/>
      <c r="AHV11" s="188"/>
      <c r="AHW11" s="187"/>
      <c r="AIC11" s="188"/>
      <c r="AID11" s="187"/>
      <c r="AIG11" s="168"/>
      <c r="AIH11" s="189"/>
      <c r="AIJ11" s="188"/>
      <c r="AIK11" s="187"/>
      <c r="AIQ11" s="188"/>
      <c r="AIR11" s="187"/>
      <c r="AIX11" s="188"/>
      <c r="AIY11" s="187"/>
      <c r="AJE11" s="188"/>
      <c r="AJF11" s="187"/>
      <c r="AJL11" s="168"/>
      <c r="AJM11" s="189"/>
      <c r="AJS11" s="188"/>
      <c r="AJT11" s="187"/>
      <c r="AJZ11" s="188"/>
      <c r="AKA11" s="187"/>
      <c r="AKG11" s="188"/>
      <c r="AKH11" s="187"/>
      <c r="AKN11" s="188"/>
      <c r="AKO11" s="187"/>
      <c r="AKQ11" s="168"/>
      <c r="AKR11" s="189"/>
      <c r="AKU11" s="188"/>
      <c r="AKV11" s="187"/>
      <c r="ALB11" s="188"/>
      <c r="ALC11" s="187"/>
      <c r="ALI11" s="188"/>
      <c r="ALJ11" s="187"/>
      <c r="ALP11" s="188"/>
      <c r="ALQ11" s="187"/>
      <c r="ALU11" s="168"/>
      <c r="ALV11" s="189"/>
      <c r="ALW11" s="188"/>
      <c r="ALX11" s="187"/>
      <c r="AMD11" s="188"/>
      <c r="AME11" s="187"/>
      <c r="AMK11" s="188"/>
      <c r="AML11" s="187"/>
      <c r="AMR11" s="188"/>
      <c r="AMS11" s="187"/>
      <c r="AMY11" s="188"/>
      <c r="AMZ11" s="190"/>
      <c r="ANA11" s="189"/>
      <c r="ANF11" s="188"/>
      <c r="ANG11" s="187"/>
      <c r="ANM11" s="188"/>
      <c r="ANN11" s="187"/>
      <c r="ANT11" s="188"/>
      <c r="ANU11" s="187"/>
      <c r="AOA11" s="188"/>
      <c r="AOB11" s="187"/>
      <c r="AOD11" s="168"/>
      <c r="AOE11" s="189"/>
      <c r="AOH11" s="188"/>
      <c r="AOI11" s="187"/>
      <c r="AOO11" s="188"/>
      <c r="AOP11" s="187"/>
      <c r="AOV11" s="188"/>
      <c r="AOW11" s="187"/>
      <c r="APC11" s="188"/>
      <c r="APD11" s="187"/>
      <c r="API11" s="168"/>
      <c r="APJ11" s="191"/>
      <c r="APK11" s="187"/>
      <c r="APQ11" s="188"/>
      <c r="APR11" s="187"/>
      <c r="APX11" s="188"/>
      <c r="APY11" s="187"/>
      <c r="AQE11" s="188"/>
      <c r="AQF11" s="187"/>
      <c r="AQL11" s="188"/>
      <c r="AQM11" s="187"/>
      <c r="AQN11" s="168"/>
      <c r="AQO11" s="189"/>
      <c r="AQS11" s="188"/>
      <c r="AQT11" s="187"/>
      <c r="AQZ11" s="188"/>
      <c r="ARA11" s="187"/>
      <c r="ARG11" s="188"/>
      <c r="ARH11" s="187"/>
      <c r="ARN11" s="188"/>
      <c r="ARO11" s="187"/>
      <c r="ARP11" s="168"/>
      <c r="ARQ11" s="189"/>
      <c r="ARU11" s="188"/>
      <c r="ARV11" s="187"/>
      <c r="ASB11" s="188"/>
      <c r="ASC11" s="187"/>
      <c r="ASI11" s="188"/>
      <c r="ASJ11" s="187"/>
      <c r="ASP11" s="188"/>
      <c r="ASQ11" s="187"/>
      <c r="ASU11" s="168"/>
      <c r="ASV11" s="189"/>
      <c r="ASW11" s="188"/>
      <c r="ASX11" s="187"/>
      <c r="ATD11" s="188"/>
      <c r="ATE11" s="187"/>
      <c r="ATK11" s="188"/>
      <c r="ATL11" s="187"/>
      <c r="ATR11" s="188"/>
      <c r="ATS11" s="187"/>
      <c r="ATY11" s="168"/>
      <c r="ATZ11" s="189"/>
      <c r="AUF11" s="188"/>
      <c r="AUG11" s="187"/>
      <c r="AUM11" s="188"/>
      <c r="AUN11" s="187"/>
      <c r="AUT11" s="188"/>
      <c r="AUU11" s="187"/>
      <c r="AVA11" s="188"/>
      <c r="AVB11" s="187"/>
      <c r="AVD11" s="168"/>
      <c r="AVE11" s="189"/>
      <c r="AVH11" s="188"/>
      <c r="AVI11" s="187"/>
      <c r="AVO11" s="188"/>
      <c r="AVP11" s="187"/>
      <c r="AVV11" s="188"/>
      <c r="AVW11" s="187"/>
      <c r="AWC11" s="188"/>
      <c r="AWD11" s="187"/>
      <c r="AWH11" s="168"/>
      <c r="AWI11" s="189"/>
      <c r="AWJ11" s="188"/>
      <c r="AWK11" s="187"/>
      <c r="AWQ11" s="188"/>
      <c r="AWR11" s="187"/>
      <c r="AWX11" s="188"/>
      <c r="AWY11" s="187"/>
      <c r="AXE11" s="188"/>
      <c r="AXF11" s="187"/>
      <c r="AXL11" s="188"/>
      <c r="AXM11" s="190"/>
      <c r="AXN11" s="189"/>
      <c r="AXS11" s="188"/>
      <c r="AXT11" s="187"/>
      <c r="AXZ11" s="188"/>
      <c r="AYA11" s="187"/>
      <c r="AYG11" s="188"/>
      <c r="AYH11" s="187"/>
      <c r="AYN11" s="188"/>
      <c r="AYO11" s="187"/>
      <c r="AYR11" s="168"/>
      <c r="AYS11" s="189"/>
      <c r="AYU11" s="188"/>
      <c r="AYV11" s="187"/>
      <c r="AZB11" s="188"/>
      <c r="AZC11" s="187"/>
      <c r="AZI11" s="188"/>
      <c r="AZJ11" s="187"/>
      <c r="AZP11" s="188"/>
      <c r="AZQ11" s="187"/>
      <c r="AZV11" s="168"/>
      <c r="AZW11" s="191"/>
      <c r="AZX11" s="187"/>
      <c r="BAD11" s="188"/>
      <c r="BAE11" s="187"/>
      <c r="BAK11" s="188"/>
      <c r="BAL11" s="187"/>
      <c r="BAR11" s="188"/>
      <c r="BAS11" s="187"/>
      <c r="BAY11" s="188"/>
      <c r="BAZ11" s="187"/>
      <c r="BBA11" s="168"/>
      <c r="BBB11" s="189"/>
      <c r="BBF11" s="188"/>
      <c r="BBG11" s="187"/>
      <c r="BBM11" s="188"/>
      <c r="BBN11" s="187"/>
      <c r="BBT11" s="188"/>
      <c r="BBU11" s="187"/>
      <c r="BCA11" s="188"/>
      <c r="BCB11" s="187"/>
      <c r="BCE11" s="168"/>
      <c r="BCF11" s="189"/>
      <c r="BCH11" s="188"/>
      <c r="BCI11" s="187"/>
      <c r="BCO11" s="188"/>
      <c r="BCP11" s="187"/>
      <c r="BCV11" s="188"/>
      <c r="BCW11" s="187"/>
      <c r="BDC11" s="188"/>
      <c r="BDD11" s="187"/>
      <c r="BDJ11" s="168"/>
      <c r="BDK11" s="189"/>
      <c r="BDQ11" s="188"/>
      <c r="BDR11" s="187"/>
      <c r="BDX11" s="188"/>
      <c r="BDY11" s="187"/>
      <c r="BEE11" s="188"/>
      <c r="BEF11" s="187"/>
      <c r="BEL11" s="188"/>
      <c r="BEM11" s="187"/>
      <c r="BEO11" s="168"/>
      <c r="BEP11" s="189"/>
      <c r="BES11" s="188"/>
      <c r="BET11" s="187"/>
      <c r="BEZ11" s="188"/>
      <c r="BFA11" s="187"/>
      <c r="BFG11" s="188"/>
      <c r="BFH11" s="187"/>
      <c r="BFN11" s="188"/>
      <c r="BFO11" s="187"/>
      <c r="BFQ11" s="168"/>
      <c r="BFR11" s="189"/>
      <c r="BFU11" s="188"/>
      <c r="BFV11" s="187"/>
      <c r="BGB11" s="188"/>
      <c r="BGC11" s="187"/>
      <c r="BGI11" s="188"/>
      <c r="BGJ11" s="187"/>
      <c r="BGP11" s="188"/>
      <c r="BGQ11" s="187"/>
      <c r="BGV11" s="168"/>
      <c r="BGW11" s="191"/>
      <c r="BGX11" s="187"/>
      <c r="BHD11" s="188"/>
      <c r="BHE11" s="187"/>
      <c r="BHK11" s="188"/>
      <c r="BHL11" s="187"/>
      <c r="BHR11" s="188"/>
      <c r="BHS11" s="187"/>
      <c r="BHY11" s="188"/>
      <c r="BHZ11" s="190"/>
      <c r="BIA11" s="189"/>
      <c r="BIF11" s="188"/>
      <c r="BIG11" s="187"/>
      <c r="BIM11" s="188"/>
      <c r="BIN11" s="187"/>
      <c r="BIT11" s="188"/>
      <c r="BIU11" s="187"/>
      <c r="BJA11" s="188"/>
      <c r="BJB11" s="187"/>
      <c r="BJE11" s="168"/>
      <c r="BJF11" s="189"/>
      <c r="BJH11" s="188"/>
      <c r="BJI11" s="187"/>
      <c r="BJO11" s="188"/>
      <c r="BJP11" s="187"/>
      <c r="BJV11" s="188"/>
      <c r="BJW11" s="187"/>
      <c r="BKC11" s="188"/>
      <c r="BKD11" s="187"/>
      <c r="BKI11" s="168"/>
      <c r="BKJ11" s="191"/>
      <c r="BKK11" s="187"/>
      <c r="BKQ11" s="188"/>
      <c r="BKR11" s="187"/>
      <c r="BKX11" s="188"/>
      <c r="BKY11" s="187"/>
      <c r="BLE11" s="188"/>
      <c r="BLF11" s="187"/>
      <c r="BLL11" s="188"/>
      <c r="BLM11" s="187"/>
      <c r="BLN11" s="168"/>
      <c r="BLO11" s="189"/>
      <c r="BLS11" s="188"/>
      <c r="BLT11" s="187"/>
      <c r="BLZ11" s="188"/>
      <c r="BMA11" s="187"/>
      <c r="BMG11" s="188"/>
      <c r="BMH11" s="187"/>
      <c r="BMN11" s="188"/>
      <c r="BMO11" s="187"/>
      <c r="BMS11" s="168"/>
      <c r="BMT11" s="189"/>
      <c r="BMU11" s="188"/>
      <c r="BMV11" s="187"/>
      <c r="BNB11" s="188"/>
      <c r="BNC11" s="187"/>
      <c r="BNI11" s="188"/>
      <c r="BNJ11" s="187"/>
      <c r="BNP11" s="188"/>
      <c r="BNQ11" s="187"/>
      <c r="BNW11" s="168"/>
      <c r="BNX11" s="189"/>
      <c r="BOD11" s="188"/>
      <c r="BOE11" s="187"/>
      <c r="BOK11" s="188"/>
      <c r="BOL11" s="187"/>
      <c r="BOR11" s="188"/>
      <c r="BOS11" s="187"/>
      <c r="BOY11" s="188"/>
      <c r="BOZ11" s="187"/>
      <c r="BPB11" s="168"/>
      <c r="BPC11" s="189"/>
      <c r="BPF11" s="188"/>
      <c r="BPG11" s="187"/>
      <c r="BPM11" s="188"/>
      <c r="BPN11" s="187"/>
      <c r="BPT11" s="188"/>
      <c r="BPU11" s="187"/>
      <c r="BQA11" s="188"/>
      <c r="BQB11" s="187"/>
      <c r="BQF11" s="168"/>
      <c r="BQG11" s="189"/>
      <c r="BQH11" s="188"/>
      <c r="BQI11" s="187"/>
      <c r="BQO11" s="188"/>
      <c r="BQP11" s="187"/>
      <c r="BQV11" s="188"/>
      <c r="BQW11" s="187"/>
      <c r="BRC11" s="188"/>
      <c r="BRD11" s="187"/>
      <c r="BRJ11" s="188"/>
      <c r="BRK11" s="190"/>
      <c r="BRL11" s="189"/>
      <c r="BRQ11" s="188"/>
      <c r="BRR11" s="187"/>
      <c r="BRX11" s="188"/>
      <c r="BRY11" s="187"/>
      <c r="BSE11" s="188"/>
      <c r="BSF11" s="187"/>
      <c r="BSL11" s="188"/>
      <c r="BSM11" s="187"/>
      <c r="BSP11" s="168"/>
      <c r="BSQ11" s="189"/>
      <c r="BSS11" s="188"/>
      <c r="BST11" s="187"/>
      <c r="BSZ11" s="188"/>
      <c r="BTA11" s="187"/>
      <c r="BTG11" s="188"/>
      <c r="BTH11" s="187"/>
      <c r="BTN11" s="188"/>
      <c r="BTO11" s="187"/>
      <c r="BTS11" s="168"/>
      <c r="BTT11" s="189"/>
      <c r="BTU11" s="188"/>
      <c r="BTV11" s="187"/>
      <c r="BUB11" s="188"/>
      <c r="BUC11" s="187"/>
      <c r="BUI11" s="188"/>
      <c r="BUJ11" s="187"/>
      <c r="BUP11" s="188"/>
      <c r="BUQ11" s="187"/>
      <c r="BUW11" s="188"/>
      <c r="BUX11" s="190"/>
      <c r="BUY11" s="189"/>
      <c r="BVD11" s="188"/>
      <c r="BVE11" s="187"/>
      <c r="BVK11" s="188"/>
      <c r="BVL11" s="187"/>
      <c r="BVR11" s="188"/>
      <c r="BVS11" s="187"/>
      <c r="BVY11" s="188"/>
      <c r="BVZ11" s="187"/>
      <c r="BWB11" s="168"/>
      <c r="BWC11" s="189"/>
      <c r="BWF11" s="188"/>
      <c r="BWG11" s="187"/>
      <c r="BWM11" s="188"/>
      <c r="BWN11" s="187"/>
      <c r="BWT11" s="188"/>
      <c r="BWU11" s="187"/>
      <c r="BXA11" s="188"/>
      <c r="BXB11" s="187"/>
      <c r="BXG11" s="168"/>
      <c r="BXH11" s="191"/>
      <c r="BXI11" s="187"/>
      <c r="BXO11" s="188"/>
      <c r="BXP11" s="187"/>
      <c r="BXV11" s="188"/>
      <c r="BXW11" s="187"/>
      <c r="BYC11" s="188"/>
      <c r="BYD11" s="187"/>
      <c r="BYJ11" s="188"/>
      <c r="BYK11" s="190"/>
      <c r="BYL11" s="189"/>
      <c r="BYQ11" s="188"/>
      <c r="BYR11" s="187"/>
      <c r="BYX11" s="188"/>
      <c r="BYY11" s="187"/>
      <c r="BZE11" s="188"/>
      <c r="BZF11" s="187"/>
      <c r="BZL11" s="188"/>
      <c r="BZM11" s="187"/>
      <c r="BZP11" s="168"/>
      <c r="BZQ11" s="189"/>
      <c r="BZS11" s="188"/>
      <c r="BZT11" s="187"/>
      <c r="BZZ11" s="188"/>
      <c r="CAA11" s="187"/>
      <c r="CAG11" s="188"/>
      <c r="CAH11" s="187"/>
      <c r="CAN11" s="188"/>
      <c r="CAO11" s="187"/>
      <c r="CAU11" s="168"/>
      <c r="CAV11" s="189"/>
      <c r="CBB11" s="188"/>
      <c r="CBC11" s="187"/>
      <c r="CBI11" s="188"/>
      <c r="CBJ11" s="187"/>
      <c r="CBP11" s="188"/>
      <c r="CBQ11" s="187"/>
      <c r="CBW11" s="188"/>
      <c r="CBX11" s="187"/>
      <c r="CBY11" s="168"/>
      <c r="CBZ11" s="189"/>
      <c r="CCD11" s="188"/>
      <c r="CCE11" s="187"/>
      <c r="CCK11" s="188"/>
      <c r="CCL11" s="187"/>
      <c r="CCR11" s="188"/>
      <c r="CCS11" s="187"/>
      <c r="CCY11" s="188"/>
      <c r="CCZ11" s="187"/>
      <c r="CDD11" s="168"/>
      <c r="CDE11" s="189"/>
      <c r="CDF11" s="188"/>
      <c r="CDG11" s="187"/>
      <c r="CDM11" s="188"/>
      <c r="CDN11" s="187"/>
      <c r="CDT11" s="188"/>
      <c r="CDU11" s="187"/>
      <c r="CEA11" s="188"/>
      <c r="CEB11" s="187"/>
      <c r="CEH11" s="168"/>
      <c r="CEI11" s="189"/>
      <c r="CEO11" s="188"/>
      <c r="CEP11" s="187"/>
      <c r="CEV11" s="188"/>
      <c r="CEW11" s="187"/>
      <c r="CFC11" s="188"/>
      <c r="CFD11" s="187"/>
      <c r="CFJ11" s="188"/>
      <c r="CFK11" s="187"/>
    </row>
    <row r="12" spans="1:2201">
      <c r="A12" s="164" t="s">
        <v>256</v>
      </c>
      <c r="D12" s="186"/>
      <c r="E12" s="186"/>
      <c r="K12" s="187"/>
      <c r="Q12" s="188"/>
      <c r="R12" s="187"/>
      <c r="X12" s="188"/>
      <c r="Y12" s="187"/>
      <c r="AE12" s="188"/>
      <c r="AF12" s="187"/>
      <c r="AJ12" s="168"/>
      <c r="AK12" s="189"/>
      <c r="AL12" s="188"/>
      <c r="AM12" s="187"/>
      <c r="AS12" s="188"/>
      <c r="AT12" s="187"/>
      <c r="AZ12" s="188"/>
      <c r="BA12" s="187"/>
      <c r="BG12" s="188"/>
      <c r="BH12" s="187"/>
      <c r="BL12" s="168"/>
      <c r="BM12" s="189"/>
      <c r="BN12" s="188"/>
      <c r="BO12" s="187"/>
      <c r="BU12" s="188"/>
      <c r="BV12" s="187"/>
      <c r="CB12" s="188"/>
      <c r="CC12" s="187"/>
      <c r="CI12" s="188"/>
      <c r="CJ12" s="187"/>
      <c r="CP12" s="188"/>
      <c r="CQ12" s="190"/>
      <c r="CR12" s="189"/>
      <c r="CW12" s="188"/>
      <c r="CX12" s="187"/>
      <c r="DD12" s="188"/>
      <c r="DE12" s="187"/>
      <c r="DK12" s="188"/>
      <c r="DL12" s="187"/>
      <c r="DR12" s="188"/>
      <c r="DS12" s="187"/>
      <c r="DU12" s="168"/>
      <c r="DV12" s="189"/>
      <c r="DY12" s="188"/>
      <c r="DZ12" s="187"/>
      <c r="EF12" s="188"/>
      <c r="EG12" s="187"/>
      <c r="EM12" s="188"/>
      <c r="EN12" s="187"/>
      <c r="ET12" s="188"/>
      <c r="EU12" s="187"/>
      <c r="EZ12" s="168"/>
      <c r="FA12" s="191"/>
      <c r="FB12" s="187"/>
      <c r="FH12" s="188"/>
      <c r="FI12" s="187"/>
      <c r="FO12" s="188"/>
      <c r="FP12" s="187"/>
      <c r="FV12" s="188"/>
      <c r="FW12" s="187"/>
      <c r="GC12" s="188"/>
      <c r="GD12" s="190"/>
      <c r="GE12" s="189"/>
      <c r="GJ12" s="188"/>
      <c r="GK12" s="187"/>
      <c r="GQ12" s="188"/>
      <c r="GR12" s="187"/>
      <c r="GX12" s="188"/>
      <c r="GY12" s="187"/>
      <c r="HE12" s="188"/>
      <c r="HF12" s="187"/>
      <c r="HI12" s="168"/>
      <c r="HJ12" s="189"/>
      <c r="HL12" s="188"/>
      <c r="HM12" s="187"/>
      <c r="HS12" s="188"/>
      <c r="HT12" s="187"/>
      <c r="HZ12" s="188"/>
      <c r="IA12" s="187"/>
      <c r="IG12" s="188"/>
      <c r="IH12" s="187"/>
      <c r="IN12" s="168"/>
      <c r="IO12" s="189"/>
      <c r="IU12" s="188"/>
      <c r="IV12" s="187"/>
      <c r="JB12" s="188"/>
      <c r="JC12" s="187"/>
      <c r="JI12" s="188"/>
      <c r="JJ12" s="187"/>
      <c r="JP12" s="188"/>
      <c r="JQ12" s="187"/>
      <c r="JR12" s="168"/>
      <c r="JS12" s="189"/>
      <c r="JW12" s="188"/>
      <c r="JX12" s="187"/>
      <c r="KD12" s="188"/>
      <c r="KE12" s="187"/>
      <c r="KK12" s="188"/>
      <c r="KL12" s="187"/>
      <c r="KR12" s="188"/>
      <c r="KS12" s="187"/>
      <c r="KW12" s="168"/>
      <c r="KX12" s="189"/>
      <c r="KY12" s="188"/>
      <c r="KZ12" s="187"/>
      <c r="LF12" s="188"/>
      <c r="LG12" s="187"/>
      <c r="LM12" s="188"/>
      <c r="LN12" s="187"/>
      <c r="LT12" s="188"/>
      <c r="LU12" s="187"/>
      <c r="MA12" s="168"/>
      <c r="MB12" s="189"/>
      <c r="MH12" s="188"/>
      <c r="MI12" s="187"/>
      <c r="MO12" s="188"/>
      <c r="MP12" s="187"/>
      <c r="MV12" s="188"/>
      <c r="MW12" s="187"/>
      <c r="NC12" s="188"/>
      <c r="ND12" s="187"/>
      <c r="NF12" s="168"/>
      <c r="NG12" s="189"/>
      <c r="NJ12" s="188"/>
      <c r="NK12" s="187"/>
      <c r="NQ12" s="188"/>
      <c r="NR12" s="187"/>
      <c r="NX12" s="188"/>
      <c r="NY12" s="187"/>
      <c r="OE12" s="188"/>
      <c r="OF12" s="187"/>
      <c r="OK12" s="168"/>
      <c r="OL12" s="191"/>
      <c r="OM12" s="187"/>
      <c r="OS12" s="188"/>
      <c r="OT12" s="187"/>
      <c r="OZ12" s="188"/>
      <c r="PA12" s="187"/>
      <c r="PG12" s="188"/>
      <c r="PH12" s="187"/>
      <c r="PN12" s="168"/>
      <c r="PO12" s="189"/>
      <c r="PU12" s="188"/>
      <c r="PV12" s="187"/>
      <c r="QB12" s="188"/>
      <c r="QC12" s="187"/>
      <c r="QI12" s="188"/>
      <c r="QJ12" s="187"/>
      <c r="QP12" s="188"/>
      <c r="QQ12" s="187"/>
      <c r="QS12" s="168"/>
      <c r="QT12" s="189"/>
      <c r="QW12" s="188"/>
      <c r="QX12" s="187"/>
      <c r="RD12" s="188"/>
      <c r="RE12" s="187"/>
      <c r="RK12" s="188"/>
      <c r="RL12" s="187"/>
      <c r="RR12" s="188"/>
      <c r="RS12" s="187"/>
      <c r="RW12" s="168"/>
      <c r="RX12" s="189"/>
      <c r="RY12" s="188"/>
      <c r="RZ12" s="187"/>
      <c r="SF12" s="188"/>
      <c r="SG12" s="187"/>
      <c r="SM12" s="188"/>
      <c r="SN12" s="187"/>
      <c r="ST12" s="188"/>
      <c r="SU12" s="187"/>
      <c r="TA12" s="188"/>
      <c r="TB12" s="190"/>
      <c r="TC12" s="189"/>
      <c r="TH12" s="188"/>
      <c r="TI12" s="187"/>
      <c r="TO12" s="188"/>
      <c r="TP12" s="187"/>
      <c r="TV12" s="188"/>
      <c r="TW12" s="187"/>
      <c r="UC12" s="188"/>
      <c r="UD12" s="187"/>
      <c r="UF12" s="168"/>
      <c r="UG12" s="189"/>
      <c r="UJ12" s="188"/>
      <c r="UK12" s="187"/>
      <c r="UQ12" s="188"/>
      <c r="UR12" s="187"/>
      <c r="UX12" s="188"/>
      <c r="UY12" s="187"/>
      <c r="VE12" s="188"/>
      <c r="VF12" s="187"/>
      <c r="VK12" s="168"/>
      <c r="VL12" s="191"/>
      <c r="VM12" s="187"/>
      <c r="VS12" s="188"/>
      <c r="VT12" s="187"/>
      <c r="VZ12" s="188"/>
      <c r="WA12" s="187"/>
      <c r="WG12" s="188"/>
      <c r="WH12" s="187"/>
      <c r="WN12" s="188"/>
      <c r="WO12" s="187"/>
      <c r="WP12" s="168"/>
      <c r="WQ12" s="189"/>
      <c r="WU12" s="188"/>
      <c r="WV12" s="187"/>
      <c r="XB12" s="188"/>
      <c r="XC12" s="187"/>
      <c r="XI12" s="188"/>
      <c r="XJ12" s="187"/>
      <c r="XP12" s="188"/>
      <c r="XQ12" s="187"/>
      <c r="XT12" s="168"/>
      <c r="XU12" s="189"/>
      <c r="XW12" s="188"/>
      <c r="XX12" s="187"/>
      <c r="YD12" s="188"/>
      <c r="YE12" s="187"/>
      <c r="YK12" s="188"/>
      <c r="YL12" s="187"/>
      <c r="YR12" s="188"/>
      <c r="YS12" s="187"/>
      <c r="YY12" s="168"/>
      <c r="YZ12" s="189"/>
      <c r="ZF12" s="188"/>
      <c r="ZG12" s="187"/>
      <c r="ZM12" s="188"/>
      <c r="ZN12" s="187"/>
      <c r="ZT12" s="188"/>
      <c r="ZU12" s="187"/>
      <c r="AAA12" s="188"/>
      <c r="AAB12" s="187"/>
      <c r="AAC12" s="168"/>
      <c r="AAD12" s="189"/>
      <c r="AAH12" s="188"/>
      <c r="AAI12" s="187"/>
      <c r="AAO12" s="188"/>
      <c r="AAP12" s="187"/>
      <c r="AAV12" s="188"/>
      <c r="AAW12" s="187"/>
      <c r="ABC12" s="188"/>
      <c r="ABD12" s="187"/>
      <c r="ABH12" s="168"/>
      <c r="ABI12" s="189"/>
      <c r="ABJ12" s="188"/>
      <c r="ABK12" s="187"/>
      <c r="ABQ12" s="188"/>
      <c r="ABR12" s="187"/>
      <c r="ABX12" s="188"/>
      <c r="ABY12" s="187"/>
      <c r="ACE12" s="188"/>
      <c r="ACF12" s="187"/>
      <c r="ACL12" s="188"/>
      <c r="ACM12" s="190"/>
      <c r="ACN12" s="189"/>
      <c r="ACS12" s="188"/>
      <c r="ACT12" s="187"/>
      <c r="ACZ12" s="188"/>
      <c r="ADA12" s="187"/>
      <c r="ADG12" s="188"/>
      <c r="ADH12" s="187"/>
      <c r="ADN12" s="188"/>
      <c r="ADO12" s="190"/>
      <c r="ADP12" s="189"/>
      <c r="ADU12" s="188"/>
      <c r="ADV12" s="187"/>
      <c r="AEB12" s="188"/>
      <c r="AEC12" s="187"/>
      <c r="AEI12" s="188"/>
      <c r="AEJ12" s="187"/>
      <c r="AEP12" s="188"/>
      <c r="AEQ12" s="187"/>
      <c r="AET12" s="168"/>
      <c r="AEU12" s="189"/>
      <c r="AEW12" s="188"/>
      <c r="AEX12" s="187"/>
      <c r="AFD12" s="188"/>
      <c r="AFE12" s="187"/>
      <c r="AFK12" s="188"/>
      <c r="AFL12" s="187"/>
      <c r="AFR12" s="188"/>
      <c r="AFS12" s="187"/>
      <c r="AFX12" s="168"/>
      <c r="AFY12" s="191"/>
      <c r="AFZ12" s="187"/>
      <c r="AGF12" s="188"/>
      <c r="AGG12" s="187"/>
      <c r="AGM12" s="188"/>
      <c r="AGN12" s="187"/>
      <c r="AGT12" s="188"/>
      <c r="AGU12" s="187"/>
      <c r="AHA12" s="188"/>
      <c r="AHB12" s="187"/>
      <c r="AHC12" s="168"/>
      <c r="AHD12" s="189"/>
      <c r="AHH12" s="188"/>
      <c r="AHI12" s="187"/>
      <c r="AHO12" s="188"/>
      <c r="AHP12" s="187"/>
      <c r="AHV12" s="188"/>
      <c r="AHW12" s="187"/>
      <c r="AIC12" s="188"/>
      <c r="AID12" s="187"/>
      <c r="AIG12" s="168"/>
      <c r="AIH12" s="189"/>
      <c r="AIJ12" s="188"/>
      <c r="AIK12" s="187"/>
      <c r="AIQ12" s="188"/>
      <c r="AIR12" s="187"/>
      <c r="AIX12" s="188"/>
      <c r="AIY12" s="187"/>
      <c r="AJE12" s="188"/>
      <c r="AJF12" s="187"/>
      <c r="AJL12" s="168"/>
      <c r="AJM12" s="189"/>
      <c r="AJS12" s="188"/>
      <c r="AJT12" s="187"/>
      <c r="AJZ12" s="188"/>
      <c r="AKA12" s="187"/>
      <c r="AKG12" s="188"/>
      <c r="AKH12" s="187"/>
      <c r="AKN12" s="188"/>
      <c r="AKO12" s="187"/>
      <c r="AKQ12" s="168"/>
      <c r="AKR12" s="189"/>
      <c r="AKU12" s="188"/>
      <c r="AKV12" s="187"/>
      <c r="ALB12" s="188"/>
      <c r="ALC12" s="187"/>
      <c r="ALI12" s="188"/>
      <c r="ALJ12" s="187"/>
      <c r="ALP12" s="188"/>
      <c r="ALQ12" s="187"/>
      <c r="ALU12" s="168"/>
      <c r="ALV12" s="189"/>
      <c r="ALW12" s="188"/>
      <c r="ALX12" s="187"/>
      <c r="AMD12" s="188"/>
      <c r="AME12" s="187"/>
      <c r="AMK12" s="188"/>
      <c r="AML12" s="187"/>
      <c r="AMR12" s="188"/>
      <c r="AMS12" s="187"/>
      <c r="AMY12" s="188"/>
      <c r="AMZ12" s="190"/>
      <c r="ANA12" s="189"/>
      <c r="ANF12" s="188"/>
      <c r="ANG12" s="187"/>
      <c r="ANM12" s="188"/>
      <c r="ANN12" s="187"/>
      <c r="ANT12" s="188"/>
      <c r="ANU12" s="187"/>
      <c r="AOA12" s="188"/>
      <c r="AOB12" s="187"/>
      <c r="AOD12" s="168"/>
      <c r="AOE12" s="189"/>
      <c r="AOH12" s="188"/>
      <c r="AOI12" s="187"/>
      <c r="AOO12" s="188"/>
      <c r="AOP12" s="187"/>
      <c r="AOV12" s="188"/>
      <c r="AOW12" s="187"/>
      <c r="APC12" s="188"/>
      <c r="APD12" s="187"/>
      <c r="API12" s="168"/>
      <c r="APJ12" s="191"/>
      <c r="APK12" s="187"/>
      <c r="APQ12" s="188"/>
      <c r="APR12" s="187"/>
      <c r="APX12" s="188"/>
      <c r="APY12" s="187"/>
      <c r="AQE12" s="188"/>
      <c r="AQF12" s="187"/>
      <c r="AQL12" s="188"/>
      <c r="AQM12" s="187"/>
      <c r="AQN12" s="168"/>
      <c r="AQO12" s="189"/>
      <c r="AQS12" s="188"/>
      <c r="AQT12" s="187"/>
      <c r="AQZ12" s="188"/>
      <c r="ARA12" s="187"/>
      <c r="ARG12" s="188"/>
      <c r="ARH12" s="187"/>
      <c r="ARN12" s="188"/>
      <c r="ARO12" s="187"/>
      <c r="ARP12" s="168"/>
      <c r="ARQ12" s="189"/>
      <c r="ARU12" s="188"/>
      <c r="ARV12" s="187"/>
      <c r="ASB12" s="188"/>
      <c r="ASC12" s="187"/>
      <c r="ASI12" s="188"/>
      <c r="ASJ12" s="187"/>
      <c r="ASP12" s="188"/>
      <c r="ASQ12" s="187"/>
      <c r="ASU12" s="168"/>
      <c r="ASV12" s="189"/>
      <c r="ASW12" s="188"/>
      <c r="ASX12" s="187"/>
      <c r="ATD12" s="188"/>
      <c r="ATE12" s="187"/>
      <c r="ATK12" s="188"/>
      <c r="ATL12" s="187"/>
      <c r="ATR12" s="188"/>
      <c r="ATS12" s="187"/>
      <c r="ATY12" s="168"/>
      <c r="ATZ12" s="189"/>
      <c r="AUF12" s="188"/>
      <c r="AUG12" s="187"/>
      <c r="AUM12" s="188"/>
      <c r="AUN12" s="187"/>
      <c r="AUT12" s="188"/>
      <c r="AUU12" s="187"/>
      <c r="AVA12" s="188"/>
      <c r="AVB12" s="187"/>
      <c r="AVD12" s="168"/>
      <c r="AVE12" s="189"/>
      <c r="AVH12" s="188"/>
      <c r="AVI12" s="187"/>
      <c r="AVO12" s="188"/>
      <c r="AVP12" s="187"/>
      <c r="AVV12" s="188"/>
      <c r="AVW12" s="187"/>
      <c r="AWC12" s="188"/>
      <c r="AWD12" s="187"/>
      <c r="AWH12" s="168"/>
      <c r="AWI12" s="189"/>
      <c r="AWJ12" s="188"/>
      <c r="AWK12" s="187"/>
      <c r="AWQ12" s="188"/>
      <c r="AWR12" s="187"/>
      <c r="AWX12" s="188"/>
      <c r="AWY12" s="187"/>
      <c r="AXE12" s="188"/>
      <c r="AXF12" s="187"/>
      <c r="AXL12" s="188"/>
      <c r="AXM12" s="190"/>
      <c r="AXN12" s="189"/>
      <c r="AXS12" s="188"/>
      <c r="AXT12" s="187"/>
      <c r="AXZ12" s="188"/>
      <c r="AYA12" s="187"/>
      <c r="AYG12" s="188"/>
      <c r="AYH12" s="187"/>
      <c r="AYN12" s="188"/>
      <c r="AYO12" s="187"/>
      <c r="AYR12" s="168"/>
      <c r="AYS12" s="189"/>
      <c r="AYU12" s="188"/>
      <c r="AYV12" s="187"/>
      <c r="AZB12" s="188"/>
      <c r="AZC12" s="187"/>
      <c r="AZI12" s="188"/>
      <c r="AZJ12" s="187"/>
      <c r="AZP12" s="188"/>
      <c r="AZQ12" s="187"/>
      <c r="AZV12" s="168"/>
      <c r="AZW12" s="191"/>
      <c r="AZX12" s="187"/>
      <c r="BAD12" s="188"/>
      <c r="BAE12" s="187"/>
      <c r="BAK12" s="188"/>
      <c r="BAL12" s="187"/>
      <c r="BAR12" s="188"/>
      <c r="BAS12" s="187"/>
      <c r="BAY12" s="188"/>
      <c r="BAZ12" s="187"/>
      <c r="BBA12" s="168"/>
      <c r="BBB12" s="189"/>
      <c r="BBF12" s="188"/>
      <c r="BBG12" s="187"/>
      <c r="BBM12" s="188"/>
      <c r="BBN12" s="187"/>
      <c r="BBT12" s="188"/>
      <c r="BBU12" s="187"/>
      <c r="BCA12" s="188"/>
      <c r="BCB12" s="187"/>
      <c r="BCE12" s="168"/>
      <c r="BCF12" s="189"/>
      <c r="BCH12" s="188"/>
      <c r="BCI12" s="187"/>
      <c r="BCO12" s="188"/>
      <c r="BCP12" s="187"/>
      <c r="BCV12" s="188"/>
      <c r="BCW12" s="187"/>
      <c r="BDC12" s="188"/>
      <c r="BDD12" s="187"/>
      <c r="BDJ12" s="168"/>
      <c r="BDK12" s="189"/>
      <c r="BDQ12" s="188"/>
      <c r="BDR12" s="187"/>
      <c r="BDX12" s="188"/>
      <c r="BDY12" s="187"/>
      <c r="BEE12" s="188"/>
      <c r="BEF12" s="187"/>
      <c r="BEL12" s="188"/>
      <c r="BEM12" s="187"/>
      <c r="BEO12" s="168"/>
      <c r="BEP12" s="189"/>
      <c r="BES12" s="188"/>
      <c r="BET12" s="187"/>
      <c r="BEZ12" s="188"/>
      <c r="BFA12" s="187"/>
      <c r="BFG12" s="188"/>
      <c r="BFH12" s="187"/>
      <c r="BFN12" s="188"/>
      <c r="BFO12" s="187"/>
      <c r="BFQ12" s="168"/>
      <c r="BFR12" s="189"/>
      <c r="BFU12" s="188"/>
      <c r="BFV12" s="187"/>
      <c r="BGB12" s="188"/>
      <c r="BGC12" s="187"/>
      <c r="BGI12" s="188"/>
      <c r="BGJ12" s="187"/>
      <c r="BGP12" s="188"/>
      <c r="BGQ12" s="187"/>
      <c r="BGV12" s="168"/>
      <c r="BGW12" s="191"/>
      <c r="BGX12" s="187"/>
      <c r="BHD12" s="188"/>
      <c r="BHE12" s="187"/>
      <c r="BHK12" s="188"/>
      <c r="BHL12" s="187"/>
      <c r="BHR12" s="188"/>
      <c r="BHS12" s="187"/>
      <c r="BHY12" s="188"/>
      <c r="BHZ12" s="190"/>
      <c r="BIA12" s="189"/>
      <c r="BIF12" s="188"/>
      <c r="BIG12" s="187"/>
      <c r="BIM12" s="188"/>
      <c r="BIN12" s="187"/>
      <c r="BIT12" s="188"/>
      <c r="BIU12" s="187"/>
      <c r="BJA12" s="188"/>
      <c r="BJB12" s="187"/>
      <c r="BJE12" s="168"/>
      <c r="BJF12" s="189"/>
      <c r="BJH12" s="188"/>
      <c r="BJI12" s="187"/>
      <c r="BJO12" s="188"/>
      <c r="BJP12" s="187"/>
      <c r="BJV12" s="188"/>
      <c r="BJW12" s="187"/>
      <c r="BKC12" s="188"/>
      <c r="BKD12" s="187"/>
      <c r="BKI12" s="168"/>
      <c r="BKJ12" s="191"/>
      <c r="BKK12" s="187"/>
      <c r="BKQ12" s="188"/>
      <c r="BKR12" s="187"/>
      <c r="BKX12" s="188"/>
      <c r="BKY12" s="187"/>
      <c r="BLE12" s="188"/>
      <c r="BLF12" s="187"/>
      <c r="BLL12" s="188"/>
      <c r="BLM12" s="187"/>
      <c r="BLN12" s="168"/>
      <c r="BLO12" s="189"/>
      <c r="BLS12" s="188"/>
      <c r="BLT12" s="187"/>
      <c r="BLZ12" s="188"/>
      <c r="BMA12" s="187"/>
      <c r="BMG12" s="188"/>
      <c r="BMH12" s="187"/>
      <c r="BMN12" s="188"/>
      <c r="BMO12" s="187"/>
      <c r="BMS12" s="168"/>
      <c r="BMT12" s="189"/>
      <c r="BMU12" s="188"/>
      <c r="BMV12" s="187"/>
      <c r="BNB12" s="188"/>
      <c r="BNC12" s="187"/>
      <c r="BNI12" s="188"/>
      <c r="BNJ12" s="187"/>
      <c r="BNP12" s="188"/>
      <c r="BNQ12" s="187"/>
      <c r="BNW12" s="168"/>
      <c r="BNX12" s="189"/>
      <c r="BOD12" s="188"/>
      <c r="BOE12" s="187"/>
      <c r="BOK12" s="188"/>
      <c r="BOL12" s="187"/>
      <c r="BOR12" s="188"/>
      <c r="BOS12" s="187"/>
      <c r="BOY12" s="188"/>
      <c r="BOZ12" s="187"/>
      <c r="BPB12" s="168"/>
      <c r="BPC12" s="189"/>
      <c r="BPF12" s="188"/>
      <c r="BPG12" s="187"/>
      <c r="BPM12" s="188"/>
      <c r="BPN12" s="187"/>
      <c r="BPT12" s="188"/>
      <c r="BPU12" s="187"/>
      <c r="BQA12" s="188"/>
      <c r="BQB12" s="187"/>
      <c r="BQF12" s="168"/>
      <c r="BQG12" s="189"/>
      <c r="BQH12" s="188"/>
      <c r="BQI12" s="187"/>
      <c r="BQO12" s="188"/>
      <c r="BQP12" s="187"/>
      <c r="BQV12" s="188"/>
      <c r="BQW12" s="187"/>
      <c r="BRC12" s="188"/>
      <c r="BRD12" s="187"/>
      <c r="BRJ12" s="188"/>
      <c r="BRK12" s="190"/>
      <c r="BRL12" s="189"/>
      <c r="BRQ12" s="188"/>
      <c r="BRR12" s="187"/>
      <c r="BRX12" s="188"/>
      <c r="BRY12" s="187"/>
      <c r="BSE12" s="188"/>
      <c r="BSF12" s="187"/>
      <c r="BSL12" s="188"/>
      <c r="BSM12" s="187"/>
      <c r="BSP12" s="168"/>
      <c r="BSQ12" s="189"/>
      <c r="BSS12" s="188"/>
      <c r="BST12" s="187"/>
      <c r="BSZ12" s="188"/>
      <c r="BTA12" s="187"/>
      <c r="BTG12" s="188"/>
      <c r="BTH12" s="187"/>
      <c r="BTN12" s="188"/>
      <c r="BTO12" s="187"/>
      <c r="BTS12" s="168"/>
      <c r="BTT12" s="189"/>
      <c r="BTU12" s="188"/>
      <c r="BTV12" s="187"/>
      <c r="BUB12" s="188"/>
      <c r="BUC12" s="187"/>
      <c r="BUI12" s="188"/>
      <c r="BUJ12" s="187"/>
      <c r="BUP12" s="188"/>
      <c r="BUQ12" s="187"/>
      <c r="BUW12" s="188"/>
      <c r="BUX12" s="190"/>
      <c r="BUY12" s="189"/>
      <c r="BVD12" s="188"/>
      <c r="BVE12" s="187"/>
      <c r="BVK12" s="188"/>
      <c r="BVL12" s="187"/>
      <c r="BVR12" s="188"/>
      <c r="BVS12" s="187"/>
      <c r="BVY12" s="188"/>
      <c r="BVZ12" s="187"/>
      <c r="BWB12" s="168"/>
      <c r="BWC12" s="189"/>
      <c r="BWF12" s="188"/>
      <c r="BWG12" s="187"/>
      <c r="BWM12" s="188"/>
      <c r="BWN12" s="187"/>
      <c r="BWT12" s="188"/>
      <c r="BWU12" s="187"/>
      <c r="BXA12" s="188"/>
      <c r="BXB12" s="187"/>
      <c r="BXG12" s="168"/>
      <c r="BXH12" s="191"/>
      <c r="BXI12" s="187"/>
      <c r="BXO12" s="188"/>
      <c r="BXP12" s="187"/>
      <c r="BXV12" s="188"/>
      <c r="BXW12" s="187"/>
      <c r="BYC12" s="188"/>
      <c r="BYD12" s="187"/>
      <c r="BYJ12" s="188"/>
      <c r="BYK12" s="190"/>
      <c r="BYL12" s="189"/>
      <c r="BYQ12" s="188"/>
      <c r="BYR12" s="187"/>
      <c r="BYX12" s="188"/>
      <c r="BYY12" s="187"/>
      <c r="BZE12" s="188"/>
      <c r="BZF12" s="187"/>
      <c r="BZL12" s="188"/>
      <c r="BZM12" s="187"/>
      <c r="BZP12" s="168"/>
      <c r="BZQ12" s="189"/>
      <c r="BZS12" s="188"/>
      <c r="BZT12" s="187"/>
      <c r="BZZ12" s="188"/>
      <c r="CAA12" s="187"/>
      <c r="CAG12" s="188"/>
      <c r="CAH12" s="187"/>
      <c r="CAN12" s="188"/>
      <c r="CAO12" s="187"/>
      <c r="CAU12" s="168"/>
      <c r="CAV12" s="189"/>
      <c r="CBB12" s="188"/>
      <c r="CBC12" s="187"/>
      <c r="CBI12" s="188"/>
      <c r="CBJ12" s="187"/>
      <c r="CBP12" s="188"/>
      <c r="CBQ12" s="187"/>
      <c r="CBW12" s="188"/>
      <c r="CBX12" s="187"/>
      <c r="CBY12" s="168"/>
      <c r="CBZ12" s="189"/>
      <c r="CCD12" s="188"/>
      <c r="CCE12" s="187"/>
      <c r="CCK12" s="188"/>
      <c r="CCL12" s="187"/>
      <c r="CCR12" s="188"/>
      <c r="CCS12" s="187"/>
      <c r="CCY12" s="188"/>
      <c r="CCZ12" s="187"/>
      <c r="CDD12" s="168"/>
      <c r="CDE12" s="189"/>
      <c r="CDF12" s="188"/>
      <c r="CDG12" s="187"/>
      <c r="CDM12" s="188"/>
      <c r="CDN12" s="187"/>
      <c r="CDT12" s="188"/>
      <c r="CDU12" s="187"/>
      <c r="CEA12" s="188"/>
      <c r="CEB12" s="187"/>
      <c r="CEH12" s="168"/>
      <c r="CEI12" s="189"/>
      <c r="CEO12" s="188"/>
      <c r="CEP12" s="187"/>
      <c r="CEV12" s="188"/>
      <c r="CEW12" s="187"/>
      <c r="CFC12" s="188"/>
      <c r="CFD12" s="187"/>
      <c r="CFJ12" s="188"/>
      <c r="CFK12" s="187"/>
    </row>
    <row r="13" spans="1:2201">
      <c r="A13" s="164" t="s">
        <v>257</v>
      </c>
      <c r="D13" s="186"/>
      <c r="E13" s="186"/>
      <c r="K13" s="187"/>
      <c r="Q13" s="188"/>
      <c r="R13" s="187"/>
      <c r="X13" s="188"/>
      <c r="Y13" s="187"/>
      <c r="AE13" s="188"/>
      <c r="AF13" s="187"/>
      <c r="AJ13" s="168"/>
      <c r="AK13" s="189"/>
      <c r="AL13" s="188"/>
      <c r="AM13" s="187"/>
      <c r="AS13" s="188"/>
      <c r="AT13" s="187"/>
      <c r="AZ13" s="188"/>
      <c r="BA13" s="187"/>
      <c r="BG13" s="188"/>
      <c r="BH13" s="187"/>
      <c r="BL13" s="168"/>
      <c r="BM13" s="189"/>
      <c r="BN13" s="188"/>
      <c r="BO13" s="187"/>
      <c r="BU13" s="188"/>
      <c r="BV13" s="187"/>
      <c r="CB13" s="188"/>
      <c r="CC13" s="187"/>
      <c r="CI13" s="188"/>
      <c r="CJ13" s="187"/>
      <c r="CP13" s="188"/>
      <c r="CQ13" s="190"/>
      <c r="CR13" s="189"/>
      <c r="CW13" s="188"/>
      <c r="CX13" s="187"/>
      <c r="DD13" s="188"/>
      <c r="DE13" s="187"/>
      <c r="DK13" s="188"/>
      <c r="DL13" s="187"/>
      <c r="DR13" s="188"/>
      <c r="DS13" s="187"/>
      <c r="DU13" s="168"/>
      <c r="DV13" s="189"/>
      <c r="DY13" s="188"/>
      <c r="DZ13" s="187"/>
      <c r="EF13" s="188"/>
      <c r="EG13" s="187"/>
      <c r="EM13" s="188"/>
      <c r="EN13" s="187"/>
      <c r="ET13" s="188"/>
      <c r="EU13" s="187"/>
      <c r="EZ13" s="168"/>
      <c r="FA13" s="191"/>
      <c r="FB13" s="187"/>
      <c r="FH13" s="188"/>
      <c r="FI13" s="187"/>
      <c r="FO13" s="188"/>
      <c r="FP13" s="187"/>
      <c r="FV13" s="188"/>
      <c r="FW13" s="187"/>
      <c r="GC13" s="188"/>
      <c r="GD13" s="190"/>
      <c r="GE13" s="189"/>
      <c r="GJ13" s="188"/>
      <c r="GK13" s="187"/>
      <c r="GQ13" s="188"/>
      <c r="GR13" s="187"/>
      <c r="GX13" s="188"/>
      <c r="GY13" s="187"/>
      <c r="HE13" s="188"/>
      <c r="HF13" s="187"/>
      <c r="HI13" s="168"/>
      <c r="HJ13" s="189"/>
      <c r="HL13" s="188"/>
      <c r="HM13" s="187"/>
      <c r="HS13" s="188"/>
      <c r="HT13" s="187"/>
      <c r="HZ13" s="188"/>
      <c r="IA13" s="187"/>
      <c r="IG13" s="188"/>
      <c r="IH13" s="187"/>
      <c r="IN13" s="168"/>
      <c r="IO13" s="189"/>
      <c r="IU13" s="188"/>
      <c r="IV13" s="187"/>
      <c r="JB13" s="188"/>
      <c r="JC13" s="187"/>
      <c r="JI13" s="188"/>
      <c r="JJ13" s="187"/>
      <c r="JP13" s="188"/>
      <c r="JQ13" s="187"/>
      <c r="JR13" s="168"/>
      <c r="JS13" s="189"/>
      <c r="JW13" s="188"/>
      <c r="JX13" s="187"/>
      <c r="KD13" s="188"/>
      <c r="KE13" s="187"/>
      <c r="KK13" s="188"/>
      <c r="KL13" s="187"/>
      <c r="KR13" s="188"/>
      <c r="KS13" s="187"/>
      <c r="KW13" s="168"/>
      <c r="KX13" s="189"/>
      <c r="KY13" s="188"/>
      <c r="KZ13" s="187"/>
      <c r="LF13" s="188"/>
      <c r="LG13" s="187"/>
      <c r="LM13" s="188"/>
      <c r="LN13" s="187"/>
      <c r="LT13" s="188"/>
      <c r="LU13" s="187"/>
      <c r="MA13" s="168"/>
      <c r="MB13" s="189"/>
      <c r="MH13" s="188"/>
      <c r="MI13" s="187"/>
      <c r="MO13" s="188"/>
      <c r="MP13" s="187"/>
      <c r="MV13" s="188"/>
      <c r="MW13" s="187"/>
      <c r="NC13" s="188"/>
      <c r="ND13" s="187"/>
      <c r="NF13" s="168"/>
      <c r="NG13" s="189"/>
      <c r="NJ13" s="188"/>
      <c r="NK13" s="187"/>
      <c r="NQ13" s="188"/>
      <c r="NR13" s="187"/>
      <c r="NX13" s="188"/>
      <c r="NY13" s="187"/>
      <c r="OE13" s="188"/>
      <c r="OF13" s="187"/>
      <c r="OK13" s="168"/>
      <c r="OL13" s="191"/>
      <c r="OM13" s="187"/>
      <c r="OS13" s="188"/>
      <c r="OT13" s="187"/>
      <c r="OZ13" s="188"/>
      <c r="PA13" s="187"/>
      <c r="PG13" s="188"/>
      <c r="PH13" s="187"/>
      <c r="PN13" s="168"/>
      <c r="PO13" s="189"/>
      <c r="PU13" s="188"/>
      <c r="PV13" s="187"/>
      <c r="QB13" s="188"/>
      <c r="QC13" s="187"/>
      <c r="QI13" s="188"/>
      <c r="QJ13" s="187"/>
      <c r="QP13" s="188"/>
      <c r="QQ13" s="187"/>
      <c r="QS13" s="168"/>
      <c r="QT13" s="189"/>
      <c r="QW13" s="188"/>
      <c r="QX13" s="187"/>
      <c r="RD13" s="188"/>
      <c r="RE13" s="187"/>
      <c r="RK13" s="188"/>
      <c r="RL13" s="187"/>
      <c r="RR13" s="188"/>
      <c r="RS13" s="187"/>
      <c r="RW13" s="168"/>
      <c r="RX13" s="189"/>
      <c r="RY13" s="188"/>
      <c r="RZ13" s="187"/>
      <c r="SF13" s="188"/>
      <c r="SG13" s="187"/>
      <c r="SM13" s="188"/>
      <c r="SN13" s="187"/>
      <c r="ST13" s="188"/>
      <c r="SU13" s="187"/>
      <c r="TA13" s="188"/>
      <c r="TB13" s="190"/>
      <c r="TC13" s="189"/>
      <c r="TH13" s="188"/>
      <c r="TI13" s="187"/>
      <c r="TO13" s="188"/>
      <c r="TP13" s="187"/>
      <c r="TV13" s="188"/>
      <c r="TW13" s="187"/>
      <c r="UC13" s="188"/>
      <c r="UD13" s="187"/>
      <c r="UF13" s="168"/>
      <c r="UG13" s="189"/>
      <c r="UJ13" s="188"/>
      <c r="UK13" s="187"/>
      <c r="UQ13" s="188"/>
      <c r="UR13" s="187"/>
      <c r="UX13" s="188"/>
      <c r="UY13" s="187"/>
      <c r="VE13" s="188"/>
      <c r="VF13" s="187"/>
      <c r="VK13" s="168"/>
      <c r="VL13" s="191"/>
      <c r="VM13" s="187"/>
      <c r="VS13" s="188"/>
      <c r="VT13" s="187"/>
      <c r="VZ13" s="188"/>
      <c r="WA13" s="187"/>
      <c r="WG13" s="188"/>
      <c r="WH13" s="187"/>
      <c r="WN13" s="188"/>
      <c r="WO13" s="187"/>
      <c r="WP13" s="168"/>
      <c r="WQ13" s="189"/>
      <c r="WU13" s="188"/>
      <c r="WV13" s="187"/>
      <c r="XB13" s="188"/>
      <c r="XC13" s="187"/>
      <c r="XI13" s="188"/>
      <c r="XJ13" s="187"/>
      <c r="XP13" s="188"/>
      <c r="XQ13" s="187"/>
      <c r="XT13" s="168"/>
      <c r="XU13" s="189"/>
      <c r="XW13" s="188"/>
      <c r="XX13" s="187"/>
      <c r="YD13" s="188"/>
      <c r="YE13" s="187"/>
      <c r="YK13" s="188"/>
      <c r="YL13" s="187"/>
      <c r="YR13" s="188"/>
      <c r="YS13" s="187"/>
      <c r="YY13" s="168"/>
      <c r="YZ13" s="189"/>
      <c r="ZF13" s="188"/>
      <c r="ZG13" s="187"/>
      <c r="ZM13" s="188"/>
      <c r="ZN13" s="187"/>
      <c r="ZT13" s="188"/>
      <c r="ZU13" s="187"/>
      <c r="AAA13" s="188"/>
      <c r="AAB13" s="187"/>
      <c r="AAC13" s="168"/>
      <c r="AAD13" s="189"/>
      <c r="AAH13" s="188"/>
      <c r="AAI13" s="187"/>
      <c r="AAO13" s="188"/>
      <c r="AAP13" s="187"/>
      <c r="AAV13" s="188"/>
      <c r="AAW13" s="187"/>
      <c r="ABC13" s="188"/>
      <c r="ABD13" s="187"/>
      <c r="ABH13" s="168"/>
      <c r="ABI13" s="189"/>
      <c r="ABJ13" s="188"/>
      <c r="ABK13" s="187"/>
      <c r="ABQ13" s="188"/>
      <c r="ABR13" s="187"/>
      <c r="ABX13" s="188"/>
      <c r="ABY13" s="187"/>
      <c r="ACE13" s="188"/>
      <c r="ACF13" s="187"/>
      <c r="ACL13" s="188"/>
      <c r="ACM13" s="190"/>
      <c r="ACN13" s="189"/>
      <c r="ACS13" s="188"/>
      <c r="ACT13" s="187"/>
      <c r="ACZ13" s="188"/>
      <c r="ADA13" s="187"/>
      <c r="ADG13" s="188"/>
      <c r="ADH13" s="187"/>
      <c r="ADN13" s="188"/>
      <c r="ADO13" s="190"/>
      <c r="ADP13" s="189"/>
      <c r="ADU13" s="188"/>
      <c r="ADV13" s="187"/>
      <c r="AEB13" s="188"/>
      <c r="AEC13" s="187"/>
      <c r="AEI13" s="188"/>
      <c r="AEJ13" s="187"/>
      <c r="AEP13" s="188"/>
      <c r="AEQ13" s="187"/>
      <c r="AET13" s="168"/>
      <c r="AEU13" s="189"/>
      <c r="AEW13" s="188"/>
      <c r="AEX13" s="187"/>
      <c r="AFD13" s="188"/>
      <c r="AFE13" s="187"/>
      <c r="AFK13" s="188"/>
      <c r="AFL13" s="187"/>
      <c r="AFR13" s="188"/>
      <c r="AFS13" s="187"/>
      <c r="AFX13" s="168"/>
      <c r="AFY13" s="191"/>
      <c r="AFZ13" s="187"/>
      <c r="AGF13" s="188"/>
      <c r="AGG13" s="187"/>
      <c r="AGM13" s="188"/>
      <c r="AGN13" s="187"/>
      <c r="AGT13" s="188"/>
      <c r="AGU13" s="187"/>
      <c r="AHA13" s="188"/>
      <c r="AHB13" s="187"/>
      <c r="AHC13" s="168"/>
      <c r="AHD13" s="189"/>
      <c r="AHH13" s="188"/>
      <c r="AHI13" s="187"/>
      <c r="AHO13" s="188"/>
      <c r="AHP13" s="187"/>
      <c r="AHV13" s="188"/>
      <c r="AHW13" s="187"/>
      <c r="AIC13" s="188"/>
      <c r="AID13" s="187"/>
      <c r="AIG13" s="168"/>
      <c r="AIH13" s="189"/>
      <c r="AIJ13" s="188"/>
      <c r="AIK13" s="187"/>
      <c r="AIQ13" s="188"/>
      <c r="AIR13" s="187"/>
      <c r="AIX13" s="188"/>
      <c r="AIY13" s="187"/>
      <c r="AJE13" s="188"/>
      <c r="AJF13" s="187"/>
      <c r="AJL13" s="168"/>
      <c r="AJM13" s="189"/>
      <c r="AJS13" s="188"/>
      <c r="AJT13" s="187"/>
      <c r="AJZ13" s="188"/>
      <c r="AKA13" s="187"/>
      <c r="AKG13" s="188"/>
      <c r="AKH13" s="187"/>
      <c r="AKN13" s="188"/>
      <c r="AKO13" s="187"/>
      <c r="AKQ13" s="168"/>
      <c r="AKR13" s="189"/>
      <c r="AKU13" s="188"/>
      <c r="AKV13" s="187"/>
      <c r="ALB13" s="188"/>
      <c r="ALC13" s="187"/>
      <c r="ALI13" s="188"/>
      <c r="ALJ13" s="187"/>
      <c r="ALP13" s="188"/>
      <c r="ALQ13" s="187"/>
      <c r="ALU13" s="168"/>
      <c r="ALV13" s="189"/>
      <c r="ALW13" s="188"/>
      <c r="ALX13" s="187"/>
      <c r="AMD13" s="188"/>
      <c r="AME13" s="187"/>
      <c r="AMK13" s="188"/>
      <c r="AML13" s="187"/>
      <c r="AMR13" s="188"/>
      <c r="AMS13" s="187"/>
      <c r="AMY13" s="188"/>
      <c r="AMZ13" s="190"/>
      <c r="ANA13" s="189"/>
      <c r="ANF13" s="188"/>
      <c r="ANG13" s="187"/>
      <c r="ANM13" s="188"/>
      <c r="ANN13" s="187"/>
      <c r="ANT13" s="188"/>
      <c r="ANU13" s="187"/>
      <c r="AOA13" s="188"/>
      <c r="AOB13" s="187"/>
      <c r="AOD13" s="168"/>
      <c r="AOE13" s="189"/>
      <c r="AOH13" s="188"/>
      <c r="AOI13" s="187"/>
      <c r="AOO13" s="188"/>
      <c r="AOP13" s="187"/>
      <c r="AOV13" s="188"/>
      <c r="AOW13" s="187"/>
      <c r="APC13" s="188"/>
      <c r="APD13" s="187"/>
      <c r="API13" s="168"/>
      <c r="APJ13" s="191"/>
      <c r="APK13" s="187"/>
      <c r="APQ13" s="188"/>
      <c r="APR13" s="187"/>
      <c r="APX13" s="188"/>
      <c r="APY13" s="187"/>
      <c r="AQE13" s="188"/>
      <c r="AQF13" s="187"/>
      <c r="AQL13" s="188"/>
      <c r="AQM13" s="187"/>
      <c r="AQN13" s="168"/>
      <c r="AQO13" s="189"/>
      <c r="AQS13" s="188"/>
      <c r="AQT13" s="187"/>
      <c r="AQZ13" s="188"/>
      <c r="ARA13" s="187"/>
      <c r="ARG13" s="188"/>
      <c r="ARH13" s="187"/>
      <c r="ARN13" s="188"/>
      <c r="ARO13" s="187"/>
      <c r="ARP13" s="168"/>
      <c r="ARQ13" s="189"/>
      <c r="ARU13" s="188"/>
      <c r="ARV13" s="187"/>
      <c r="ASB13" s="188"/>
      <c r="ASC13" s="187"/>
      <c r="ASI13" s="188"/>
      <c r="ASJ13" s="187"/>
      <c r="ASP13" s="188"/>
      <c r="ASQ13" s="187"/>
      <c r="ASU13" s="168"/>
      <c r="ASV13" s="189"/>
      <c r="ASW13" s="188"/>
      <c r="ASX13" s="187"/>
      <c r="ATD13" s="188"/>
      <c r="ATE13" s="187"/>
      <c r="ATK13" s="188"/>
      <c r="ATL13" s="187"/>
      <c r="ATR13" s="188"/>
      <c r="ATS13" s="187"/>
      <c r="ATY13" s="168"/>
      <c r="ATZ13" s="189"/>
      <c r="AUF13" s="188"/>
      <c r="AUG13" s="187"/>
      <c r="AUM13" s="188"/>
      <c r="AUN13" s="187"/>
      <c r="AUT13" s="188"/>
      <c r="AUU13" s="187"/>
      <c r="AVA13" s="188"/>
      <c r="AVB13" s="187"/>
      <c r="AVD13" s="168"/>
      <c r="AVE13" s="189"/>
      <c r="AVH13" s="188"/>
      <c r="AVI13" s="187"/>
      <c r="AVO13" s="188"/>
      <c r="AVP13" s="187"/>
      <c r="AVV13" s="188"/>
      <c r="AVW13" s="187"/>
      <c r="AWC13" s="188"/>
      <c r="AWD13" s="187"/>
      <c r="AWH13" s="168"/>
      <c r="AWI13" s="189"/>
      <c r="AWJ13" s="188"/>
      <c r="AWK13" s="187"/>
      <c r="AWQ13" s="188"/>
      <c r="AWR13" s="187"/>
      <c r="AWX13" s="188"/>
      <c r="AWY13" s="187"/>
      <c r="AXE13" s="188"/>
      <c r="AXF13" s="187"/>
      <c r="AXL13" s="188"/>
      <c r="AXM13" s="190"/>
      <c r="AXN13" s="189"/>
      <c r="AXS13" s="188"/>
      <c r="AXT13" s="187"/>
      <c r="AXZ13" s="188"/>
      <c r="AYA13" s="187"/>
      <c r="AYG13" s="188"/>
      <c r="AYH13" s="187"/>
      <c r="AYN13" s="188"/>
      <c r="AYO13" s="187"/>
      <c r="AYR13" s="168"/>
      <c r="AYS13" s="189"/>
      <c r="AYU13" s="188"/>
      <c r="AYV13" s="187"/>
      <c r="AZB13" s="188"/>
      <c r="AZC13" s="187"/>
      <c r="AZI13" s="188"/>
      <c r="AZJ13" s="187"/>
      <c r="AZP13" s="188"/>
      <c r="AZQ13" s="187"/>
      <c r="AZV13" s="168"/>
      <c r="AZW13" s="191"/>
      <c r="AZX13" s="187"/>
      <c r="BAD13" s="188"/>
      <c r="BAE13" s="187"/>
      <c r="BAK13" s="188"/>
      <c r="BAL13" s="187"/>
      <c r="BAR13" s="188"/>
      <c r="BAS13" s="187"/>
      <c r="BAY13" s="188"/>
      <c r="BAZ13" s="187"/>
      <c r="BBA13" s="168"/>
      <c r="BBB13" s="189"/>
      <c r="BBF13" s="188"/>
      <c r="BBG13" s="187"/>
      <c r="BBM13" s="188"/>
      <c r="BBN13" s="187"/>
      <c r="BBT13" s="188"/>
      <c r="BBU13" s="187"/>
      <c r="BCA13" s="188"/>
      <c r="BCB13" s="187"/>
      <c r="BCE13" s="168"/>
      <c r="BCF13" s="189"/>
      <c r="BCH13" s="188"/>
      <c r="BCI13" s="187"/>
      <c r="BCO13" s="188"/>
      <c r="BCP13" s="187"/>
      <c r="BCV13" s="188"/>
      <c r="BCW13" s="187"/>
      <c r="BDC13" s="188"/>
      <c r="BDD13" s="187"/>
      <c r="BDJ13" s="168"/>
      <c r="BDK13" s="189"/>
      <c r="BDQ13" s="188"/>
      <c r="BDR13" s="187"/>
      <c r="BDX13" s="188"/>
      <c r="BDY13" s="187"/>
      <c r="BEE13" s="188"/>
      <c r="BEF13" s="187"/>
      <c r="BEL13" s="188"/>
      <c r="BEM13" s="187"/>
      <c r="BEO13" s="168"/>
      <c r="BEP13" s="189"/>
      <c r="BES13" s="188"/>
      <c r="BET13" s="187"/>
      <c r="BEZ13" s="188"/>
      <c r="BFA13" s="187"/>
      <c r="BFG13" s="188"/>
      <c r="BFH13" s="187"/>
      <c r="BFN13" s="188"/>
      <c r="BFO13" s="187"/>
      <c r="BFQ13" s="168"/>
      <c r="BFR13" s="189"/>
      <c r="BFU13" s="188"/>
      <c r="BFV13" s="187"/>
      <c r="BGB13" s="188"/>
      <c r="BGC13" s="187"/>
      <c r="BGI13" s="188"/>
      <c r="BGJ13" s="187"/>
      <c r="BGP13" s="188"/>
      <c r="BGQ13" s="187"/>
      <c r="BGV13" s="168"/>
      <c r="BGW13" s="191"/>
      <c r="BGX13" s="187"/>
      <c r="BHD13" s="188"/>
      <c r="BHE13" s="187"/>
      <c r="BHK13" s="188"/>
      <c r="BHL13" s="187"/>
      <c r="BHR13" s="188"/>
      <c r="BHS13" s="187"/>
      <c r="BHY13" s="188"/>
      <c r="BHZ13" s="190"/>
      <c r="BIA13" s="189"/>
      <c r="BIF13" s="188"/>
      <c r="BIG13" s="187"/>
      <c r="BIM13" s="188"/>
      <c r="BIN13" s="187"/>
      <c r="BIT13" s="188"/>
      <c r="BIU13" s="187"/>
      <c r="BJA13" s="188"/>
      <c r="BJB13" s="187"/>
      <c r="BJE13" s="168"/>
      <c r="BJF13" s="189"/>
      <c r="BJH13" s="188"/>
      <c r="BJI13" s="187"/>
      <c r="BJO13" s="188"/>
      <c r="BJP13" s="187"/>
      <c r="BJV13" s="188"/>
      <c r="BJW13" s="187"/>
      <c r="BKC13" s="188"/>
      <c r="BKD13" s="187"/>
      <c r="BKI13" s="168"/>
      <c r="BKJ13" s="191"/>
      <c r="BKK13" s="187"/>
      <c r="BKQ13" s="188"/>
      <c r="BKR13" s="187"/>
      <c r="BKX13" s="188"/>
      <c r="BKY13" s="187"/>
      <c r="BLE13" s="188"/>
      <c r="BLF13" s="187"/>
      <c r="BLL13" s="188"/>
      <c r="BLM13" s="187"/>
      <c r="BLN13" s="168"/>
      <c r="BLO13" s="189"/>
      <c r="BLS13" s="188"/>
      <c r="BLT13" s="187"/>
      <c r="BLZ13" s="188"/>
      <c r="BMA13" s="187"/>
      <c r="BMG13" s="188"/>
      <c r="BMH13" s="187"/>
      <c r="BMN13" s="188"/>
      <c r="BMO13" s="187"/>
      <c r="BMS13" s="168"/>
      <c r="BMT13" s="189"/>
      <c r="BMU13" s="188"/>
      <c r="BMV13" s="187"/>
      <c r="BNB13" s="188"/>
      <c r="BNC13" s="187"/>
      <c r="BNI13" s="188"/>
      <c r="BNJ13" s="187"/>
      <c r="BNP13" s="188"/>
      <c r="BNQ13" s="187"/>
      <c r="BNW13" s="168"/>
      <c r="BNX13" s="189"/>
      <c r="BOD13" s="188"/>
      <c r="BOE13" s="187"/>
      <c r="BOK13" s="188"/>
      <c r="BOL13" s="187"/>
      <c r="BOR13" s="188"/>
      <c r="BOS13" s="187"/>
      <c r="BOY13" s="188"/>
      <c r="BOZ13" s="187"/>
      <c r="BPB13" s="168"/>
      <c r="BPC13" s="189"/>
      <c r="BPF13" s="188"/>
      <c r="BPG13" s="187"/>
      <c r="BPM13" s="188"/>
      <c r="BPN13" s="187"/>
      <c r="BPT13" s="188"/>
      <c r="BPU13" s="187"/>
      <c r="BQA13" s="188"/>
      <c r="BQB13" s="187"/>
      <c r="BQF13" s="168"/>
      <c r="BQG13" s="189"/>
      <c r="BQH13" s="188"/>
      <c r="BQI13" s="187"/>
      <c r="BQO13" s="188"/>
      <c r="BQP13" s="187"/>
      <c r="BQV13" s="188"/>
      <c r="BQW13" s="187"/>
      <c r="BRC13" s="188"/>
      <c r="BRD13" s="187"/>
      <c r="BRJ13" s="188"/>
      <c r="BRK13" s="190"/>
      <c r="BRL13" s="189"/>
      <c r="BRQ13" s="188"/>
      <c r="BRR13" s="187"/>
      <c r="BRX13" s="188"/>
      <c r="BRY13" s="187"/>
      <c r="BSE13" s="188"/>
      <c r="BSF13" s="187"/>
      <c r="BSL13" s="188"/>
      <c r="BSM13" s="187"/>
      <c r="BSP13" s="168"/>
      <c r="BSQ13" s="189"/>
      <c r="BSS13" s="188"/>
      <c r="BST13" s="187"/>
      <c r="BSZ13" s="188"/>
      <c r="BTA13" s="187"/>
      <c r="BTG13" s="188"/>
      <c r="BTH13" s="187"/>
      <c r="BTN13" s="188"/>
      <c r="BTO13" s="187"/>
      <c r="BTS13" s="168"/>
      <c r="BTT13" s="189"/>
      <c r="BTU13" s="188"/>
      <c r="BTV13" s="187"/>
      <c r="BUB13" s="188"/>
      <c r="BUC13" s="187"/>
      <c r="BUI13" s="188"/>
      <c r="BUJ13" s="187"/>
      <c r="BUP13" s="188"/>
      <c r="BUQ13" s="187"/>
      <c r="BUW13" s="188"/>
      <c r="BUX13" s="190"/>
      <c r="BUY13" s="189"/>
      <c r="BVD13" s="188"/>
      <c r="BVE13" s="187"/>
      <c r="BVK13" s="188"/>
      <c r="BVL13" s="187"/>
      <c r="BVR13" s="188"/>
      <c r="BVS13" s="187"/>
      <c r="BVY13" s="188"/>
      <c r="BVZ13" s="187"/>
      <c r="BWB13" s="168"/>
      <c r="BWC13" s="189"/>
      <c r="BWF13" s="188"/>
      <c r="BWG13" s="187"/>
      <c r="BWM13" s="188"/>
      <c r="BWN13" s="187"/>
      <c r="BWT13" s="188"/>
      <c r="BWU13" s="187"/>
      <c r="BXA13" s="188"/>
      <c r="BXB13" s="187"/>
      <c r="BXG13" s="168"/>
      <c r="BXH13" s="191"/>
      <c r="BXI13" s="187"/>
      <c r="BXO13" s="188"/>
      <c r="BXP13" s="187"/>
      <c r="BXV13" s="188"/>
      <c r="BXW13" s="187"/>
      <c r="BYC13" s="188"/>
      <c r="BYD13" s="187"/>
      <c r="BYJ13" s="188"/>
      <c r="BYK13" s="190"/>
      <c r="BYL13" s="189"/>
      <c r="BYQ13" s="188"/>
      <c r="BYR13" s="187"/>
      <c r="BYX13" s="188"/>
      <c r="BYY13" s="187"/>
      <c r="BZE13" s="188"/>
      <c r="BZF13" s="187"/>
      <c r="BZL13" s="188"/>
      <c r="BZM13" s="187"/>
      <c r="BZP13" s="168"/>
      <c r="BZQ13" s="189"/>
      <c r="BZS13" s="188"/>
      <c r="BZT13" s="187"/>
      <c r="BZZ13" s="188"/>
      <c r="CAA13" s="187"/>
      <c r="CAG13" s="188"/>
      <c r="CAH13" s="187"/>
      <c r="CAN13" s="188"/>
      <c r="CAO13" s="187"/>
      <c r="CAU13" s="168"/>
      <c r="CAV13" s="189"/>
      <c r="CBB13" s="188"/>
      <c r="CBC13" s="187"/>
      <c r="CBI13" s="188"/>
      <c r="CBJ13" s="187"/>
      <c r="CBP13" s="188"/>
      <c r="CBQ13" s="187"/>
      <c r="CBW13" s="188"/>
      <c r="CBX13" s="187"/>
      <c r="CBY13" s="168"/>
      <c r="CBZ13" s="189"/>
      <c r="CCD13" s="188"/>
      <c r="CCE13" s="187"/>
      <c r="CCK13" s="188"/>
      <c r="CCL13" s="187"/>
      <c r="CCR13" s="188"/>
      <c r="CCS13" s="187"/>
      <c r="CCY13" s="188"/>
      <c r="CCZ13" s="187"/>
      <c r="CDD13" s="168"/>
      <c r="CDE13" s="189"/>
      <c r="CDF13" s="188"/>
      <c r="CDG13" s="187"/>
      <c r="CDM13" s="188"/>
      <c r="CDN13" s="187"/>
      <c r="CDT13" s="188"/>
      <c r="CDU13" s="187"/>
      <c r="CEA13" s="188"/>
      <c r="CEB13" s="187"/>
      <c r="CEH13" s="168"/>
      <c r="CEI13" s="189"/>
      <c r="CEO13" s="188"/>
      <c r="CEP13" s="187"/>
      <c r="CEV13" s="188"/>
      <c r="CEW13" s="187"/>
      <c r="CFC13" s="188"/>
      <c r="CFD13" s="187"/>
      <c r="CFJ13" s="188"/>
      <c r="CFK13" s="187"/>
    </row>
    <row r="14" spans="1:2201">
      <c r="D14" s="186"/>
      <c r="E14" s="186"/>
      <c r="K14" s="187"/>
      <c r="Q14" s="188"/>
      <c r="R14" s="187"/>
      <c r="X14" s="188"/>
      <c r="Y14" s="187"/>
      <c r="AE14" s="188"/>
      <c r="AF14" s="187"/>
      <c r="AJ14" s="168"/>
      <c r="AK14" s="189"/>
      <c r="AL14" s="188"/>
      <c r="AM14" s="187"/>
      <c r="AS14" s="188"/>
      <c r="AT14" s="187"/>
      <c r="AZ14" s="188"/>
      <c r="BA14" s="187"/>
      <c r="BG14" s="188"/>
      <c r="BH14" s="187"/>
      <c r="BL14" s="168"/>
      <c r="BM14" s="189"/>
      <c r="BN14" s="188"/>
      <c r="BO14" s="187"/>
      <c r="BU14" s="188"/>
      <c r="BV14" s="187"/>
      <c r="CB14" s="188"/>
      <c r="CC14" s="187"/>
      <c r="CI14" s="188"/>
      <c r="CJ14" s="187"/>
      <c r="CP14" s="188"/>
      <c r="CQ14" s="190"/>
      <c r="CR14" s="189"/>
      <c r="CW14" s="188"/>
      <c r="CX14" s="187"/>
      <c r="DD14" s="188"/>
      <c r="DE14" s="187"/>
      <c r="DK14" s="188"/>
      <c r="DL14" s="187"/>
      <c r="DR14" s="188"/>
      <c r="DS14" s="187"/>
      <c r="DU14" s="168"/>
      <c r="DV14" s="189"/>
      <c r="DY14" s="188"/>
      <c r="DZ14" s="187"/>
      <c r="EF14" s="188"/>
      <c r="EG14" s="187"/>
      <c r="EM14" s="188"/>
      <c r="EN14" s="187"/>
      <c r="ET14" s="188"/>
      <c r="EU14" s="187"/>
      <c r="EZ14" s="168"/>
      <c r="FA14" s="191"/>
      <c r="FB14" s="187"/>
      <c r="FH14" s="188"/>
      <c r="FI14" s="187"/>
      <c r="FO14" s="188"/>
      <c r="FP14" s="187"/>
      <c r="FV14" s="188"/>
      <c r="FW14" s="187"/>
      <c r="GC14" s="188"/>
      <c r="GD14" s="190"/>
      <c r="GE14" s="189"/>
      <c r="GJ14" s="188"/>
      <c r="GK14" s="187"/>
      <c r="GQ14" s="188"/>
      <c r="GR14" s="187"/>
      <c r="GX14" s="188"/>
      <c r="GY14" s="187"/>
      <c r="HE14" s="188"/>
      <c r="HF14" s="187"/>
      <c r="HI14" s="168"/>
      <c r="HJ14" s="189"/>
      <c r="HL14" s="188"/>
      <c r="HM14" s="187"/>
      <c r="HS14" s="188"/>
      <c r="HT14" s="187"/>
      <c r="HZ14" s="188"/>
      <c r="IA14" s="187"/>
      <c r="IG14" s="188"/>
      <c r="IH14" s="187"/>
      <c r="IN14" s="168"/>
      <c r="IO14" s="189"/>
      <c r="IU14" s="188"/>
      <c r="IV14" s="187"/>
      <c r="JB14" s="188"/>
      <c r="JC14" s="187"/>
      <c r="JI14" s="188"/>
      <c r="JJ14" s="187"/>
      <c r="JP14" s="188"/>
      <c r="JQ14" s="187"/>
      <c r="JR14" s="168"/>
      <c r="JS14" s="189"/>
      <c r="JW14" s="188"/>
      <c r="JX14" s="187"/>
      <c r="KD14" s="188"/>
      <c r="KE14" s="187"/>
      <c r="KK14" s="188"/>
      <c r="KL14" s="187"/>
      <c r="KR14" s="188"/>
      <c r="KS14" s="187"/>
      <c r="KW14" s="168"/>
      <c r="KX14" s="189"/>
      <c r="KY14" s="188"/>
      <c r="KZ14" s="187"/>
      <c r="LF14" s="188"/>
      <c r="LG14" s="187"/>
      <c r="LM14" s="188"/>
      <c r="LN14" s="187"/>
      <c r="LT14" s="188"/>
      <c r="LU14" s="187"/>
      <c r="MA14" s="168"/>
      <c r="MB14" s="189"/>
      <c r="MH14" s="188"/>
      <c r="MI14" s="187"/>
      <c r="MO14" s="188"/>
      <c r="MP14" s="187"/>
      <c r="MV14" s="188"/>
      <c r="MW14" s="187"/>
      <c r="NC14" s="188"/>
      <c r="ND14" s="187"/>
      <c r="NF14" s="168"/>
      <c r="NG14" s="189"/>
      <c r="NJ14" s="188"/>
      <c r="NK14" s="187"/>
      <c r="NQ14" s="188"/>
      <c r="NR14" s="187"/>
      <c r="NX14" s="188"/>
      <c r="NY14" s="187"/>
      <c r="OE14" s="188"/>
      <c r="OF14" s="187"/>
      <c r="OK14" s="168"/>
      <c r="OL14" s="191"/>
      <c r="OM14" s="187"/>
      <c r="OS14" s="188"/>
      <c r="OT14" s="187"/>
      <c r="OZ14" s="188"/>
      <c r="PA14" s="187"/>
      <c r="PG14" s="188"/>
      <c r="PH14" s="187"/>
      <c r="PN14" s="168"/>
      <c r="PO14" s="189"/>
      <c r="PU14" s="188"/>
      <c r="PV14" s="187"/>
      <c r="QB14" s="188"/>
      <c r="QC14" s="187"/>
      <c r="QI14" s="188"/>
      <c r="QJ14" s="187"/>
      <c r="QP14" s="188"/>
      <c r="QQ14" s="187"/>
      <c r="QS14" s="168"/>
      <c r="QT14" s="189"/>
      <c r="QW14" s="188"/>
      <c r="QX14" s="187"/>
      <c r="RD14" s="188"/>
      <c r="RE14" s="187"/>
      <c r="RK14" s="188"/>
      <c r="RL14" s="187"/>
      <c r="RR14" s="188"/>
      <c r="RS14" s="187"/>
      <c r="RW14" s="168"/>
      <c r="RX14" s="189"/>
      <c r="RY14" s="188"/>
      <c r="RZ14" s="187"/>
      <c r="SF14" s="188"/>
      <c r="SG14" s="187"/>
      <c r="SM14" s="188"/>
      <c r="SN14" s="187"/>
      <c r="ST14" s="188"/>
      <c r="SU14" s="187"/>
      <c r="TA14" s="188"/>
      <c r="TB14" s="190"/>
      <c r="TC14" s="189"/>
      <c r="TH14" s="188"/>
      <c r="TI14" s="187"/>
      <c r="TO14" s="188"/>
      <c r="TP14" s="187"/>
      <c r="TV14" s="188"/>
      <c r="TW14" s="187"/>
      <c r="UC14" s="188"/>
      <c r="UD14" s="187"/>
      <c r="UF14" s="168"/>
      <c r="UG14" s="189"/>
      <c r="UJ14" s="188"/>
      <c r="UK14" s="187"/>
      <c r="UQ14" s="188"/>
      <c r="UR14" s="187"/>
      <c r="UX14" s="188"/>
      <c r="UY14" s="187"/>
      <c r="VE14" s="188"/>
      <c r="VF14" s="187"/>
      <c r="VK14" s="168"/>
      <c r="VL14" s="191"/>
      <c r="VM14" s="187"/>
      <c r="VS14" s="188"/>
      <c r="VT14" s="187"/>
      <c r="VZ14" s="188"/>
      <c r="WA14" s="187"/>
      <c r="WG14" s="188"/>
      <c r="WH14" s="187"/>
      <c r="WN14" s="188"/>
      <c r="WO14" s="187"/>
      <c r="WP14" s="168"/>
      <c r="WQ14" s="189"/>
      <c r="WU14" s="188"/>
      <c r="WV14" s="187"/>
      <c r="XB14" s="188"/>
      <c r="XC14" s="187"/>
      <c r="XI14" s="188"/>
      <c r="XJ14" s="187"/>
      <c r="XP14" s="188"/>
      <c r="XQ14" s="187"/>
      <c r="XT14" s="168"/>
      <c r="XU14" s="189"/>
      <c r="XW14" s="188"/>
      <c r="XX14" s="187"/>
      <c r="YD14" s="188"/>
      <c r="YE14" s="187"/>
      <c r="YK14" s="188"/>
      <c r="YL14" s="187"/>
      <c r="YR14" s="188"/>
      <c r="YS14" s="187"/>
      <c r="YY14" s="168"/>
      <c r="YZ14" s="189"/>
      <c r="ZF14" s="188"/>
      <c r="ZG14" s="187"/>
      <c r="ZM14" s="188"/>
      <c r="ZN14" s="187"/>
      <c r="ZT14" s="188"/>
      <c r="ZU14" s="187"/>
      <c r="AAA14" s="188"/>
      <c r="AAB14" s="187"/>
      <c r="AAC14" s="168"/>
      <c r="AAD14" s="189"/>
      <c r="AAH14" s="188"/>
      <c r="AAI14" s="187"/>
      <c r="AAO14" s="188"/>
      <c r="AAP14" s="187"/>
      <c r="AAV14" s="188"/>
      <c r="AAW14" s="187"/>
      <c r="ABC14" s="188"/>
      <c r="ABD14" s="187"/>
      <c r="ABH14" s="168"/>
      <c r="ABI14" s="189"/>
      <c r="ABJ14" s="188"/>
      <c r="ABK14" s="187"/>
      <c r="ABQ14" s="188"/>
      <c r="ABR14" s="187"/>
      <c r="ABX14" s="188"/>
      <c r="ABY14" s="187"/>
      <c r="ACE14" s="188"/>
      <c r="ACF14" s="187"/>
      <c r="ACL14" s="188"/>
      <c r="ACM14" s="190"/>
      <c r="ACN14" s="189"/>
      <c r="ACS14" s="188"/>
      <c r="ACT14" s="187"/>
      <c r="ACZ14" s="188"/>
      <c r="ADA14" s="187"/>
      <c r="ADG14" s="188"/>
      <c r="ADH14" s="187"/>
      <c r="ADN14" s="188"/>
      <c r="ADO14" s="190"/>
      <c r="ADP14" s="189"/>
      <c r="ADU14" s="188"/>
      <c r="ADV14" s="187"/>
      <c r="AEB14" s="188"/>
      <c r="AEC14" s="187"/>
      <c r="AEI14" s="188"/>
      <c r="AEJ14" s="187"/>
      <c r="AEP14" s="188"/>
      <c r="AEQ14" s="187"/>
      <c r="AET14" s="168"/>
      <c r="AEU14" s="189"/>
      <c r="AEW14" s="188"/>
      <c r="AEX14" s="187"/>
      <c r="AFD14" s="188"/>
      <c r="AFE14" s="187"/>
      <c r="AFK14" s="188"/>
      <c r="AFL14" s="187"/>
      <c r="AFR14" s="188"/>
      <c r="AFS14" s="187"/>
      <c r="AFX14" s="168"/>
      <c r="AFY14" s="191"/>
      <c r="AFZ14" s="187"/>
      <c r="AGF14" s="188"/>
      <c r="AGG14" s="187"/>
      <c r="AGM14" s="188"/>
      <c r="AGN14" s="187"/>
      <c r="AGT14" s="188"/>
      <c r="AGU14" s="187"/>
      <c r="AHA14" s="188"/>
      <c r="AHB14" s="187"/>
      <c r="AHC14" s="168"/>
      <c r="AHD14" s="189"/>
      <c r="AHH14" s="188"/>
      <c r="AHI14" s="187"/>
      <c r="AHO14" s="188"/>
      <c r="AHP14" s="187"/>
      <c r="AHV14" s="188"/>
      <c r="AHW14" s="187"/>
      <c r="AIC14" s="188"/>
      <c r="AID14" s="187"/>
      <c r="AIG14" s="168"/>
      <c r="AIH14" s="189"/>
      <c r="AIJ14" s="188"/>
      <c r="AIK14" s="187"/>
      <c r="AIQ14" s="188"/>
      <c r="AIR14" s="187"/>
      <c r="AIX14" s="188"/>
      <c r="AIY14" s="187"/>
      <c r="AJE14" s="188"/>
      <c r="AJF14" s="187"/>
      <c r="AJL14" s="168"/>
      <c r="AJM14" s="189"/>
      <c r="AJS14" s="188"/>
      <c r="AJT14" s="187"/>
      <c r="AJZ14" s="188"/>
      <c r="AKA14" s="187"/>
      <c r="AKG14" s="188"/>
      <c r="AKH14" s="187"/>
      <c r="AKN14" s="188"/>
      <c r="AKO14" s="187"/>
      <c r="AKQ14" s="168"/>
      <c r="AKR14" s="189"/>
      <c r="AKU14" s="188"/>
      <c r="AKV14" s="187"/>
      <c r="ALB14" s="188"/>
      <c r="ALC14" s="187"/>
      <c r="ALI14" s="188"/>
      <c r="ALJ14" s="187"/>
      <c r="ALP14" s="188"/>
      <c r="ALQ14" s="187"/>
      <c r="ALU14" s="168"/>
      <c r="ALV14" s="189"/>
      <c r="ALW14" s="188"/>
      <c r="ALX14" s="187"/>
      <c r="AMD14" s="188"/>
      <c r="AME14" s="187"/>
      <c r="AMK14" s="188"/>
      <c r="AML14" s="187"/>
      <c r="AMR14" s="188"/>
      <c r="AMS14" s="187"/>
      <c r="AMY14" s="188"/>
      <c r="AMZ14" s="190"/>
      <c r="ANA14" s="189"/>
      <c r="ANF14" s="188"/>
      <c r="ANG14" s="187"/>
      <c r="ANM14" s="188"/>
      <c r="ANN14" s="187"/>
      <c r="ANT14" s="188"/>
      <c r="ANU14" s="187"/>
      <c r="AOA14" s="188"/>
      <c r="AOB14" s="187"/>
      <c r="AOD14" s="168"/>
      <c r="AOE14" s="189"/>
      <c r="AOH14" s="188"/>
      <c r="AOI14" s="187"/>
      <c r="AOO14" s="188"/>
      <c r="AOP14" s="187"/>
      <c r="AOV14" s="188"/>
      <c r="AOW14" s="187"/>
      <c r="APC14" s="188"/>
      <c r="APD14" s="187"/>
      <c r="API14" s="168"/>
      <c r="APJ14" s="191"/>
      <c r="APK14" s="187"/>
      <c r="APQ14" s="188"/>
      <c r="APR14" s="187"/>
      <c r="APX14" s="188"/>
      <c r="APY14" s="187"/>
      <c r="AQE14" s="188"/>
      <c r="AQF14" s="187"/>
      <c r="AQL14" s="188"/>
      <c r="AQM14" s="187"/>
      <c r="AQN14" s="168"/>
      <c r="AQO14" s="189"/>
      <c r="AQS14" s="188"/>
      <c r="AQT14" s="187"/>
      <c r="AQZ14" s="188"/>
      <c r="ARA14" s="187"/>
      <c r="ARG14" s="188"/>
      <c r="ARH14" s="187"/>
      <c r="ARN14" s="188"/>
      <c r="ARO14" s="187"/>
      <c r="ARP14" s="168"/>
      <c r="ARQ14" s="189"/>
      <c r="ARU14" s="188"/>
      <c r="ARV14" s="187"/>
      <c r="ASB14" s="188"/>
      <c r="ASC14" s="187"/>
      <c r="ASI14" s="188"/>
      <c r="ASJ14" s="187"/>
      <c r="ASP14" s="188"/>
      <c r="ASQ14" s="187"/>
      <c r="ASU14" s="168"/>
      <c r="ASV14" s="189"/>
      <c r="ASW14" s="188"/>
      <c r="ASX14" s="187"/>
      <c r="ATD14" s="188"/>
      <c r="ATE14" s="187"/>
      <c r="ATK14" s="188"/>
      <c r="ATL14" s="187"/>
      <c r="ATR14" s="188"/>
      <c r="ATS14" s="187"/>
      <c r="ATY14" s="168"/>
      <c r="ATZ14" s="189"/>
      <c r="AUF14" s="188"/>
      <c r="AUG14" s="187"/>
      <c r="AUM14" s="188"/>
      <c r="AUN14" s="187"/>
      <c r="AUT14" s="188"/>
      <c r="AUU14" s="187"/>
      <c r="AVA14" s="188"/>
      <c r="AVB14" s="187"/>
      <c r="AVD14" s="168"/>
      <c r="AVE14" s="189"/>
      <c r="AVH14" s="188"/>
      <c r="AVI14" s="187"/>
      <c r="AVO14" s="188"/>
      <c r="AVP14" s="187"/>
      <c r="AVV14" s="188"/>
      <c r="AVW14" s="187"/>
      <c r="AWC14" s="188"/>
      <c r="AWD14" s="187"/>
      <c r="AWH14" s="168"/>
      <c r="AWI14" s="189"/>
      <c r="AWJ14" s="188"/>
      <c r="AWK14" s="187"/>
      <c r="AWQ14" s="188"/>
      <c r="AWR14" s="187"/>
      <c r="AWX14" s="188"/>
      <c r="AWY14" s="187"/>
      <c r="AXE14" s="188"/>
      <c r="AXF14" s="187"/>
      <c r="AXL14" s="188"/>
      <c r="AXM14" s="190"/>
      <c r="AXN14" s="189"/>
      <c r="AXS14" s="188"/>
      <c r="AXT14" s="187"/>
      <c r="AXZ14" s="188"/>
      <c r="AYA14" s="187"/>
      <c r="AYG14" s="188"/>
      <c r="AYH14" s="187"/>
      <c r="AYN14" s="188"/>
      <c r="AYO14" s="187"/>
      <c r="AYR14" s="168"/>
      <c r="AYS14" s="189"/>
      <c r="AYU14" s="188"/>
      <c r="AYV14" s="187"/>
      <c r="AZB14" s="188"/>
      <c r="AZC14" s="187"/>
      <c r="AZI14" s="188"/>
      <c r="AZJ14" s="187"/>
      <c r="AZP14" s="188"/>
      <c r="AZQ14" s="187"/>
      <c r="AZV14" s="168"/>
      <c r="AZW14" s="191"/>
      <c r="AZX14" s="187"/>
      <c r="BAD14" s="188"/>
      <c r="BAE14" s="187"/>
      <c r="BAK14" s="188"/>
      <c r="BAL14" s="187"/>
      <c r="BAR14" s="188"/>
      <c r="BAS14" s="187"/>
      <c r="BAY14" s="188"/>
      <c r="BAZ14" s="187"/>
      <c r="BBA14" s="168"/>
      <c r="BBB14" s="189"/>
      <c r="BBF14" s="188"/>
      <c r="BBG14" s="187"/>
      <c r="BBM14" s="188"/>
      <c r="BBN14" s="187"/>
      <c r="BBT14" s="188"/>
      <c r="BBU14" s="187"/>
      <c r="BCA14" s="188"/>
      <c r="BCB14" s="187"/>
      <c r="BCE14" s="168"/>
      <c r="BCF14" s="189"/>
      <c r="BCH14" s="188"/>
      <c r="BCI14" s="187"/>
      <c r="BCO14" s="188"/>
      <c r="BCP14" s="187"/>
      <c r="BCV14" s="188"/>
      <c r="BCW14" s="187"/>
      <c r="BDC14" s="188"/>
      <c r="BDD14" s="187"/>
      <c r="BDJ14" s="168"/>
      <c r="BDK14" s="189"/>
      <c r="BDQ14" s="188"/>
      <c r="BDR14" s="187"/>
      <c r="BDX14" s="188"/>
      <c r="BDY14" s="187"/>
      <c r="BEE14" s="188"/>
      <c r="BEF14" s="187"/>
      <c r="BEL14" s="188"/>
      <c r="BEM14" s="187"/>
      <c r="BEO14" s="168"/>
      <c r="BEP14" s="189"/>
      <c r="BES14" s="188"/>
      <c r="BET14" s="187"/>
      <c r="BEZ14" s="188"/>
      <c r="BFA14" s="187"/>
      <c r="BFG14" s="188"/>
      <c r="BFH14" s="187"/>
      <c r="BFN14" s="188"/>
      <c r="BFO14" s="187"/>
      <c r="BFQ14" s="168"/>
      <c r="BFR14" s="189"/>
      <c r="BFU14" s="188"/>
      <c r="BFV14" s="187"/>
      <c r="BGB14" s="188"/>
      <c r="BGC14" s="187"/>
      <c r="BGI14" s="188"/>
      <c r="BGJ14" s="187"/>
      <c r="BGP14" s="188"/>
      <c r="BGQ14" s="187"/>
      <c r="BGV14" s="168"/>
      <c r="BGW14" s="191"/>
      <c r="BGX14" s="187"/>
      <c r="BHD14" s="188"/>
      <c r="BHE14" s="187"/>
      <c r="BHK14" s="188"/>
      <c r="BHL14" s="187"/>
      <c r="BHR14" s="188"/>
      <c r="BHS14" s="187"/>
      <c r="BHY14" s="188"/>
      <c r="BHZ14" s="190"/>
      <c r="BIA14" s="189"/>
      <c r="BIF14" s="188"/>
      <c r="BIG14" s="187"/>
      <c r="BIM14" s="188"/>
      <c r="BIN14" s="187"/>
      <c r="BIT14" s="188"/>
      <c r="BIU14" s="187"/>
      <c r="BJA14" s="188"/>
      <c r="BJB14" s="187"/>
      <c r="BJE14" s="168"/>
      <c r="BJF14" s="189"/>
      <c r="BJH14" s="188"/>
      <c r="BJI14" s="187"/>
      <c r="BJO14" s="188"/>
      <c r="BJP14" s="187"/>
      <c r="BJV14" s="188"/>
      <c r="BJW14" s="187"/>
      <c r="BKC14" s="188"/>
      <c r="BKD14" s="187"/>
      <c r="BKI14" s="168"/>
      <c r="BKJ14" s="191"/>
      <c r="BKK14" s="187"/>
      <c r="BKQ14" s="188"/>
      <c r="BKR14" s="187"/>
      <c r="BKX14" s="188"/>
      <c r="BKY14" s="187"/>
      <c r="BLE14" s="188"/>
      <c r="BLF14" s="187"/>
      <c r="BLL14" s="188"/>
      <c r="BLM14" s="187"/>
      <c r="BLN14" s="168"/>
      <c r="BLO14" s="189"/>
      <c r="BLS14" s="188"/>
      <c r="BLT14" s="187"/>
      <c r="BLZ14" s="188"/>
      <c r="BMA14" s="187"/>
      <c r="BMG14" s="188"/>
      <c r="BMH14" s="187"/>
      <c r="BMN14" s="188"/>
      <c r="BMO14" s="187"/>
      <c r="BMS14" s="168"/>
      <c r="BMT14" s="189"/>
      <c r="BMU14" s="188"/>
      <c r="BMV14" s="187"/>
      <c r="BNB14" s="188"/>
      <c r="BNC14" s="187"/>
      <c r="BNI14" s="188"/>
      <c r="BNJ14" s="187"/>
      <c r="BNP14" s="188"/>
      <c r="BNQ14" s="187"/>
      <c r="BNW14" s="168"/>
      <c r="BNX14" s="189"/>
      <c r="BOD14" s="188"/>
      <c r="BOE14" s="187"/>
      <c r="BOK14" s="188"/>
      <c r="BOL14" s="187"/>
      <c r="BOR14" s="188"/>
      <c r="BOS14" s="187"/>
      <c r="BOY14" s="188"/>
      <c r="BOZ14" s="187"/>
      <c r="BPB14" s="168"/>
      <c r="BPC14" s="189"/>
      <c r="BPF14" s="188"/>
      <c r="BPG14" s="187"/>
      <c r="BPM14" s="188"/>
      <c r="BPN14" s="187"/>
      <c r="BPT14" s="188"/>
      <c r="BPU14" s="187"/>
      <c r="BQA14" s="188"/>
      <c r="BQB14" s="187"/>
      <c r="BQF14" s="168"/>
      <c r="BQG14" s="189"/>
      <c r="BQH14" s="188"/>
      <c r="BQI14" s="187"/>
      <c r="BQO14" s="188"/>
      <c r="BQP14" s="187"/>
      <c r="BQV14" s="188"/>
      <c r="BQW14" s="187"/>
      <c r="BRC14" s="188"/>
      <c r="BRD14" s="187"/>
      <c r="BRJ14" s="188"/>
      <c r="BRK14" s="190"/>
      <c r="BRL14" s="189"/>
      <c r="BRQ14" s="188"/>
      <c r="BRR14" s="187"/>
      <c r="BRX14" s="188"/>
      <c r="BRY14" s="187"/>
      <c r="BSE14" s="188"/>
      <c r="BSF14" s="187"/>
      <c r="BSL14" s="188"/>
      <c r="BSM14" s="187"/>
      <c r="BSP14" s="168"/>
      <c r="BSQ14" s="189"/>
      <c r="BSS14" s="188"/>
      <c r="BST14" s="187"/>
      <c r="BSZ14" s="188"/>
      <c r="BTA14" s="187"/>
      <c r="BTG14" s="188"/>
      <c r="BTH14" s="187"/>
      <c r="BTN14" s="188"/>
      <c r="BTO14" s="187"/>
      <c r="BTS14" s="168"/>
      <c r="BTT14" s="189"/>
      <c r="BTU14" s="188"/>
      <c r="BTV14" s="187"/>
      <c r="BUB14" s="188"/>
      <c r="BUC14" s="187"/>
      <c r="BUI14" s="188"/>
      <c r="BUJ14" s="187"/>
      <c r="BUP14" s="188"/>
      <c r="BUQ14" s="187"/>
      <c r="BUW14" s="188"/>
      <c r="BUX14" s="190"/>
      <c r="BUY14" s="189"/>
      <c r="BVD14" s="188"/>
      <c r="BVE14" s="187"/>
      <c r="BVK14" s="188"/>
      <c r="BVL14" s="187"/>
      <c r="BVR14" s="188"/>
      <c r="BVS14" s="187"/>
      <c r="BVY14" s="188"/>
      <c r="BVZ14" s="187"/>
      <c r="BWB14" s="168"/>
      <c r="BWC14" s="189"/>
      <c r="BWF14" s="188"/>
      <c r="BWG14" s="187"/>
      <c r="BWM14" s="188"/>
      <c r="BWN14" s="187"/>
      <c r="BWT14" s="188"/>
      <c r="BWU14" s="187"/>
      <c r="BXA14" s="188"/>
      <c r="BXB14" s="187"/>
      <c r="BXG14" s="168"/>
      <c r="BXH14" s="191"/>
      <c r="BXI14" s="187"/>
      <c r="BXO14" s="188"/>
      <c r="BXP14" s="187"/>
      <c r="BXV14" s="188"/>
      <c r="BXW14" s="187"/>
      <c r="BYC14" s="188"/>
      <c r="BYD14" s="187"/>
      <c r="BYJ14" s="188"/>
      <c r="BYK14" s="190"/>
      <c r="BYL14" s="189"/>
      <c r="BYQ14" s="188"/>
      <c r="BYR14" s="187"/>
      <c r="BYX14" s="188"/>
      <c r="BYY14" s="187"/>
      <c r="BZE14" s="188"/>
      <c r="BZF14" s="187"/>
      <c r="BZL14" s="188"/>
      <c r="BZM14" s="187"/>
      <c r="BZP14" s="168"/>
      <c r="BZQ14" s="189"/>
      <c r="BZS14" s="188"/>
      <c r="BZT14" s="187"/>
      <c r="BZZ14" s="188"/>
      <c r="CAA14" s="187"/>
      <c r="CAG14" s="188"/>
      <c r="CAH14" s="187"/>
      <c r="CAN14" s="188"/>
      <c r="CAO14" s="187"/>
      <c r="CAU14" s="168"/>
      <c r="CAV14" s="189"/>
      <c r="CBB14" s="188"/>
      <c r="CBC14" s="187"/>
      <c r="CBI14" s="188"/>
      <c r="CBJ14" s="187"/>
      <c r="CBP14" s="188"/>
      <c r="CBQ14" s="187"/>
      <c r="CBW14" s="188"/>
      <c r="CBX14" s="187"/>
      <c r="CBY14" s="168"/>
      <c r="CBZ14" s="189"/>
      <c r="CCD14" s="188"/>
      <c r="CCE14" s="187"/>
      <c r="CCK14" s="188"/>
      <c r="CCL14" s="187"/>
      <c r="CCR14" s="188"/>
      <c r="CCS14" s="187"/>
      <c r="CCY14" s="188"/>
      <c r="CCZ14" s="187"/>
      <c r="CDD14" s="168"/>
      <c r="CDE14" s="189"/>
      <c r="CDF14" s="188"/>
      <c r="CDG14" s="187"/>
      <c r="CDM14" s="188"/>
      <c r="CDN14" s="187"/>
      <c r="CDT14" s="188"/>
      <c r="CDU14" s="187"/>
      <c r="CEA14" s="188"/>
      <c r="CEB14" s="187"/>
      <c r="CEH14" s="168"/>
      <c r="CEI14" s="189"/>
      <c r="CEO14" s="188"/>
      <c r="CEP14" s="187"/>
      <c r="CEV14" s="188"/>
      <c r="CEW14" s="187"/>
      <c r="CFC14" s="188"/>
      <c r="CFD14" s="187"/>
      <c r="CFJ14" s="188"/>
      <c r="CFK14" s="187"/>
    </row>
    <row r="15" spans="1:2201">
      <c r="D15" s="186"/>
      <c r="E15" s="186"/>
      <c r="K15" s="187"/>
      <c r="Q15" s="188"/>
      <c r="R15" s="187"/>
      <c r="X15" s="188"/>
      <c r="Y15" s="187"/>
      <c r="AE15" s="188"/>
      <c r="AF15" s="187"/>
      <c r="AJ15" s="168"/>
      <c r="AK15" s="189"/>
      <c r="AL15" s="188"/>
      <c r="AM15" s="187"/>
      <c r="AS15" s="188"/>
      <c r="AT15" s="187"/>
      <c r="AZ15" s="188"/>
      <c r="BA15" s="187"/>
      <c r="BG15" s="188"/>
      <c r="BH15" s="187"/>
      <c r="BL15" s="168"/>
      <c r="BM15" s="189"/>
      <c r="BN15" s="188"/>
      <c r="BO15" s="187"/>
      <c r="BU15" s="188"/>
      <c r="BV15" s="187"/>
      <c r="CB15" s="188"/>
      <c r="CC15" s="187"/>
      <c r="CI15" s="188"/>
      <c r="CJ15" s="187"/>
      <c r="CP15" s="188"/>
      <c r="CQ15" s="190"/>
      <c r="CR15" s="189"/>
      <c r="CW15" s="188"/>
      <c r="CX15" s="187"/>
      <c r="DD15" s="188"/>
      <c r="DE15" s="187"/>
      <c r="DK15" s="188"/>
      <c r="DL15" s="187"/>
      <c r="DR15" s="188"/>
      <c r="DS15" s="187"/>
      <c r="DU15" s="168"/>
      <c r="DV15" s="189"/>
      <c r="DY15" s="188"/>
      <c r="DZ15" s="187"/>
      <c r="EF15" s="188"/>
      <c r="EG15" s="187"/>
      <c r="EM15" s="188"/>
      <c r="EN15" s="187"/>
      <c r="ET15" s="188"/>
      <c r="EU15" s="187"/>
      <c r="EZ15" s="168"/>
      <c r="FA15" s="191"/>
      <c r="FB15" s="187"/>
      <c r="FH15" s="188"/>
      <c r="FI15" s="187"/>
      <c r="FO15" s="188"/>
      <c r="FP15" s="187"/>
      <c r="FV15" s="188"/>
      <c r="FW15" s="187"/>
      <c r="GC15" s="188"/>
      <c r="GD15" s="190"/>
      <c r="GE15" s="189"/>
      <c r="GJ15" s="188"/>
      <c r="GK15" s="187"/>
      <c r="GQ15" s="188"/>
      <c r="GR15" s="187"/>
      <c r="GX15" s="188"/>
      <c r="GY15" s="187"/>
      <c r="HE15" s="188"/>
      <c r="HF15" s="187"/>
      <c r="HI15" s="168"/>
      <c r="HJ15" s="189"/>
      <c r="HL15" s="188"/>
      <c r="HM15" s="187"/>
      <c r="HS15" s="188"/>
      <c r="HT15" s="187"/>
      <c r="HZ15" s="188"/>
      <c r="IA15" s="187"/>
      <c r="IG15" s="188"/>
      <c r="IH15" s="187"/>
      <c r="IN15" s="168"/>
      <c r="IO15" s="189"/>
      <c r="IU15" s="188"/>
      <c r="IV15" s="187"/>
      <c r="JB15" s="188"/>
      <c r="JC15" s="187"/>
      <c r="JI15" s="188"/>
      <c r="JJ15" s="187"/>
      <c r="JP15" s="188"/>
      <c r="JQ15" s="187"/>
      <c r="JR15" s="168"/>
      <c r="JS15" s="189"/>
      <c r="JW15" s="188"/>
      <c r="JX15" s="187"/>
      <c r="KD15" s="188"/>
      <c r="KE15" s="187"/>
      <c r="KK15" s="188"/>
      <c r="KL15" s="187"/>
      <c r="KR15" s="188"/>
      <c r="KS15" s="187"/>
      <c r="KW15" s="168"/>
      <c r="KX15" s="189"/>
      <c r="KY15" s="188"/>
      <c r="KZ15" s="187"/>
      <c r="LF15" s="188"/>
      <c r="LG15" s="187"/>
      <c r="LM15" s="188"/>
      <c r="LN15" s="187"/>
      <c r="LT15" s="188"/>
      <c r="LU15" s="187"/>
      <c r="MA15" s="168"/>
      <c r="MB15" s="189"/>
      <c r="MH15" s="188"/>
      <c r="MI15" s="187"/>
      <c r="MO15" s="188"/>
      <c r="MP15" s="187"/>
      <c r="MV15" s="188"/>
      <c r="MW15" s="187"/>
      <c r="NC15" s="188"/>
      <c r="ND15" s="187"/>
      <c r="NF15" s="168"/>
      <c r="NG15" s="189"/>
      <c r="NJ15" s="188"/>
      <c r="NK15" s="187"/>
      <c r="NQ15" s="188"/>
      <c r="NR15" s="187"/>
      <c r="NX15" s="188"/>
      <c r="NY15" s="187"/>
      <c r="OE15" s="188"/>
      <c r="OF15" s="187"/>
      <c r="OK15" s="168"/>
      <c r="OL15" s="191"/>
      <c r="OM15" s="187"/>
      <c r="OS15" s="188"/>
      <c r="OT15" s="187"/>
      <c r="OZ15" s="188"/>
      <c r="PA15" s="187"/>
      <c r="PG15" s="188"/>
      <c r="PH15" s="187"/>
      <c r="PN15" s="168"/>
      <c r="PO15" s="189"/>
      <c r="PU15" s="188"/>
      <c r="PV15" s="187"/>
      <c r="QB15" s="188"/>
      <c r="QC15" s="187"/>
      <c r="QI15" s="188"/>
      <c r="QJ15" s="187"/>
      <c r="QP15" s="188"/>
      <c r="QQ15" s="187"/>
      <c r="QS15" s="168"/>
      <c r="QT15" s="189"/>
      <c r="QW15" s="188"/>
      <c r="QX15" s="187"/>
      <c r="RD15" s="188"/>
      <c r="RE15" s="187"/>
      <c r="RK15" s="188"/>
      <c r="RL15" s="187"/>
      <c r="RR15" s="188"/>
      <c r="RS15" s="187"/>
      <c r="RW15" s="168"/>
      <c r="RX15" s="189"/>
      <c r="RY15" s="188"/>
      <c r="RZ15" s="187"/>
      <c r="SF15" s="188"/>
      <c r="SG15" s="187"/>
      <c r="SM15" s="188"/>
      <c r="SN15" s="187"/>
      <c r="ST15" s="188"/>
      <c r="SU15" s="187"/>
      <c r="TA15" s="188"/>
      <c r="TB15" s="190"/>
      <c r="TC15" s="189"/>
      <c r="TH15" s="188"/>
      <c r="TI15" s="187"/>
      <c r="TO15" s="188"/>
      <c r="TP15" s="187"/>
      <c r="TV15" s="188"/>
      <c r="TW15" s="187"/>
      <c r="UC15" s="188"/>
      <c r="UD15" s="187"/>
      <c r="UF15" s="168"/>
      <c r="UG15" s="189"/>
      <c r="UJ15" s="188"/>
      <c r="UK15" s="187"/>
      <c r="UQ15" s="188"/>
      <c r="UR15" s="187"/>
      <c r="UX15" s="188"/>
      <c r="UY15" s="187"/>
      <c r="VE15" s="188"/>
      <c r="VF15" s="187"/>
      <c r="VK15" s="168"/>
      <c r="VL15" s="191"/>
      <c r="VM15" s="187"/>
      <c r="VS15" s="188"/>
      <c r="VT15" s="187"/>
      <c r="VZ15" s="188"/>
      <c r="WA15" s="187"/>
      <c r="WG15" s="188"/>
      <c r="WH15" s="187"/>
      <c r="WN15" s="188"/>
      <c r="WO15" s="187"/>
      <c r="WP15" s="168"/>
      <c r="WQ15" s="189"/>
      <c r="WU15" s="188"/>
      <c r="WV15" s="187"/>
      <c r="XB15" s="188"/>
      <c r="XC15" s="187"/>
      <c r="XI15" s="188"/>
      <c r="XJ15" s="187"/>
      <c r="XP15" s="188"/>
      <c r="XQ15" s="187"/>
      <c r="XT15" s="168"/>
      <c r="XU15" s="189"/>
      <c r="XW15" s="188"/>
      <c r="XX15" s="187"/>
      <c r="YD15" s="188"/>
      <c r="YE15" s="187"/>
      <c r="YK15" s="188"/>
      <c r="YL15" s="187"/>
      <c r="YR15" s="188"/>
      <c r="YS15" s="187"/>
      <c r="YY15" s="168"/>
      <c r="YZ15" s="189"/>
      <c r="ZF15" s="188"/>
      <c r="ZG15" s="187"/>
      <c r="ZM15" s="188"/>
      <c r="ZN15" s="187"/>
      <c r="ZT15" s="188"/>
      <c r="ZU15" s="187"/>
      <c r="AAA15" s="188"/>
      <c r="AAB15" s="187"/>
      <c r="AAC15" s="168"/>
      <c r="AAD15" s="189"/>
      <c r="AAH15" s="188"/>
      <c r="AAI15" s="187"/>
      <c r="AAO15" s="188"/>
      <c r="AAP15" s="187"/>
      <c r="AAV15" s="188"/>
      <c r="AAW15" s="187"/>
      <c r="ABC15" s="188"/>
      <c r="ABD15" s="187"/>
      <c r="ABH15" s="168"/>
      <c r="ABI15" s="189"/>
      <c r="ABJ15" s="188"/>
      <c r="ABK15" s="187"/>
      <c r="ABQ15" s="188"/>
      <c r="ABR15" s="187"/>
      <c r="ABX15" s="188"/>
      <c r="ABY15" s="187"/>
      <c r="ACE15" s="188"/>
      <c r="ACF15" s="187"/>
      <c r="ACL15" s="188"/>
      <c r="ACM15" s="190"/>
      <c r="ACN15" s="189"/>
      <c r="ACS15" s="188"/>
      <c r="ACT15" s="187"/>
      <c r="ACZ15" s="188"/>
      <c r="ADA15" s="187"/>
      <c r="ADG15" s="188"/>
      <c r="ADH15" s="187"/>
      <c r="ADN15" s="188"/>
      <c r="ADO15" s="190"/>
      <c r="ADP15" s="189"/>
      <c r="ADU15" s="188"/>
      <c r="ADV15" s="187"/>
      <c r="AEB15" s="188"/>
      <c r="AEC15" s="187"/>
      <c r="AEI15" s="188"/>
      <c r="AEJ15" s="187"/>
      <c r="AEP15" s="188"/>
      <c r="AEQ15" s="187"/>
      <c r="AET15" s="168"/>
      <c r="AEU15" s="189"/>
      <c r="AEW15" s="188"/>
      <c r="AEX15" s="187"/>
      <c r="AFD15" s="188"/>
      <c r="AFE15" s="187"/>
      <c r="AFK15" s="188"/>
      <c r="AFL15" s="187"/>
      <c r="AFR15" s="188"/>
      <c r="AFS15" s="187"/>
      <c r="AFX15" s="168"/>
      <c r="AFY15" s="191"/>
      <c r="AFZ15" s="187"/>
      <c r="AGF15" s="188"/>
      <c r="AGG15" s="187"/>
      <c r="AGM15" s="188"/>
      <c r="AGN15" s="187"/>
      <c r="AGT15" s="188"/>
      <c r="AGU15" s="187"/>
      <c r="AHA15" s="188"/>
      <c r="AHB15" s="187"/>
      <c r="AHC15" s="168"/>
      <c r="AHD15" s="189"/>
      <c r="AHH15" s="188"/>
      <c r="AHI15" s="187"/>
      <c r="AHO15" s="188"/>
      <c r="AHP15" s="187"/>
      <c r="AHV15" s="188"/>
      <c r="AHW15" s="187"/>
      <c r="AIC15" s="188"/>
      <c r="AID15" s="187"/>
      <c r="AIG15" s="168"/>
      <c r="AIH15" s="189"/>
      <c r="AIJ15" s="188"/>
      <c r="AIK15" s="187"/>
      <c r="AIQ15" s="188"/>
      <c r="AIR15" s="187"/>
      <c r="AIX15" s="188"/>
      <c r="AIY15" s="187"/>
      <c r="AJE15" s="188"/>
      <c r="AJF15" s="187"/>
      <c r="AJL15" s="168"/>
      <c r="AJM15" s="189"/>
      <c r="AJS15" s="188"/>
      <c r="AJT15" s="187"/>
      <c r="AJZ15" s="188"/>
      <c r="AKA15" s="187"/>
      <c r="AKG15" s="188"/>
      <c r="AKH15" s="187"/>
      <c r="AKN15" s="188"/>
      <c r="AKO15" s="187"/>
      <c r="AKQ15" s="168"/>
      <c r="AKR15" s="189"/>
      <c r="AKU15" s="188"/>
      <c r="AKV15" s="187"/>
      <c r="ALB15" s="188"/>
      <c r="ALC15" s="187"/>
      <c r="ALI15" s="188"/>
      <c r="ALJ15" s="187"/>
      <c r="ALP15" s="188"/>
      <c r="ALQ15" s="187"/>
      <c r="ALU15" s="168"/>
      <c r="ALV15" s="189"/>
      <c r="ALW15" s="188"/>
      <c r="ALX15" s="187"/>
      <c r="AMD15" s="188"/>
      <c r="AME15" s="187"/>
      <c r="AMK15" s="188"/>
      <c r="AML15" s="187"/>
      <c r="AMR15" s="188"/>
      <c r="AMS15" s="187"/>
      <c r="AMY15" s="188"/>
      <c r="AMZ15" s="190"/>
      <c r="ANA15" s="189"/>
      <c r="ANF15" s="188"/>
      <c r="ANG15" s="187"/>
      <c r="ANM15" s="188"/>
      <c r="ANN15" s="187"/>
      <c r="ANT15" s="188"/>
      <c r="ANU15" s="187"/>
      <c r="AOA15" s="188"/>
      <c r="AOB15" s="187"/>
      <c r="AOD15" s="168"/>
      <c r="AOE15" s="189"/>
      <c r="AOH15" s="188"/>
      <c r="AOI15" s="187"/>
      <c r="AOO15" s="188"/>
      <c r="AOP15" s="187"/>
      <c r="AOV15" s="188"/>
      <c r="AOW15" s="187"/>
      <c r="APC15" s="188"/>
      <c r="APD15" s="187"/>
      <c r="API15" s="168"/>
      <c r="APJ15" s="191"/>
      <c r="APK15" s="187"/>
      <c r="APQ15" s="188"/>
      <c r="APR15" s="187"/>
      <c r="APX15" s="188"/>
      <c r="APY15" s="187"/>
      <c r="AQE15" s="188"/>
      <c r="AQF15" s="187"/>
      <c r="AQL15" s="188"/>
      <c r="AQM15" s="187"/>
      <c r="AQN15" s="168"/>
      <c r="AQO15" s="189"/>
      <c r="AQS15" s="188"/>
      <c r="AQT15" s="187"/>
      <c r="AQZ15" s="188"/>
      <c r="ARA15" s="187"/>
      <c r="ARG15" s="188"/>
      <c r="ARH15" s="187"/>
      <c r="ARN15" s="188"/>
      <c r="ARO15" s="187"/>
      <c r="ARP15" s="168"/>
      <c r="ARQ15" s="189"/>
      <c r="ARU15" s="188"/>
      <c r="ARV15" s="187"/>
      <c r="ASB15" s="188"/>
      <c r="ASC15" s="187"/>
      <c r="ASI15" s="188"/>
      <c r="ASJ15" s="187"/>
      <c r="ASP15" s="188"/>
      <c r="ASQ15" s="187"/>
      <c r="ASU15" s="168"/>
      <c r="ASV15" s="189"/>
      <c r="ASW15" s="188"/>
      <c r="ASX15" s="187"/>
      <c r="ATD15" s="188"/>
      <c r="ATE15" s="187"/>
      <c r="ATK15" s="188"/>
      <c r="ATL15" s="187"/>
      <c r="ATR15" s="188"/>
      <c r="ATS15" s="187"/>
      <c r="ATY15" s="168"/>
      <c r="ATZ15" s="189"/>
      <c r="AUF15" s="188"/>
      <c r="AUG15" s="187"/>
      <c r="AUM15" s="188"/>
      <c r="AUN15" s="187"/>
      <c r="AUT15" s="188"/>
      <c r="AUU15" s="187"/>
      <c r="AVA15" s="188"/>
      <c r="AVB15" s="187"/>
      <c r="AVD15" s="168"/>
      <c r="AVE15" s="189"/>
      <c r="AVH15" s="188"/>
      <c r="AVI15" s="187"/>
      <c r="AVO15" s="188"/>
      <c r="AVP15" s="187"/>
      <c r="AVV15" s="188"/>
      <c r="AVW15" s="187"/>
      <c r="AWC15" s="188"/>
      <c r="AWD15" s="187"/>
      <c r="AWH15" s="168"/>
      <c r="AWI15" s="189"/>
      <c r="AWJ15" s="188"/>
      <c r="AWK15" s="187"/>
      <c r="AWQ15" s="188"/>
      <c r="AWR15" s="187"/>
      <c r="AWX15" s="188"/>
      <c r="AWY15" s="187"/>
      <c r="AXE15" s="188"/>
      <c r="AXF15" s="187"/>
      <c r="AXL15" s="188"/>
      <c r="AXM15" s="190"/>
      <c r="AXN15" s="189"/>
      <c r="AXS15" s="188"/>
      <c r="AXT15" s="187"/>
      <c r="AXZ15" s="188"/>
      <c r="AYA15" s="187"/>
      <c r="AYG15" s="188"/>
      <c r="AYH15" s="187"/>
      <c r="AYN15" s="188"/>
      <c r="AYO15" s="187"/>
      <c r="AYR15" s="168"/>
      <c r="AYS15" s="189"/>
      <c r="AYU15" s="188"/>
      <c r="AYV15" s="187"/>
      <c r="AZB15" s="188"/>
      <c r="AZC15" s="187"/>
      <c r="AZI15" s="188"/>
      <c r="AZJ15" s="187"/>
      <c r="AZP15" s="188"/>
      <c r="AZQ15" s="187"/>
      <c r="AZV15" s="168"/>
      <c r="AZW15" s="191"/>
      <c r="AZX15" s="187"/>
      <c r="BAD15" s="188"/>
      <c r="BAE15" s="187"/>
      <c r="BAK15" s="188"/>
      <c r="BAL15" s="187"/>
      <c r="BAR15" s="188"/>
      <c r="BAS15" s="187"/>
      <c r="BAY15" s="188"/>
      <c r="BAZ15" s="187"/>
      <c r="BBA15" s="168"/>
      <c r="BBB15" s="189"/>
      <c r="BBF15" s="188"/>
      <c r="BBG15" s="187"/>
      <c r="BBM15" s="188"/>
      <c r="BBN15" s="187"/>
      <c r="BBT15" s="188"/>
      <c r="BBU15" s="187"/>
      <c r="BCA15" s="188"/>
      <c r="BCB15" s="187"/>
      <c r="BCE15" s="168"/>
      <c r="BCF15" s="189"/>
      <c r="BCH15" s="188"/>
      <c r="BCI15" s="187"/>
      <c r="BCO15" s="188"/>
      <c r="BCP15" s="187"/>
      <c r="BCV15" s="188"/>
      <c r="BCW15" s="187"/>
      <c r="BDC15" s="188"/>
      <c r="BDD15" s="187"/>
      <c r="BDJ15" s="168"/>
      <c r="BDK15" s="189"/>
      <c r="BDQ15" s="188"/>
      <c r="BDR15" s="187"/>
      <c r="BDX15" s="188"/>
      <c r="BDY15" s="187"/>
      <c r="BEE15" s="188"/>
      <c r="BEF15" s="187"/>
      <c r="BEL15" s="188"/>
      <c r="BEM15" s="187"/>
      <c r="BEO15" s="168"/>
      <c r="BEP15" s="189"/>
      <c r="BES15" s="188"/>
      <c r="BET15" s="187"/>
      <c r="BEZ15" s="188"/>
      <c r="BFA15" s="187"/>
      <c r="BFG15" s="188"/>
      <c r="BFH15" s="187"/>
      <c r="BFN15" s="188"/>
      <c r="BFO15" s="187"/>
      <c r="BFQ15" s="168"/>
      <c r="BFR15" s="189"/>
      <c r="BFU15" s="188"/>
      <c r="BFV15" s="187"/>
      <c r="BGB15" s="188"/>
      <c r="BGC15" s="187"/>
      <c r="BGI15" s="188"/>
      <c r="BGJ15" s="187"/>
      <c r="BGP15" s="188"/>
      <c r="BGQ15" s="187"/>
      <c r="BGV15" s="168"/>
      <c r="BGW15" s="191"/>
      <c r="BGX15" s="187"/>
      <c r="BHD15" s="188"/>
      <c r="BHE15" s="187"/>
      <c r="BHK15" s="188"/>
      <c r="BHL15" s="187"/>
      <c r="BHR15" s="188"/>
      <c r="BHS15" s="187"/>
      <c r="BHY15" s="188"/>
      <c r="BHZ15" s="190"/>
      <c r="BIA15" s="189"/>
      <c r="BIF15" s="188"/>
      <c r="BIG15" s="187"/>
      <c r="BIM15" s="188"/>
      <c r="BIN15" s="187"/>
      <c r="BIT15" s="188"/>
      <c r="BIU15" s="187"/>
      <c r="BJA15" s="188"/>
      <c r="BJB15" s="187"/>
      <c r="BJE15" s="168"/>
      <c r="BJF15" s="189"/>
      <c r="BJH15" s="188"/>
      <c r="BJI15" s="187"/>
      <c r="BJO15" s="188"/>
      <c r="BJP15" s="187"/>
      <c r="BJV15" s="188"/>
      <c r="BJW15" s="187"/>
      <c r="BKC15" s="188"/>
      <c r="BKD15" s="187"/>
      <c r="BKI15" s="168"/>
      <c r="BKJ15" s="191"/>
      <c r="BKK15" s="187"/>
      <c r="BKQ15" s="188"/>
      <c r="BKR15" s="187"/>
      <c r="BKX15" s="188"/>
      <c r="BKY15" s="187"/>
      <c r="BLE15" s="188"/>
      <c r="BLF15" s="187"/>
      <c r="BLL15" s="188"/>
      <c r="BLM15" s="187"/>
      <c r="BLN15" s="168"/>
      <c r="BLO15" s="189"/>
      <c r="BLS15" s="188"/>
      <c r="BLT15" s="187"/>
      <c r="BLZ15" s="188"/>
      <c r="BMA15" s="187"/>
      <c r="BMG15" s="188"/>
      <c r="BMH15" s="187"/>
      <c r="BMN15" s="188"/>
      <c r="BMO15" s="187"/>
      <c r="BMS15" s="168"/>
      <c r="BMT15" s="189"/>
      <c r="BMU15" s="188"/>
      <c r="BMV15" s="187"/>
      <c r="BNB15" s="188"/>
      <c r="BNC15" s="187"/>
      <c r="BNI15" s="188"/>
      <c r="BNJ15" s="187"/>
      <c r="BNP15" s="188"/>
      <c r="BNQ15" s="187"/>
      <c r="BNW15" s="168"/>
      <c r="BNX15" s="189"/>
      <c r="BOD15" s="188"/>
      <c r="BOE15" s="187"/>
      <c r="BOK15" s="188"/>
      <c r="BOL15" s="187"/>
      <c r="BOR15" s="188"/>
      <c r="BOS15" s="187"/>
      <c r="BOY15" s="188"/>
      <c r="BOZ15" s="187"/>
      <c r="BPB15" s="168"/>
      <c r="BPC15" s="189"/>
      <c r="BPF15" s="188"/>
      <c r="BPG15" s="187"/>
      <c r="BPM15" s="188"/>
      <c r="BPN15" s="187"/>
      <c r="BPT15" s="188"/>
      <c r="BPU15" s="187"/>
      <c r="BQA15" s="188"/>
      <c r="BQB15" s="187"/>
      <c r="BQF15" s="168"/>
      <c r="BQG15" s="189"/>
      <c r="BQH15" s="188"/>
      <c r="BQI15" s="187"/>
      <c r="BQO15" s="188"/>
      <c r="BQP15" s="187"/>
      <c r="BQV15" s="188"/>
      <c r="BQW15" s="187"/>
      <c r="BRC15" s="188"/>
      <c r="BRD15" s="187"/>
      <c r="BRJ15" s="188"/>
      <c r="BRK15" s="190"/>
      <c r="BRL15" s="189"/>
      <c r="BRQ15" s="188"/>
      <c r="BRR15" s="187"/>
      <c r="BRX15" s="188"/>
      <c r="BRY15" s="187"/>
      <c r="BSE15" s="188"/>
      <c r="BSF15" s="187"/>
      <c r="BSL15" s="188"/>
      <c r="BSM15" s="187"/>
      <c r="BSP15" s="168"/>
      <c r="BSQ15" s="189"/>
      <c r="BSS15" s="188"/>
      <c r="BST15" s="187"/>
      <c r="BSZ15" s="188"/>
      <c r="BTA15" s="187"/>
      <c r="BTG15" s="188"/>
      <c r="BTH15" s="187"/>
      <c r="BTN15" s="188"/>
      <c r="BTO15" s="187"/>
      <c r="BTS15" s="168"/>
      <c r="BTT15" s="189"/>
      <c r="BTU15" s="188"/>
      <c r="BTV15" s="187"/>
      <c r="BUB15" s="188"/>
      <c r="BUC15" s="187"/>
      <c r="BUI15" s="188"/>
      <c r="BUJ15" s="187"/>
      <c r="BUP15" s="188"/>
      <c r="BUQ15" s="187"/>
      <c r="BUW15" s="188"/>
      <c r="BUX15" s="190"/>
      <c r="BUY15" s="189"/>
      <c r="BVD15" s="188"/>
      <c r="BVE15" s="187"/>
      <c r="BVK15" s="188"/>
      <c r="BVL15" s="187"/>
      <c r="BVR15" s="188"/>
      <c r="BVS15" s="187"/>
      <c r="BVY15" s="188"/>
      <c r="BVZ15" s="187"/>
      <c r="BWB15" s="168"/>
      <c r="BWC15" s="189"/>
      <c r="BWF15" s="188"/>
      <c r="BWG15" s="187"/>
      <c r="BWM15" s="188"/>
      <c r="BWN15" s="187"/>
      <c r="BWT15" s="188"/>
      <c r="BWU15" s="187"/>
      <c r="BXA15" s="188"/>
      <c r="BXB15" s="187"/>
      <c r="BXG15" s="168"/>
      <c r="BXH15" s="191"/>
      <c r="BXI15" s="187"/>
      <c r="BXO15" s="188"/>
      <c r="BXP15" s="187"/>
      <c r="BXV15" s="188"/>
      <c r="BXW15" s="187"/>
      <c r="BYC15" s="188"/>
      <c r="BYD15" s="187"/>
      <c r="BYJ15" s="188"/>
      <c r="BYK15" s="190"/>
      <c r="BYL15" s="189"/>
      <c r="BYQ15" s="188"/>
      <c r="BYR15" s="187"/>
      <c r="BYX15" s="188"/>
      <c r="BYY15" s="187"/>
      <c r="BZE15" s="188"/>
      <c r="BZF15" s="187"/>
      <c r="BZL15" s="188"/>
      <c r="BZM15" s="187"/>
      <c r="BZP15" s="168"/>
      <c r="BZQ15" s="189"/>
      <c r="BZS15" s="188"/>
      <c r="BZT15" s="187"/>
      <c r="BZZ15" s="188"/>
      <c r="CAA15" s="187"/>
      <c r="CAG15" s="188"/>
      <c r="CAH15" s="187"/>
      <c r="CAN15" s="188"/>
      <c r="CAO15" s="187"/>
      <c r="CAU15" s="168"/>
      <c r="CAV15" s="189"/>
      <c r="CBB15" s="188"/>
      <c r="CBC15" s="187"/>
      <c r="CBI15" s="188"/>
      <c r="CBJ15" s="187"/>
      <c r="CBP15" s="188"/>
      <c r="CBQ15" s="187"/>
      <c r="CBW15" s="188"/>
      <c r="CBX15" s="187"/>
      <c r="CBY15" s="168"/>
      <c r="CBZ15" s="189"/>
      <c r="CCD15" s="188"/>
      <c r="CCE15" s="187"/>
      <c r="CCK15" s="188"/>
      <c r="CCL15" s="187"/>
      <c r="CCR15" s="188"/>
      <c r="CCS15" s="187"/>
      <c r="CCY15" s="188"/>
      <c r="CCZ15" s="187"/>
      <c r="CDD15" s="168"/>
      <c r="CDE15" s="189"/>
      <c r="CDF15" s="188"/>
      <c r="CDG15" s="187"/>
      <c r="CDM15" s="188"/>
      <c r="CDN15" s="187"/>
      <c r="CDT15" s="188"/>
      <c r="CDU15" s="187"/>
      <c r="CEA15" s="188"/>
      <c r="CEB15" s="187"/>
      <c r="CEH15" s="168"/>
      <c r="CEI15" s="189"/>
      <c r="CEO15" s="188"/>
      <c r="CEP15" s="187"/>
      <c r="CEV15" s="188"/>
      <c r="CEW15" s="187"/>
      <c r="CFC15" s="188"/>
      <c r="CFD15" s="187"/>
      <c r="CFJ15" s="188"/>
      <c r="CFK15" s="187"/>
    </row>
    <row r="16" spans="1:2201">
      <c r="A16" s="164" t="s">
        <v>251</v>
      </c>
      <c r="C16" s="164" t="s">
        <v>258</v>
      </c>
      <c r="D16" s="186">
        <v>44614</v>
      </c>
      <c r="E16" s="186">
        <v>44625</v>
      </c>
      <c r="K16" s="187"/>
      <c r="Q16" s="188"/>
      <c r="R16" s="187"/>
      <c r="X16" s="188"/>
      <c r="Y16" s="187"/>
      <c r="AE16" s="188"/>
      <c r="AF16" s="187"/>
      <c r="AJ16" s="168"/>
      <c r="AK16" s="189"/>
      <c r="AL16" s="188"/>
      <c r="AM16" s="187"/>
      <c r="AS16" s="188"/>
      <c r="AT16" s="187"/>
      <c r="AZ16" s="188"/>
      <c r="BA16" s="187"/>
      <c r="BG16" s="188"/>
      <c r="BH16" s="187"/>
      <c r="BL16" s="168"/>
      <c r="BM16" s="189"/>
      <c r="BN16" s="188"/>
      <c r="BO16" s="187"/>
      <c r="BU16" s="188"/>
      <c r="BV16" s="187"/>
      <c r="CB16" s="188"/>
      <c r="CC16" s="187"/>
      <c r="CI16" s="188"/>
      <c r="CJ16" s="187"/>
      <c r="CP16" s="188"/>
      <c r="CQ16" s="190"/>
      <c r="CR16" s="189"/>
      <c r="CW16" s="188"/>
      <c r="CX16" s="187"/>
      <c r="DD16" s="188"/>
      <c r="DE16" s="187"/>
      <c r="DK16" s="188"/>
      <c r="DL16" s="187"/>
      <c r="DR16" s="188"/>
      <c r="DS16" s="187"/>
      <c r="DU16" s="168"/>
      <c r="DV16" s="189"/>
      <c r="DY16" s="188"/>
      <c r="DZ16" s="187"/>
      <c r="EF16" s="188"/>
      <c r="EG16" s="187"/>
      <c r="EM16" s="188"/>
      <c r="EN16" s="187"/>
      <c r="ET16" s="188"/>
      <c r="EU16" s="187"/>
      <c r="EZ16" s="168"/>
      <c r="FA16" s="191"/>
      <c r="FB16" s="187"/>
      <c r="FH16" s="188"/>
      <c r="FI16" s="187"/>
      <c r="FO16" s="188"/>
      <c r="FP16" s="187"/>
      <c r="FV16" s="188"/>
      <c r="FW16" s="187"/>
      <c r="GC16" s="188"/>
      <c r="GD16" s="190"/>
      <c r="GE16" s="189"/>
      <c r="GJ16" s="188"/>
      <c r="GK16" s="187"/>
      <c r="GQ16" s="188"/>
      <c r="GR16" s="187"/>
      <c r="GX16" s="188"/>
      <c r="GY16" s="187"/>
      <c r="HE16" s="188"/>
      <c r="HF16" s="187"/>
      <c r="HI16" s="168"/>
      <c r="HJ16" s="189"/>
      <c r="HL16" s="188"/>
      <c r="HM16" s="187"/>
      <c r="HS16" s="188"/>
      <c r="HT16" s="187"/>
      <c r="HZ16" s="188"/>
      <c r="IA16" s="187"/>
      <c r="IG16" s="188"/>
      <c r="IH16" s="187"/>
      <c r="IN16" s="168"/>
      <c r="IO16" s="189"/>
      <c r="IU16" s="188"/>
      <c r="IV16" s="187"/>
      <c r="JB16" s="188"/>
      <c r="JC16" s="187"/>
      <c r="JI16" s="188"/>
      <c r="JJ16" s="187"/>
      <c r="JP16" s="188"/>
      <c r="JQ16" s="187"/>
      <c r="JR16" s="168"/>
      <c r="JS16" s="189"/>
      <c r="JW16" s="188"/>
      <c r="JX16" s="187"/>
      <c r="KD16" s="188"/>
      <c r="KE16" s="187"/>
      <c r="KK16" s="188"/>
      <c r="KL16" s="187"/>
      <c r="KR16" s="188"/>
      <c r="KS16" s="187"/>
      <c r="KW16" s="168"/>
      <c r="KX16" s="189"/>
      <c r="KY16" s="188"/>
      <c r="KZ16" s="187"/>
      <c r="LF16" s="188"/>
      <c r="LG16" s="187"/>
      <c r="LM16" s="188"/>
      <c r="LN16" s="187"/>
      <c r="LT16" s="188"/>
      <c r="LU16" s="187"/>
      <c r="MA16" s="168"/>
      <c r="MB16" s="189"/>
      <c r="MH16" s="188"/>
      <c r="MI16" s="187"/>
      <c r="MO16" s="188"/>
      <c r="MP16" s="187"/>
      <c r="MV16" s="188"/>
      <c r="MW16" s="187"/>
      <c r="NC16" s="188"/>
      <c r="ND16" s="187"/>
      <c r="NF16" s="168"/>
      <c r="NG16" s="189"/>
      <c r="NJ16" s="188"/>
      <c r="NK16" s="187"/>
      <c r="NQ16" s="188"/>
      <c r="NR16" s="187"/>
      <c r="NX16" s="188"/>
      <c r="NY16" s="187"/>
      <c r="OE16" s="188"/>
      <c r="OF16" s="187"/>
      <c r="OK16" s="168"/>
      <c r="OL16" s="191"/>
      <c r="OM16" s="187"/>
      <c r="OS16" s="188"/>
      <c r="OT16" s="187"/>
      <c r="OZ16" s="188"/>
      <c r="PA16" s="187"/>
      <c r="PG16" s="188"/>
      <c r="PH16" s="187"/>
      <c r="PN16" s="168"/>
      <c r="PO16" s="189"/>
      <c r="PU16" s="188"/>
      <c r="PV16" s="187"/>
      <c r="QB16" s="188"/>
      <c r="QC16" s="187"/>
      <c r="QI16" s="188"/>
      <c r="QJ16" s="187"/>
      <c r="QP16" s="188"/>
      <c r="QQ16" s="187"/>
      <c r="QS16" s="168"/>
      <c r="QT16" s="189"/>
      <c r="QW16" s="188"/>
      <c r="QX16" s="187"/>
      <c r="RD16" s="188"/>
      <c r="RE16" s="187"/>
      <c r="RK16" s="188"/>
      <c r="RL16" s="187"/>
      <c r="RR16" s="188"/>
      <c r="RS16" s="187"/>
      <c r="RW16" s="168"/>
      <c r="RX16" s="189"/>
      <c r="RY16" s="188"/>
      <c r="RZ16" s="187"/>
      <c r="SF16" s="188"/>
      <c r="SG16" s="187"/>
      <c r="SM16" s="188"/>
      <c r="SN16" s="187"/>
      <c r="ST16" s="188"/>
      <c r="SU16" s="187"/>
      <c r="TA16" s="188"/>
      <c r="TB16" s="190"/>
      <c r="TC16" s="189"/>
      <c r="TH16" s="188"/>
      <c r="TI16" s="187"/>
      <c r="TO16" s="188"/>
      <c r="TP16" s="187"/>
      <c r="TV16" s="188"/>
      <c r="TW16" s="187"/>
      <c r="UC16" s="188"/>
      <c r="UD16" s="187"/>
      <c r="UF16" s="168"/>
      <c r="UG16" s="189"/>
      <c r="UJ16" s="188"/>
      <c r="UK16" s="187"/>
      <c r="UQ16" s="188"/>
      <c r="UR16" s="187"/>
      <c r="UX16" s="188"/>
      <c r="UY16" s="187"/>
      <c r="VE16" s="188"/>
      <c r="VF16" s="187"/>
      <c r="VK16" s="168"/>
      <c r="VL16" s="191"/>
      <c r="VM16" s="187"/>
      <c r="VS16" s="188"/>
      <c r="VT16" s="187"/>
      <c r="VZ16" s="188"/>
      <c r="WA16" s="187"/>
      <c r="WG16" s="188"/>
      <c r="WH16" s="187"/>
      <c r="WN16" s="188"/>
      <c r="WO16" s="187"/>
      <c r="WP16" s="168"/>
      <c r="WQ16" s="189"/>
      <c r="WU16" s="188"/>
      <c r="WV16" s="187"/>
      <c r="XB16" s="188"/>
      <c r="XC16" s="187"/>
      <c r="XI16" s="188"/>
      <c r="XJ16" s="187"/>
      <c r="XP16" s="188"/>
      <c r="XQ16" s="187"/>
      <c r="XT16" s="168"/>
      <c r="XU16" s="189"/>
      <c r="XW16" s="188"/>
      <c r="XX16" s="187"/>
      <c r="YD16" s="188"/>
      <c r="YE16" s="187"/>
      <c r="YK16" s="188"/>
      <c r="YL16" s="187"/>
      <c r="YR16" s="188"/>
      <c r="YS16" s="187"/>
      <c r="YY16" s="168"/>
      <c r="YZ16" s="189"/>
      <c r="ZF16" s="188"/>
      <c r="ZG16" s="187"/>
      <c r="ZM16" s="188"/>
      <c r="ZN16" s="187"/>
      <c r="ZT16" s="188"/>
      <c r="ZU16" s="187"/>
      <c r="AAA16" s="188"/>
      <c r="AAB16" s="187"/>
      <c r="AAC16" s="168"/>
      <c r="AAD16" s="189"/>
      <c r="AAH16" s="188"/>
      <c r="AAI16" s="187"/>
      <c r="AAO16" s="188"/>
      <c r="AAP16" s="187"/>
      <c r="AAV16" s="188"/>
      <c r="AAW16" s="187"/>
      <c r="ABC16" s="188"/>
      <c r="ABD16" s="187"/>
      <c r="ABH16" s="168"/>
      <c r="ABI16" s="189"/>
      <c r="ABJ16" s="188"/>
      <c r="ABK16" s="187"/>
      <c r="ABQ16" s="188"/>
      <c r="ABR16" s="187"/>
      <c r="ABX16" s="188"/>
      <c r="ABY16" s="187"/>
      <c r="ACE16" s="188"/>
      <c r="ACF16" s="187"/>
      <c r="ACL16" s="188"/>
      <c r="ACM16" s="190"/>
      <c r="ACN16" s="189"/>
      <c r="ACS16" s="188"/>
      <c r="ACT16" s="187"/>
      <c r="ACZ16" s="188"/>
      <c r="ADA16" s="187"/>
      <c r="ADG16" s="188"/>
      <c r="ADH16" s="187"/>
      <c r="ADN16" s="188"/>
      <c r="ADO16" s="190"/>
      <c r="ADP16" s="189"/>
      <c r="ADU16" s="188"/>
      <c r="ADV16" s="187"/>
      <c r="AEB16" s="188"/>
      <c r="AEC16" s="187"/>
      <c r="AEI16" s="188"/>
      <c r="AEJ16" s="187"/>
      <c r="AEP16" s="188"/>
      <c r="AEQ16" s="187"/>
      <c r="AET16" s="168"/>
      <c r="AEU16" s="189"/>
      <c r="AEW16" s="188"/>
      <c r="AEX16" s="187"/>
      <c r="AFD16" s="188"/>
      <c r="AFE16" s="187"/>
      <c r="AFK16" s="188"/>
      <c r="AFL16" s="187"/>
      <c r="AFR16" s="188"/>
      <c r="AFS16" s="187"/>
      <c r="AFX16" s="168"/>
      <c r="AFY16" s="191"/>
      <c r="AFZ16" s="187"/>
      <c r="AGF16" s="188"/>
      <c r="AGG16" s="187"/>
      <c r="AGM16" s="188"/>
      <c r="AGN16" s="187"/>
      <c r="AGT16" s="188"/>
      <c r="AGU16" s="187"/>
      <c r="AHA16" s="188"/>
      <c r="AHB16" s="187"/>
      <c r="AHC16" s="168"/>
      <c r="AHD16" s="189"/>
      <c r="AHH16" s="188"/>
      <c r="AHI16" s="187"/>
      <c r="AHO16" s="188"/>
      <c r="AHP16" s="187"/>
      <c r="AHV16" s="188"/>
      <c r="AHW16" s="187"/>
      <c r="AIC16" s="188"/>
      <c r="AID16" s="187"/>
      <c r="AIG16" s="168"/>
      <c r="AIH16" s="189"/>
      <c r="AIJ16" s="188"/>
      <c r="AIK16" s="187"/>
      <c r="AIQ16" s="188"/>
      <c r="AIR16" s="187"/>
      <c r="AIX16" s="188"/>
      <c r="AIY16" s="187"/>
      <c r="AJE16" s="188"/>
      <c r="AJF16" s="187"/>
      <c r="AJL16" s="168"/>
      <c r="AJM16" s="189"/>
      <c r="AJS16" s="188"/>
      <c r="AJT16" s="187"/>
      <c r="AJZ16" s="188"/>
      <c r="AKA16" s="187"/>
      <c r="AKG16" s="188"/>
      <c r="AKH16" s="187"/>
      <c r="AKN16" s="188"/>
      <c r="AKO16" s="187"/>
      <c r="AKQ16" s="168"/>
      <c r="AKR16" s="189"/>
      <c r="AKU16" s="188"/>
      <c r="AKV16" s="187"/>
      <c r="ALB16" s="188"/>
      <c r="ALC16" s="187"/>
      <c r="ALI16" s="188"/>
      <c r="ALJ16" s="187"/>
      <c r="ALP16" s="188"/>
      <c r="ALQ16" s="187"/>
      <c r="ALU16" s="168"/>
      <c r="ALV16" s="189"/>
      <c r="ALW16" s="188"/>
      <c r="ALX16" s="187"/>
      <c r="AMD16" s="188"/>
      <c r="AME16" s="187"/>
      <c r="AMK16" s="188"/>
      <c r="AML16" s="187"/>
      <c r="AMR16" s="188"/>
      <c r="AMS16" s="187"/>
      <c r="AMY16" s="188"/>
      <c r="AMZ16" s="190"/>
      <c r="ANA16" s="189"/>
      <c r="ANF16" s="188"/>
      <c r="ANG16" s="187"/>
      <c r="ANM16" s="188"/>
      <c r="ANN16" s="187"/>
      <c r="ANT16" s="188"/>
      <c r="ANU16" s="187"/>
      <c r="AOA16" s="188"/>
      <c r="AOB16" s="187"/>
      <c r="AOD16" s="168"/>
      <c r="AOE16" s="189"/>
      <c r="AOH16" s="188"/>
      <c r="AOI16" s="187"/>
      <c r="AOO16" s="188"/>
      <c r="AOP16" s="187"/>
      <c r="AOV16" s="188"/>
      <c r="AOW16" s="187"/>
      <c r="APC16" s="188"/>
      <c r="APD16" s="187"/>
      <c r="API16" s="168"/>
      <c r="APJ16" s="191"/>
      <c r="APK16" s="187"/>
      <c r="APQ16" s="188"/>
      <c r="APR16" s="187"/>
      <c r="APX16" s="188"/>
      <c r="APY16" s="187"/>
      <c r="AQE16" s="188"/>
      <c r="AQF16" s="187"/>
      <c r="AQL16" s="188"/>
      <c r="AQM16" s="187"/>
      <c r="AQN16" s="168"/>
      <c r="AQO16" s="189"/>
      <c r="AQS16" s="188"/>
      <c r="AQT16" s="187"/>
      <c r="AQZ16" s="188"/>
      <c r="ARA16" s="187"/>
      <c r="ARG16" s="188"/>
      <c r="ARH16" s="187"/>
      <c r="ARJ16" s="164">
        <v>1</v>
      </c>
      <c r="ARK16" s="164">
        <v>1</v>
      </c>
      <c r="ARL16" s="164">
        <v>1</v>
      </c>
      <c r="ARM16" s="164">
        <v>1</v>
      </c>
      <c r="ARN16" s="188">
        <v>1</v>
      </c>
      <c r="ARO16" s="187"/>
      <c r="ARP16" s="168"/>
      <c r="ARQ16" s="189">
        <v>1</v>
      </c>
      <c r="ARR16" s="164">
        <v>1</v>
      </c>
      <c r="ARS16" s="164">
        <v>1</v>
      </c>
      <c r="ART16" s="164">
        <v>1</v>
      </c>
      <c r="ARU16" s="188">
        <v>1</v>
      </c>
      <c r="ARV16" s="187"/>
      <c r="ASB16" s="188"/>
      <c r="ASC16" s="187"/>
      <c r="ASI16" s="188"/>
      <c r="ASJ16" s="187"/>
      <c r="ASP16" s="188"/>
      <c r="ASQ16" s="187"/>
      <c r="ASU16" s="168"/>
      <c r="ASV16" s="189"/>
      <c r="ASW16" s="188"/>
      <c r="ASX16" s="187"/>
      <c r="ATD16" s="188"/>
      <c r="ATE16" s="187"/>
      <c r="ATK16" s="188"/>
      <c r="ATL16" s="187"/>
      <c r="ATR16" s="188"/>
      <c r="ATS16" s="187"/>
      <c r="ATY16" s="168"/>
      <c r="ATZ16" s="189"/>
      <c r="AUF16" s="188"/>
      <c r="AUG16" s="187"/>
      <c r="AUM16" s="188"/>
      <c r="AUN16" s="187"/>
      <c r="AUT16" s="188"/>
      <c r="AUU16" s="187"/>
      <c r="AVA16" s="188"/>
      <c r="AVB16" s="187"/>
      <c r="AVD16" s="168"/>
      <c r="AVE16" s="189"/>
      <c r="AVH16" s="188"/>
      <c r="AVI16" s="187"/>
      <c r="AVO16" s="188"/>
      <c r="AVP16" s="187"/>
      <c r="AVV16" s="188"/>
      <c r="AVW16" s="187"/>
      <c r="AWC16" s="188"/>
      <c r="AWD16" s="187"/>
      <c r="AWH16" s="168"/>
      <c r="AWI16" s="189"/>
      <c r="AWJ16" s="188"/>
      <c r="AWK16" s="187"/>
      <c r="AWQ16" s="188"/>
      <c r="AWR16" s="187"/>
      <c r="AWX16" s="188"/>
      <c r="AWY16" s="187"/>
      <c r="AXE16" s="188"/>
      <c r="AXF16" s="187"/>
      <c r="AXL16" s="188"/>
      <c r="AXM16" s="190"/>
      <c r="AXN16" s="189"/>
      <c r="AXS16" s="188"/>
      <c r="AXT16" s="187"/>
      <c r="AXZ16" s="188"/>
      <c r="AYA16" s="187"/>
      <c r="AYG16" s="188"/>
      <c r="AYH16" s="187"/>
      <c r="AYN16" s="188"/>
      <c r="AYO16" s="187"/>
      <c r="AYR16" s="168"/>
      <c r="AYS16" s="189"/>
      <c r="AYU16" s="188"/>
      <c r="AYV16" s="187"/>
      <c r="AZB16" s="188"/>
      <c r="AZC16" s="187"/>
      <c r="AZI16" s="188"/>
      <c r="AZJ16" s="187"/>
      <c r="AZP16" s="188"/>
      <c r="AZQ16" s="187"/>
      <c r="AZV16" s="168"/>
      <c r="AZW16" s="191"/>
      <c r="AZX16" s="187"/>
      <c r="BAD16" s="188"/>
      <c r="BAE16" s="187"/>
      <c r="BAK16" s="188"/>
      <c r="BAL16" s="187"/>
      <c r="BAR16" s="188"/>
      <c r="BAS16" s="187"/>
      <c r="BAY16" s="188"/>
      <c r="BAZ16" s="187"/>
      <c r="BBA16" s="168"/>
      <c r="BBB16" s="189"/>
      <c r="BBF16" s="188"/>
      <c r="BBG16" s="187"/>
      <c r="BBM16" s="188"/>
      <c r="BBN16" s="187"/>
      <c r="BBT16" s="188"/>
      <c r="BBU16" s="187"/>
      <c r="BCA16" s="188"/>
      <c r="BCB16" s="187"/>
      <c r="BCE16" s="168"/>
      <c r="BCF16" s="189"/>
      <c r="BCH16" s="188"/>
      <c r="BCI16" s="187"/>
      <c r="BCO16" s="188"/>
      <c r="BCP16" s="187"/>
      <c r="BCV16" s="188"/>
      <c r="BCW16" s="187"/>
      <c r="BDC16" s="188"/>
      <c r="BDD16" s="187"/>
      <c r="BDJ16" s="168"/>
      <c r="BDK16" s="189"/>
      <c r="BDQ16" s="188"/>
      <c r="BDR16" s="187"/>
      <c r="BDX16" s="188"/>
      <c r="BDY16" s="187"/>
      <c r="BEE16" s="188"/>
      <c r="BEF16" s="187"/>
      <c r="BEL16" s="188"/>
      <c r="BEM16" s="187"/>
      <c r="BEO16" s="168"/>
      <c r="BEP16" s="189"/>
      <c r="BES16" s="188"/>
      <c r="BET16" s="187"/>
      <c r="BEZ16" s="188"/>
      <c r="BFA16" s="187"/>
      <c r="BFG16" s="188"/>
      <c r="BFH16" s="187"/>
      <c r="BFN16" s="188"/>
      <c r="BFO16" s="187"/>
      <c r="BFQ16" s="168"/>
      <c r="BFR16" s="189"/>
      <c r="BFU16" s="188"/>
      <c r="BFV16" s="187"/>
      <c r="BGB16" s="188"/>
      <c r="BGC16" s="187"/>
      <c r="BGI16" s="188"/>
      <c r="BGJ16" s="187"/>
      <c r="BGP16" s="188"/>
      <c r="BGQ16" s="187"/>
      <c r="BGV16" s="168"/>
      <c r="BGW16" s="191"/>
      <c r="BGX16" s="187"/>
      <c r="BHD16" s="188"/>
      <c r="BHE16" s="187"/>
      <c r="BHK16" s="188"/>
      <c r="BHL16" s="187"/>
      <c r="BHR16" s="188"/>
      <c r="BHS16" s="187"/>
      <c r="BHY16" s="188"/>
      <c r="BHZ16" s="190"/>
      <c r="BIA16" s="189"/>
      <c r="BIF16" s="188"/>
      <c r="BIG16" s="187"/>
      <c r="BIM16" s="188"/>
      <c r="BIN16" s="187"/>
      <c r="BIT16" s="188"/>
      <c r="BIU16" s="187"/>
      <c r="BJA16" s="188"/>
      <c r="BJB16" s="187"/>
      <c r="BJE16" s="168"/>
      <c r="BJF16" s="189"/>
      <c r="BJH16" s="188"/>
      <c r="BJI16" s="187"/>
      <c r="BJO16" s="188"/>
      <c r="BJP16" s="187"/>
      <c r="BJV16" s="188"/>
      <c r="BJW16" s="187"/>
      <c r="BKC16" s="188"/>
      <c r="BKD16" s="187"/>
      <c r="BKI16" s="168"/>
      <c r="BKJ16" s="191"/>
      <c r="BKK16" s="187"/>
      <c r="BKQ16" s="188"/>
      <c r="BKR16" s="187"/>
      <c r="BKX16" s="188"/>
      <c r="BKY16" s="187"/>
      <c r="BLE16" s="188"/>
      <c r="BLF16" s="187"/>
      <c r="BLL16" s="188"/>
      <c r="BLM16" s="187"/>
      <c r="BLN16" s="168"/>
      <c r="BLO16" s="189"/>
      <c r="BLS16" s="188"/>
      <c r="BLT16" s="187"/>
      <c r="BLZ16" s="188"/>
      <c r="BMA16" s="187"/>
      <c r="BMG16" s="188"/>
      <c r="BMH16" s="187"/>
      <c r="BMN16" s="188"/>
      <c r="BMO16" s="187"/>
      <c r="BMS16" s="168"/>
      <c r="BMT16" s="189"/>
      <c r="BMU16" s="188"/>
      <c r="BMV16" s="187"/>
      <c r="BNB16" s="188"/>
      <c r="BNC16" s="187"/>
      <c r="BNI16" s="188"/>
      <c r="BNJ16" s="187"/>
      <c r="BNP16" s="188"/>
      <c r="BNQ16" s="187"/>
      <c r="BNW16" s="168"/>
      <c r="BNX16" s="189"/>
      <c r="BOD16" s="188"/>
      <c r="BOE16" s="187"/>
      <c r="BOK16" s="188"/>
      <c r="BOL16" s="187"/>
      <c r="BOR16" s="188"/>
      <c r="BOS16" s="187"/>
      <c r="BOY16" s="188"/>
      <c r="BOZ16" s="187"/>
      <c r="BPB16" s="168"/>
      <c r="BPC16" s="189"/>
      <c r="BPF16" s="188"/>
      <c r="BPG16" s="187"/>
      <c r="BPM16" s="188"/>
      <c r="BPN16" s="187"/>
      <c r="BPT16" s="188"/>
      <c r="BPU16" s="187"/>
      <c r="BQA16" s="188"/>
      <c r="BQB16" s="187"/>
      <c r="BQF16" s="168"/>
      <c r="BQG16" s="189"/>
      <c r="BQH16" s="188"/>
      <c r="BQI16" s="187"/>
      <c r="BQO16" s="188"/>
      <c r="BQP16" s="187"/>
      <c r="BQV16" s="188"/>
      <c r="BQW16" s="187"/>
      <c r="BRC16" s="188"/>
      <c r="BRD16" s="187"/>
      <c r="BRJ16" s="188"/>
      <c r="BRK16" s="190"/>
      <c r="BRL16" s="189"/>
      <c r="BRQ16" s="188"/>
      <c r="BRR16" s="187"/>
      <c r="BRX16" s="188"/>
      <c r="BRY16" s="187"/>
      <c r="BSE16" s="188"/>
      <c r="BSF16" s="187"/>
      <c r="BSL16" s="188"/>
      <c r="BSM16" s="187"/>
      <c r="BSP16" s="168"/>
      <c r="BSQ16" s="189"/>
      <c r="BSS16" s="188"/>
      <c r="BST16" s="187"/>
      <c r="BSZ16" s="188"/>
      <c r="BTA16" s="187"/>
      <c r="BTG16" s="188"/>
      <c r="BTH16" s="187"/>
      <c r="BTN16" s="188"/>
      <c r="BTO16" s="187"/>
      <c r="BTS16" s="168"/>
      <c r="BTT16" s="189"/>
      <c r="BTU16" s="188"/>
      <c r="BTV16" s="187"/>
      <c r="BUB16" s="188"/>
      <c r="BUC16" s="187"/>
      <c r="BUI16" s="188"/>
      <c r="BUJ16" s="187"/>
      <c r="BUP16" s="188"/>
      <c r="BUQ16" s="187"/>
      <c r="BUW16" s="188"/>
      <c r="BUX16" s="190"/>
      <c r="BUY16" s="189"/>
      <c r="BVD16" s="188"/>
      <c r="BVE16" s="187"/>
      <c r="BVK16" s="188"/>
      <c r="BVL16" s="187"/>
      <c r="BVR16" s="188"/>
      <c r="BVS16" s="187"/>
      <c r="BVY16" s="188"/>
      <c r="BVZ16" s="187"/>
      <c r="BWB16" s="168"/>
      <c r="BWC16" s="189"/>
      <c r="BWF16" s="188"/>
      <c r="BWG16" s="187"/>
      <c r="BWM16" s="188"/>
      <c r="BWN16" s="187"/>
      <c r="BWT16" s="188"/>
      <c r="BWU16" s="187"/>
      <c r="BXA16" s="188"/>
      <c r="BXB16" s="187"/>
      <c r="BXG16" s="168"/>
      <c r="BXH16" s="191"/>
      <c r="BXI16" s="187"/>
      <c r="BXO16" s="188"/>
      <c r="BXP16" s="187"/>
      <c r="BXV16" s="188"/>
      <c r="BXW16" s="187"/>
      <c r="BYC16" s="188"/>
      <c r="BYD16" s="187"/>
      <c r="BYJ16" s="188"/>
      <c r="BYK16" s="190"/>
      <c r="BYL16" s="189"/>
      <c r="BYQ16" s="188"/>
      <c r="BYR16" s="187"/>
      <c r="BYX16" s="188"/>
      <c r="BYY16" s="187"/>
      <c r="BZE16" s="188"/>
      <c r="BZF16" s="187"/>
      <c r="BZL16" s="188"/>
      <c r="BZM16" s="187"/>
      <c r="BZP16" s="168"/>
      <c r="BZQ16" s="189"/>
      <c r="BZS16" s="188"/>
      <c r="BZT16" s="187"/>
      <c r="BZZ16" s="188"/>
      <c r="CAA16" s="187"/>
      <c r="CAG16" s="188"/>
      <c r="CAH16" s="187"/>
      <c r="CAN16" s="188"/>
      <c r="CAO16" s="187"/>
      <c r="CAU16" s="168"/>
      <c r="CAV16" s="189"/>
      <c r="CBB16" s="188"/>
      <c r="CBC16" s="187"/>
      <c r="CBI16" s="188"/>
      <c r="CBJ16" s="187"/>
      <c r="CBP16" s="188"/>
      <c r="CBQ16" s="187"/>
      <c r="CBW16" s="188"/>
      <c r="CBX16" s="187"/>
      <c r="CBY16" s="168"/>
      <c r="CBZ16" s="189"/>
      <c r="CCD16" s="188"/>
      <c r="CCE16" s="187"/>
      <c r="CCK16" s="188"/>
      <c r="CCL16" s="187"/>
      <c r="CCR16" s="188"/>
      <c r="CCS16" s="187"/>
      <c r="CCY16" s="188"/>
      <c r="CCZ16" s="187"/>
      <c r="CDD16" s="168"/>
      <c r="CDE16" s="189"/>
      <c r="CDF16" s="188"/>
      <c r="CDG16" s="187"/>
      <c r="CDM16" s="188"/>
      <c r="CDN16" s="187"/>
      <c r="CDT16" s="188"/>
      <c r="CDU16" s="187"/>
      <c r="CEA16" s="188"/>
      <c r="CEB16" s="187"/>
      <c r="CEH16" s="168"/>
      <c r="CEI16" s="189"/>
      <c r="CEO16" s="188"/>
      <c r="CEP16" s="187"/>
      <c r="CEV16" s="188"/>
      <c r="CEW16" s="187"/>
      <c r="CFC16" s="188"/>
      <c r="CFD16" s="187"/>
      <c r="CFJ16" s="188"/>
      <c r="CFK16" s="187"/>
    </row>
    <row r="17" spans="1:1019 1025:2048 2054:2195">
      <c r="A17" s="164" t="s">
        <v>259</v>
      </c>
      <c r="D17" s="186"/>
      <c r="E17" s="186"/>
      <c r="K17" s="187"/>
      <c r="Q17" s="188"/>
      <c r="R17" s="187"/>
      <c r="X17" s="188"/>
      <c r="Y17" s="187"/>
      <c r="AE17" s="188"/>
      <c r="AF17" s="187"/>
      <c r="AJ17" s="168"/>
      <c r="AK17" s="189"/>
      <c r="AL17" s="188"/>
      <c r="AM17" s="187"/>
      <c r="AS17" s="188"/>
      <c r="AT17" s="187"/>
      <c r="AZ17" s="188"/>
      <c r="BA17" s="187"/>
      <c r="BG17" s="188"/>
      <c r="BH17" s="187"/>
      <c r="BL17" s="168"/>
      <c r="BM17" s="189"/>
      <c r="BN17" s="188"/>
      <c r="BO17" s="187"/>
      <c r="BU17" s="188"/>
      <c r="BV17" s="187"/>
      <c r="CB17" s="188"/>
      <c r="CC17" s="187"/>
      <c r="CI17" s="188"/>
      <c r="CJ17" s="187"/>
      <c r="CP17" s="188"/>
      <c r="CQ17" s="190"/>
      <c r="CR17" s="189"/>
      <c r="CW17" s="188"/>
      <c r="CX17" s="187"/>
      <c r="DD17" s="188"/>
      <c r="DE17" s="187"/>
      <c r="DK17" s="188"/>
      <c r="DL17" s="187"/>
      <c r="DR17" s="188"/>
      <c r="DS17" s="187"/>
      <c r="DU17" s="168"/>
      <c r="DV17" s="189"/>
      <c r="DY17" s="188"/>
      <c r="DZ17" s="187"/>
      <c r="EF17" s="188"/>
      <c r="EG17" s="187"/>
      <c r="EM17" s="188"/>
      <c r="EN17" s="187"/>
      <c r="ET17" s="188"/>
      <c r="EU17" s="187"/>
      <c r="EZ17" s="168"/>
      <c r="FA17" s="191"/>
      <c r="FB17" s="187"/>
      <c r="FH17" s="188"/>
      <c r="FI17" s="187"/>
      <c r="FO17" s="188"/>
      <c r="FP17" s="187"/>
      <c r="FV17" s="188"/>
      <c r="FW17" s="187"/>
      <c r="GC17" s="188"/>
      <c r="GD17" s="190"/>
      <c r="GE17" s="189"/>
      <c r="GJ17" s="188"/>
      <c r="GK17" s="187"/>
      <c r="GQ17" s="188"/>
      <c r="GR17" s="187"/>
      <c r="GX17" s="188"/>
      <c r="GY17" s="187"/>
      <c r="HE17" s="188"/>
      <c r="HF17" s="187"/>
      <c r="HI17" s="168"/>
      <c r="HJ17" s="189"/>
      <c r="HL17" s="188"/>
      <c r="HM17" s="187"/>
      <c r="HS17" s="188"/>
      <c r="HT17" s="187"/>
      <c r="HZ17" s="188"/>
      <c r="IA17" s="187"/>
      <c r="IG17" s="188"/>
      <c r="IH17" s="187"/>
      <c r="IN17" s="168"/>
      <c r="IO17" s="189"/>
      <c r="IU17" s="188"/>
      <c r="IV17" s="187"/>
      <c r="JB17" s="188"/>
      <c r="JC17" s="187"/>
      <c r="JI17" s="188"/>
      <c r="JJ17" s="187"/>
      <c r="JP17" s="188"/>
      <c r="JQ17" s="187"/>
      <c r="JR17" s="168"/>
      <c r="JS17" s="189"/>
      <c r="JW17" s="188"/>
      <c r="JX17" s="187"/>
      <c r="KD17" s="188"/>
      <c r="KE17" s="187"/>
      <c r="KK17" s="188"/>
      <c r="KL17" s="187"/>
      <c r="KR17" s="188"/>
      <c r="KS17" s="187"/>
      <c r="KW17" s="168"/>
      <c r="KX17" s="189"/>
      <c r="KY17" s="188"/>
      <c r="KZ17" s="187"/>
      <c r="LF17" s="188"/>
      <c r="LG17" s="187"/>
      <c r="LM17" s="188"/>
      <c r="LN17" s="187"/>
      <c r="LT17" s="188"/>
      <c r="LU17" s="187"/>
      <c r="MA17" s="168"/>
      <c r="MB17" s="189"/>
      <c r="MH17" s="188"/>
      <c r="MI17" s="187"/>
      <c r="MO17" s="188"/>
      <c r="MP17" s="187"/>
      <c r="MV17" s="188"/>
      <c r="MW17" s="187"/>
      <c r="NC17" s="188"/>
      <c r="ND17" s="187"/>
      <c r="NF17" s="168"/>
      <c r="NG17" s="189"/>
      <c r="NJ17" s="188"/>
      <c r="NK17" s="187"/>
      <c r="NQ17" s="188"/>
      <c r="NR17" s="187"/>
      <c r="NX17" s="188"/>
      <c r="NY17" s="187"/>
      <c r="OE17" s="188"/>
      <c r="OF17" s="187"/>
      <c r="OK17" s="168"/>
      <c r="OL17" s="191"/>
      <c r="OM17" s="187"/>
      <c r="OS17" s="188"/>
      <c r="OT17" s="187"/>
      <c r="OZ17" s="188"/>
      <c r="PA17" s="187"/>
      <c r="PG17" s="188"/>
      <c r="PH17" s="187"/>
      <c r="PN17" s="168"/>
      <c r="PO17" s="189"/>
      <c r="PU17" s="188"/>
      <c r="PV17" s="187"/>
      <c r="QB17" s="188"/>
      <c r="QC17" s="187"/>
      <c r="QI17" s="188"/>
      <c r="QJ17" s="187"/>
      <c r="QP17" s="188"/>
      <c r="QQ17" s="187"/>
      <c r="QS17" s="168"/>
      <c r="QT17" s="189"/>
      <c r="QW17" s="188"/>
      <c r="QX17" s="187"/>
      <c r="RD17" s="188"/>
      <c r="RE17" s="187"/>
      <c r="RK17" s="188"/>
      <c r="RL17" s="187"/>
      <c r="RR17" s="188"/>
      <c r="RS17" s="187"/>
      <c r="RW17" s="168"/>
      <c r="RX17" s="189"/>
      <c r="RY17" s="188"/>
      <c r="RZ17" s="187"/>
      <c r="SF17" s="188"/>
      <c r="SG17" s="187"/>
      <c r="SM17" s="188"/>
      <c r="SN17" s="187"/>
      <c r="ST17" s="188"/>
      <c r="SU17" s="187"/>
      <c r="TA17" s="188"/>
      <c r="TB17" s="190"/>
      <c r="TC17" s="189"/>
      <c r="TH17" s="188"/>
      <c r="TI17" s="187"/>
      <c r="TO17" s="188"/>
      <c r="TP17" s="187"/>
      <c r="TV17" s="188"/>
      <c r="TW17" s="187"/>
      <c r="UC17" s="188"/>
      <c r="UD17" s="187"/>
      <c r="UF17" s="168"/>
      <c r="UG17" s="189"/>
      <c r="UJ17" s="188"/>
      <c r="UK17" s="187"/>
      <c r="UQ17" s="188"/>
      <c r="UR17" s="187"/>
      <c r="UX17" s="188"/>
      <c r="UY17" s="187"/>
      <c r="VE17" s="188"/>
      <c r="VF17" s="187"/>
      <c r="VK17" s="168"/>
      <c r="VL17" s="191"/>
      <c r="VM17" s="187"/>
      <c r="VS17" s="188"/>
      <c r="VT17" s="187"/>
      <c r="VZ17" s="188"/>
      <c r="WA17" s="187"/>
      <c r="WG17" s="188"/>
      <c r="WH17" s="187"/>
      <c r="WN17" s="188"/>
      <c r="WO17" s="187"/>
      <c r="WP17" s="168"/>
      <c r="WQ17" s="189"/>
      <c r="WU17" s="188"/>
      <c r="WV17" s="187"/>
      <c r="XB17" s="188"/>
      <c r="XC17" s="187"/>
      <c r="XI17" s="188"/>
      <c r="XJ17" s="187"/>
      <c r="XP17" s="188"/>
      <c r="XQ17" s="187"/>
      <c r="XT17" s="168"/>
      <c r="XU17" s="189"/>
      <c r="XW17" s="188"/>
      <c r="XX17" s="187"/>
      <c r="YD17" s="188"/>
      <c r="YE17" s="187"/>
      <c r="YK17" s="188"/>
      <c r="YL17" s="187"/>
      <c r="YR17" s="188"/>
      <c r="YS17" s="187"/>
      <c r="YY17" s="168"/>
      <c r="YZ17" s="189"/>
      <c r="ZF17" s="188"/>
      <c r="ZG17" s="187"/>
      <c r="ZM17" s="188"/>
      <c r="ZN17" s="187"/>
      <c r="ZT17" s="188"/>
      <c r="ZU17" s="187"/>
      <c r="AAA17" s="188"/>
      <c r="AAB17" s="187"/>
      <c r="AAC17" s="168"/>
      <c r="AAD17" s="189"/>
      <c r="AAH17" s="188"/>
      <c r="AAI17" s="187"/>
      <c r="AAO17" s="188"/>
      <c r="AAP17" s="187"/>
      <c r="AAV17" s="188"/>
      <c r="AAW17" s="187"/>
      <c r="ABC17" s="188"/>
      <c r="ABD17" s="187"/>
      <c r="ABH17" s="168"/>
      <c r="ABI17" s="189"/>
      <c r="ABJ17" s="188"/>
      <c r="ABK17" s="187"/>
      <c r="ABQ17" s="188"/>
      <c r="ABR17" s="187"/>
      <c r="ABX17" s="188"/>
      <c r="ABY17" s="187"/>
      <c r="ACE17" s="188"/>
      <c r="ACF17" s="187"/>
      <c r="ACL17" s="188"/>
      <c r="ACM17" s="190"/>
      <c r="ACN17" s="189"/>
      <c r="ACS17" s="188"/>
      <c r="ACT17" s="187"/>
      <c r="ACZ17" s="188"/>
      <c r="ADA17" s="187"/>
      <c r="ADG17" s="188"/>
      <c r="ADH17" s="187"/>
      <c r="ADN17" s="188"/>
      <c r="ADO17" s="190"/>
      <c r="ADP17" s="189"/>
      <c r="ADU17" s="188"/>
      <c r="ADV17" s="187"/>
      <c r="AEB17" s="188"/>
      <c r="AEC17" s="187"/>
      <c r="AEI17" s="188"/>
      <c r="AEJ17" s="187"/>
      <c r="AEP17" s="188"/>
      <c r="AEQ17" s="187"/>
      <c r="AET17" s="168"/>
      <c r="AEU17" s="189"/>
      <c r="AEW17" s="188"/>
      <c r="AEX17" s="187"/>
      <c r="AFD17" s="188"/>
      <c r="AFE17" s="187"/>
      <c r="AFK17" s="188"/>
      <c r="AFL17" s="187"/>
      <c r="AFR17" s="188"/>
      <c r="AFS17" s="187"/>
      <c r="AFX17" s="168"/>
      <c r="AFY17" s="191"/>
      <c r="AFZ17" s="187"/>
      <c r="AGF17" s="188"/>
      <c r="AGG17" s="187"/>
      <c r="AGM17" s="188"/>
      <c r="AGN17" s="187"/>
      <c r="AGT17" s="188"/>
      <c r="AGU17" s="187"/>
      <c r="AHA17" s="188"/>
      <c r="AHB17" s="187"/>
      <c r="AHC17" s="168"/>
      <c r="AHD17" s="189"/>
      <c r="AHH17" s="188"/>
      <c r="AHI17" s="187"/>
      <c r="AHO17" s="188"/>
      <c r="AHP17" s="187"/>
      <c r="AHV17" s="188"/>
      <c r="AHW17" s="187"/>
      <c r="AIC17" s="188"/>
      <c r="AID17" s="187"/>
      <c r="AIG17" s="168"/>
      <c r="AIH17" s="189"/>
      <c r="AIJ17" s="188"/>
      <c r="AIK17" s="187"/>
      <c r="AIQ17" s="188"/>
      <c r="AIR17" s="187"/>
      <c r="AIX17" s="188"/>
      <c r="AIY17" s="187"/>
      <c r="AJE17" s="188"/>
      <c r="AJF17" s="187"/>
      <c r="AJL17" s="168"/>
      <c r="AJM17" s="189"/>
      <c r="AJS17" s="188"/>
      <c r="AJT17" s="187"/>
      <c r="AJZ17" s="188"/>
      <c r="AKA17" s="187"/>
      <c r="AKG17" s="188"/>
      <c r="AKH17" s="187"/>
      <c r="AKN17" s="188"/>
      <c r="AKO17" s="187"/>
      <c r="AKQ17" s="168"/>
      <c r="AKR17" s="189"/>
      <c r="AKU17" s="188"/>
      <c r="AKV17" s="187"/>
      <c r="ALB17" s="188"/>
      <c r="ALC17" s="187"/>
      <c r="ALI17" s="188"/>
      <c r="ALJ17" s="187"/>
      <c r="ALP17" s="188"/>
      <c r="ALQ17" s="187"/>
      <c r="ALU17" s="168"/>
      <c r="ALV17" s="189"/>
      <c r="ALW17" s="188"/>
      <c r="ALX17" s="187"/>
      <c r="AMD17" s="188"/>
      <c r="AME17" s="187"/>
      <c r="AMK17" s="188"/>
      <c r="AML17" s="187"/>
      <c r="AMR17" s="188"/>
      <c r="AMS17" s="187"/>
      <c r="AMY17" s="188"/>
      <c r="AMZ17" s="190"/>
      <c r="ANA17" s="189"/>
      <c r="ANF17" s="188"/>
      <c r="ANG17" s="187"/>
      <c r="ANM17" s="188"/>
      <c r="ANN17" s="187"/>
      <c r="ANT17" s="188"/>
      <c r="ANU17" s="187"/>
      <c r="AOA17" s="188"/>
      <c r="AOB17" s="187"/>
      <c r="AOD17" s="168"/>
      <c r="AOE17" s="189"/>
      <c r="AOH17" s="188"/>
      <c r="AOI17" s="187"/>
      <c r="AOO17" s="188"/>
      <c r="AOP17" s="187"/>
      <c r="AOV17" s="188"/>
      <c r="AOW17" s="187"/>
      <c r="APC17" s="188"/>
      <c r="APD17" s="187"/>
      <c r="API17" s="168"/>
      <c r="APJ17" s="191"/>
      <c r="APK17" s="187"/>
      <c r="APQ17" s="188"/>
      <c r="APR17" s="187"/>
      <c r="APX17" s="188"/>
      <c r="APY17" s="187"/>
      <c r="AQE17" s="188"/>
      <c r="AQF17" s="187"/>
      <c r="AQL17" s="188"/>
      <c r="AQM17" s="187"/>
      <c r="AQN17" s="168"/>
      <c r="AQO17" s="189"/>
      <c r="AQS17" s="188"/>
      <c r="AQT17" s="187"/>
      <c r="AQZ17" s="188"/>
      <c r="ARA17" s="187"/>
      <c r="ARG17" s="188"/>
      <c r="ARH17" s="187"/>
      <c r="ARN17" s="188"/>
      <c r="ARO17" s="187"/>
      <c r="ARP17" s="168"/>
      <c r="ARQ17" s="189"/>
      <c r="ARU17" s="188"/>
      <c r="ARV17" s="187"/>
      <c r="ASB17" s="188"/>
      <c r="ASC17" s="187"/>
      <c r="ASI17" s="188"/>
      <c r="ASJ17" s="187"/>
      <c r="ASP17" s="188"/>
      <c r="ASQ17" s="187"/>
      <c r="ASU17" s="168"/>
      <c r="ASV17" s="189"/>
      <c r="ASW17" s="188"/>
      <c r="ASX17" s="187"/>
      <c r="ATD17" s="188"/>
      <c r="ATE17" s="187"/>
      <c r="ATK17" s="188"/>
      <c r="ATL17" s="187"/>
      <c r="ATR17" s="188"/>
      <c r="ATS17" s="187"/>
      <c r="ATY17" s="168"/>
      <c r="ATZ17" s="189"/>
      <c r="AUF17" s="188"/>
      <c r="AUG17" s="187"/>
      <c r="AUM17" s="188"/>
      <c r="AUN17" s="187"/>
      <c r="AUT17" s="188"/>
      <c r="AUU17" s="187"/>
      <c r="AVA17" s="188"/>
      <c r="AVB17" s="187"/>
      <c r="AVD17" s="168"/>
      <c r="AVE17" s="189"/>
      <c r="AVH17" s="188"/>
      <c r="AVI17" s="187"/>
      <c r="AVO17" s="188"/>
      <c r="AVP17" s="187"/>
      <c r="AVV17" s="188"/>
      <c r="AVW17" s="187"/>
      <c r="AWC17" s="188"/>
      <c r="AWD17" s="187"/>
      <c r="AWH17" s="168"/>
      <c r="AWI17" s="189"/>
      <c r="AWJ17" s="188"/>
      <c r="AWK17" s="187"/>
      <c r="AWQ17" s="188"/>
      <c r="AWR17" s="187"/>
      <c r="AWX17" s="188"/>
      <c r="AWY17" s="187"/>
      <c r="AXE17" s="188"/>
      <c r="AXF17" s="187"/>
      <c r="AXL17" s="188"/>
      <c r="AXM17" s="190"/>
      <c r="AXN17" s="189"/>
      <c r="AXS17" s="188"/>
      <c r="AXT17" s="187"/>
      <c r="AXZ17" s="188"/>
      <c r="AYA17" s="187"/>
      <c r="AYG17" s="188"/>
      <c r="AYH17" s="187"/>
      <c r="AYN17" s="188"/>
      <c r="AYO17" s="187"/>
      <c r="AYR17" s="168"/>
      <c r="AYS17" s="189"/>
      <c r="AYU17" s="188"/>
      <c r="AYV17" s="187"/>
      <c r="AZB17" s="188"/>
      <c r="AZC17" s="187"/>
      <c r="AZI17" s="188"/>
      <c r="AZJ17" s="187"/>
      <c r="AZP17" s="188"/>
      <c r="AZQ17" s="187"/>
      <c r="AZV17" s="168"/>
      <c r="AZW17" s="191"/>
      <c r="AZX17" s="187"/>
      <c r="BAD17" s="188"/>
      <c r="BAE17" s="187"/>
      <c r="BAK17" s="188"/>
      <c r="BAL17" s="187"/>
      <c r="BAR17" s="188"/>
      <c r="BAS17" s="187"/>
      <c r="BAY17" s="188"/>
      <c r="BAZ17" s="187"/>
      <c r="BBA17" s="168"/>
      <c r="BBB17" s="189"/>
      <c r="BBF17" s="188"/>
      <c r="BBG17" s="187"/>
      <c r="BBM17" s="188"/>
      <c r="BBN17" s="187"/>
      <c r="BBT17" s="188"/>
      <c r="BBU17" s="187"/>
      <c r="BCA17" s="188"/>
      <c r="BCB17" s="187"/>
      <c r="BCE17" s="168"/>
      <c r="BCF17" s="189"/>
      <c r="BCH17" s="188"/>
      <c r="BCI17" s="187"/>
      <c r="BCO17" s="188"/>
      <c r="BCP17" s="187"/>
      <c r="BCV17" s="188"/>
      <c r="BCW17" s="187"/>
      <c r="BDC17" s="188"/>
      <c r="BDD17" s="187"/>
      <c r="BDJ17" s="168"/>
      <c r="BDK17" s="189"/>
      <c r="BDQ17" s="188"/>
      <c r="BDR17" s="187"/>
      <c r="BDX17" s="188"/>
      <c r="BDY17" s="187"/>
      <c r="BEE17" s="188"/>
      <c r="BEF17" s="187"/>
      <c r="BEL17" s="188"/>
      <c r="BEM17" s="187"/>
      <c r="BEO17" s="168"/>
      <c r="BEP17" s="189"/>
      <c r="BES17" s="188"/>
      <c r="BET17" s="187"/>
      <c r="BEZ17" s="188"/>
      <c r="BFA17" s="187"/>
      <c r="BFG17" s="188"/>
      <c r="BFH17" s="187"/>
      <c r="BFN17" s="188"/>
      <c r="BFO17" s="187"/>
      <c r="BFQ17" s="168"/>
      <c r="BFR17" s="189"/>
      <c r="BFU17" s="188"/>
      <c r="BFV17" s="187"/>
      <c r="BGB17" s="188"/>
      <c r="BGC17" s="187"/>
      <c r="BGI17" s="188"/>
      <c r="BGJ17" s="187"/>
      <c r="BGP17" s="188"/>
      <c r="BGQ17" s="187"/>
      <c r="BGV17" s="168"/>
      <c r="BGW17" s="191"/>
      <c r="BGX17" s="187"/>
      <c r="BHD17" s="188"/>
      <c r="BHE17" s="187"/>
      <c r="BHK17" s="188"/>
      <c r="BHL17" s="187"/>
      <c r="BHR17" s="188"/>
      <c r="BHS17" s="187"/>
      <c r="BHY17" s="188"/>
      <c r="BHZ17" s="190"/>
      <c r="BIA17" s="189"/>
      <c r="BIF17" s="188"/>
      <c r="BIG17" s="187"/>
      <c r="BIM17" s="188"/>
      <c r="BIN17" s="187"/>
      <c r="BIT17" s="188"/>
      <c r="BIU17" s="187"/>
      <c r="BJA17" s="188"/>
      <c r="BJB17" s="187"/>
      <c r="BJE17" s="168"/>
      <c r="BJF17" s="189"/>
      <c r="BJH17" s="188"/>
      <c r="BJI17" s="187"/>
      <c r="BJO17" s="188"/>
      <c r="BJP17" s="187"/>
      <c r="BJV17" s="188"/>
      <c r="BJW17" s="187"/>
      <c r="BKC17" s="188"/>
      <c r="BKD17" s="187"/>
      <c r="BKI17" s="168"/>
      <c r="BKJ17" s="191"/>
      <c r="BKK17" s="187"/>
      <c r="BKQ17" s="188"/>
      <c r="BKR17" s="187"/>
      <c r="BKX17" s="188"/>
      <c r="BKY17" s="187"/>
      <c r="BLE17" s="188"/>
      <c r="BLF17" s="187"/>
      <c r="BLL17" s="188"/>
      <c r="BLM17" s="187"/>
      <c r="BLN17" s="168"/>
      <c r="BLO17" s="189"/>
      <c r="BLS17" s="188"/>
      <c r="BLT17" s="187"/>
      <c r="BLZ17" s="188"/>
      <c r="BMA17" s="187"/>
      <c r="BMG17" s="188"/>
      <c r="BMH17" s="187"/>
      <c r="BMN17" s="188"/>
      <c r="BMO17" s="187"/>
      <c r="BMS17" s="168"/>
      <c r="BMT17" s="189"/>
      <c r="BMU17" s="188"/>
      <c r="BMV17" s="187"/>
      <c r="BNB17" s="188"/>
      <c r="BNC17" s="187"/>
      <c r="BNI17" s="188"/>
      <c r="BNJ17" s="187"/>
      <c r="BNP17" s="188"/>
      <c r="BNQ17" s="187"/>
      <c r="BNW17" s="168"/>
      <c r="BNX17" s="189"/>
      <c r="BOD17" s="188"/>
      <c r="BOE17" s="187"/>
      <c r="BOK17" s="188"/>
      <c r="BOL17" s="187"/>
      <c r="BOR17" s="188"/>
      <c r="BOS17" s="187"/>
      <c r="BOY17" s="188"/>
      <c r="BOZ17" s="187"/>
      <c r="BPB17" s="168"/>
      <c r="BPC17" s="189"/>
      <c r="BPF17" s="188"/>
      <c r="BPG17" s="187"/>
      <c r="BPM17" s="188"/>
      <c r="BPN17" s="187"/>
      <c r="BPT17" s="188"/>
      <c r="BPU17" s="187"/>
      <c r="BQA17" s="188"/>
      <c r="BQB17" s="187"/>
      <c r="BQF17" s="168"/>
      <c r="BQG17" s="189"/>
      <c r="BQH17" s="188"/>
      <c r="BQI17" s="187"/>
      <c r="BQO17" s="188"/>
      <c r="BQP17" s="187"/>
      <c r="BQV17" s="188"/>
      <c r="BQW17" s="187"/>
      <c r="BRC17" s="188"/>
      <c r="BRD17" s="187"/>
      <c r="BRJ17" s="188"/>
      <c r="BRK17" s="190"/>
      <c r="BRL17" s="189"/>
      <c r="BRQ17" s="188"/>
      <c r="BRR17" s="187"/>
      <c r="BRX17" s="188"/>
      <c r="BRY17" s="187"/>
      <c r="BSE17" s="188"/>
      <c r="BSF17" s="187"/>
      <c r="BSL17" s="188"/>
      <c r="BSM17" s="187"/>
      <c r="BSP17" s="168"/>
      <c r="BSQ17" s="189"/>
      <c r="BSS17" s="188"/>
      <c r="BST17" s="187"/>
      <c r="BSZ17" s="188"/>
      <c r="BTA17" s="187"/>
      <c r="BTG17" s="188"/>
      <c r="BTH17" s="187"/>
      <c r="BTN17" s="188"/>
      <c r="BTO17" s="187"/>
      <c r="BTS17" s="168"/>
      <c r="BTT17" s="189"/>
      <c r="BTU17" s="188"/>
      <c r="BTV17" s="187"/>
      <c r="BUB17" s="188"/>
      <c r="BUC17" s="187"/>
      <c r="BUI17" s="188"/>
      <c r="BUJ17" s="187"/>
      <c r="BUP17" s="188"/>
      <c r="BUQ17" s="187"/>
      <c r="BUW17" s="188"/>
      <c r="BUX17" s="190"/>
      <c r="BUY17" s="189"/>
      <c r="BVD17" s="188"/>
      <c r="BVE17" s="187"/>
      <c r="BVK17" s="188"/>
      <c r="BVL17" s="187"/>
      <c r="BVR17" s="188"/>
      <c r="BVS17" s="187"/>
      <c r="BVY17" s="188"/>
      <c r="BVZ17" s="187"/>
      <c r="BWB17" s="168"/>
      <c r="BWC17" s="189"/>
      <c r="BWF17" s="188"/>
      <c r="BWG17" s="187"/>
      <c r="BWM17" s="188"/>
      <c r="BWN17" s="187"/>
      <c r="BWT17" s="188"/>
      <c r="BWU17" s="187"/>
      <c r="BXA17" s="188"/>
      <c r="BXB17" s="187"/>
      <c r="BXG17" s="168"/>
      <c r="BXH17" s="191"/>
      <c r="BXI17" s="187"/>
      <c r="BXO17" s="188"/>
      <c r="BXP17" s="187"/>
      <c r="BXV17" s="188"/>
      <c r="BXW17" s="187"/>
      <c r="BYC17" s="188"/>
      <c r="BYD17" s="187"/>
      <c r="BYJ17" s="188"/>
      <c r="BYK17" s="190"/>
      <c r="BYL17" s="189"/>
      <c r="BYQ17" s="188"/>
      <c r="BYR17" s="187"/>
      <c r="BYX17" s="188"/>
      <c r="BYY17" s="187"/>
      <c r="BZE17" s="188"/>
      <c r="BZF17" s="187"/>
      <c r="BZL17" s="188"/>
      <c r="BZM17" s="187"/>
      <c r="BZP17" s="168"/>
      <c r="BZQ17" s="189"/>
      <c r="BZS17" s="188"/>
      <c r="BZT17" s="187"/>
      <c r="BZZ17" s="188"/>
      <c r="CAA17" s="187"/>
      <c r="CAG17" s="188"/>
      <c r="CAH17" s="187"/>
      <c r="CAN17" s="188"/>
      <c r="CAO17" s="187"/>
      <c r="CAU17" s="168"/>
      <c r="CAV17" s="189"/>
      <c r="CBB17" s="188"/>
      <c r="CBC17" s="187"/>
      <c r="CBI17" s="188"/>
      <c r="CBJ17" s="187"/>
      <c r="CBP17" s="188"/>
      <c r="CBQ17" s="187"/>
      <c r="CBW17" s="188"/>
      <c r="CBX17" s="187"/>
      <c r="CBY17" s="168"/>
      <c r="CBZ17" s="189"/>
      <c r="CCD17" s="188"/>
      <c r="CCE17" s="187"/>
      <c r="CCK17" s="188"/>
      <c r="CCL17" s="187"/>
      <c r="CCR17" s="188"/>
      <c r="CCS17" s="187"/>
      <c r="CCY17" s="188"/>
      <c r="CCZ17" s="187"/>
      <c r="CDD17" s="168"/>
      <c r="CDE17" s="189"/>
      <c r="CDF17" s="188"/>
      <c r="CDG17" s="187"/>
      <c r="CDM17" s="188"/>
      <c r="CDN17" s="187"/>
      <c r="CDT17" s="188"/>
      <c r="CDU17" s="187"/>
      <c r="CEA17" s="188"/>
      <c r="CEB17" s="187"/>
      <c r="CEH17" s="168"/>
      <c r="CEI17" s="189"/>
      <c r="CEO17" s="188"/>
      <c r="CEP17" s="187"/>
      <c r="CEV17" s="188"/>
      <c r="CEW17" s="187"/>
      <c r="CFC17" s="188"/>
      <c r="CFD17" s="187"/>
      <c r="CFJ17" s="188"/>
      <c r="CFK17" s="187"/>
    </row>
    <row r="18" spans="1:1019 1025:2048 2054:2195">
      <c r="A18" s="164" t="s">
        <v>260</v>
      </c>
      <c r="C18" s="164" t="s">
        <v>261</v>
      </c>
      <c r="D18" s="186"/>
      <c r="E18" s="186"/>
      <c r="K18" s="187"/>
      <c r="Q18" s="188"/>
      <c r="R18" s="187"/>
      <c r="X18" s="188"/>
      <c r="Y18" s="187"/>
      <c r="AE18" s="188"/>
      <c r="AF18" s="187"/>
      <c r="AJ18" s="168"/>
      <c r="AK18" s="189"/>
      <c r="AL18" s="188"/>
      <c r="AM18" s="187"/>
      <c r="AS18" s="188"/>
      <c r="AT18" s="187"/>
      <c r="AZ18" s="188"/>
      <c r="BA18" s="187"/>
      <c r="BG18" s="188"/>
      <c r="BH18" s="187"/>
      <c r="BL18" s="168"/>
      <c r="BM18" s="189"/>
      <c r="BN18" s="188"/>
      <c r="BO18" s="187"/>
      <c r="BU18" s="188"/>
      <c r="BV18" s="187"/>
      <c r="CB18" s="188"/>
      <c r="CC18" s="187"/>
      <c r="CI18" s="188"/>
      <c r="CJ18" s="187"/>
      <c r="CP18" s="188"/>
      <c r="CQ18" s="190"/>
      <c r="CR18" s="189"/>
      <c r="CW18" s="188"/>
      <c r="CX18" s="187"/>
      <c r="DD18" s="188"/>
      <c r="DE18" s="187"/>
      <c r="DK18" s="188"/>
      <c r="DL18" s="187"/>
      <c r="DR18" s="188"/>
      <c r="DS18" s="187"/>
      <c r="DU18" s="168"/>
      <c r="DV18" s="189"/>
      <c r="DY18" s="188"/>
      <c r="DZ18" s="187"/>
      <c r="EF18" s="188"/>
      <c r="EG18" s="187"/>
      <c r="EM18" s="188"/>
      <c r="EN18" s="187"/>
      <c r="ET18" s="188"/>
      <c r="EU18" s="187"/>
      <c r="EZ18" s="168"/>
      <c r="FA18" s="191"/>
      <c r="FB18" s="187"/>
      <c r="FH18" s="188"/>
      <c r="FI18" s="187"/>
      <c r="FO18" s="188"/>
      <c r="FP18" s="187"/>
      <c r="FV18" s="188"/>
      <c r="FW18" s="187"/>
      <c r="GC18" s="188"/>
      <c r="GD18" s="190"/>
      <c r="GE18" s="189"/>
      <c r="GJ18" s="188"/>
      <c r="GK18" s="187"/>
      <c r="GQ18" s="188"/>
      <c r="GR18" s="187"/>
      <c r="GX18" s="188"/>
      <c r="GY18" s="187"/>
      <c r="HE18" s="188"/>
      <c r="HF18" s="187"/>
      <c r="HI18" s="168"/>
      <c r="HJ18" s="189"/>
      <c r="HL18" s="188"/>
      <c r="HM18" s="187"/>
      <c r="HS18" s="188"/>
      <c r="HT18" s="187"/>
      <c r="HZ18" s="188"/>
      <c r="IA18" s="187"/>
      <c r="IG18" s="188"/>
      <c r="IH18" s="187"/>
      <c r="IN18" s="168"/>
      <c r="IO18" s="189"/>
      <c r="IU18" s="188"/>
      <c r="IV18" s="187"/>
      <c r="JB18" s="188"/>
      <c r="JC18" s="187"/>
      <c r="JI18" s="188"/>
      <c r="JJ18" s="187"/>
      <c r="JP18" s="188"/>
      <c r="JQ18" s="187"/>
      <c r="JR18" s="168"/>
      <c r="JS18" s="189"/>
      <c r="JW18" s="188"/>
      <c r="JX18" s="187"/>
      <c r="KD18" s="188"/>
      <c r="KE18" s="187"/>
      <c r="KK18" s="188"/>
      <c r="KL18" s="187"/>
      <c r="KR18" s="188"/>
      <c r="KS18" s="187"/>
      <c r="KW18" s="168"/>
      <c r="KX18" s="189"/>
      <c r="KY18" s="188"/>
      <c r="KZ18" s="187"/>
      <c r="LF18" s="188"/>
      <c r="LG18" s="187"/>
      <c r="LM18" s="188"/>
      <c r="LN18" s="187"/>
      <c r="LT18" s="188"/>
      <c r="LU18" s="187"/>
      <c r="MA18" s="168"/>
      <c r="MB18" s="189"/>
      <c r="MH18" s="188"/>
      <c r="MI18" s="187"/>
      <c r="MO18" s="188"/>
      <c r="MP18" s="187"/>
      <c r="MV18" s="188"/>
      <c r="MW18" s="187"/>
      <c r="NC18" s="188"/>
      <c r="ND18" s="187"/>
      <c r="NF18" s="168"/>
      <c r="NG18" s="189"/>
      <c r="NJ18" s="188"/>
      <c r="NK18" s="187"/>
      <c r="NQ18" s="188"/>
      <c r="NR18" s="187"/>
      <c r="NX18" s="188"/>
      <c r="NY18" s="187"/>
      <c r="OE18" s="188"/>
      <c r="OF18" s="187"/>
      <c r="OK18" s="168"/>
      <c r="OL18" s="191"/>
      <c r="OM18" s="187"/>
      <c r="OS18" s="188"/>
      <c r="OT18" s="187"/>
      <c r="OZ18" s="188"/>
      <c r="PA18" s="187"/>
      <c r="PG18" s="188"/>
      <c r="PH18" s="187"/>
      <c r="PN18" s="168"/>
      <c r="PO18" s="189"/>
      <c r="PU18" s="188"/>
      <c r="PV18" s="187"/>
      <c r="QB18" s="188"/>
      <c r="QC18" s="187"/>
      <c r="QI18" s="188"/>
      <c r="QJ18" s="187"/>
      <c r="QP18" s="188"/>
      <c r="QQ18" s="187"/>
      <c r="QS18" s="168"/>
      <c r="QT18" s="189"/>
      <c r="QW18" s="188"/>
      <c r="QX18" s="187"/>
      <c r="RD18" s="188"/>
      <c r="RE18" s="187"/>
      <c r="RK18" s="188"/>
      <c r="RL18" s="187"/>
      <c r="RR18" s="188"/>
      <c r="RS18" s="187"/>
      <c r="RW18" s="168"/>
      <c r="RX18" s="189"/>
      <c r="RY18" s="188"/>
      <c r="RZ18" s="187"/>
      <c r="SF18" s="188"/>
      <c r="SG18" s="187"/>
      <c r="SM18" s="188"/>
      <c r="SN18" s="187"/>
      <c r="ST18" s="188"/>
      <c r="SU18" s="187"/>
      <c r="TA18" s="188"/>
      <c r="TB18" s="190"/>
      <c r="TC18" s="189"/>
      <c r="TH18" s="188"/>
      <c r="TI18" s="187"/>
      <c r="TO18" s="188"/>
      <c r="TP18" s="187"/>
      <c r="TV18" s="188"/>
      <c r="TW18" s="187"/>
      <c r="UC18" s="188"/>
      <c r="UD18" s="187"/>
      <c r="UF18" s="168"/>
      <c r="UG18" s="189"/>
      <c r="UJ18" s="188"/>
      <c r="UK18" s="187"/>
      <c r="UQ18" s="188"/>
      <c r="UR18" s="187"/>
      <c r="UX18" s="188"/>
      <c r="UY18" s="187"/>
      <c r="VE18" s="188"/>
      <c r="VF18" s="187"/>
      <c r="VK18" s="168"/>
      <c r="VL18" s="191"/>
      <c r="VM18" s="187"/>
      <c r="VS18" s="188"/>
      <c r="VT18" s="187"/>
      <c r="VZ18" s="188"/>
      <c r="WA18" s="187"/>
      <c r="WG18" s="188"/>
      <c r="WH18" s="187"/>
      <c r="WN18" s="188"/>
      <c r="WO18" s="187"/>
      <c r="WP18" s="168"/>
      <c r="WQ18" s="189"/>
      <c r="WU18" s="188"/>
      <c r="WV18" s="187"/>
      <c r="XB18" s="188"/>
      <c r="XC18" s="187"/>
      <c r="XI18" s="188"/>
      <c r="XJ18" s="187"/>
      <c r="XP18" s="188"/>
      <c r="XQ18" s="187"/>
      <c r="XT18" s="168"/>
      <c r="XU18" s="189"/>
      <c r="XW18" s="188"/>
      <c r="XX18" s="187"/>
      <c r="YD18" s="188"/>
      <c r="YE18" s="187"/>
      <c r="YK18" s="188"/>
      <c r="YL18" s="187"/>
      <c r="YR18" s="188"/>
      <c r="YS18" s="187"/>
      <c r="YY18" s="168"/>
      <c r="YZ18" s="189"/>
      <c r="ZF18" s="188"/>
      <c r="ZG18" s="187"/>
      <c r="ZM18" s="188"/>
      <c r="ZN18" s="187"/>
      <c r="ZT18" s="188"/>
      <c r="ZU18" s="187"/>
      <c r="AAA18" s="188"/>
      <c r="AAB18" s="187"/>
      <c r="AAC18" s="168"/>
      <c r="AAD18" s="189"/>
      <c r="AAH18" s="188"/>
      <c r="AAI18" s="187"/>
      <c r="AAO18" s="188"/>
      <c r="AAP18" s="187"/>
      <c r="AAV18" s="188"/>
      <c r="AAW18" s="187"/>
      <c r="ABC18" s="188"/>
      <c r="ABD18" s="187"/>
      <c r="ABH18" s="168"/>
      <c r="ABI18" s="189"/>
      <c r="ABJ18" s="188"/>
      <c r="ABK18" s="187"/>
      <c r="ABQ18" s="188"/>
      <c r="ABR18" s="187"/>
      <c r="ABX18" s="188"/>
      <c r="ABY18" s="187"/>
      <c r="ACE18" s="188"/>
      <c r="ACF18" s="187"/>
      <c r="ACL18" s="188"/>
      <c r="ACM18" s="190"/>
      <c r="ACN18" s="189"/>
      <c r="ACS18" s="188"/>
      <c r="ACT18" s="187"/>
      <c r="ACZ18" s="188"/>
      <c r="ADA18" s="187"/>
      <c r="ADG18" s="188"/>
      <c r="ADH18" s="187"/>
      <c r="ADN18" s="188"/>
      <c r="ADO18" s="190"/>
      <c r="ADP18" s="189"/>
      <c r="ADU18" s="188"/>
      <c r="ADV18" s="187"/>
      <c r="AEB18" s="188"/>
      <c r="AEC18" s="187"/>
      <c r="AEI18" s="188"/>
      <c r="AEJ18" s="187"/>
      <c r="AEP18" s="188"/>
      <c r="AEQ18" s="187"/>
      <c r="AET18" s="168"/>
      <c r="AEU18" s="189"/>
      <c r="AEW18" s="188"/>
      <c r="AEX18" s="187"/>
      <c r="AFD18" s="188"/>
      <c r="AFE18" s="187"/>
      <c r="AFK18" s="188"/>
      <c r="AFL18" s="187"/>
      <c r="AFR18" s="188"/>
      <c r="AFS18" s="187"/>
      <c r="AFX18" s="168"/>
      <c r="AFY18" s="191"/>
      <c r="AFZ18" s="187"/>
      <c r="AGF18" s="188"/>
      <c r="AGG18" s="187"/>
      <c r="AGM18" s="188"/>
      <c r="AGN18" s="187"/>
      <c r="AGT18" s="188"/>
      <c r="AGU18" s="187"/>
      <c r="AHA18" s="188"/>
      <c r="AHB18" s="187"/>
      <c r="AHC18" s="168"/>
      <c r="AHD18" s="189"/>
      <c r="AHH18" s="188"/>
      <c r="AHI18" s="187"/>
      <c r="AHO18" s="188"/>
      <c r="AHP18" s="187"/>
      <c r="AHV18" s="188"/>
      <c r="AHW18" s="187"/>
      <c r="AIC18" s="188"/>
      <c r="AID18" s="187"/>
      <c r="AIG18" s="168"/>
      <c r="AIH18" s="189"/>
      <c r="AIJ18" s="188"/>
      <c r="AIK18" s="187"/>
      <c r="AIQ18" s="188"/>
      <c r="AIR18" s="187"/>
      <c r="AIX18" s="188"/>
      <c r="AIY18" s="187"/>
      <c r="AJE18" s="188"/>
      <c r="AJF18" s="187"/>
      <c r="AJL18" s="168"/>
      <c r="AJM18" s="189"/>
      <c r="AJS18" s="188"/>
      <c r="AJT18" s="187"/>
      <c r="AJZ18" s="188"/>
      <c r="AKA18" s="187"/>
      <c r="AKG18" s="188"/>
      <c r="AKH18" s="187"/>
      <c r="AKN18" s="188"/>
      <c r="AKO18" s="187"/>
      <c r="AKQ18" s="168"/>
      <c r="AKR18" s="189"/>
      <c r="AKU18" s="188"/>
      <c r="AKV18" s="187"/>
      <c r="ALB18" s="188"/>
      <c r="ALC18" s="187"/>
      <c r="ALI18" s="188"/>
      <c r="ALJ18" s="187"/>
      <c r="ALP18" s="188"/>
      <c r="ALQ18" s="187"/>
      <c r="ALU18" s="168"/>
      <c r="ALV18" s="189"/>
      <c r="ALW18" s="188"/>
      <c r="ALX18" s="187"/>
      <c r="AMD18" s="188"/>
      <c r="AME18" s="187"/>
      <c r="AMK18" s="188"/>
      <c r="AML18" s="187"/>
      <c r="AMR18" s="188"/>
      <c r="AMS18" s="187"/>
      <c r="AMY18" s="188"/>
      <c r="AMZ18" s="190"/>
      <c r="ANA18" s="189"/>
      <c r="ANF18" s="188"/>
      <c r="ANG18" s="187"/>
      <c r="ANM18" s="188"/>
      <c r="ANN18" s="187"/>
      <c r="ANT18" s="188"/>
      <c r="ANU18" s="187"/>
      <c r="AOA18" s="188"/>
      <c r="AOB18" s="187"/>
      <c r="AOD18" s="168"/>
      <c r="AOE18" s="189"/>
      <c r="AOH18" s="188"/>
      <c r="AOI18" s="187"/>
      <c r="AOO18" s="188"/>
      <c r="AOP18" s="187"/>
      <c r="AOV18" s="188"/>
      <c r="AOW18" s="187"/>
      <c r="APC18" s="188"/>
      <c r="APD18" s="187"/>
      <c r="API18" s="168"/>
      <c r="APJ18" s="191"/>
      <c r="APK18" s="187"/>
      <c r="APQ18" s="188"/>
      <c r="APR18" s="187"/>
      <c r="APX18" s="188"/>
      <c r="APY18" s="187"/>
      <c r="AQE18" s="188"/>
      <c r="AQF18" s="187"/>
      <c r="AQL18" s="188"/>
      <c r="AQM18" s="187"/>
      <c r="AQN18" s="168"/>
      <c r="AQO18" s="189"/>
      <c r="AQS18" s="188"/>
      <c r="AQT18" s="187"/>
      <c r="AQZ18" s="188"/>
      <c r="ARA18" s="187"/>
      <c r="ARG18" s="188"/>
      <c r="ARH18" s="187"/>
      <c r="ARN18" s="188"/>
      <c r="ARO18" s="187"/>
      <c r="ARP18" s="168"/>
      <c r="ARQ18" s="189"/>
      <c r="ARU18" s="188"/>
      <c r="ARV18" s="187"/>
      <c r="ASB18" s="188"/>
      <c r="ASC18" s="187"/>
      <c r="ASI18" s="188"/>
      <c r="ASJ18" s="187"/>
      <c r="ASP18" s="188"/>
      <c r="ASQ18" s="187"/>
      <c r="ASU18" s="168"/>
      <c r="ASV18" s="189"/>
      <c r="ASW18" s="188"/>
      <c r="ASX18" s="187"/>
      <c r="ATD18" s="188"/>
      <c r="ATE18" s="187"/>
      <c r="ATK18" s="188"/>
      <c r="ATL18" s="187"/>
      <c r="ATR18" s="188"/>
      <c r="ATS18" s="187"/>
      <c r="ATY18" s="168"/>
      <c r="ATZ18" s="189"/>
      <c r="AUF18" s="188"/>
      <c r="AUG18" s="187"/>
      <c r="AUM18" s="188"/>
      <c r="AUN18" s="187"/>
      <c r="AUT18" s="188"/>
      <c r="AUU18" s="187"/>
      <c r="AVA18" s="188"/>
      <c r="AVB18" s="187"/>
      <c r="AVD18" s="168"/>
      <c r="AVE18" s="189"/>
      <c r="AVH18" s="188"/>
      <c r="AVI18" s="187"/>
      <c r="AVO18" s="188"/>
      <c r="AVP18" s="187"/>
      <c r="AVV18" s="188"/>
      <c r="AVW18" s="187"/>
      <c r="AWC18" s="188"/>
      <c r="AWD18" s="187"/>
      <c r="AWH18" s="168"/>
      <c r="AWI18" s="189"/>
      <c r="AWJ18" s="188"/>
      <c r="AWK18" s="187"/>
      <c r="AWQ18" s="188"/>
      <c r="AWR18" s="187"/>
      <c r="AWX18" s="188"/>
      <c r="AWY18" s="187"/>
      <c r="AXE18" s="188"/>
      <c r="AXF18" s="187"/>
      <c r="AXL18" s="188"/>
      <c r="AXM18" s="190"/>
      <c r="AXN18" s="189"/>
      <c r="AXS18" s="188"/>
      <c r="AXT18" s="187"/>
      <c r="AXZ18" s="188"/>
      <c r="AYA18" s="187"/>
      <c r="AYG18" s="188"/>
      <c r="AYH18" s="187"/>
      <c r="AYN18" s="188"/>
      <c r="AYO18" s="187"/>
      <c r="AYR18" s="168"/>
      <c r="AYS18" s="189"/>
      <c r="AYU18" s="188"/>
      <c r="AYV18" s="187"/>
      <c r="AZB18" s="188"/>
      <c r="AZC18" s="187"/>
      <c r="AZI18" s="188"/>
      <c r="AZJ18" s="187"/>
      <c r="AZP18" s="188"/>
      <c r="AZQ18" s="187"/>
      <c r="AZV18" s="168"/>
      <c r="AZW18" s="191"/>
      <c r="AZX18" s="187"/>
      <c r="BAD18" s="188"/>
      <c r="BAE18" s="187"/>
      <c r="BAK18" s="188"/>
      <c r="BAL18" s="187"/>
      <c r="BAR18" s="188"/>
      <c r="BAS18" s="187"/>
      <c r="BAY18" s="188"/>
      <c r="BAZ18" s="187"/>
      <c r="BBA18" s="168"/>
      <c r="BBB18" s="189"/>
      <c r="BBF18" s="188"/>
      <c r="BBG18" s="187"/>
      <c r="BBM18" s="188"/>
      <c r="BBN18" s="187"/>
      <c r="BBT18" s="188"/>
      <c r="BBU18" s="187"/>
      <c r="BCA18" s="188"/>
      <c r="BCB18" s="187"/>
      <c r="BCE18" s="168"/>
      <c r="BCF18" s="189"/>
      <c r="BCH18" s="188"/>
      <c r="BCI18" s="187"/>
      <c r="BCO18" s="188"/>
      <c r="BCP18" s="187"/>
      <c r="BCV18" s="188"/>
      <c r="BCW18" s="187"/>
      <c r="BDC18" s="188"/>
      <c r="BDD18" s="187"/>
      <c r="BDJ18" s="168"/>
      <c r="BDK18" s="189"/>
      <c r="BDQ18" s="188"/>
      <c r="BDR18" s="187"/>
      <c r="BDX18" s="188"/>
      <c r="BDY18" s="187"/>
      <c r="BEE18" s="188"/>
      <c r="BEF18" s="187"/>
      <c r="BEL18" s="188"/>
      <c r="BEM18" s="187"/>
      <c r="BEO18" s="168"/>
      <c r="BEP18" s="189"/>
      <c r="BES18" s="188"/>
      <c r="BET18" s="187"/>
      <c r="BEZ18" s="188"/>
      <c r="BFA18" s="187"/>
      <c r="BFG18" s="188"/>
      <c r="BFH18" s="187"/>
      <c r="BFN18" s="188"/>
      <c r="BFO18" s="187"/>
      <c r="BFQ18" s="168"/>
      <c r="BFR18" s="189"/>
      <c r="BFU18" s="188"/>
      <c r="BFV18" s="187"/>
      <c r="BGB18" s="188"/>
      <c r="BGC18" s="187"/>
      <c r="BGI18" s="188"/>
      <c r="BGJ18" s="187"/>
      <c r="BGP18" s="188"/>
      <c r="BGQ18" s="187"/>
      <c r="BGV18" s="168"/>
      <c r="BGW18" s="191"/>
      <c r="BGX18" s="187"/>
      <c r="BHD18" s="188"/>
      <c r="BHE18" s="187"/>
      <c r="BHK18" s="188"/>
      <c r="BHL18" s="187"/>
      <c r="BHR18" s="188"/>
      <c r="BHS18" s="187"/>
      <c r="BHY18" s="188"/>
      <c r="BHZ18" s="190"/>
      <c r="BIA18" s="189"/>
      <c r="BIF18" s="188"/>
      <c r="BIG18" s="187"/>
      <c r="BIM18" s="188"/>
      <c r="BIN18" s="187"/>
      <c r="BIT18" s="188"/>
      <c r="BIU18" s="187"/>
      <c r="BJA18" s="188"/>
      <c r="BJB18" s="187"/>
      <c r="BJE18" s="168"/>
      <c r="BJF18" s="189"/>
      <c r="BJH18" s="188"/>
      <c r="BJI18" s="187"/>
      <c r="BJO18" s="188"/>
      <c r="BJP18" s="187"/>
      <c r="BJV18" s="188"/>
      <c r="BJW18" s="187"/>
      <c r="BKC18" s="188"/>
      <c r="BKD18" s="187"/>
      <c r="BKI18" s="168"/>
      <c r="BKJ18" s="191"/>
      <c r="BKK18" s="187"/>
      <c r="BKQ18" s="188"/>
      <c r="BKR18" s="187"/>
      <c r="BKX18" s="188"/>
      <c r="BKY18" s="187"/>
      <c r="BLE18" s="188"/>
      <c r="BLF18" s="187"/>
      <c r="BLL18" s="188"/>
      <c r="BLM18" s="187"/>
      <c r="BLN18" s="168"/>
      <c r="BLO18" s="189"/>
      <c r="BLS18" s="188"/>
      <c r="BLT18" s="187"/>
      <c r="BLZ18" s="188"/>
      <c r="BMA18" s="187"/>
      <c r="BMG18" s="188"/>
      <c r="BMH18" s="187"/>
      <c r="BMN18" s="188"/>
      <c r="BMO18" s="187"/>
      <c r="BMS18" s="168"/>
      <c r="BMT18" s="189"/>
      <c r="BMU18" s="188"/>
      <c r="BMV18" s="187"/>
      <c r="BNB18" s="188"/>
      <c r="BNC18" s="187"/>
      <c r="BNI18" s="188"/>
      <c r="BNJ18" s="187"/>
      <c r="BNP18" s="188"/>
      <c r="BNQ18" s="187"/>
      <c r="BNW18" s="168"/>
      <c r="BNX18" s="189"/>
      <c r="BOD18" s="188"/>
      <c r="BOE18" s="187"/>
      <c r="BOK18" s="188"/>
      <c r="BOL18" s="187"/>
      <c r="BOR18" s="188"/>
      <c r="BOS18" s="187"/>
      <c r="BOY18" s="188"/>
      <c r="BOZ18" s="187"/>
      <c r="BPB18" s="168"/>
      <c r="BPC18" s="189"/>
      <c r="BPF18" s="188"/>
      <c r="BPG18" s="187"/>
      <c r="BPM18" s="188"/>
      <c r="BPN18" s="187"/>
      <c r="BPT18" s="188"/>
      <c r="BPU18" s="187"/>
      <c r="BQA18" s="188"/>
      <c r="BQB18" s="187"/>
      <c r="BQF18" s="168"/>
      <c r="BQG18" s="189"/>
      <c r="BQH18" s="188"/>
      <c r="BQI18" s="187"/>
      <c r="BQO18" s="188"/>
      <c r="BQP18" s="187"/>
      <c r="BQV18" s="188"/>
      <c r="BQW18" s="187"/>
      <c r="BRC18" s="188"/>
      <c r="BRD18" s="187"/>
      <c r="BRJ18" s="188"/>
      <c r="BRK18" s="190"/>
      <c r="BRL18" s="189"/>
      <c r="BRQ18" s="188"/>
      <c r="BRR18" s="187"/>
      <c r="BRX18" s="188"/>
      <c r="BRY18" s="187"/>
      <c r="BSE18" s="188"/>
      <c r="BSF18" s="187"/>
      <c r="BSL18" s="188"/>
      <c r="BSM18" s="187"/>
      <c r="BSP18" s="168"/>
      <c r="BSQ18" s="189"/>
      <c r="BSS18" s="188"/>
      <c r="BST18" s="187"/>
      <c r="BSZ18" s="188"/>
      <c r="BTA18" s="187"/>
      <c r="BTG18" s="188"/>
      <c r="BTH18" s="187"/>
      <c r="BTN18" s="188"/>
      <c r="BTO18" s="187"/>
      <c r="BTS18" s="168"/>
      <c r="BTT18" s="189"/>
      <c r="BTU18" s="188"/>
      <c r="BTV18" s="187"/>
      <c r="BUB18" s="188"/>
      <c r="BUC18" s="187"/>
      <c r="BUI18" s="188"/>
      <c r="BUJ18" s="187"/>
      <c r="BUP18" s="188"/>
      <c r="BUQ18" s="187"/>
      <c r="BUW18" s="188"/>
      <c r="BUX18" s="190"/>
      <c r="BUY18" s="189"/>
      <c r="BVD18" s="188"/>
      <c r="BVE18" s="187"/>
      <c r="BVK18" s="188"/>
      <c r="BVL18" s="187"/>
      <c r="BVR18" s="188"/>
      <c r="BVS18" s="187"/>
      <c r="BVY18" s="188"/>
      <c r="BVZ18" s="187"/>
      <c r="BWB18" s="168"/>
      <c r="BWC18" s="189"/>
      <c r="BWF18" s="188"/>
      <c r="BWG18" s="187"/>
      <c r="BWM18" s="188"/>
      <c r="BWN18" s="187"/>
      <c r="BWT18" s="188"/>
      <c r="BWU18" s="187"/>
      <c r="BXA18" s="188"/>
      <c r="BXB18" s="187"/>
      <c r="BXG18" s="168"/>
      <c r="BXH18" s="191"/>
      <c r="BXI18" s="187"/>
      <c r="BXO18" s="188"/>
      <c r="BXP18" s="187"/>
      <c r="BXV18" s="188"/>
      <c r="BXW18" s="187"/>
      <c r="BYC18" s="188"/>
      <c r="BYD18" s="187"/>
      <c r="BYJ18" s="188"/>
      <c r="BYK18" s="190"/>
      <c r="BYL18" s="189"/>
      <c r="BYQ18" s="188"/>
      <c r="BYR18" s="187"/>
      <c r="BYX18" s="188"/>
      <c r="BYY18" s="187"/>
      <c r="BZE18" s="188"/>
      <c r="BZF18" s="187"/>
      <c r="BZL18" s="188"/>
      <c r="BZM18" s="187"/>
      <c r="BZP18" s="168"/>
      <c r="BZQ18" s="189"/>
      <c r="BZS18" s="188"/>
      <c r="BZT18" s="187"/>
      <c r="BZZ18" s="188"/>
      <c r="CAA18" s="187"/>
      <c r="CAG18" s="188"/>
      <c r="CAH18" s="187"/>
      <c r="CAN18" s="188"/>
      <c r="CAO18" s="187"/>
      <c r="CAU18" s="168"/>
      <c r="CAV18" s="189"/>
      <c r="CBB18" s="188"/>
      <c r="CBC18" s="187"/>
      <c r="CBI18" s="188"/>
      <c r="CBJ18" s="187"/>
      <c r="CBP18" s="188"/>
      <c r="CBQ18" s="187"/>
      <c r="CBW18" s="188"/>
      <c r="CBX18" s="187"/>
      <c r="CBY18" s="168"/>
      <c r="CBZ18" s="189"/>
      <c r="CCD18" s="188"/>
      <c r="CCE18" s="187"/>
      <c r="CCK18" s="188"/>
      <c r="CCL18" s="187"/>
      <c r="CCR18" s="188"/>
      <c r="CCS18" s="187"/>
      <c r="CCY18" s="188"/>
      <c r="CCZ18" s="187"/>
      <c r="CDD18" s="168"/>
      <c r="CDE18" s="189"/>
      <c r="CDF18" s="188"/>
      <c r="CDG18" s="187"/>
      <c r="CDM18" s="188"/>
      <c r="CDN18" s="187"/>
      <c r="CDT18" s="188"/>
      <c r="CDU18" s="187"/>
      <c r="CEA18" s="188"/>
      <c r="CEB18" s="187"/>
      <c r="CEH18" s="168"/>
      <c r="CEI18" s="189"/>
      <c r="CEO18" s="188"/>
      <c r="CEP18" s="187"/>
      <c r="CEV18" s="188"/>
      <c r="CEW18" s="187"/>
      <c r="CFC18" s="188"/>
      <c r="CFD18" s="187"/>
      <c r="CFJ18" s="188"/>
      <c r="CFK18" s="187"/>
    </row>
    <row r="19" spans="1:1019 1025:2048 2054:2195">
      <c r="A19" s="164" t="s">
        <v>262</v>
      </c>
      <c r="C19" s="164" t="s">
        <v>263</v>
      </c>
      <c r="D19" s="186"/>
      <c r="E19" s="186"/>
      <c r="K19" s="187"/>
      <c r="Q19" s="188"/>
      <c r="R19" s="187"/>
      <c r="X19" s="188"/>
      <c r="Y19" s="187"/>
      <c r="AE19" s="188"/>
      <c r="AF19" s="187"/>
      <c r="AJ19" s="168"/>
      <c r="AK19" s="189"/>
      <c r="AL19" s="188"/>
      <c r="AM19" s="187"/>
      <c r="AS19" s="188"/>
      <c r="AT19" s="187"/>
      <c r="AZ19" s="188"/>
      <c r="BA19" s="187"/>
      <c r="BG19" s="188"/>
      <c r="BH19" s="187"/>
      <c r="BL19" s="168"/>
      <c r="BM19" s="189"/>
      <c r="BN19" s="188"/>
      <c r="BO19" s="187"/>
      <c r="BU19" s="188"/>
      <c r="BV19" s="187"/>
      <c r="CB19" s="188"/>
      <c r="CC19" s="187"/>
      <c r="CI19" s="188"/>
      <c r="CJ19" s="187"/>
      <c r="CP19" s="188"/>
      <c r="CQ19" s="190"/>
      <c r="CR19" s="189"/>
      <c r="CW19" s="188"/>
      <c r="CX19" s="187"/>
      <c r="DD19" s="188"/>
      <c r="DE19" s="187"/>
      <c r="DK19" s="188"/>
      <c r="DL19" s="187"/>
      <c r="DR19" s="188"/>
      <c r="DS19" s="187"/>
      <c r="DU19" s="168"/>
      <c r="DV19" s="189"/>
      <c r="DY19" s="188"/>
      <c r="DZ19" s="187"/>
      <c r="EF19" s="188"/>
      <c r="EG19" s="187"/>
      <c r="EM19" s="188"/>
      <c r="EN19" s="187"/>
      <c r="ET19" s="188"/>
      <c r="EU19" s="187"/>
      <c r="EZ19" s="168"/>
      <c r="FA19" s="191"/>
      <c r="FB19" s="187"/>
      <c r="FH19" s="188"/>
      <c r="FI19" s="187"/>
      <c r="FO19" s="188"/>
      <c r="FP19" s="187"/>
      <c r="FV19" s="188"/>
      <c r="FW19" s="187"/>
      <c r="GC19" s="188"/>
      <c r="GD19" s="190"/>
      <c r="GE19" s="189"/>
      <c r="GJ19" s="188"/>
      <c r="GK19" s="187"/>
      <c r="GQ19" s="188"/>
      <c r="GR19" s="187"/>
      <c r="GX19" s="188"/>
      <c r="GY19" s="187"/>
      <c r="HE19" s="188"/>
      <c r="HF19" s="187"/>
      <c r="HI19" s="168"/>
      <c r="HJ19" s="189"/>
      <c r="HL19" s="188"/>
      <c r="HM19" s="187"/>
      <c r="HS19" s="188"/>
      <c r="HT19" s="187"/>
      <c r="HZ19" s="188"/>
      <c r="IA19" s="187"/>
      <c r="IG19" s="188"/>
      <c r="IH19" s="187"/>
      <c r="IN19" s="168"/>
      <c r="IO19" s="189"/>
      <c r="IU19" s="188"/>
      <c r="IV19" s="187"/>
      <c r="JB19" s="188"/>
      <c r="JC19" s="187"/>
      <c r="JI19" s="188"/>
      <c r="JJ19" s="187"/>
      <c r="JP19" s="188"/>
      <c r="JQ19" s="187"/>
      <c r="JR19" s="168"/>
      <c r="JS19" s="189"/>
      <c r="JW19" s="188"/>
      <c r="JX19" s="187"/>
      <c r="KD19" s="188"/>
      <c r="KE19" s="187"/>
      <c r="KK19" s="188"/>
      <c r="KL19" s="187"/>
      <c r="KR19" s="188"/>
      <c r="KS19" s="187"/>
      <c r="KW19" s="168"/>
      <c r="KX19" s="189"/>
      <c r="KY19" s="188"/>
      <c r="KZ19" s="187"/>
      <c r="LF19" s="188"/>
      <c r="LG19" s="187"/>
      <c r="LM19" s="188"/>
      <c r="LN19" s="187"/>
      <c r="LT19" s="188"/>
      <c r="LU19" s="187"/>
      <c r="MA19" s="168"/>
      <c r="MB19" s="189"/>
      <c r="MH19" s="188"/>
      <c r="MI19" s="187"/>
      <c r="MO19" s="188"/>
      <c r="MP19" s="187"/>
      <c r="MV19" s="188"/>
      <c r="MW19" s="187"/>
      <c r="NC19" s="188"/>
      <c r="ND19" s="187"/>
      <c r="NF19" s="168"/>
      <c r="NG19" s="189"/>
      <c r="NJ19" s="188"/>
      <c r="NK19" s="187"/>
      <c r="NQ19" s="188"/>
      <c r="NR19" s="187"/>
      <c r="NX19" s="188"/>
      <c r="NY19" s="187"/>
      <c r="OE19" s="188"/>
      <c r="OF19" s="187"/>
      <c r="OK19" s="168"/>
      <c r="OL19" s="191"/>
      <c r="OM19" s="187"/>
      <c r="OS19" s="188"/>
      <c r="OT19" s="187"/>
      <c r="OZ19" s="188"/>
      <c r="PA19" s="187"/>
      <c r="PG19" s="188"/>
      <c r="PH19" s="187"/>
      <c r="PN19" s="168"/>
      <c r="PO19" s="189"/>
      <c r="PU19" s="188"/>
      <c r="PV19" s="187"/>
      <c r="QB19" s="188"/>
      <c r="QC19" s="187"/>
      <c r="QI19" s="188"/>
      <c r="QJ19" s="187"/>
      <c r="QP19" s="188"/>
      <c r="QQ19" s="187"/>
      <c r="QS19" s="168"/>
      <c r="QT19" s="189"/>
      <c r="QW19" s="188"/>
      <c r="QX19" s="187"/>
      <c r="RD19" s="188"/>
      <c r="RE19" s="187"/>
      <c r="RK19" s="188"/>
      <c r="RL19" s="187"/>
      <c r="RR19" s="188"/>
      <c r="RS19" s="187"/>
      <c r="RW19" s="168"/>
      <c r="RX19" s="189"/>
      <c r="RY19" s="188"/>
      <c r="RZ19" s="187"/>
      <c r="SF19" s="188"/>
      <c r="SG19" s="187"/>
      <c r="SM19" s="188"/>
      <c r="SN19" s="187"/>
      <c r="ST19" s="188"/>
      <c r="SU19" s="187"/>
      <c r="TA19" s="188"/>
      <c r="TB19" s="190"/>
      <c r="TC19" s="189"/>
      <c r="TH19" s="188"/>
      <c r="TI19" s="187"/>
      <c r="TO19" s="188"/>
      <c r="TP19" s="187"/>
      <c r="TV19" s="188"/>
      <c r="TW19" s="187"/>
      <c r="UC19" s="188"/>
      <c r="UD19" s="187"/>
      <c r="UF19" s="168"/>
      <c r="UG19" s="189"/>
      <c r="UJ19" s="188"/>
      <c r="UK19" s="187"/>
      <c r="UQ19" s="188"/>
      <c r="UR19" s="187"/>
      <c r="UX19" s="188"/>
      <c r="UY19" s="187"/>
      <c r="VE19" s="188"/>
      <c r="VF19" s="187"/>
      <c r="VK19" s="168"/>
      <c r="VL19" s="191"/>
      <c r="VM19" s="187"/>
      <c r="VS19" s="188"/>
      <c r="VT19" s="187"/>
      <c r="VZ19" s="188"/>
      <c r="WA19" s="187"/>
      <c r="WG19" s="188"/>
      <c r="WH19" s="187"/>
      <c r="WN19" s="188"/>
      <c r="WO19" s="187"/>
      <c r="WP19" s="168"/>
      <c r="WQ19" s="189"/>
      <c r="WU19" s="188"/>
      <c r="WV19" s="187"/>
      <c r="XB19" s="188"/>
      <c r="XC19" s="187"/>
      <c r="XI19" s="188"/>
      <c r="XJ19" s="187"/>
      <c r="XP19" s="188"/>
      <c r="XQ19" s="187"/>
      <c r="XT19" s="168"/>
      <c r="XU19" s="189"/>
      <c r="XW19" s="188"/>
      <c r="XX19" s="187"/>
      <c r="YD19" s="188"/>
      <c r="YE19" s="187"/>
      <c r="YK19" s="188"/>
      <c r="YL19" s="187"/>
      <c r="YR19" s="188"/>
      <c r="YS19" s="187"/>
      <c r="YY19" s="168"/>
      <c r="YZ19" s="189"/>
      <c r="ZF19" s="188"/>
      <c r="ZG19" s="187"/>
      <c r="ZM19" s="188"/>
      <c r="ZN19" s="187"/>
      <c r="ZT19" s="188"/>
      <c r="ZU19" s="187"/>
      <c r="AAA19" s="188"/>
      <c r="AAB19" s="187"/>
      <c r="AAC19" s="168"/>
      <c r="AAD19" s="189"/>
      <c r="AAH19" s="188"/>
      <c r="AAI19" s="187"/>
      <c r="AAO19" s="188"/>
      <c r="AAP19" s="187"/>
      <c r="AAV19" s="188"/>
      <c r="AAW19" s="187"/>
      <c r="ABC19" s="188"/>
      <c r="ABD19" s="187"/>
      <c r="ABH19" s="168"/>
      <c r="ABI19" s="189"/>
      <c r="ABJ19" s="188"/>
      <c r="ABK19" s="187"/>
      <c r="ABQ19" s="188"/>
      <c r="ABR19" s="187"/>
      <c r="ABX19" s="188"/>
      <c r="ABY19" s="187"/>
      <c r="ACE19" s="188"/>
      <c r="ACF19" s="187"/>
      <c r="ACL19" s="188"/>
      <c r="ACM19" s="190"/>
      <c r="ACN19" s="189"/>
      <c r="ACS19" s="188"/>
      <c r="ACT19" s="187"/>
      <c r="ACZ19" s="188"/>
      <c r="ADA19" s="187"/>
      <c r="ADG19" s="188"/>
      <c r="ADH19" s="187"/>
      <c r="ADN19" s="188"/>
      <c r="ADO19" s="190"/>
      <c r="ADP19" s="189"/>
      <c r="ADU19" s="188"/>
      <c r="ADV19" s="187"/>
      <c r="AEB19" s="188"/>
      <c r="AEC19" s="187"/>
      <c r="AEI19" s="188"/>
      <c r="AEJ19" s="187"/>
      <c r="AEP19" s="188"/>
      <c r="AEQ19" s="187"/>
      <c r="AET19" s="168"/>
      <c r="AEU19" s="189"/>
      <c r="AEW19" s="188"/>
      <c r="AEX19" s="187"/>
      <c r="AFD19" s="188"/>
      <c r="AFE19" s="187"/>
      <c r="AFK19" s="188"/>
      <c r="AFL19" s="187"/>
      <c r="AFR19" s="188"/>
      <c r="AFS19" s="187"/>
      <c r="AFX19" s="168"/>
      <c r="AFY19" s="191"/>
      <c r="AFZ19" s="187"/>
      <c r="AGF19" s="188"/>
      <c r="AGG19" s="187"/>
      <c r="AGM19" s="188"/>
      <c r="AGN19" s="187"/>
      <c r="AGT19" s="188"/>
      <c r="AGU19" s="187"/>
      <c r="AHA19" s="188"/>
      <c r="AHB19" s="187"/>
      <c r="AHC19" s="168"/>
      <c r="AHD19" s="189"/>
      <c r="AHH19" s="188"/>
      <c r="AHI19" s="187"/>
      <c r="AHO19" s="188"/>
      <c r="AHP19" s="187"/>
      <c r="AHV19" s="188"/>
      <c r="AHW19" s="187"/>
      <c r="AIC19" s="188"/>
      <c r="AID19" s="187"/>
      <c r="AIG19" s="168"/>
      <c r="AIH19" s="189"/>
      <c r="AIJ19" s="188"/>
      <c r="AIK19" s="187"/>
      <c r="AIQ19" s="188"/>
      <c r="AIR19" s="187"/>
      <c r="AIX19" s="188"/>
      <c r="AIY19" s="187"/>
      <c r="AJE19" s="188"/>
      <c r="AJF19" s="187"/>
      <c r="AJL19" s="168"/>
      <c r="AJM19" s="189"/>
      <c r="AJS19" s="188"/>
      <c r="AJT19" s="187"/>
      <c r="AJZ19" s="188"/>
      <c r="AKA19" s="187"/>
      <c r="AKG19" s="188"/>
      <c r="AKH19" s="187"/>
      <c r="AKN19" s="188"/>
      <c r="AKO19" s="187"/>
      <c r="AKQ19" s="168"/>
      <c r="AKR19" s="189"/>
      <c r="AKU19" s="188"/>
      <c r="AKV19" s="187"/>
      <c r="ALB19" s="188"/>
      <c r="ALC19" s="187"/>
      <c r="ALI19" s="188"/>
      <c r="ALJ19" s="187"/>
      <c r="ALP19" s="188"/>
      <c r="ALQ19" s="187"/>
      <c r="ALU19" s="168"/>
      <c r="ALV19" s="189"/>
      <c r="ALW19" s="188"/>
      <c r="ALX19" s="187"/>
      <c r="AMD19" s="188"/>
      <c r="AME19" s="187"/>
      <c r="AMK19" s="188"/>
      <c r="AML19" s="187"/>
      <c r="AMR19" s="188"/>
      <c r="AMS19" s="187"/>
      <c r="AMY19" s="188"/>
      <c r="AMZ19" s="190"/>
      <c r="ANA19" s="189"/>
      <c r="ANF19" s="188"/>
      <c r="ANG19" s="187"/>
      <c r="ANM19" s="188"/>
      <c r="ANN19" s="187"/>
      <c r="ANT19" s="188"/>
      <c r="ANU19" s="187"/>
      <c r="AOA19" s="188"/>
      <c r="AOB19" s="187"/>
      <c r="AOD19" s="168"/>
      <c r="AOE19" s="189"/>
      <c r="AOH19" s="188"/>
      <c r="AOI19" s="187"/>
      <c r="AOO19" s="188"/>
      <c r="AOP19" s="187"/>
      <c r="AOV19" s="188"/>
      <c r="AOW19" s="187"/>
      <c r="APC19" s="188"/>
      <c r="APD19" s="187"/>
      <c r="API19" s="168"/>
      <c r="APJ19" s="191"/>
      <c r="APK19" s="187"/>
      <c r="APQ19" s="188"/>
      <c r="APR19" s="187"/>
      <c r="APX19" s="188"/>
      <c r="APY19" s="187"/>
      <c r="AQE19" s="188"/>
      <c r="AQF19" s="187"/>
      <c r="AQL19" s="188"/>
      <c r="AQM19" s="187"/>
      <c r="AQN19" s="168"/>
      <c r="AQO19" s="189"/>
      <c r="AQS19" s="188"/>
      <c r="AQT19" s="187"/>
      <c r="AQZ19" s="188"/>
      <c r="ARA19" s="187"/>
      <c r="ARG19" s="188"/>
      <c r="ARH19" s="187"/>
      <c r="ARN19" s="188"/>
      <c r="ARO19" s="187"/>
      <c r="ARP19" s="168"/>
      <c r="ARQ19" s="189"/>
      <c r="ARU19" s="188"/>
      <c r="ARV19" s="187"/>
      <c r="ASB19" s="188"/>
      <c r="ASC19" s="187"/>
      <c r="ASI19" s="188"/>
      <c r="ASJ19" s="187"/>
      <c r="ASP19" s="188"/>
      <c r="ASQ19" s="187"/>
      <c r="ASU19" s="168"/>
      <c r="ASV19" s="189"/>
      <c r="ASW19" s="188"/>
      <c r="ASX19" s="187"/>
      <c r="ATD19" s="188"/>
      <c r="ATE19" s="187"/>
      <c r="ATK19" s="188"/>
      <c r="ATL19" s="187"/>
      <c r="ATR19" s="188"/>
      <c r="ATS19" s="187"/>
      <c r="ATY19" s="168"/>
      <c r="ATZ19" s="189"/>
      <c r="AUF19" s="188"/>
      <c r="AUG19" s="187"/>
      <c r="AUM19" s="188"/>
      <c r="AUN19" s="187"/>
      <c r="AUT19" s="188"/>
      <c r="AUU19" s="187"/>
      <c r="AVA19" s="188"/>
      <c r="AVB19" s="187"/>
      <c r="AVD19" s="168"/>
      <c r="AVE19" s="189"/>
      <c r="AVH19" s="188"/>
      <c r="AVI19" s="187"/>
      <c r="AVO19" s="188"/>
      <c r="AVP19" s="187"/>
      <c r="AVV19" s="188"/>
      <c r="AVW19" s="187"/>
      <c r="AWC19" s="188"/>
      <c r="AWD19" s="187"/>
      <c r="AWH19" s="168"/>
      <c r="AWI19" s="189"/>
      <c r="AWJ19" s="188"/>
      <c r="AWK19" s="187"/>
      <c r="AWQ19" s="188"/>
      <c r="AWR19" s="187"/>
      <c r="AWX19" s="188"/>
      <c r="AWY19" s="187"/>
      <c r="AXE19" s="188"/>
      <c r="AXF19" s="187"/>
      <c r="AXL19" s="188"/>
      <c r="AXM19" s="190"/>
      <c r="AXN19" s="189"/>
      <c r="AXS19" s="188"/>
      <c r="AXT19" s="187"/>
      <c r="AXZ19" s="188"/>
      <c r="AYA19" s="187"/>
      <c r="AYG19" s="188"/>
      <c r="AYH19" s="187"/>
      <c r="AYN19" s="188"/>
      <c r="AYO19" s="187"/>
      <c r="AYR19" s="168"/>
      <c r="AYS19" s="189"/>
      <c r="AYU19" s="188"/>
      <c r="AYV19" s="187"/>
      <c r="AZB19" s="188"/>
      <c r="AZC19" s="187"/>
      <c r="AZI19" s="188"/>
      <c r="AZJ19" s="187"/>
      <c r="AZP19" s="188"/>
      <c r="AZQ19" s="187"/>
      <c r="AZV19" s="168"/>
      <c r="AZW19" s="191"/>
      <c r="AZX19" s="187"/>
      <c r="BAD19" s="188"/>
      <c r="BAE19" s="187"/>
      <c r="BAK19" s="188"/>
      <c r="BAL19" s="187"/>
      <c r="BAR19" s="188"/>
      <c r="BAS19" s="187"/>
      <c r="BAY19" s="188"/>
      <c r="BAZ19" s="187"/>
      <c r="BBA19" s="168"/>
      <c r="BBB19" s="189"/>
      <c r="BBF19" s="188"/>
      <c r="BBG19" s="187"/>
      <c r="BBM19" s="188"/>
      <c r="BBN19" s="187"/>
      <c r="BBT19" s="188"/>
      <c r="BBU19" s="187"/>
      <c r="BCA19" s="188"/>
      <c r="BCB19" s="187"/>
      <c r="BCE19" s="168"/>
      <c r="BCF19" s="189"/>
      <c r="BCH19" s="188"/>
      <c r="BCI19" s="187"/>
      <c r="BCO19" s="188"/>
      <c r="BCP19" s="187"/>
      <c r="BCV19" s="188"/>
      <c r="BCW19" s="187"/>
      <c r="BDC19" s="188"/>
      <c r="BDD19" s="187"/>
      <c r="BDJ19" s="168"/>
      <c r="BDK19" s="189"/>
      <c r="BDQ19" s="188"/>
      <c r="BDR19" s="187"/>
      <c r="BDX19" s="188"/>
      <c r="BDY19" s="187"/>
      <c r="BEE19" s="188"/>
      <c r="BEF19" s="187"/>
      <c r="BEL19" s="188"/>
      <c r="BEM19" s="187"/>
      <c r="BEO19" s="168"/>
      <c r="BEP19" s="189"/>
      <c r="BES19" s="188"/>
      <c r="BET19" s="187"/>
      <c r="BEZ19" s="188"/>
      <c r="BFA19" s="187"/>
      <c r="BFG19" s="188"/>
      <c r="BFH19" s="187"/>
      <c r="BFN19" s="188"/>
      <c r="BFO19" s="187"/>
      <c r="BFQ19" s="168"/>
      <c r="BFR19" s="189"/>
      <c r="BFU19" s="188"/>
      <c r="BFV19" s="187"/>
      <c r="BGB19" s="188"/>
      <c r="BGC19" s="187"/>
      <c r="BGI19" s="188"/>
      <c r="BGJ19" s="187"/>
      <c r="BGP19" s="188"/>
      <c r="BGQ19" s="187"/>
      <c r="BGV19" s="168"/>
      <c r="BGW19" s="191"/>
      <c r="BGX19" s="187"/>
      <c r="BHD19" s="188"/>
      <c r="BHE19" s="187"/>
      <c r="BHK19" s="188"/>
      <c r="BHL19" s="187"/>
      <c r="BHR19" s="188"/>
      <c r="BHS19" s="187"/>
      <c r="BHY19" s="188"/>
      <c r="BHZ19" s="190"/>
      <c r="BIA19" s="189"/>
      <c r="BIF19" s="188"/>
      <c r="BIG19" s="187"/>
      <c r="BIM19" s="188"/>
      <c r="BIN19" s="187"/>
      <c r="BIT19" s="188"/>
      <c r="BIU19" s="187"/>
      <c r="BJA19" s="188"/>
      <c r="BJB19" s="187"/>
      <c r="BJE19" s="168"/>
      <c r="BJF19" s="189"/>
      <c r="BJH19" s="188"/>
      <c r="BJI19" s="187"/>
      <c r="BJO19" s="188"/>
      <c r="BJP19" s="187"/>
      <c r="BJV19" s="188"/>
      <c r="BJW19" s="187"/>
      <c r="BKC19" s="188"/>
      <c r="BKD19" s="187"/>
      <c r="BKI19" s="168"/>
      <c r="BKJ19" s="191"/>
      <c r="BKK19" s="187"/>
      <c r="BKQ19" s="188"/>
      <c r="BKR19" s="187"/>
      <c r="BKX19" s="188"/>
      <c r="BKY19" s="187"/>
      <c r="BLE19" s="188"/>
      <c r="BLF19" s="187"/>
      <c r="BLL19" s="188"/>
      <c r="BLM19" s="187"/>
      <c r="BLN19" s="168"/>
      <c r="BLO19" s="189"/>
      <c r="BLS19" s="188"/>
      <c r="BLT19" s="187"/>
      <c r="BLZ19" s="188"/>
      <c r="BMA19" s="187"/>
      <c r="BMG19" s="188"/>
      <c r="BMH19" s="187"/>
      <c r="BMN19" s="188"/>
      <c r="BMO19" s="187"/>
      <c r="BMS19" s="168"/>
      <c r="BMT19" s="189"/>
      <c r="BMU19" s="188"/>
      <c r="BMV19" s="187"/>
      <c r="BNB19" s="188"/>
      <c r="BNC19" s="187"/>
      <c r="BNI19" s="188"/>
      <c r="BNJ19" s="187"/>
      <c r="BNP19" s="188"/>
      <c r="BNQ19" s="187"/>
      <c r="BNW19" s="168"/>
      <c r="BNX19" s="189"/>
      <c r="BOD19" s="188"/>
      <c r="BOE19" s="187"/>
      <c r="BOK19" s="188"/>
      <c r="BOL19" s="187"/>
      <c r="BOR19" s="188"/>
      <c r="BOS19" s="187"/>
      <c r="BOY19" s="188"/>
      <c r="BOZ19" s="187"/>
      <c r="BPB19" s="168"/>
      <c r="BPC19" s="189"/>
      <c r="BPF19" s="188"/>
      <c r="BPG19" s="187"/>
      <c r="BPM19" s="188"/>
      <c r="BPN19" s="187"/>
      <c r="BPT19" s="188"/>
      <c r="BPU19" s="187"/>
      <c r="BQA19" s="188"/>
      <c r="BQB19" s="187"/>
      <c r="BQF19" s="168"/>
      <c r="BQG19" s="189"/>
      <c r="BQH19" s="188"/>
      <c r="BQI19" s="187"/>
      <c r="BQO19" s="188"/>
      <c r="BQP19" s="187"/>
      <c r="BQV19" s="188"/>
      <c r="BQW19" s="187"/>
      <c r="BRC19" s="188"/>
      <c r="BRD19" s="187"/>
      <c r="BRJ19" s="188"/>
      <c r="BRK19" s="190"/>
      <c r="BRL19" s="189"/>
      <c r="BRQ19" s="188"/>
      <c r="BRR19" s="187"/>
      <c r="BRX19" s="188"/>
      <c r="BRY19" s="187"/>
      <c r="BSE19" s="188"/>
      <c r="BSF19" s="187"/>
      <c r="BSL19" s="188"/>
      <c r="BSM19" s="187"/>
      <c r="BSP19" s="168"/>
      <c r="BSQ19" s="189"/>
      <c r="BSS19" s="188"/>
      <c r="BST19" s="187"/>
      <c r="BSZ19" s="188"/>
      <c r="BTA19" s="187"/>
      <c r="BTG19" s="188"/>
      <c r="BTH19" s="187"/>
      <c r="BTN19" s="188"/>
      <c r="BTO19" s="187"/>
      <c r="BTS19" s="168"/>
      <c r="BTT19" s="189"/>
      <c r="BTU19" s="188"/>
      <c r="BTV19" s="187"/>
      <c r="BUB19" s="188"/>
      <c r="BUC19" s="187"/>
      <c r="BUI19" s="188"/>
      <c r="BUJ19" s="187"/>
      <c r="BUP19" s="188"/>
      <c r="BUQ19" s="187"/>
      <c r="BUW19" s="188"/>
      <c r="BUX19" s="190"/>
      <c r="BUY19" s="189"/>
      <c r="BVD19" s="188"/>
      <c r="BVE19" s="187"/>
      <c r="BVK19" s="188"/>
      <c r="BVL19" s="187"/>
      <c r="BVR19" s="188"/>
      <c r="BVS19" s="187"/>
      <c r="BVY19" s="188"/>
      <c r="BVZ19" s="187"/>
      <c r="BWB19" s="168"/>
      <c r="BWC19" s="189"/>
      <c r="BWF19" s="188"/>
      <c r="BWG19" s="187"/>
      <c r="BWM19" s="188"/>
      <c r="BWN19" s="187"/>
      <c r="BWT19" s="188"/>
      <c r="BWU19" s="187"/>
      <c r="BXA19" s="188"/>
      <c r="BXB19" s="187"/>
      <c r="BXG19" s="168"/>
      <c r="BXH19" s="191"/>
      <c r="BXI19" s="187"/>
      <c r="BXO19" s="188"/>
      <c r="BXP19" s="187"/>
      <c r="BXV19" s="188"/>
      <c r="BXW19" s="187"/>
      <c r="BYC19" s="188"/>
      <c r="BYD19" s="187"/>
      <c r="BYJ19" s="188"/>
      <c r="BYK19" s="190"/>
      <c r="BYL19" s="189"/>
      <c r="BYQ19" s="188"/>
      <c r="BYR19" s="187"/>
      <c r="BYX19" s="188"/>
      <c r="BYY19" s="187"/>
      <c r="BZE19" s="188"/>
      <c r="BZF19" s="187"/>
      <c r="BZL19" s="188"/>
      <c r="BZM19" s="187"/>
      <c r="BZP19" s="168"/>
      <c r="BZQ19" s="189"/>
      <c r="BZS19" s="188"/>
      <c r="BZT19" s="187"/>
      <c r="BZZ19" s="188"/>
      <c r="CAA19" s="187"/>
      <c r="CAG19" s="188"/>
      <c r="CAH19" s="187"/>
      <c r="CAN19" s="188"/>
      <c r="CAO19" s="187"/>
      <c r="CAU19" s="168"/>
      <c r="CAV19" s="189"/>
      <c r="CBB19" s="188"/>
      <c r="CBC19" s="187"/>
      <c r="CBI19" s="188"/>
      <c r="CBJ19" s="187"/>
      <c r="CBP19" s="188"/>
      <c r="CBQ19" s="187"/>
      <c r="CBW19" s="188"/>
      <c r="CBX19" s="187"/>
      <c r="CBY19" s="168"/>
      <c r="CBZ19" s="189"/>
      <c r="CCD19" s="188"/>
      <c r="CCE19" s="187"/>
      <c r="CCK19" s="188"/>
      <c r="CCL19" s="187"/>
      <c r="CCR19" s="188"/>
      <c r="CCS19" s="187"/>
      <c r="CCY19" s="188"/>
      <c r="CCZ19" s="187"/>
      <c r="CDD19" s="168"/>
      <c r="CDE19" s="189"/>
      <c r="CDF19" s="188"/>
      <c r="CDG19" s="187"/>
      <c r="CDM19" s="188"/>
      <c r="CDN19" s="187"/>
      <c r="CDT19" s="188"/>
      <c r="CDU19" s="187"/>
      <c r="CEA19" s="188"/>
      <c r="CEB19" s="187"/>
      <c r="CEH19" s="168"/>
      <c r="CEI19" s="189"/>
      <c r="CEO19" s="188"/>
      <c r="CEP19" s="187"/>
      <c r="CEV19" s="188"/>
      <c r="CEW19" s="187"/>
      <c r="CFC19" s="188"/>
      <c r="CFD19" s="187"/>
      <c r="CFJ19" s="188"/>
      <c r="CFK19" s="187"/>
    </row>
    <row r="20" spans="1:1019 1025:2048 2054:2195">
      <c r="A20" s="164" t="s">
        <v>264</v>
      </c>
      <c r="C20" s="164" t="s">
        <v>265</v>
      </c>
      <c r="D20" s="186"/>
      <c r="E20" s="186"/>
      <c r="K20" s="187"/>
      <c r="Q20" s="188"/>
      <c r="R20" s="187"/>
      <c r="X20" s="188"/>
      <c r="Y20" s="187"/>
      <c r="AE20" s="188"/>
      <c r="AF20" s="187"/>
      <c r="AJ20" s="168"/>
      <c r="AK20" s="189"/>
      <c r="AL20" s="188"/>
      <c r="AM20" s="187"/>
      <c r="AS20" s="188"/>
      <c r="AT20" s="187"/>
      <c r="AZ20" s="188"/>
      <c r="BA20" s="187"/>
      <c r="BG20" s="188"/>
      <c r="BH20" s="187"/>
      <c r="BL20" s="168"/>
      <c r="BM20" s="189"/>
      <c r="BN20" s="188"/>
      <c r="BO20" s="187"/>
      <c r="BU20" s="188"/>
      <c r="BV20" s="187"/>
      <c r="CB20" s="188"/>
      <c r="CC20" s="187"/>
      <c r="CI20" s="188"/>
      <c r="CJ20" s="187"/>
      <c r="CP20" s="188"/>
      <c r="CQ20" s="190"/>
      <c r="CR20" s="189"/>
      <c r="CW20" s="188"/>
      <c r="CX20" s="187"/>
      <c r="DD20" s="188"/>
      <c r="DE20" s="187"/>
      <c r="DK20" s="188"/>
      <c r="DL20" s="187"/>
      <c r="DR20" s="188"/>
      <c r="DS20" s="187"/>
      <c r="DU20" s="168"/>
      <c r="DV20" s="189"/>
      <c r="DY20" s="188"/>
      <c r="DZ20" s="187"/>
      <c r="EF20" s="188"/>
      <c r="EG20" s="187"/>
      <c r="EM20" s="188"/>
      <c r="EN20" s="187"/>
      <c r="ET20" s="188"/>
      <c r="EU20" s="187"/>
      <c r="EZ20" s="168"/>
      <c r="FA20" s="191"/>
      <c r="FB20" s="187"/>
      <c r="FH20" s="188"/>
      <c r="FI20" s="187"/>
      <c r="FO20" s="188"/>
      <c r="FP20" s="187"/>
      <c r="FV20" s="188"/>
      <c r="FW20" s="187"/>
      <c r="GC20" s="188"/>
      <c r="GD20" s="190"/>
      <c r="GE20" s="189"/>
      <c r="GJ20" s="188"/>
      <c r="GK20" s="187"/>
      <c r="GQ20" s="188"/>
      <c r="GR20" s="187"/>
      <c r="GX20" s="188"/>
      <c r="GY20" s="187"/>
      <c r="HE20" s="188"/>
      <c r="HF20" s="187"/>
      <c r="HI20" s="168"/>
      <c r="HJ20" s="189"/>
      <c r="HL20" s="188"/>
      <c r="HM20" s="187"/>
      <c r="HS20" s="188"/>
      <c r="HT20" s="187"/>
      <c r="HZ20" s="188"/>
      <c r="IA20" s="187"/>
      <c r="IG20" s="188"/>
      <c r="IH20" s="187"/>
      <c r="IN20" s="168"/>
      <c r="IO20" s="189"/>
      <c r="IU20" s="188"/>
      <c r="IV20" s="187"/>
      <c r="JB20" s="188"/>
      <c r="JC20" s="187"/>
      <c r="JI20" s="188"/>
      <c r="JJ20" s="187"/>
      <c r="JP20" s="188"/>
      <c r="JQ20" s="187"/>
      <c r="JR20" s="168"/>
      <c r="JS20" s="189"/>
      <c r="JW20" s="188"/>
      <c r="JX20" s="187"/>
      <c r="KD20" s="188"/>
      <c r="KE20" s="187"/>
      <c r="KK20" s="188"/>
      <c r="KL20" s="187"/>
      <c r="KR20" s="188"/>
      <c r="KS20" s="187"/>
      <c r="KW20" s="168"/>
      <c r="KX20" s="189"/>
      <c r="KY20" s="188"/>
      <c r="KZ20" s="187"/>
      <c r="LF20" s="188"/>
      <c r="LG20" s="187"/>
      <c r="LM20" s="188"/>
      <c r="LN20" s="187"/>
      <c r="LT20" s="188"/>
      <c r="LU20" s="187"/>
      <c r="MA20" s="168"/>
      <c r="MB20" s="189"/>
      <c r="MH20" s="188"/>
      <c r="MI20" s="187"/>
      <c r="MO20" s="188"/>
      <c r="MP20" s="187"/>
      <c r="MV20" s="188"/>
      <c r="MW20" s="187"/>
      <c r="NC20" s="188"/>
      <c r="ND20" s="187"/>
      <c r="NF20" s="168"/>
      <c r="NG20" s="189"/>
      <c r="NJ20" s="188"/>
      <c r="NK20" s="187"/>
      <c r="NQ20" s="188"/>
      <c r="NR20" s="187"/>
      <c r="NX20" s="188"/>
      <c r="NY20" s="187"/>
      <c r="OE20" s="188"/>
      <c r="OF20" s="187"/>
      <c r="OK20" s="168"/>
      <c r="OL20" s="191"/>
      <c r="OM20" s="187"/>
      <c r="OS20" s="188"/>
      <c r="OT20" s="187"/>
      <c r="OZ20" s="188"/>
      <c r="PA20" s="187"/>
      <c r="PG20" s="188"/>
      <c r="PH20" s="187"/>
      <c r="PN20" s="168"/>
      <c r="PO20" s="189"/>
      <c r="PU20" s="188"/>
      <c r="PV20" s="187"/>
      <c r="QB20" s="188"/>
      <c r="QC20" s="187"/>
      <c r="QI20" s="188"/>
      <c r="QJ20" s="187"/>
      <c r="QP20" s="188"/>
      <c r="QQ20" s="187"/>
      <c r="QS20" s="168"/>
      <c r="QT20" s="189"/>
      <c r="QW20" s="188"/>
      <c r="QX20" s="187"/>
      <c r="RD20" s="188"/>
      <c r="RE20" s="187"/>
      <c r="RK20" s="188"/>
      <c r="RL20" s="187"/>
      <c r="RR20" s="188"/>
      <c r="RS20" s="187"/>
      <c r="RW20" s="168"/>
      <c r="RX20" s="189"/>
      <c r="RY20" s="188"/>
      <c r="RZ20" s="187"/>
      <c r="SF20" s="188"/>
      <c r="SG20" s="187"/>
      <c r="SM20" s="188"/>
      <c r="SN20" s="187"/>
      <c r="ST20" s="188"/>
      <c r="SU20" s="187"/>
      <c r="TA20" s="188"/>
      <c r="TB20" s="190"/>
      <c r="TC20" s="189"/>
      <c r="TH20" s="188"/>
      <c r="TI20" s="187"/>
      <c r="TO20" s="188"/>
      <c r="TP20" s="187"/>
      <c r="TV20" s="188"/>
      <c r="TW20" s="187"/>
      <c r="UC20" s="188"/>
      <c r="UD20" s="187"/>
      <c r="UF20" s="168"/>
      <c r="UG20" s="189"/>
      <c r="UJ20" s="188"/>
      <c r="UK20" s="187"/>
      <c r="UQ20" s="188"/>
      <c r="UR20" s="187"/>
      <c r="UX20" s="188"/>
      <c r="UY20" s="187"/>
      <c r="VE20" s="188"/>
      <c r="VF20" s="187"/>
      <c r="VK20" s="168"/>
      <c r="VL20" s="191"/>
      <c r="VM20" s="187"/>
      <c r="VS20" s="188"/>
      <c r="VT20" s="187"/>
      <c r="VZ20" s="188"/>
      <c r="WA20" s="187"/>
      <c r="WG20" s="188"/>
      <c r="WH20" s="187"/>
      <c r="WN20" s="188"/>
      <c r="WO20" s="187"/>
      <c r="WP20" s="168"/>
      <c r="WQ20" s="189"/>
      <c r="WU20" s="188"/>
      <c r="WV20" s="187"/>
      <c r="XB20" s="188"/>
      <c r="XC20" s="187"/>
      <c r="XI20" s="188"/>
      <c r="XJ20" s="187"/>
      <c r="XP20" s="188"/>
      <c r="XQ20" s="187"/>
      <c r="XT20" s="168"/>
      <c r="XU20" s="189"/>
      <c r="XW20" s="188"/>
      <c r="XX20" s="187"/>
      <c r="YD20" s="188"/>
      <c r="YE20" s="187"/>
      <c r="YK20" s="188"/>
      <c r="YL20" s="187"/>
      <c r="YR20" s="188"/>
      <c r="YS20" s="187"/>
      <c r="YY20" s="168"/>
      <c r="YZ20" s="189"/>
      <c r="ZF20" s="188"/>
      <c r="ZG20" s="187"/>
      <c r="ZM20" s="188"/>
      <c r="ZN20" s="187"/>
      <c r="ZT20" s="188"/>
      <c r="ZU20" s="187"/>
      <c r="AAA20" s="188"/>
      <c r="AAB20" s="187"/>
      <c r="AAC20" s="168"/>
      <c r="AAD20" s="189"/>
      <c r="AAH20" s="188"/>
      <c r="AAI20" s="187"/>
      <c r="AAO20" s="188"/>
      <c r="AAP20" s="187"/>
      <c r="AAV20" s="188"/>
      <c r="AAW20" s="187"/>
      <c r="ABC20" s="188"/>
      <c r="ABD20" s="187"/>
      <c r="ABH20" s="168"/>
      <c r="ABI20" s="189"/>
      <c r="ABJ20" s="188"/>
      <c r="ABK20" s="187"/>
      <c r="ABQ20" s="188"/>
      <c r="ABR20" s="187"/>
      <c r="ABX20" s="188"/>
      <c r="ABY20" s="187"/>
      <c r="ACE20" s="188"/>
      <c r="ACF20" s="187"/>
      <c r="ACL20" s="188"/>
      <c r="ACM20" s="190"/>
      <c r="ACN20" s="189"/>
      <c r="ACS20" s="188"/>
      <c r="ACT20" s="187"/>
      <c r="ACZ20" s="188"/>
      <c r="ADA20" s="187"/>
      <c r="ADG20" s="188"/>
      <c r="ADH20" s="187"/>
      <c r="ADN20" s="188"/>
      <c r="ADO20" s="190"/>
      <c r="ADP20" s="189"/>
      <c r="ADU20" s="188"/>
      <c r="ADV20" s="187"/>
      <c r="AEB20" s="188"/>
      <c r="AEC20" s="187"/>
      <c r="AEI20" s="188"/>
      <c r="AEJ20" s="187"/>
      <c r="AEP20" s="188"/>
      <c r="AEQ20" s="187"/>
      <c r="AET20" s="168"/>
      <c r="AEU20" s="189"/>
      <c r="AEW20" s="188"/>
      <c r="AEX20" s="187"/>
      <c r="AFD20" s="188"/>
      <c r="AFE20" s="187"/>
      <c r="AFK20" s="188"/>
      <c r="AFL20" s="187"/>
      <c r="AFR20" s="188"/>
      <c r="AFS20" s="187"/>
      <c r="AFX20" s="168"/>
      <c r="AFY20" s="191"/>
      <c r="AFZ20" s="187"/>
      <c r="AGF20" s="188"/>
      <c r="AGG20" s="187"/>
      <c r="AGM20" s="188"/>
      <c r="AGN20" s="187"/>
      <c r="AGT20" s="188"/>
      <c r="AGU20" s="187"/>
      <c r="AHA20" s="188"/>
      <c r="AHB20" s="187"/>
      <c r="AHC20" s="168"/>
      <c r="AHD20" s="189"/>
      <c r="AHH20" s="188"/>
      <c r="AHI20" s="187"/>
      <c r="AHO20" s="188"/>
      <c r="AHP20" s="187"/>
      <c r="AHV20" s="188"/>
      <c r="AHW20" s="187"/>
      <c r="AIC20" s="188"/>
      <c r="AID20" s="187"/>
      <c r="AIG20" s="168"/>
      <c r="AIH20" s="189"/>
      <c r="AIJ20" s="188"/>
      <c r="AIK20" s="187"/>
      <c r="AIQ20" s="188"/>
      <c r="AIR20" s="187"/>
      <c r="AIX20" s="188"/>
      <c r="AIY20" s="187"/>
      <c r="AJE20" s="188"/>
      <c r="AJF20" s="187"/>
      <c r="AJL20" s="168"/>
      <c r="AJM20" s="189"/>
      <c r="AJS20" s="188"/>
      <c r="AJT20" s="187"/>
      <c r="AJZ20" s="188"/>
      <c r="AKA20" s="187"/>
      <c r="AKG20" s="188"/>
      <c r="AKH20" s="187"/>
      <c r="AKN20" s="188"/>
      <c r="AKO20" s="187"/>
      <c r="AKQ20" s="168"/>
      <c r="AKR20" s="189"/>
      <c r="AKU20" s="188"/>
      <c r="AKV20" s="187"/>
      <c r="ALB20" s="188"/>
      <c r="ALC20" s="187"/>
      <c r="ALI20" s="188"/>
      <c r="ALJ20" s="187"/>
      <c r="ALP20" s="188"/>
      <c r="ALQ20" s="187"/>
      <c r="ALU20" s="168"/>
      <c r="ALV20" s="189"/>
      <c r="ALW20" s="188"/>
      <c r="ALX20" s="187"/>
      <c r="AMD20" s="188"/>
      <c r="AME20" s="187"/>
      <c r="AMK20" s="188"/>
      <c r="AML20" s="187"/>
      <c r="AMR20" s="188"/>
      <c r="AMS20" s="187"/>
      <c r="AMY20" s="188"/>
      <c r="AMZ20" s="190"/>
      <c r="ANA20" s="189"/>
      <c r="ANF20" s="188"/>
      <c r="ANG20" s="187"/>
      <c r="ANM20" s="188"/>
      <c r="ANN20" s="187"/>
      <c r="ANT20" s="188"/>
      <c r="ANU20" s="187"/>
      <c r="AOA20" s="188"/>
      <c r="AOB20" s="187"/>
      <c r="AOD20" s="168"/>
      <c r="AOE20" s="189"/>
      <c r="AOH20" s="188"/>
      <c r="AOI20" s="187"/>
      <c r="AOO20" s="188"/>
      <c r="AOP20" s="187"/>
      <c r="AOV20" s="188"/>
      <c r="AOW20" s="187"/>
      <c r="APC20" s="188"/>
      <c r="APD20" s="187"/>
      <c r="API20" s="168"/>
      <c r="APJ20" s="191"/>
      <c r="APK20" s="187"/>
      <c r="APQ20" s="188"/>
      <c r="APR20" s="187"/>
      <c r="APX20" s="188"/>
      <c r="APY20" s="187"/>
      <c r="AQE20" s="188"/>
      <c r="AQF20" s="187"/>
      <c r="AQL20" s="188"/>
      <c r="AQM20" s="187"/>
      <c r="AQN20" s="168"/>
      <c r="AQO20" s="189"/>
      <c r="AQS20" s="188"/>
      <c r="AQT20" s="187"/>
      <c r="AQZ20" s="188"/>
      <c r="ARA20" s="187"/>
      <c r="ARG20" s="188"/>
      <c r="ARH20" s="187"/>
      <c r="ARN20" s="188"/>
      <c r="ARO20" s="187"/>
      <c r="ARP20" s="168"/>
      <c r="ARQ20" s="189"/>
      <c r="ARU20" s="188"/>
      <c r="ARV20" s="187"/>
      <c r="ASB20" s="188"/>
      <c r="ASC20" s="187"/>
      <c r="ASI20" s="188"/>
      <c r="ASJ20" s="187"/>
      <c r="ASP20" s="188"/>
      <c r="ASQ20" s="187"/>
      <c r="ASU20" s="168"/>
      <c r="ASV20" s="189"/>
      <c r="ASW20" s="188"/>
      <c r="ASX20" s="187"/>
      <c r="ATD20" s="188"/>
      <c r="ATE20" s="187"/>
      <c r="ATK20" s="188"/>
      <c r="ATL20" s="187"/>
      <c r="ATR20" s="188"/>
      <c r="ATS20" s="187"/>
      <c r="ATY20" s="168"/>
      <c r="ATZ20" s="189"/>
      <c r="AUF20" s="188"/>
      <c r="AUG20" s="187"/>
      <c r="AUM20" s="188"/>
      <c r="AUN20" s="187"/>
      <c r="AUT20" s="188"/>
      <c r="AUU20" s="187"/>
      <c r="AVA20" s="188"/>
      <c r="AVB20" s="187"/>
      <c r="AVD20" s="168"/>
      <c r="AVE20" s="189"/>
      <c r="AVH20" s="188"/>
      <c r="AVI20" s="187"/>
      <c r="AVO20" s="188"/>
      <c r="AVP20" s="187"/>
      <c r="AVV20" s="188"/>
      <c r="AVW20" s="187"/>
      <c r="AWC20" s="188"/>
      <c r="AWD20" s="187"/>
      <c r="AWH20" s="168"/>
      <c r="AWI20" s="189"/>
      <c r="AWJ20" s="188"/>
      <c r="AWK20" s="187"/>
      <c r="AWQ20" s="188"/>
      <c r="AWR20" s="187"/>
      <c r="AWX20" s="188"/>
      <c r="AWY20" s="187"/>
      <c r="AXE20" s="188"/>
      <c r="AXF20" s="187"/>
      <c r="AXL20" s="188"/>
      <c r="AXM20" s="190"/>
      <c r="AXN20" s="189"/>
      <c r="AXS20" s="188"/>
      <c r="AXT20" s="187"/>
      <c r="AXZ20" s="188"/>
      <c r="AYA20" s="187"/>
      <c r="AYG20" s="188"/>
      <c r="AYH20" s="187"/>
      <c r="AYN20" s="188"/>
      <c r="AYO20" s="187"/>
      <c r="AYR20" s="168"/>
      <c r="AYS20" s="189"/>
      <c r="AYU20" s="188"/>
      <c r="AYV20" s="187"/>
      <c r="AZB20" s="188"/>
      <c r="AZC20" s="187"/>
      <c r="AZI20" s="188"/>
      <c r="AZJ20" s="187"/>
      <c r="AZP20" s="188"/>
      <c r="AZQ20" s="187"/>
      <c r="AZV20" s="168"/>
      <c r="AZW20" s="191"/>
      <c r="AZX20" s="187"/>
      <c r="BAD20" s="188"/>
      <c r="BAE20" s="187"/>
      <c r="BAK20" s="188"/>
      <c r="BAL20" s="187"/>
      <c r="BAR20" s="188"/>
      <c r="BAS20" s="187"/>
      <c r="BAY20" s="188"/>
      <c r="BAZ20" s="187"/>
      <c r="BBA20" s="168"/>
      <c r="BBB20" s="189"/>
      <c r="BBF20" s="188"/>
      <c r="BBG20" s="187"/>
      <c r="BBM20" s="188"/>
      <c r="BBN20" s="187"/>
      <c r="BBT20" s="188"/>
      <c r="BBU20" s="187"/>
      <c r="BCA20" s="188"/>
      <c r="BCB20" s="187"/>
      <c r="BCE20" s="168"/>
      <c r="BCF20" s="189"/>
      <c r="BCH20" s="188"/>
      <c r="BCI20" s="187"/>
      <c r="BCO20" s="188"/>
      <c r="BCP20" s="187"/>
      <c r="BCV20" s="188"/>
      <c r="BCW20" s="187"/>
      <c r="BDC20" s="188"/>
      <c r="BDD20" s="187"/>
      <c r="BDJ20" s="168"/>
      <c r="BDK20" s="189"/>
      <c r="BDQ20" s="188"/>
      <c r="BDR20" s="187"/>
      <c r="BDX20" s="188"/>
      <c r="BDY20" s="187"/>
      <c r="BEE20" s="188"/>
      <c r="BEF20" s="187"/>
      <c r="BEL20" s="188"/>
      <c r="BEM20" s="187"/>
      <c r="BEO20" s="168"/>
      <c r="BEP20" s="189"/>
      <c r="BES20" s="188"/>
      <c r="BET20" s="187"/>
      <c r="BEZ20" s="188"/>
      <c r="BFA20" s="187"/>
      <c r="BFG20" s="188"/>
      <c r="BFH20" s="187"/>
      <c r="BFN20" s="188"/>
      <c r="BFO20" s="187"/>
      <c r="BFQ20" s="168"/>
      <c r="BFR20" s="189"/>
      <c r="BFU20" s="188"/>
      <c r="BFV20" s="187"/>
      <c r="BGB20" s="188"/>
      <c r="BGC20" s="187"/>
      <c r="BGI20" s="188"/>
      <c r="BGJ20" s="187"/>
      <c r="BGP20" s="188"/>
      <c r="BGQ20" s="187"/>
      <c r="BGV20" s="168"/>
      <c r="BGW20" s="191"/>
      <c r="BGX20" s="187"/>
      <c r="BHD20" s="188"/>
      <c r="BHE20" s="187"/>
      <c r="BHK20" s="188"/>
      <c r="BHL20" s="187"/>
      <c r="BHR20" s="188"/>
      <c r="BHS20" s="187"/>
      <c r="BHY20" s="188"/>
      <c r="BHZ20" s="190"/>
      <c r="BIA20" s="189"/>
      <c r="BIF20" s="188"/>
      <c r="BIG20" s="187"/>
      <c r="BIM20" s="188"/>
      <c r="BIN20" s="187"/>
      <c r="BIT20" s="188"/>
      <c r="BIU20" s="187"/>
      <c r="BJA20" s="188"/>
      <c r="BJB20" s="187"/>
      <c r="BJE20" s="168"/>
      <c r="BJF20" s="189"/>
      <c r="BJH20" s="188"/>
      <c r="BJI20" s="187"/>
      <c r="BJO20" s="188"/>
      <c r="BJP20" s="187"/>
      <c r="BJV20" s="188"/>
      <c r="BJW20" s="187"/>
      <c r="BKC20" s="188"/>
      <c r="BKD20" s="187"/>
      <c r="BKI20" s="168"/>
      <c r="BKJ20" s="191"/>
      <c r="BKK20" s="187"/>
      <c r="BKQ20" s="188"/>
      <c r="BKR20" s="187"/>
      <c r="BKX20" s="188"/>
      <c r="BKY20" s="187"/>
      <c r="BLE20" s="188"/>
      <c r="BLF20" s="187"/>
      <c r="BLL20" s="188"/>
      <c r="BLM20" s="187"/>
      <c r="BLN20" s="168"/>
      <c r="BLO20" s="189"/>
      <c r="BLS20" s="188"/>
      <c r="BLT20" s="187"/>
      <c r="BLZ20" s="188"/>
      <c r="BMA20" s="187"/>
      <c r="BMG20" s="188"/>
      <c r="BMH20" s="187"/>
      <c r="BMN20" s="188"/>
      <c r="BMO20" s="187"/>
      <c r="BMS20" s="168"/>
      <c r="BMT20" s="189"/>
      <c r="BMU20" s="188"/>
      <c r="BMV20" s="187"/>
      <c r="BNB20" s="188"/>
      <c r="BNC20" s="187"/>
      <c r="BNI20" s="188"/>
      <c r="BNJ20" s="187"/>
      <c r="BNP20" s="188"/>
      <c r="BNQ20" s="187"/>
      <c r="BNW20" s="168"/>
      <c r="BNX20" s="189"/>
      <c r="BOD20" s="188"/>
      <c r="BOE20" s="187"/>
      <c r="BOK20" s="188"/>
      <c r="BOL20" s="187"/>
      <c r="BOR20" s="188"/>
      <c r="BOS20" s="187"/>
      <c r="BOY20" s="188"/>
      <c r="BOZ20" s="187"/>
      <c r="BPB20" s="168"/>
      <c r="BPC20" s="189"/>
      <c r="BPF20" s="188"/>
      <c r="BPG20" s="187"/>
      <c r="BPM20" s="188"/>
      <c r="BPN20" s="187"/>
      <c r="BPT20" s="188"/>
      <c r="BPU20" s="187"/>
      <c r="BQA20" s="188"/>
      <c r="BQB20" s="187"/>
      <c r="BQF20" s="168"/>
      <c r="BQG20" s="189"/>
      <c r="BQH20" s="188"/>
      <c r="BQI20" s="187"/>
      <c r="BQO20" s="188"/>
      <c r="BQP20" s="187"/>
      <c r="BQV20" s="188"/>
      <c r="BQW20" s="187"/>
      <c r="BRC20" s="188"/>
      <c r="BRD20" s="187"/>
      <c r="BRJ20" s="188"/>
      <c r="BRK20" s="190"/>
      <c r="BRL20" s="189"/>
      <c r="BRQ20" s="188"/>
      <c r="BRR20" s="187"/>
      <c r="BRX20" s="188"/>
      <c r="BRY20" s="187"/>
      <c r="BSE20" s="188"/>
      <c r="BSF20" s="187"/>
      <c r="BSL20" s="188"/>
      <c r="BSM20" s="187"/>
      <c r="BSP20" s="168"/>
      <c r="BSQ20" s="189"/>
      <c r="BSS20" s="188"/>
      <c r="BST20" s="187"/>
      <c r="BSZ20" s="188"/>
      <c r="BTA20" s="187"/>
      <c r="BTG20" s="188"/>
      <c r="BTH20" s="187"/>
      <c r="BTN20" s="188"/>
      <c r="BTO20" s="187"/>
      <c r="BTS20" s="168"/>
      <c r="BTT20" s="189"/>
      <c r="BTU20" s="188"/>
      <c r="BTV20" s="187"/>
      <c r="BUB20" s="188"/>
      <c r="BUC20" s="187"/>
      <c r="BUI20" s="188"/>
      <c r="BUJ20" s="187"/>
      <c r="BUP20" s="188"/>
      <c r="BUQ20" s="187"/>
      <c r="BUW20" s="188"/>
      <c r="BUX20" s="190"/>
      <c r="BUY20" s="189"/>
      <c r="BVD20" s="188"/>
      <c r="BVE20" s="187"/>
      <c r="BVK20" s="188"/>
      <c r="BVL20" s="187"/>
      <c r="BVR20" s="188"/>
      <c r="BVS20" s="187"/>
      <c r="BVY20" s="188"/>
      <c r="BVZ20" s="187"/>
      <c r="BWB20" s="168"/>
      <c r="BWC20" s="189"/>
      <c r="BWF20" s="188"/>
      <c r="BWG20" s="187"/>
      <c r="BWM20" s="188"/>
      <c r="BWN20" s="187"/>
      <c r="BWT20" s="188"/>
      <c r="BWU20" s="187"/>
      <c r="BXA20" s="188"/>
      <c r="BXB20" s="187"/>
      <c r="BXG20" s="168"/>
      <c r="BXH20" s="191"/>
      <c r="BXI20" s="187"/>
      <c r="BXO20" s="188"/>
      <c r="BXP20" s="187"/>
      <c r="BXV20" s="188"/>
      <c r="BXW20" s="187"/>
      <c r="BYC20" s="188"/>
      <c r="BYD20" s="187"/>
      <c r="BYJ20" s="188"/>
      <c r="BYK20" s="190"/>
      <c r="BYL20" s="189"/>
      <c r="BYQ20" s="188"/>
      <c r="BYR20" s="187"/>
      <c r="BYX20" s="188"/>
      <c r="BYY20" s="187"/>
      <c r="BZE20" s="188"/>
      <c r="BZF20" s="187"/>
      <c r="BZL20" s="188"/>
      <c r="BZM20" s="187"/>
      <c r="BZP20" s="168"/>
      <c r="BZQ20" s="189"/>
      <c r="BZS20" s="188"/>
      <c r="BZT20" s="187"/>
      <c r="BZZ20" s="188"/>
      <c r="CAA20" s="187"/>
      <c r="CAG20" s="188"/>
      <c r="CAH20" s="187"/>
      <c r="CAN20" s="188"/>
      <c r="CAO20" s="187"/>
      <c r="CAU20" s="168"/>
      <c r="CAV20" s="189"/>
      <c r="CBB20" s="188"/>
      <c r="CBC20" s="187"/>
      <c r="CBI20" s="188"/>
      <c r="CBJ20" s="187"/>
      <c r="CBP20" s="188"/>
      <c r="CBQ20" s="187"/>
      <c r="CBW20" s="188"/>
      <c r="CBX20" s="187"/>
      <c r="CBY20" s="168"/>
      <c r="CBZ20" s="189"/>
      <c r="CCD20" s="188"/>
      <c r="CCE20" s="187"/>
      <c r="CCK20" s="188"/>
      <c r="CCL20" s="187"/>
      <c r="CCR20" s="188"/>
      <c r="CCS20" s="187"/>
      <c r="CCY20" s="188"/>
      <c r="CCZ20" s="187"/>
      <c r="CDD20" s="168"/>
      <c r="CDE20" s="189"/>
      <c r="CDF20" s="188"/>
      <c r="CDG20" s="187"/>
      <c r="CDM20" s="188"/>
      <c r="CDN20" s="187"/>
      <c r="CDT20" s="188"/>
      <c r="CDU20" s="187"/>
      <c r="CEA20" s="188"/>
      <c r="CEB20" s="187"/>
      <c r="CEH20" s="168"/>
      <c r="CEI20" s="189"/>
      <c r="CEO20" s="188"/>
      <c r="CEP20" s="187"/>
      <c r="CEV20" s="188"/>
      <c r="CEW20" s="187"/>
      <c r="CFC20" s="188"/>
      <c r="CFD20" s="187"/>
      <c r="CFJ20" s="188"/>
      <c r="CFK20" s="187"/>
    </row>
    <row r="21" spans="1:1019 1025:2048 2054:2195">
      <c r="A21" s="164" t="s">
        <v>266</v>
      </c>
      <c r="C21" s="164" t="s">
        <v>267</v>
      </c>
      <c r="D21" s="186"/>
      <c r="E21" s="186"/>
      <c r="K21" s="187"/>
      <c r="Q21" s="188"/>
      <c r="R21" s="187"/>
      <c r="X21" s="188"/>
      <c r="Y21" s="187"/>
      <c r="AE21" s="188"/>
      <c r="AF21" s="187"/>
      <c r="AJ21" s="168"/>
      <c r="AK21" s="189"/>
      <c r="AL21" s="188"/>
      <c r="AM21" s="187"/>
      <c r="AS21" s="188"/>
      <c r="AT21" s="187"/>
      <c r="AZ21" s="188"/>
      <c r="BA21" s="187"/>
      <c r="BG21" s="188"/>
      <c r="BH21" s="187"/>
      <c r="BL21" s="168"/>
      <c r="BM21" s="189"/>
      <c r="BN21" s="188"/>
      <c r="BO21" s="187"/>
      <c r="BU21" s="188"/>
      <c r="BV21" s="187"/>
      <c r="CB21" s="188"/>
      <c r="CC21" s="187"/>
      <c r="CI21" s="188"/>
      <c r="CJ21" s="187"/>
      <c r="CP21" s="188"/>
      <c r="CQ21" s="190"/>
      <c r="CR21" s="189"/>
      <c r="CW21" s="188"/>
      <c r="CX21" s="187"/>
      <c r="DD21" s="188"/>
      <c r="DE21" s="187"/>
      <c r="DK21" s="188"/>
      <c r="DL21" s="187"/>
      <c r="DR21" s="188"/>
      <c r="DS21" s="187"/>
      <c r="DU21" s="168"/>
      <c r="DV21" s="189"/>
      <c r="DY21" s="188"/>
      <c r="DZ21" s="187"/>
      <c r="EF21" s="188"/>
      <c r="EG21" s="187"/>
      <c r="EM21" s="188"/>
      <c r="EN21" s="187"/>
      <c r="ET21" s="188"/>
      <c r="EU21" s="187"/>
      <c r="EZ21" s="168"/>
      <c r="FA21" s="191"/>
      <c r="FB21" s="187"/>
      <c r="FH21" s="188"/>
      <c r="FI21" s="187"/>
      <c r="FO21" s="188"/>
      <c r="FP21" s="187"/>
      <c r="FV21" s="188"/>
      <c r="FW21" s="187"/>
      <c r="GC21" s="188"/>
      <c r="GD21" s="190"/>
      <c r="GE21" s="189"/>
      <c r="GJ21" s="188"/>
      <c r="GK21" s="187"/>
      <c r="GQ21" s="188"/>
      <c r="GR21" s="187"/>
      <c r="GX21" s="188"/>
      <c r="GY21" s="187"/>
      <c r="HE21" s="188"/>
      <c r="HF21" s="187"/>
      <c r="HI21" s="168"/>
      <c r="HJ21" s="189"/>
      <c r="HL21" s="188"/>
      <c r="HM21" s="187"/>
      <c r="HS21" s="188"/>
      <c r="HT21" s="187"/>
      <c r="HZ21" s="188"/>
      <c r="IA21" s="187"/>
      <c r="IG21" s="188"/>
      <c r="IH21" s="187"/>
      <c r="IN21" s="168"/>
      <c r="IO21" s="189"/>
      <c r="IU21" s="188"/>
      <c r="IV21" s="187"/>
      <c r="JB21" s="188"/>
      <c r="JC21" s="187"/>
      <c r="JI21" s="188"/>
      <c r="JJ21" s="187"/>
      <c r="JP21" s="188"/>
      <c r="JQ21" s="187"/>
      <c r="JR21" s="168"/>
      <c r="JS21" s="189"/>
      <c r="JW21" s="188"/>
      <c r="JX21" s="187"/>
      <c r="KD21" s="188"/>
      <c r="KE21" s="187"/>
      <c r="KK21" s="188"/>
      <c r="KL21" s="187"/>
      <c r="KR21" s="188"/>
      <c r="KS21" s="187"/>
      <c r="KW21" s="168"/>
      <c r="KX21" s="189"/>
      <c r="KY21" s="188"/>
      <c r="KZ21" s="187"/>
      <c r="LF21" s="188"/>
      <c r="LG21" s="187"/>
      <c r="LM21" s="188"/>
      <c r="LN21" s="187"/>
      <c r="LT21" s="188"/>
      <c r="LU21" s="187"/>
      <c r="MA21" s="168"/>
      <c r="MB21" s="189"/>
      <c r="MH21" s="188"/>
      <c r="MI21" s="187"/>
      <c r="MO21" s="188"/>
      <c r="MP21" s="187"/>
      <c r="MV21" s="188"/>
      <c r="MW21" s="187"/>
      <c r="NC21" s="188"/>
      <c r="ND21" s="187"/>
      <c r="NF21" s="168"/>
      <c r="NG21" s="189"/>
      <c r="NJ21" s="188"/>
      <c r="NK21" s="187"/>
      <c r="NQ21" s="188"/>
      <c r="NR21" s="187"/>
      <c r="NX21" s="188"/>
      <c r="NY21" s="187"/>
      <c r="OE21" s="188"/>
      <c r="OF21" s="187"/>
      <c r="OK21" s="168"/>
      <c r="OL21" s="191"/>
      <c r="OM21" s="187"/>
      <c r="OS21" s="188"/>
      <c r="OT21" s="187"/>
      <c r="OZ21" s="188"/>
      <c r="PA21" s="187"/>
      <c r="PG21" s="188"/>
      <c r="PH21" s="187"/>
      <c r="PN21" s="168"/>
      <c r="PO21" s="189"/>
      <c r="PU21" s="188"/>
      <c r="PV21" s="187"/>
      <c r="QB21" s="188"/>
      <c r="QC21" s="187"/>
      <c r="QI21" s="188"/>
      <c r="QJ21" s="187"/>
      <c r="QP21" s="188"/>
      <c r="QQ21" s="187"/>
      <c r="QS21" s="168"/>
      <c r="QT21" s="189"/>
      <c r="QW21" s="188"/>
      <c r="QX21" s="187"/>
      <c r="RD21" s="188"/>
      <c r="RE21" s="187"/>
      <c r="RK21" s="188"/>
      <c r="RL21" s="187"/>
      <c r="RR21" s="188"/>
      <c r="RS21" s="187"/>
      <c r="RW21" s="168"/>
      <c r="RX21" s="189"/>
      <c r="RY21" s="188"/>
      <c r="RZ21" s="187"/>
      <c r="SF21" s="188"/>
      <c r="SG21" s="187"/>
      <c r="SM21" s="188"/>
      <c r="SN21" s="187"/>
      <c r="ST21" s="188"/>
      <c r="SU21" s="187"/>
      <c r="TA21" s="188"/>
      <c r="TB21" s="190"/>
      <c r="TC21" s="189"/>
      <c r="TH21" s="188"/>
      <c r="TI21" s="187"/>
      <c r="TO21" s="188"/>
      <c r="TP21" s="187"/>
      <c r="TV21" s="188"/>
      <c r="TW21" s="187"/>
      <c r="UC21" s="188"/>
      <c r="UD21" s="187"/>
      <c r="UF21" s="168"/>
      <c r="UG21" s="189"/>
      <c r="UJ21" s="188"/>
      <c r="UK21" s="187"/>
      <c r="UQ21" s="188"/>
      <c r="UR21" s="187"/>
      <c r="UX21" s="188"/>
      <c r="UY21" s="187"/>
      <c r="VE21" s="188"/>
      <c r="VF21" s="187"/>
      <c r="VK21" s="168"/>
      <c r="VL21" s="191"/>
      <c r="VM21" s="187"/>
      <c r="VS21" s="188"/>
      <c r="VT21" s="187"/>
      <c r="VZ21" s="188"/>
      <c r="WA21" s="187"/>
      <c r="WG21" s="188"/>
      <c r="WH21" s="187"/>
      <c r="WN21" s="188"/>
      <c r="WO21" s="187"/>
      <c r="WP21" s="168"/>
      <c r="WQ21" s="189"/>
      <c r="WU21" s="188"/>
      <c r="WV21" s="187"/>
      <c r="XB21" s="188"/>
      <c r="XC21" s="187"/>
      <c r="XI21" s="188"/>
      <c r="XJ21" s="187"/>
      <c r="XP21" s="188"/>
      <c r="XQ21" s="187"/>
      <c r="XT21" s="168"/>
      <c r="XU21" s="189"/>
      <c r="XW21" s="188"/>
      <c r="XX21" s="187"/>
      <c r="YD21" s="188"/>
      <c r="YE21" s="187"/>
      <c r="YK21" s="188"/>
      <c r="YL21" s="187"/>
      <c r="YR21" s="188"/>
      <c r="YS21" s="187"/>
      <c r="YY21" s="168"/>
      <c r="YZ21" s="189"/>
      <c r="ZF21" s="188"/>
      <c r="ZG21" s="187"/>
      <c r="ZM21" s="188"/>
      <c r="ZN21" s="187"/>
      <c r="ZT21" s="188"/>
      <c r="ZU21" s="187"/>
      <c r="AAA21" s="188"/>
      <c r="AAB21" s="187"/>
      <c r="AAC21" s="168"/>
      <c r="AAD21" s="189"/>
      <c r="AAH21" s="188"/>
      <c r="AAI21" s="187"/>
      <c r="AAO21" s="188"/>
      <c r="AAP21" s="187"/>
      <c r="AAV21" s="188"/>
      <c r="AAW21" s="187"/>
      <c r="ABC21" s="188"/>
      <c r="ABD21" s="187"/>
      <c r="ABH21" s="168"/>
      <c r="ABI21" s="189"/>
      <c r="ABJ21" s="188"/>
      <c r="ABK21" s="187"/>
      <c r="ABQ21" s="188"/>
      <c r="ABR21" s="187"/>
      <c r="ABX21" s="188"/>
      <c r="ABY21" s="187"/>
      <c r="ACE21" s="188"/>
      <c r="ACF21" s="187"/>
      <c r="ACL21" s="188"/>
      <c r="ACM21" s="190"/>
      <c r="ACN21" s="189"/>
      <c r="ACS21" s="188"/>
      <c r="ACT21" s="187"/>
      <c r="ACZ21" s="188"/>
      <c r="ADA21" s="187"/>
      <c r="ADG21" s="188"/>
      <c r="ADH21" s="187"/>
      <c r="ADN21" s="188"/>
      <c r="ADO21" s="190"/>
      <c r="ADP21" s="189"/>
      <c r="ADU21" s="188"/>
      <c r="ADV21" s="187"/>
      <c r="AEB21" s="188"/>
      <c r="AEC21" s="187"/>
      <c r="AEI21" s="188"/>
      <c r="AEJ21" s="187"/>
      <c r="AEP21" s="188"/>
      <c r="AEQ21" s="187"/>
      <c r="AET21" s="168"/>
      <c r="AEU21" s="189"/>
      <c r="AEW21" s="188"/>
      <c r="AEX21" s="187"/>
      <c r="AFD21" s="188"/>
      <c r="AFE21" s="187"/>
      <c r="AFK21" s="188"/>
      <c r="AFL21" s="187"/>
      <c r="AFR21" s="188"/>
      <c r="AFS21" s="187"/>
      <c r="AFX21" s="168"/>
      <c r="AFY21" s="191"/>
      <c r="AFZ21" s="187"/>
      <c r="AGF21" s="188"/>
      <c r="AGG21" s="187"/>
      <c r="AGM21" s="188"/>
      <c r="AGN21" s="187"/>
      <c r="AGT21" s="188"/>
      <c r="AGU21" s="187"/>
      <c r="AHA21" s="188"/>
      <c r="AHB21" s="187"/>
      <c r="AHC21" s="168"/>
      <c r="AHD21" s="189"/>
      <c r="AHH21" s="188"/>
      <c r="AHI21" s="187"/>
      <c r="AHO21" s="188"/>
      <c r="AHP21" s="187"/>
      <c r="AHV21" s="188"/>
      <c r="AHW21" s="187"/>
      <c r="AIC21" s="188"/>
      <c r="AID21" s="187"/>
      <c r="AIG21" s="168"/>
      <c r="AIH21" s="189"/>
      <c r="AIJ21" s="188"/>
      <c r="AIK21" s="187"/>
      <c r="AIQ21" s="188"/>
      <c r="AIR21" s="187"/>
      <c r="AIX21" s="188"/>
      <c r="AIY21" s="187"/>
      <c r="AJE21" s="188"/>
      <c r="AJF21" s="187"/>
      <c r="AJL21" s="168"/>
      <c r="AJM21" s="189"/>
      <c r="AJS21" s="188"/>
      <c r="AJT21" s="187"/>
      <c r="AJZ21" s="188"/>
      <c r="AKA21" s="187"/>
      <c r="AKG21" s="188"/>
      <c r="AKH21" s="187"/>
      <c r="AKN21" s="188"/>
      <c r="AKO21" s="187"/>
      <c r="AKQ21" s="168"/>
      <c r="AKR21" s="189"/>
      <c r="AKU21" s="188"/>
      <c r="AKV21" s="187"/>
      <c r="ALB21" s="188"/>
      <c r="ALC21" s="187"/>
      <c r="ALI21" s="188"/>
      <c r="ALJ21" s="187"/>
      <c r="ALP21" s="188"/>
      <c r="ALQ21" s="187"/>
      <c r="ALU21" s="168"/>
      <c r="ALV21" s="189"/>
      <c r="ALW21" s="188"/>
      <c r="ALX21" s="187"/>
      <c r="AMD21" s="188"/>
      <c r="AME21" s="187"/>
      <c r="AMK21" s="188"/>
      <c r="AML21" s="187"/>
      <c r="AMR21" s="188"/>
      <c r="AMS21" s="187"/>
      <c r="AMY21" s="188"/>
      <c r="AMZ21" s="190"/>
      <c r="ANA21" s="189"/>
      <c r="ANF21" s="188"/>
      <c r="ANG21" s="187"/>
      <c r="ANM21" s="188"/>
      <c r="ANN21" s="187"/>
      <c r="ANT21" s="188"/>
      <c r="ANU21" s="187"/>
      <c r="AOA21" s="188"/>
      <c r="AOB21" s="187"/>
      <c r="AOD21" s="168"/>
      <c r="AOE21" s="189"/>
      <c r="AOH21" s="188"/>
      <c r="AOI21" s="187"/>
      <c r="AOO21" s="188"/>
      <c r="AOP21" s="187"/>
      <c r="AOV21" s="188"/>
      <c r="AOW21" s="187"/>
      <c r="APC21" s="188"/>
      <c r="APD21" s="187"/>
      <c r="API21" s="168"/>
      <c r="APJ21" s="191"/>
      <c r="APK21" s="187"/>
      <c r="APQ21" s="188"/>
      <c r="APR21" s="187"/>
      <c r="APX21" s="188"/>
      <c r="APY21" s="187"/>
      <c r="AQE21" s="188"/>
      <c r="AQF21" s="187"/>
      <c r="AQL21" s="188"/>
      <c r="AQM21" s="187"/>
      <c r="AQN21" s="168"/>
      <c r="AQO21" s="189"/>
      <c r="AQS21" s="188"/>
      <c r="AQT21" s="187"/>
      <c r="AQZ21" s="188"/>
      <c r="ARA21" s="187"/>
      <c r="ARG21" s="188"/>
      <c r="ARH21" s="187"/>
      <c r="ARN21" s="188"/>
      <c r="ARO21" s="187"/>
      <c r="ARP21" s="168"/>
      <c r="ARQ21" s="189"/>
      <c r="ARU21" s="188"/>
      <c r="ARV21" s="187"/>
      <c r="ASB21" s="188"/>
      <c r="ASC21" s="187"/>
      <c r="ASI21" s="188"/>
      <c r="ASJ21" s="187"/>
      <c r="ASP21" s="188"/>
      <c r="ASQ21" s="187"/>
      <c r="ASU21" s="168"/>
      <c r="ASV21" s="189"/>
      <c r="ASW21" s="188"/>
      <c r="ASX21" s="187"/>
      <c r="ATD21" s="188"/>
      <c r="ATE21" s="187"/>
      <c r="ATK21" s="188"/>
      <c r="ATL21" s="187"/>
      <c r="ATR21" s="188"/>
      <c r="ATS21" s="187"/>
      <c r="ATY21" s="168"/>
      <c r="ATZ21" s="189"/>
      <c r="AUF21" s="188"/>
      <c r="AUG21" s="187"/>
      <c r="AUM21" s="188"/>
      <c r="AUN21" s="187"/>
      <c r="AUT21" s="188"/>
      <c r="AUU21" s="187"/>
      <c r="AVA21" s="188"/>
      <c r="AVB21" s="187"/>
      <c r="AVD21" s="168"/>
      <c r="AVE21" s="189"/>
      <c r="AVH21" s="188"/>
      <c r="AVI21" s="187"/>
      <c r="AVO21" s="188"/>
      <c r="AVP21" s="187"/>
      <c r="AVV21" s="188"/>
      <c r="AVW21" s="187"/>
      <c r="AWC21" s="188"/>
      <c r="AWD21" s="187"/>
      <c r="AWH21" s="168"/>
      <c r="AWI21" s="189"/>
      <c r="AWJ21" s="188"/>
      <c r="AWK21" s="187"/>
      <c r="AWQ21" s="188"/>
      <c r="AWR21" s="187"/>
      <c r="AWX21" s="188"/>
      <c r="AWY21" s="187"/>
      <c r="AXE21" s="188"/>
      <c r="AXF21" s="187"/>
      <c r="AXL21" s="188"/>
      <c r="AXM21" s="190"/>
      <c r="AXN21" s="189"/>
      <c r="AXS21" s="188"/>
      <c r="AXT21" s="187"/>
      <c r="AXZ21" s="188"/>
      <c r="AYA21" s="187"/>
      <c r="AYG21" s="188"/>
      <c r="AYH21" s="187"/>
      <c r="AYN21" s="188"/>
      <c r="AYO21" s="187"/>
      <c r="AYR21" s="168"/>
      <c r="AYS21" s="189"/>
      <c r="AYU21" s="188"/>
      <c r="AYV21" s="187"/>
      <c r="AZB21" s="188"/>
      <c r="AZC21" s="187"/>
      <c r="AZI21" s="188"/>
      <c r="AZJ21" s="187"/>
      <c r="AZP21" s="188"/>
      <c r="AZQ21" s="187"/>
      <c r="AZV21" s="168"/>
      <c r="AZW21" s="191"/>
      <c r="AZX21" s="187"/>
      <c r="BAD21" s="188"/>
      <c r="BAE21" s="187"/>
      <c r="BAK21" s="188"/>
      <c r="BAL21" s="187"/>
      <c r="BAR21" s="188"/>
      <c r="BAS21" s="187"/>
      <c r="BAY21" s="188"/>
      <c r="BAZ21" s="187"/>
      <c r="BBA21" s="168"/>
      <c r="BBB21" s="189"/>
      <c r="BBF21" s="188"/>
      <c r="BBG21" s="187"/>
      <c r="BBM21" s="188"/>
      <c r="BBN21" s="187"/>
      <c r="BBT21" s="188"/>
      <c r="BBU21" s="187"/>
      <c r="BCA21" s="188"/>
      <c r="BCB21" s="187"/>
      <c r="BCE21" s="168"/>
      <c r="BCF21" s="189"/>
      <c r="BCH21" s="188"/>
      <c r="BCI21" s="187"/>
      <c r="BCO21" s="188"/>
      <c r="BCP21" s="187"/>
      <c r="BCV21" s="188"/>
      <c r="BCW21" s="187"/>
      <c r="BDC21" s="188"/>
      <c r="BDD21" s="187"/>
      <c r="BDJ21" s="168"/>
      <c r="BDK21" s="189"/>
      <c r="BDQ21" s="188"/>
      <c r="BDR21" s="187"/>
      <c r="BDX21" s="188"/>
      <c r="BDY21" s="187"/>
      <c r="BEE21" s="188"/>
      <c r="BEF21" s="187"/>
      <c r="BEL21" s="188"/>
      <c r="BEM21" s="187"/>
      <c r="BEO21" s="168"/>
      <c r="BEP21" s="189"/>
      <c r="BES21" s="188"/>
      <c r="BET21" s="187"/>
      <c r="BEZ21" s="188"/>
      <c r="BFA21" s="187"/>
      <c r="BFG21" s="188"/>
      <c r="BFH21" s="187"/>
      <c r="BFN21" s="188"/>
      <c r="BFO21" s="187"/>
      <c r="BFQ21" s="168"/>
      <c r="BFR21" s="189"/>
      <c r="BFU21" s="188"/>
      <c r="BFV21" s="187"/>
      <c r="BGB21" s="188"/>
      <c r="BGC21" s="187"/>
      <c r="BGI21" s="188"/>
      <c r="BGJ21" s="187"/>
      <c r="BGP21" s="188"/>
      <c r="BGQ21" s="187"/>
      <c r="BGV21" s="168"/>
      <c r="BGW21" s="191"/>
      <c r="BGX21" s="187"/>
      <c r="BHD21" s="188"/>
      <c r="BHE21" s="187"/>
      <c r="BHK21" s="188"/>
      <c r="BHL21" s="187"/>
      <c r="BHR21" s="188"/>
      <c r="BHS21" s="187"/>
      <c r="BHY21" s="188"/>
      <c r="BHZ21" s="190"/>
      <c r="BIA21" s="189"/>
      <c r="BIF21" s="188"/>
      <c r="BIG21" s="187"/>
      <c r="BIM21" s="188"/>
      <c r="BIN21" s="187"/>
      <c r="BIT21" s="188"/>
      <c r="BIU21" s="187"/>
      <c r="BJA21" s="188"/>
      <c r="BJB21" s="187"/>
      <c r="BJE21" s="168"/>
      <c r="BJF21" s="189"/>
      <c r="BJH21" s="188"/>
      <c r="BJI21" s="187"/>
      <c r="BJO21" s="188"/>
      <c r="BJP21" s="187"/>
      <c r="BJV21" s="188"/>
      <c r="BJW21" s="187"/>
      <c r="BKC21" s="188"/>
      <c r="BKD21" s="187"/>
      <c r="BKI21" s="168"/>
      <c r="BKJ21" s="191"/>
      <c r="BKK21" s="187"/>
      <c r="BKQ21" s="188"/>
      <c r="BKR21" s="187"/>
      <c r="BKX21" s="188"/>
      <c r="BKY21" s="187"/>
      <c r="BLE21" s="188"/>
      <c r="BLF21" s="187"/>
      <c r="BLL21" s="188"/>
      <c r="BLM21" s="187"/>
      <c r="BLN21" s="168"/>
      <c r="BLO21" s="189"/>
      <c r="BLS21" s="188"/>
      <c r="BLT21" s="187"/>
      <c r="BLZ21" s="188"/>
      <c r="BMA21" s="187"/>
      <c r="BMG21" s="188"/>
      <c r="BMH21" s="187"/>
      <c r="BMN21" s="188"/>
      <c r="BMO21" s="187"/>
      <c r="BMS21" s="168"/>
      <c r="BMT21" s="189"/>
      <c r="BMU21" s="188"/>
      <c r="BMV21" s="187"/>
      <c r="BNB21" s="188"/>
      <c r="BNC21" s="187"/>
      <c r="BNI21" s="188"/>
      <c r="BNJ21" s="187"/>
      <c r="BNP21" s="188"/>
      <c r="BNQ21" s="187"/>
      <c r="BNW21" s="168"/>
      <c r="BNX21" s="189"/>
      <c r="BOD21" s="188"/>
      <c r="BOE21" s="187"/>
      <c r="BOK21" s="188"/>
      <c r="BOL21" s="187"/>
      <c r="BOR21" s="188"/>
      <c r="BOS21" s="187"/>
      <c r="BOY21" s="188"/>
      <c r="BOZ21" s="187"/>
      <c r="BPB21" s="168"/>
      <c r="BPC21" s="189"/>
      <c r="BPF21" s="188"/>
      <c r="BPG21" s="187"/>
      <c r="BPM21" s="188"/>
      <c r="BPN21" s="187"/>
      <c r="BPT21" s="188"/>
      <c r="BPU21" s="187"/>
      <c r="BQA21" s="188"/>
      <c r="BQB21" s="187"/>
      <c r="BQF21" s="168"/>
      <c r="BQG21" s="189"/>
      <c r="BQH21" s="188"/>
      <c r="BQI21" s="187"/>
      <c r="BQO21" s="188"/>
      <c r="BQP21" s="187"/>
      <c r="BQV21" s="188"/>
      <c r="BQW21" s="187"/>
      <c r="BRC21" s="188"/>
      <c r="BRD21" s="187"/>
      <c r="BRJ21" s="188"/>
      <c r="BRK21" s="190"/>
      <c r="BRL21" s="189"/>
      <c r="BRQ21" s="188"/>
      <c r="BRR21" s="187"/>
      <c r="BRX21" s="188"/>
      <c r="BRY21" s="187"/>
      <c r="BSE21" s="188"/>
      <c r="BSF21" s="187"/>
      <c r="BSL21" s="188"/>
      <c r="BSM21" s="187"/>
      <c r="BSP21" s="168"/>
      <c r="BSQ21" s="189"/>
      <c r="BSS21" s="188"/>
      <c r="BST21" s="187"/>
      <c r="BSZ21" s="188"/>
      <c r="BTA21" s="187"/>
      <c r="BTG21" s="188"/>
      <c r="BTH21" s="187"/>
      <c r="BTN21" s="188"/>
      <c r="BTO21" s="187"/>
      <c r="BTS21" s="168"/>
      <c r="BTT21" s="189"/>
      <c r="BTU21" s="188"/>
      <c r="BTV21" s="187"/>
      <c r="BUB21" s="188"/>
      <c r="BUC21" s="187"/>
      <c r="BUI21" s="188"/>
      <c r="BUJ21" s="187"/>
      <c r="BUP21" s="188"/>
      <c r="BUQ21" s="187"/>
      <c r="BUW21" s="188"/>
      <c r="BUX21" s="190"/>
      <c r="BUY21" s="189"/>
      <c r="BVD21" s="188"/>
      <c r="BVE21" s="187"/>
      <c r="BVK21" s="188"/>
      <c r="BVL21" s="187"/>
      <c r="BVR21" s="188"/>
      <c r="BVS21" s="187"/>
      <c r="BVY21" s="188"/>
      <c r="BVZ21" s="187"/>
      <c r="BWB21" s="168"/>
      <c r="BWC21" s="189"/>
      <c r="BWF21" s="188"/>
      <c r="BWG21" s="187"/>
      <c r="BWM21" s="188"/>
      <c r="BWN21" s="187"/>
      <c r="BWT21" s="188"/>
      <c r="BWU21" s="187"/>
      <c r="BXA21" s="188"/>
      <c r="BXB21" s="187"/>
      <c r="BXG21" s="168"/>
      <c r="BXH21" s="191"/>
      <c r="BXI21" s="187"/>
      <c r="BXO21" s="188"/>
      <c r="BXP21" s="187"/>
      <c r="BXV21" s="188"/>
      <c r="BXW21" s="187"/>
      <c r="BYC21" s="188"/>
      <c r="BYD21" s="187"/>
      <c r="BYJ21" s="188"/>
      <c r="BYK21" s="190"/>
      <c r="BYL21" s="189"/>
      <c r="BYQ21" s="188"/>
      <c r="BYR21" s="187"/>
      <c r="BYX21" s="188"/>
      <c r="BYY21" s="187"/>
      <c r="BZE21" s="188"/>
      <c r="BZF21" s="187"/>
      <c r="BZL21" s="188"/>
      <c r="BZM21" s="187"/>
      <c r="BZP21" s="168"/>
      <c r="BZQ21" s="189"/>
      <c r="BZS21" s="188"/>
      <c r="BZT21" s="187"/>
      <c r="BZZ21" s="188"/>
      <c r="CAA21" s="187"/>
      <c r="CAG21" s="188"/>
      <c r="CAH21" s="187"/>
      <c r="CAN21" s="188"/>
      <c r="CAO21" s="187"/>
      <c r="CAU21" s="168"/>
      <c r="CAV21" s="189"/>
      <c r="CBB21" s="188"/>
      <c r="CBC21" s="187"/>
      <c r="CBI21" s="188"/>
      <c r="CBJ21" s="187"/>
      <c r="CBP21" s="188"/>
      <c r="CBQ21" s="187"/>
      <c r="CBW21" s="188"/>
      <c r="CBX21" s="187"/>
      <c r="CBY21" s="168"/>
      <c r="CBZ21" s="189"/>
      <c r="CCD21" s="188"/>
      <c r="CCE21" s="187"/>
      <c r="CCK21" s="188"/>
      <c r="CCL21" s="187"/>
      <c r="CCR21" s="188"/>
      <c r="CCS21" s="187"/>
      <c r="CCY21" s="188"/>
      <c r="CCZ21" s="187"/>
      <c r="CDD21" s="168"/>
      <c r="CDE21" s="189"/>
      <c r="CDF21" s="188"/>
      <c r="CDG21" s="187"/>
      <c r="CDM21" s="188"/>
      <c r="CDN21" s="187"/>
      <c r="CDT21" s="188"/>
      <c r="CDU21" s="187"/>
      <c r="CEA21" s="188"/>
      <c r="CEB21" s="187"/>
      <c r="CEH21" s="168"/>
      <c r="CEI21" s="189"/>
      <c r="CEO21" s="188"/>
      <c r="CEP21" s="187"/>
      <c r="CEV21" s="188"/>
      <c r="CEW21" s="187"/>
      <c r="CFC21" s="188"/>
      <c r="CFD21" s="187"/>
      <c r="CFJ21" s="188"/>
      <c r="CFK21" s="187"/>
    </row>
    <row r="22" spans="1:1019 1025:2048 2054:2195">
      <c r="A22" s="164" t="s">
        <v>268</v>
      </c>
      <c r="C22" s="164" t="s">
        <v>269</v>
      </c>
      <c r="D22" s="186"/>
      <c r="E22" s="186"/>
      <c r="K22" s="187"/>
      <c r="Q22" s="188"/>
      <c r="R22" s="187"/>
      <c r="X22" s="188"/>
      <c r="Y22" s="187"/>
      <c r="AE22" s="188"/>
      <c r="AF22" s="187"/>
      <c r="AJ22" s="168"/>
      <c r="AK22" s="189"/>
      <c r="AL22" s="188"/>
      <c r="AM22" s="187"/>
      <c r="AS22" s="188"/>
      <c r="AT22" s="187"/>
      <c r="AZ22" s="188"/>
      <c r="BA22" s="187"/>
      <c r="BG22" s="188"/>
      <c r="BH22" s="187"/>
      <c r="BL22" s="168"/>
      <c r="BM22" s="189"/>
      <c r="BN22" s="188"/>
      <c r="BO22" s="187"/>
      <c r="BU22" s="188"/>
      <c r="BV22" s="187"/>
      <c r="CB22" s="188"/>
      <c r="CC22" s="187"/>
      <c r="CI22" s="188"/>
      <c r="CJ22" s="187"/>
      <c r="CP22" s="188"/>
      <c r="CQ22" s="190"/>
      <c r="CR22" s="189"/>
      <c r="CW22" s="188"/>
      <c r="CX22" s="187"/>
      <c r="DD22" s="188"/>
      <c r="DE22" s="187"/>
      <c r="DK22" s="188"/>
      <c r="DL22" s="187"/>
      <c r="DR22" s="188"/>
      <c r="DS22" s="187"/>
      <c r="DU22" s="168"/>
      <c r="DV22" s="189"/>
      <c r="DY22" s="188"/>
      <c r="DZ22" s="187"/>
      <c r="EF22" s="188"/>
      <c r="EG22" s="187"/>
      <c r="EM22" s="188"/>
      <c r="EN22" s="187"/>
      <c r="ET22" s="188"/>
      <c r="EU22" s="187"/>
      <c r="EZ22" s="168"/>
      <c r="FA22" s="191"/>
      <c r="FB22" s="187"/>
      <c r="FH22" s="188"/>
      <c r="FI22" s="187"/>
      <c r="FO22" s="188"/>
      <c r="FP22" s="187"/>
      <c r="FV22" s="188"/>
      <c r="FW22" s="187"/>
      <c r="GC22" s="188"/>
      <c r="GD22" s="190"/>
      <c r="GE22" s="189"/>
      <c r="GJ22" s="188"/>
      <c r="GK22" s="187"/>
      <c r="GQ22" s="188"/>
      <c r="GR22" s="187"/>
      <c r="GX22" s="188"/>
      <c r="GY22" s="187"/>
      <c r="HE22" s="188"/>
      <c r="HF22" s="187"/>
      <c r="HI22" s="168"/>
      <c r="HJ22" s="189"/>
      <c r="HL22" s="188"/>
      <c r="HM22" s="187"/>
      <c r="HS22" s="188"/>
      <c r="HT22" s="187"/>
      <c r="HZ22" s="188"/>
      <c r="IA22" s="187"/>
      <c r="IG22" s="188"/>
      <c r="IH22" s="187"/>
      <c r="IN22" s="168"/>
      <c r="IO22" s="189"/>
      <c r="IU22" s="188"/>
      <c r="IV22" s="187"/>
      <c r="JB22" s="188"/>
      <c r="JC22" s="187"/>
      <c r="JI22" s="188"/>
      <c r="JJ22" s="187"/>
      <c r="JP22" s="188"/>
      <c r="JQ22" s="187"/>
      <c r="JR22" s="168"/>
      <c r="JS22" s="189"/>
      <c r="JW22" s="188"/>
      <c r="JX22" s="187"/>
      <c r="KD22" s="188"/>
      <c r="KE22" s="187"/>
      <c r="KK22" s="188"/>
      <c r="KL22" s="187"/>
      <c r="KR22" s="188"/>
      <c r="KS22" s="187"/>
      <c r="KW22" s="168"/>
      <c r="KX22" s="189"/>
      <c r="KY22" s="188"/>
      <c r="KZ22" s="187"/>
      <c r="LF22" s="188"/>
      <c r="LG22" s="187"/>
      <c r="LM22" s="188"/>
      <c r="LN22" s="187"/>
      <c r="LT22" s="188"/>
      <c r="LU22" s="187"/>
      <c r="MA22" s="168"/>
      <c r="MB22" s="189"/>
      <c r="MH22" s="188"/>
      <c r="MI22" s="187"/>
      <c r="MO22" s="188"/>
      <c r="MP22" s="187"/>
      <c r="MV22" s="188"/>
      <c r="MW22" s="187"/>
      <c r="NC22" s="188"/>
      <c r="ND22" s="187"/>
      <c r="NF22" s="168"/>
      <c r="NG22" s="189"/>
      <c r="NJ22" s="188"/>
      <c r="NK22" s="187"/>
      <c r="NQ22" s="188"/>
      <c r="NR22" s="187"/>
      <c r="NX22" s="188"/>
      <c r="NY22" s="187"/>
      <c r="OE22" s="188"/>
      <c r="OF22" s="187"/>
      <c r="OK22" s="168"/>
      <c r="OL22" s="191"/>
      <c r="OM22" s="187"/>
      <c r="OS22" s="188"/>
      <c r="OT22" s="187"/>
      <c r="OZ22" s="188"/>
      <c r="PA22" s="187"/>
      <c r="PG22" s="188"/>
      <c r="PH22" s="187"/>
      <c r="PN22" s="168"/>
      <c r="PO22" s="189"/>
      <c r="PU22" s="188"/>
      <c r="PV22" s="187"/>
      <c r="QB22" s="188"/>
      <c r="QC22" s="187"/>
      <c r="QI22" s="188"/>
      <c r="QJ22" s="187"/>
      <c r="QP22" s="188"/>
      <c r="QQ22" s="187"/>
      <c r="QS22" s="168"/>
      <c r="QT22" s="189"/>
      <c r="QW22" s="188"/>
      <c r="QX22" s="187"/>
      <c r="RD22" s="188"/>
      <c r="RE22" s="187"/>
      <c r="RK22" s="188"/>
      <c r="RL22" s="187"/>
      <c r="RR22" s="188"/>
      <c r="RS22" s="187"/>
      <c r="RW22" s="168"/>
      <c r="RX22" s="189"/>
      <c r="RY22" s="188"/>
      <c r="RZ22" s="187"/>
      <c r="SF22" s="188"/>
      <c r="SG22" s="187"/>
      <c r="SM22" s="188"/>
      <c r="SN22" s="187"/>
      <c r="ST22" s="188"/>
      <c r="SU22" s="187"/>
      <c r="TA22" s="188"/>
      <c r="TB22" s="190"/>
      <c r="TC22" s="189"/>
      <c r="TH22" s="188"/>
      <c r="TI22" s="187"/>
      <c r="TO22" s="188"/>
      <c r="TP22" s="187"/>
      <c r="TV22" s="188"/>
      <c r="TW22" s="187"/>
      <c r="UC22" s="188"/>
      <c r="UD22" s="187"/>
      <c r="UF22" s="168"/>
      <c r="UG22" s="189"/>
      <c r="UJ22" s="188"/>
      <c r="UK22" s="187"/>
      <c r="UQ22" s="188"/>
      <c r="UR22" s="187"/>
      <c r="UX22" s="188"/>
      <c r="UY22" s="187"/>
      <c r="VE22" s="188"/>
      <c r="VF22" s="187"/>
      <c r="VK22" s="168"/>
      <c r="VL22" s="191"/>
      <c r="VM22" s="187"/>
      <c r="VS22" s="188"/>
      <c r="VT22" s="187"/>
      <c r="VZ22" s="188"/>
      <c r="WA22" s="187"/>
      <c r="WG22" s="188"/>
      <c r="WH22" s="187"/>
      <c r="WN22" s="188"/>
      <c r="WO22" s="187"/>
      <c r="WP22" s="168"/>
      <c r="WQ22" s="189"/>
      <c r="WU22" s="188"/>
      <c r="WV22" s="187"/>
      <c r="XB22" s="188"/>
      <c r="XC22" s="187"/>
      <c r="XI22" s="188"/>
      <c r="XJ22" s="187"/>
      <c r="XP22" s="188"/>
      <c r="XQ22" s="187"/>
      <c r="XT22" s="168"/>
      <c r="XU22" s="189"/>
      <c r="XW22" s="188"/>
      <c r="XX22" s="187"/>
      <c r="YD22" s="188"/>
      <c r="YE22" s="187"/>
      <c r="YK22" s="188"/>
      <c r="YL22" s="187"/>
      <c r="YR22" s="188"/>
      <c r="YS22" s="187"/>
      <c r="YY22" s="168"/>
      <c r="YZ22" s="189"/>
      <c r="ZF22" s="188"/>
      <c r="ZG22" s="187"/>
      <c r="ZM22" s="188"/>
      <c r="ZN22" s="187"/>
      <c r="ZT22" s="188"/>
      <c r="ZU22" s="187"/>
      <c r="AAA22" s="188"/>
      <c r="AAB22" s="187"/>
      <c r="AAC22" s="168"/>
      <c r="AAD22" s="189"/>
      <c r="AAH22" s="188"/>
      <c r="AAI22" s="187"/>
      <c r="AAO22" s="188"/>
      <c r="AAP22" s="187"/>
      <c r="AAV22" s="188"/>
      <c r="AAW22" s="187"/>
      <c r="ABC22" s="188"/>
      <c r="ABD22" s="187"/>
      <c r="ABH22" s="168"/>
      <c r="ABI22" s="189"/>
      <c r="ABJ22" s="188"/>
      <c r="ABK22" s="187"/>
      <c r="ABQ22" s="188"/>
      <c r="ABR22" s="187"/>
      <c r="ABX22" s="188"/>
      <c r="ABY22" s="187"/>
      <c r="ACE22" s="188"/>
      <c r="ACF22" s="187"/>
      <c r="ACL22" s="188"/>
      <c r="ACM22" s="190"/>
      <c r="ACN22" s="189"/>
      <c r="ACS22" s="188"/>
      <c r="ACT22" s="187"/>
      <c r="ACZ22" s="188"/>
      <c r="ADA22" s="187"/>
      <c r="ADG22" s="188"/>
      <c r="ADH22" s="187"/>
      <c r="ADN22" s="188"/>
      <c r="ADO22" s="190"/>
      <c r="ADP22" s="189"/>
      <c r="ADU22" s="188"/>
      <c r="ADV22" s="187"/>
      <c r="AEB22" s="188"/>
      <c r="AEC22" s="187"/>
      <c r="AEI22" s="188"/>
      <c r="AEJ22" s="187"/>
      <c r="AEP22" s="188"/>
      <c r="AEQ22" s="187"/>
      <c r="AET22" s="168"/>
      <c r="AEU22" s="189"/>
      <c r="AEW22" s="188"/>
      <c r="AEX22" s="187"/>
      <c r="AFD22" s="188"/>
      <c r="AFE22" s="187"/>
      <c r="AFK22" s="188"/>
      <c r="AFL22" s="187"/>
      <c r="AFR22" s="188"/>
      <c r="AFS22" s="187"/>
      <c r="AFX22" s="168"/>
      <c r="AFY22" s="191"/>
      <c r="AFZ22" s="187"/>
      <c r="AGF22" s="188"/>
      <c r="AGG22" s="187"/>
      <c r="AGM22" s="188"/>
      <c r="AGN22" s="187"/>
      <c r="AGT22" s="188"/>
      <c r="AGU22" s="187"/>
      <c r="AHA22" s="188"/>
      <c r="AHB22" s="187"/>
      <c r="AHC22" s="168"/>
      <c r="AHD22" s="189"/>
      <c r="AHH22" s="188"/>
      <c r="AHI22" s="187"/>
      <c r="AHO22" s="188"/>
      <c r="AHP22" s="187"/>
      <c r="AHV22" s="188"/>
      <c r="AHW22" s="187"/>
      <c r="AIC22" s="188"/>
      <c r="AID22" s="187"/>
      <c r="AIG22" s="168"/>
      <c r="AIH22" s="189"/>
      <c r="AIJ22" s="188"/>
      <c r="AIK22" s="187"/>
      <c r="AIQ22" s="188"/>
      <c r="AIR22" s="187"/>
      <c r="AIX22" s="188"/>
      <c r="AIY22" s="187"/>
      <c r="AJE22" s="188"/>
      <c r="AJF22" s="187"/>
      <c r="AJL22" s="168"/>
      <c r="AJM22" s="189"/>
      <c r="AJS22" s="188"/>
      <c r="AJT22" s="187"/>
      <c r="AJZ22" s="188"/>
      <c r="AKA22" s="187"/>
      <c r="AKG22" s="188"/>
      <c r="AKH22" s="187"/>
      <c r="AKN22" s="188"/>
      <c r="AKO22" s="187"/>
      <c r="AKQ22" s="168"/>
      <c r="AKR22" s="189"/>
      <c r="AKU22" s="188"/>
      <c r="AKV22" s="187"/>
      <c r="ALB22" s="188"/>
      <c r="ALC22" s="187"/>
      <c r="ALI22" s="188"/>
      <c r="ALJ22" s="187"/>
      <c r="ALP22" s="188"/>
      <c r="ALQ22" s="187"/>
      <c r="ALU22" s="168"/>
      <c r="ALV22" s="189"/>
      <c r="ALW22" s="188"/>
      <c r="ALX22" s="187"/>
      <c r="AMD22" s="188"/>
      <c r="AME22" s="187"/>
      <c r="AMK22" s="188"/>
      <c r="AML22" s="187"/>
      <c r="AMR22" s="188"/>
      <c r="AMS22" s="187"/>
      <c r="AMY22" s="188"/>
      <c r="AMZ22" s="190"/>
      <c r="ANA22" s="189"/>
      <c r="ANF22" s="188"/>
      <c r="ANG22" s="187"/>
      <c r="ANM22" s="188"/>
      <c r="ANN22" s="187"/>
      <c r="ANT22" s="188"/>
      <c r="ANU22" s="187"/>
      <c r="AOA22" s="188"/>
      <c r="AOB22" s="187"/>
      <c r="AOD22" s="168"/>
      <c r="AOE22" s="189"/>
      <c r="AOH22" s="188"/>
      <c r="AOI22" s="187"/>
      <c r="AOO22" s="188"/>
      <c r="AOP22" s="187"/>
      <c r="AOV22" s="188"/>
      <c r="AOW22" s="187"/>
      <c r="APC22" s="188"/>
      <c r="APD22" s="187"/>
      <c r="API22" s="168"/>
      <c r="APJ22" s="191"/>
      <c r="APK22" s="187"/>
      <c r="APQ22" s="188"/>
      <c r="APR22" s="187"/>
      <c r="APX22" s="188"/>
      <c r="APY22" s="187"/>
      <c r="AQE22" s="188"/>
      <c r="AQF22" s="187"/>
      <c r="AQL22" s="188"/>
      <c r="AQM22" s="187"/>
      <c r="AQN22" s="168"/>
      <c r="AQO22" s="189"/>
      <c r="AQS22" s="188"/>
      <c r="AQT22" s="187"/>
      <c r="AQZ22" s="188"/>
      <c r="ARA22" s="187"/>
      <c r="ARG22" s="188"/>
      <c r="ARH22" s="187"/>
      <c r="ARN22" s="188"/>
      <c r="ARO22" s="187"/>
      <c r="ARP22" s="168"/>
      <c r="ARQ22" s="189"/>
      <c r="ARU22" s="188"/>
      <c r="ARV22" s="187"/>
      <c r="ASB22" s="188"/>
      <c r="ASC22" s="187"/>
      <c r="ASI22" s="188"/>
      <c r="ASJ22" s="187"/>
      <c r="ASP22" s="188"/>
      <c r="ASQ22" s="187"/>
      <c r="ASU22" s="168"/>
      <c r="ASV22" s="189"/>
      <c r="ASW22" s="188"/>
      <c r="ASX22" s="187"/>
      <c r="ATD22" s="188"/>
      <c r="ATE22" s="187"/>
      <c r="ATK22" s="188"/>
      <c r="ATL22" s="187"/>
      <c r="ATR22" s="188"/>
      <c r="ATS22" s="187"/>
      <c r="ATY22" s="168"/>
      <c r="ATZ22" s="189"/>
      <c r="AUF22" s="188"/>
      <c r="AUG22" s="187"/>
      <c r="AUM22" s="188"/>
      <c r="AUN22" s="187"/>
      <c r="AUT22" s="188"/>
      <c r="AUU22" s="187"/>
      <c r="AVA22" s="188"/>
      <c r="AVB22" s="187"/>
      <c r="AVD22" s="168"/>
      <c r="AVE22" s="189"/>
      <c r="AVH22" s="188"/>
      <c r="AVI22" s="187"/>
      <c r="AVO22" s="188"/>
      <c r="AVP22" s="187"/>
      <c r="AVV22" s="188"/>
      <c r="AVW22" s="187"/>
      <c r="AWC22" s="188"/>
      <c r="AWD22" s="187"/>
      <c r="AWH22" s="168"/>
      <c r="AWI22" s="189"/>
      <c r="AWJ22" s="188"/>
      <c r="AWK22" s="187"/>
      <c r="AWQ22" s="188"/>
      <c r="AWR22" s="187"/>
      <c r="AWX22" s="188"/>
      <c r="AWY22" s="187"/>
      <c r="AXE22" s="188"/>
      <c r="AXF22" s="187"/>
      <c r="AXL22" s="188"/>
      <c r="AXM22" s="190"/>
      <c r="AXN22" s="189"/>
      <c r="AXS22" s="188"/>
      <c r="AXT22" s="187"/>
      <c r="AXZ22" s="188"/>
      <c r="AYA22" s="187"/>
      <c r="AYG22" s="188"/>
      <c r="AYH22" s="187"/>
      <c r="AYN22" s="188"/>
      <c r="AYO22" s="187"/>
      <c r="AYR22" s="168"/>
      <c r="AYS22" s="189"/>
      <c r="AYU22" s="188"/>
      <c r="AYV22" s="187"/>
      <c r="AZB22" s="188"/>
      <c r="AZC22" s="187"/>
      <c r="AZI22" s="188"/>
      <c r="AZJ22" s="187"/>
      <c r="AZP22" s="188"/>
      <c r="AZQ22" s="187"/>
      <c r="AZV22" s="168"/>
      <c r="AZW22" s="191"/>
      <c r="AZX22" s="187"/>
      <c r="BAD22" s="188"/>
      <c r="BAE22" s="187"/>
      <c r="BAK22" s="188"/>
      <c r="BAL22" s="187"/>
      <c r="BAR22" s="188"/>
      <c r="BAS22" s="187"/>
      <c r="BAY22" s="188"/>
      <c r="BAZ22" s="187"/>
      <c r="BBA22" s="168"/>
      <c r="BBB22" s="189"/>
      <c r="BBF22" s="188"/>
      <c r="BBG22" s="187"/>
      <c r="BBM22" s="188"/>
      <c r="BBN22" s="187"/>
      <c r="BBT22" s="188"/>
      <c r="BBU22" s="187"/>
      <c r="BCA22" s="188"/>
      <c r="BCB22" s="187"/>
      <c r="BCE22" s="168"/>
      <c r="BCF22" s="189"/>
      <c r="BCH22" s="188"/>
      <c r="BCI22" s="187"/>
      <c r="BCO22" s="188"/>
      <c r="BCP22" s="187"/>
      <c r="BCV22" s="188"/>
      <c r="BCW22" s="187"/>
      <c r="BDC22" s="188"/>
      <c r="BDD22" s="187"/>
      <c r="BDJ22" s="168"/>
      <c r="BDK22" s="189"/>
      <c r="BDQ22" s="188"/>
      <c r="BDR22" s="187"/>
      <c r="BDX22" s="188"/>
      <c r="BDY22" s="187"/>
      <c r="BEE22" s="188"/>
      <c r="BEF22" s="187"/>
      <c r="BEL22" s="188"/>
      <c r="BEM22" s="187"/>
      <c r="BEO22" s="168"/>
      <c r="BEP22" s="189"/>
      <c r="BES22" s="188"/>
      <c r="BET22" s="187"/>
      <c r="BEZ22" s="188"/>
      <c r="BFA22" s="187"/>
      <c r="BFG22" s="188"/>
      <c r="BFH22" s="187"/>
      <c r="BFN22" s="188"/>
      <c r="BFO22" s="187"/>
      <c r="BFQ22" s="168"/>
      <c r="BFR22" s="189"/>
      <c r="BFU22" s="188"/>
      <c r="BFV22" s="187"/>
      <c r="BGB22" s="188"/>
      <c r="BGC22" s="187"/>
      <c r="BGI22" s="188"/>
      <c r="BGJ22" s="187"/>
      <c r="BGP22" s="188"/>
      <c r="BGQ22" s="187"/>
      <c r="BGV22" s="168"/>
      <c r="BGW22" s="191"/>
      <c r="BGX22" s="187"/>
      <c r="BHD22" s="188"/>
      <c r="BHE22" s="187"/>
      <c r="BHK22" s="188"/>
      <c r="BHL22" s="187"/>
      <c r="BHR22" s="188"/>
      <c r="BHS22" s="187"/>
      <c r="BHY22" s="188"/>
      <c r="BHZ22" s="190"/>
      <c r="BIA22" s="189"/>
      <c r="BIF22" s="188"/>
      <c r="BIG22" s="187"/>
      <c r="BIM22" s="188"/>
      <c r="BIN22" s="187"/>
      <c r="BIT22" s="188"/>
      <c r="BIU22" s="187"/>
      <c r="BJA22" s="188"/>
      <c r="BJB22" s="187"/>
      <c r="BJE22" s="168"/>
      <c r="BJF22" s="189"/>
      <c r="BJH22" s="188"/>
      <c r="BJI22" s="187"/>
      <c r="BJO22" s="188"/>
      <c r="BJP22" s="187"/>
      <c r="BJV22" s="188"/>
      <c r="BJW22" s="187"/>
      <c r="BKC22" s="188"/>
      <c r="BKD22" s="187"/>
      <c r="BKI22" s="168"/>
      <c r="BKJ22" s="191"/>
      <c r="BKK22" s="187"/>
      <c r="BKQ22" s="188"/>
      <c r="BKR22" s="187"/>
      <c r="BKX22" s="188"/>
      <c r="BKY22" s="187"/>
      <c r="BLE22" s="188"/>
      <c r="BLF22" s="187"/>
      <c r="BLL22" s="188"/>
      <c r="BLM22" s="187"/>
      <c r="BLN22" s="168"/>
      <c r="BLO22" s="189"/>
      <c r="BLS22" s="188"/>
      <c r="BLT22" s="187"/>
      <c r="BLZ22" s="188"/>
      <c r="BMA22" s="187"/>
      <c r="BMG22" s="188"/>
      <c r="BMH22" s="187"/>
      <c r="BMN22" s="188"/>
      <c r="BMO22" s="187"/>
      <c r="BMS22" s="168"/>
      <c r="BMT22" s="189"/>
      <c r="BMU22" s="188"/>
      <c r="BMV22" s="187"/>
      <c r="BNB22" s="188"/>
      <c r="BNC22" s="187"/>
      <c r="BNI22" s="188"/>
      <c r="BNJ22" s="187"/>
      <c r="BNP22" s="188"/>
      <c r="BNQ22" s="187"/>
      <c r="BNW22" s="168"/>
      <c r="BNX22" s="189"/>
      <c r="BOD22" s="188"/>
      <c r="BOE22" s="187"/>
      <c r="BOK22" s="188"/>
      <c r="BOL22" s="187"/>
      <c r="BOR22" s="188"/>
      <c r="BOS22" s="187"/>
      <c r="BOY22" s="188"/>
      <c r="BOZ22" s="187"/>
      <c r="BPB22" s="168"/>
      <c r="BPC22" s="189"/>
      <c r="BPF22" s="188"/>
      <c r="BPG22" s="187"/>
      <c r="BPM22" s="188"/>
      <c r="BPN22" s="187"/>
      <c r="BPT22" s="188"/>
      <c r="BPU22" s="187"/>
      <c r="BQA22" s="188"/>
      <c r="BQB22" s="187"/>
      <c r="BQF22" s="168"/>
      <c r="BQG22" s="189"/>
      <c r="BQH22" s="188"/>
      <c r="BQI22" s="187"/>
      <c r="BQO22" s="188"/>
      <c r="BQP22" s="187"/>
      <c r="BQV22" s="188"/>
      <c r="BQW22" s="187"/>
      <c r="BRC22" s="188"/>
      <c r="BRD22" s="187"/>
      <c r="BRJ22" s="188"/>
      <c r="BRK22" s="190"/>
      <c r="BRL22" s="189"/>
      <c r="BRQ22" s="188"/>
      <c r="BRR22" s="187"/>
      <c r="BRX22" s="188"/>
      <c r="BRY22" s="187"/>
      <c r="BSE22" s="188"/>
      <c r="BSF22" s="187"/>
      <c r="BSL22" s="188"/>
      <c r="BSM22" s="187"/>
      <c r="BSP22" s="168"/>
      <c r="BSQ22" s="189"/>
      <c r="BSS22" s="188"/>
      <c r="BST22" s="187"/>
      <c r="BSZ22" s="188"/>
      <c r="BTA22" s="187"/>
      <c r="BTG22" s="188"/>
      <c r="BTH22" s="187"/>
      <c r="BTN22" s="188"/>
      <c r="BTO22" s="187"/>
      <c r="BTS22" s="168"/>
      <c r="BTT22" s="189"/>
      <c r="BTU22" s="188"/>
      <c r="BTV22" s="187"/>
      <c r="BUB22" s="188"/>
      <c r="BUC22" s="187"/>
      <c r="BUI22" s="188"/>
      <c r="BUJ22" s="187"/>
      <c r="BUP22" s="188"/>
      <c r="BUQ22" s="187"/>
      <c r="BUW22" s="188"/>
      <c r="BUX22" s="190"/>
      <c r="BUY22" s="189"/>
      <c r="BVD22" s="188"/>
      <c r="BVE22" s="187"/>
      <c r="BVK22" s="188"/>
      <c r="BVL22" s="187"/>
      <c r="BVR22" s="188"/>
      <c r="BVS22" s="187"/>
      <c r="BVY22" s="188"/>
      <c r="BVZ22" s="187"/>
      <c r="BWB22" s="168"/>
      <c r="BWC22" s="189"/>
      <c r="BWF22" s="188"/>
      <c r="BWG22" s="187"/>
      <c r="BWM22" s="188"/>
      <c r="BWN22" s="187"/>
      <c r="BWT22" s="188"/>
      <c r="BWU22" s="187"/>
      <c r="BXA22" s="188"/>
      <c r="BXB22" s="187"/>
      <c r="BXG22" s="168"/>
      <c r="BXH22" s="191"/>
      <c r="BXI22" s="187"/>
      <c r="BXO22" s="188"/>
      <c r="BXP22" s="187"/>
      <c r="BXV22" s="188"/>
      <c r="BXW22" s="187"/>
      <c r="BYC22" s="188"/>
      <c r="BYD22" s="187"/>
      <c r="BYJ22" s="188"/>
      <c r="BYK22" s="190"/>
      <c r="BYL22" s="189"/>
      <c r="BYQ22" s="188"/>
      <c r="BYR22" s="187"/>
      <c r="BYX22" s="188"/>
      <c r="BYY22" s="187"/>
      <c r="BZE22" s="188"/>
      <c r="BZF22" s="187"/>
      <c r="BZL22" s="188"/>
      <c r="BZM22" s="187"/>
      <c r="BZP22" s="168"/>
      <c r="BZQ22" s="189"/>
      <c r="BZS22" s="188"/>
      <c r="BZT22" s="187"/>
      <c r="BZZ22" s="188"/>
      <c r="CAA22" s="187"/>
      <c r="CAG22" s="188"/>
      <c r="CAH22" s="187"/>
      <c r="CAN22" s="188"/>
      <c r="CAO22" s="187"/>
      <c r="CAU22" s="168"/>
      <c r="CAV22" s="189"/>
      <c r="CBB22" s="188"/>
      <c r="CBC22" s="187"/>
      <c r="CBI22" s="188"/>
      <c r="CBJ22" s="187"/>
      <c r="CBP22" s="188"/>
      <c r="CBQ22" s="187"/>
      <c r="CBW22" s="188"/>
      <c r="CBX22" s="187"/>
      <c r="CBY22" s="168"/>
      <c r="CBZ22" s="189"/>
      <c r="CCD22" s="188"/>
      <c r="CCE22" s="187"/>
      <c r="CCK22" s="188"/>
      <c r="CCL22" s="187"/>
      <c r="CCR22" s="188"/>
      <c r="CCS22" s="187"/>
      <c r="CCY22" s="188"/>
      <c r="CCZ22" s="187"/>
      <c r="CDD22" s="168"/>
      <c r="CDE22" s="189"/>
      <c r="CDF22" s="188"/>
      <c r="CDG22" s="187"/>
      <c r="CDM22" s="188"/>
      <c r="CDN22" s="187"/>
      <c r="CDT22" s="188"/>
      <c r="CDU22" s="187"/>
      <c r="CEA22" s="188"/>
      <c r="CEB22" s="187"/>
      <c r="CEH22" s="168"/>
      <c r="CEI22" s="189"/>
      <c r="CEO22" s="188"/>
      <c r="CEP22" s="187"/>
      <c r="CEV22" s="188"/>
      <c r="CEW22" s="187"/>
      <c r="CFC22" s="188"/>
      <c r="CFD22" s="187"/>
      <c r="CFJ22" s="188"/>
      <c r="CFK22" s="187"/>
    </row>
    <row r="23" spans="1:1019 1025:2048 2054:2195">
      <c r="A23" s="164" t="s">
        <v>270</v>
      </c>
      <c r="C23" s="164" t="s">
        <v>271</v>
      </c>
      <c r="D23" s="186"/>
      <c r="E23" s="186"/>
      <c r="K23" s="187"/>
      <c r="Q23" s="188"/>
      <c r="R23" s="187"/>
      <c r="X23" s="188"/>
      <c r="Y23" s="187"/>
      <c r="AE23" s="188"/>
      <c r="AF23" s="187"/>
      <c r="AJ23" s="168"/>
      <c r="AK23" s="189"/>
      <c r="AL23" s="188"/>
      <c r="AM23" s="187"/>
      <c r="AS23" s="188"/>
      <c r="AT23" s="187"/>
      <c r="AZ23" s="188"/>
      <c r="BA23" s="187"/>
      <c r="BG23" s="188"/>
      <c r="BH23" s="187"/>
      <c r="BL23" s="168"/>
      <c r="BM23" s="189"/>
      <c r="BN23" s="188"/>
      <c r="BO23" s="187"/>
      <c r="BU23" s="188"/>
      <c r="BV23" s="187"/>
      <c r="CB23" s="188"/>
      <c r="CC23" s="187"/>
      <c r="CI23" s="188"/>
      <c r="CJ23" s="187"/>
      <c r="CP23" s="188"/>
      <c r="CQ23" s="190"/>
      <c r="CR23" s="189"/>
      <c r="CW23" s="188"/>
      <c r="CX23" s="187"/>
      <c r="DD23" s="188"/>
      <c r="DE23" s="187"/>
      <c r="DK23" s="188"/>
      <c r="DL23" s="187"/>
      <c r="DR23" s="188"/>
      <c r="DS23" s="187"/>
      <c r="DU23" s="168"/>
      <c r="DV23" s="189"/>
      <c r="DY23" s="188"/>
      <c r="DZ23" s="187"/>
      <c r="EF23" s="188"/>
      <c r="EG23" s="187"/>
      <c r="EM23" s="188"/>
      <c r="EN23" s="187"/>
      <c r="ET23" s="188"/>
      <c r="EU23" s="187"/>
      <c r="EZ23" s="168"/>
      <c r="FA23" s="191"/>
      <c r="FB23" s="187"/>
      <c r="FH23" s="188"/>
      <c r="FI23" s="187"/>
      <c r="FO23" s="188"/>
      <c r="FP23" s="187"/>
      <c r="FV23" s="188"/>
      <c r="FW23" s="187"/>
      <c r="GC23" s="188"/>
      <c r="GD23" s="190"/>
      <c r="GE23" s="189"/>
      <c r="GJ23" s="188"/>
      <c r="GK23" s="187"/>
      <c r="GQ23" s="188"/>
      <c r="GR23" s="187"/>
      <c r="GX23" s="188"/>
      <c r="GY23" s="187"/>
      <c r="HE23" s="188"/>
      <c r="HF23" s="187"/>
      <c r="HI23" s="168"/>
      <c r="HJ23" s="189"/>
      <c r="HL23" s="188"/>
      <c r="HM23" s="187"/>
      <c r="HS23" s="188"/>
      <c r="HT23" s="187"/>
      <c r="HZ23" s="188"/>
      <c r="IA23" s="187"/>
      <c r="IG23" s="188"/>
      <c r="IH23" s="187"/>
      <c r="IN23" s="168"/>
      <c r="IO23" s="189"/>
      <c r="IU23" s="188"/>
      <c r="IV23" s="187"/>
      <c r="JB23" s="188"/>
      <c r="JC23" s="187"/>
      <c r="JI23" s="188"/>
      <c r="JJ23" s="187"/>
      <c r="JP23" s="188"/>
      <c r="JQ23" s="187"/>
      <c r="JR23" s="168"/>
      <c r="JS23" s="189"/>
      <c r="JW23" s="188"/>
      <c r="JX23" s="187"/>
      <c r="KD23" s="188"/>
      <c r="KE23" s="187"/>
      <c r="KK23" s="188"/>
      <c r="KL23" s="187"/>
      <c r="KR23" s="188"/>
      <c r="KS23" s="187"/>
      <c r="KW23" s="168"/>
      <c r="KX23" s="189"/>
      <c r="KY23" s="188"/>
      <c r="KZ23" s="187"/>
      <c r="LF23" s="188"/>
      <c r="LG23" s="187"/>
      <c r="LM23" s="188"/>
      <c r="LN23" s="187"/>
      <c r="LT23" s="188"/>
      <c r="LU23" s="187"/>
      <c r="MA23" s="168"/>
      <c r="MB23" s="189"/>
      <c r="MH23" s="188"/>
      <c r="MI23" s="187"/>
      <c r="MO23" s="188"/>
      <c r="MP23" s="187"/>
      <c r="MV23" s="188"/>
      <c r="MW23" s="187"/>
      <c r="NC23" s="188"/>
      <c r="ND23" s="187"/>
      <c r="NF23" s="168"/>
      <c r="NG23" s="189"/>
      <c r="NJ23" s="188"/>
      <c r="NK23" s="187"/>
      <c r="NQ23" s="188"/>
      <c r="NR23" s="187"/>
      <c r="NX23" s="188"/>
      <c r="NY23" s="187"/>
      <c r="OE23" s="188"/>
      <c r="OF23" s="187"/>
      <c r="OK23" s="168"/>
      <c r="OL23" s="191"/>
      <c r="OM23" s="187"/>
      <c r="OS23" s="188"/>
      <c r="OT23" s="187"/>
      <c r="OZ23" s="188"/>
      <c r="PA23" s="187"/>
      <c r="PG23" s="188"/>
      <c r="PH23" s="187"/>
      <c r="PN23" s="168"/>
      <c r="PO23" s="189"/>
      <c r="PU23" s="188"/>
      <c r="PV23" s="187"/>
      <c r="QB23" s="188"/>
      <c r="QC23" s="187"/>
      <c r="QI23" s="188"/>
      <c r="QJ23" s="187"/>
      <c r="QP23" s="188"/>
      <c r="QQ23" s="187"/>
      <c r="QS23" s="168"/>
      <c r="QT23" s="189"/>
      <c r="QW23" s="188"/>
      <c r="QX23" s="187"/>
      <c r="RD23" s="188"/>
      <c r="RE23" s="187"/>
      <c r="RK23" s="188"/>
      <c r="RL23" s="187"/>
      <c r="RR23" s="188"/>
      <c r="RS23" s="187"/>
      <c r="RW23" s="168"/>
      <c r="RX23" s="189"/>
      <c r="RY23" s="188"/>
      <c r="RZ23" s="187"/>
      <c r="SF23" s="188"/>
      <c r="SG23" s="187"/>
      <c r="SM23" s="188"/>
      <c r="SN23" s="187"/>
      <c r="ST23" s="188"/>
      <c r="SU23" s="187"/>
      <c r="TA23" s="188"/>
      <c r="TB23" s="190"/>
      <c r="TC23" s="189"/>
      <c r="TH23" s="188"/>
      <c r="TI23" s="187"/>
      <c r="TO23" s="188"/>
      <c r="TP23" s="187"/>
      <c r="TV23" s="188"/>
      <c r="TW23" s="187"/>
      <c r="UC23" s="188"/>
      <c r="UD23" s="187"/>
      <c r="UF23" s="168"/>
      <c r="UG23" s="189"/>
      <c r="UJ23" s="188"/>
      <c r="UK23" s="187"/>
      <c r="UQ23" s="188"/>
      <c r="UR23" s="187"/>
      <c r="UX23" s="188"/>
      <c r="UY23" s="187"/>
      <c r="VE23" s="188"/>
      <c r="VF23" s="187"/>
      <c r="VK23" s="168"/>
      <c r="VL23" s="191"/>
      <c r="VM23" s="187"/>
      <c r="VS23" s="188"/>
      <c r="VT23" s="187"/>
      <c r="VZ23" s="188"/>
      <c r="WA23" s="187"/>
      <c r="WG23" s="188"/>
      <c r="WH23" s="187"/>
      <c r="WN23" s="188"/>
      <c r="WO23" s="187"/>
      <c r="WP23" s="168"/>
      <c r="WQ23" s="189"/>
      <c r="WU23" s="188"/>
      <c r="WV23" s="187"/>
      <c r="XB23" s="188"/>
      <c r="XC23" s="187"/>
      <c r="XI23" s="188"/>
      <c r="XJ23" s="187"/>
      <c r="XP23" s="188"/>
      <c r="XQ23" s="187"/>
      <c r="XT23" s="168"/>
      <c r="XU23" s="189"/>
      <c r="XW23" s="188"/>
      <c r="XX23" s="187"/>
      <c r="YD23" s="188"/>
      <c r="YE23" s="187"/>
      <c r="YK23" s="188"/>
      <c r="YL23" s="187"/>
      <c r="YR23" s="188"/>
      <c r="YS23" s="187"/>
      <c r="YY23" s="168"/>
      <c r="YZ23" s="189"/>
      <c r="ZF23" s="188"/>
      <c r="ZG23" s="187"/>
      <c r="ZM23" s="188"/>
      <c r="ZN23" s="187"/>
      <c r="ZT23" s="188"/>
      <c r="ZU23" s="187"/>
      <c r="AAA23" s="188"/>
      <c r="AAB23" s="187"/>
      <c r="AAC23" s="168"/>
      <c r="AAD23" s="189"/>
      <c r="AAH23" s="188"/>
      <c r="AAI23" s="187"/>
      <c r="AAO23" s="188"/>
      <c r="AAP23" s="187"/>
      <c r="AAV23" s="188"/>
      <c r="AAW23" s="187"/>
      <c r="ABC23" s="188"/>
      <c r="ABD23" s="187"/>
      <c r="ABH23" s="168"/>
      <c r="ABI23" s="189"/>
      <c r="ABJ23" s="188"/>
      <c r="ABK23" s="187"/>
      <c r="ABQ23" s="188"/>
      <c r="ABR23" s="187"/>
      <c r="ABX23" s="188"/>
      <c r="ABY23" s="187"/>
      <c r="ACE23" s="188"/>
      <c r="ACF23" s="187"/>
      <c r="ACL23" s="188"/>
      <c r="ACM23" s="190"/>
      <c r="ACN23" s="189"/>
      <c r="ACS23" s="188"/>
      <c r="ACT23" s="187"/>
      <c r="ACZ23" s="188"/>
      <c r="ADA23" s="187"/>
      <c r="ADG23" s="188"/>
      <c r="ADH23" s="187"/>
      <c r="ADN23" s="188"/>
      <c r="ADO23" s="190"/>
      <c r="ADP23" s="189"/>
      <c r="ADU23" s="188"/>
      <c r="ADV23" s="187"/>
      <c r="AEB23" s="188"/>
      <c r="AEC23" s="187"/>
      <c r="AEI23" s="188"/>
      <c r="AEJ23" s="187"/>
      <c r="AEP23" s="188"/>
      <c r="AEQ23" s="187"/>
      <c r="AET23" s="168"/>
      <c r="AEU23" s="189"/>
      <c r="AEW23" s="188"/>
      <c r="AEX23" s="187"/>
      <c r="AFD23" s="188"/>
      <c r="AFE23" s="187"/>
      <c r="AFK23" s="188"/>
      <c r="AFL23" s="187"/>
      <c r="AFR23" s="188"/>
      <c r="AFS23" s="187"/>
      <c r="AFX23" s="168"/>
      <c r="AFY23" s="191"/>
      <c r="AFZ23" s="187"/>
      <c r="AGF23" s="188"/>
      <c r="AGG23" s="187"/>
      <c r="AGM23" s="188"/>
      <c r="AGN23" s="187"/>
      <c r="AGT23" s="188"/>
      <c r="AGU23" s="187"/>
      <c r="AHA23" s="188"/>
      <c r="AHB23" s="187"/>
      <c r="AHC23" s="168"/>
      <c r="AHD23" s="189"/>
      <c r="AHH23" s="188"/>
      <c r="AHI23" s="187"/>
      <c r="AHO23" s="188"/>
      <c r="AHP23" s="187"/>
      <c r="AHV23" s="188"/>
      <c r="AHW23" s="187"/>
      <c r="AIC23" s="188"/>
      <c r="AID23" s="187"/>
      <c r="AIG23" s="168"/>
      <c r="AIH23" s="189"/>
      <c r="AIJ23" s="188"/>
      <c r="AIK23" s="187"/>
      <c r="AIQ23" s="188"/>
      <c r="AIR23" s="187"/>
      <c r="AIX23" s="188"/>
      <c r="AIY23" s="187"/>
      <c r="AJE23" s="188"/>
      <c r="AJF23" s="187"/>
      <c r="AJL23" s="168"/>
      <c r="AJM23" s="189"/>
      <c r="AJS23" s="188"/>
      <c r="AJT23" s="187"/>
      <c r="AJZ23" s="188"/>
      <c r="AKA23" s="187"/>
      <c r="AKG23" s="188"/>
      <c r="AKH23" s="187"/>
      <c r="AKN23" s="188"/>
      <c r="AKO23" s="187"/>
      <c r="AKQ23" s="168"/>
      <c r="AKR23" s="189"/>
      <c r="AKU23" s="188"/>
      <c r="AKV23" s="187"/>
      <c r="ALB23" s="188"/>
      <c r="ALC23" s="187"/>
      <c r="ALI23" s="188"/>
      <c r="ALJ23" s="187"/>
      <c r="ALP23" s="188"/>
      <c r="ALQ23" s="187"/>
      <c r="ALU23" s="168"/>
      <c r="ALV23" s="189"/>
      <c r="ALW23" s="188"/>
      <c r="ALX23" s="187"/>
      <c r="AMD23" s="188"/>
      <c r="AME23" s="187"/>
      <c r="AMK23" s="188"/>
      <c r="AML23" s="187"/>
      <c r="AMR23" s="188"/>
      <c r="AMS23" s="187"/>
      <c r="AMY23" s="188"/>
      <c r="AMZ23" s="190"/>
      <c r="ANA23" s="189"/>
      <c r="ANF23" s="188"/>
      <c r="ANG23" s="187"/>
      <c r="ANM23" s="188"/>
      <c r="ANN23" s="187"/>
      <c r="ANT23" s="188"/>
      <c r="ANU23" s="187"/>
      <c r="AOA23" s="188"/>
      <c r="AOB23" s="187"/>
      <c r="AOD23" s="168"/>
      <c r="AOE23" s="189"/>
      <c r="AOH23" s="188"/>
      <c r="AOI23" s="187"/>
      <c r="AOO23" s="188"/>
      <c r="AOP23" s="187"/>
      <c r="AOV23" s="188"/>
      <c r="AOW23" s="187"/>
      <c r="APC23" s="188"/>
      <c r="APD23" s="187"/>
      <c r="API23" s="168"/>
      <c r="APJ23" s="191"/>
      <c r="APK23" s="187"/>
      <c r="APQ23" s="188"/>
      <c r="APR23" s="187"/>
      <c r="APX23" s="188"/>
      <c r="APY23" s="187"/>
      <c r="AQE23" s="188"/>
      <c r="AQF23" s="187"/>
      <c r="AQL23" s="188"/>
      <c r="AQM23" s="187"/>
      <c r="AQN23" s="168"/>
      <c r="AQO23" s="189"/>
      <c r="AQS23" s="188"/>
      <c r="AQT23" s="187"/>
      <c r="AQZ23" s="188"/>
      <c r="ARA23" s="187"/>
      <c r="ARG23" s="188"/>
      <c r="ARH23" s="187"/>
      <c r="ARN23" s="188"/>
      <c r="ARO23" s="187"/>
      <c r="ARP23" s="168"/>
      <c r="ARQ23" s="189"/>
      <c r="ARU23" s="188"/>
      <c r="ARV23" s="187"/>
      <c r="ASB23" s="188"/>
      <c r="ASC23" s="187"/>
      <c r="ASI23" s="188"/>
      <c r="ASJ23" s="187"/>
      <c r="ASP23" s="188"/>
      <c r="ASQ23" s="187"/>
      <c r="ASU23" s="168"/>
      <c r="ASV23" s="189"/>
      <c r="ASW23" s="188"/>
      <c r="ASX23" s="187"/>
      <c r="ATD23" s="188"/>
      <c r="ATE23" s="187"/>
      <c r="ATK23" s="188"/>
      <c r="ATL23" s="187"/>
      <c r="ATR23" s="188"/>
      <c r="ATS23" s="187"/>
      <c r="ATY23" s="168"/>
      <c r="ATZ23" s="189"/>
      <c r="AUF23" s="188"/>
      <c r="AUG23" s="187"/>
      <c r="AUM23" s="188"/>
      <c r="AUN23" s="187"/>
      <c r="AUT23" s="188"/>
      <c r="AUU23" s="187"/>
      <c r="AVA23" s="188"/>
      <c r="AVB23" s="187"/>
      <c r="AVD23" s="168"/>
      <c r="AVE23" s="189"/>
      <c r="AVH23" s="188"/>
      <c r="AVI23" s="187"/>
      <c r="AVO23" s="188"/>
      <c r="AVP23" s="187"/>
      <c r="AVV23" s="188"/>
      <c r="AVW23" s="187"/>
      <c r="AWC23" s="188"/>
      <c r="AWD23" s="187"/>
      <c r="AWH23" s="168"/>
      <c r="AWI23" s="189"/>
      <c r="AWJ23" s="188"/>
      <c r="AWK23" s="187"/>
      <c r="AWQ23" s="188"/>
      <c r="AWR23" s="187"/>
      <c r="AWX23" s="188"/>
      <c r="AWY23" s="187"/>
      <c r="AXE23" s="188"/>
      <c r="AXF23" s="187"/>
      <c r="AXL23" s="188"/>
      <c r="AXM23" s="190"/>
      <c r="AXN23" s="189"/>
      <c r="AXS23" s="188"/>
      <c r="AXT23" s="187"/>
      <c r="AXZ23" s="188"/>
      <c r="AYA23" s="187"/>
      <c r="AYG23" s="188"/>
      <c r="AYH23" s="187"/>
      <c r="AYN23" s="188"/>
      <c r="AYO23" s="187"/>
      <c r="AYR23" s="168"/>
      <c r="AYS23" s="189"/>
      <c r="AYU23" s="188"/>
      <c r="AYV23" s="187"/>
      <c r="AZB23" s="188"/>
      <c r="AZC23" s="187"/>
      <c r="AZI23" s="188"/>
      <c r="AZJ23" s="187"/>
      <c r="AZP23" s="188"/>
      <c r="AZQ23" s="187"/>
      <c r="AZV23" s="168"/>
      <c r="AZW23" s="191"/>
      <c r="AZX23" s="187"/>
      <c r="BAD23" s="188"/>
      <c r="BAE23" s="187"/>
      <c r="BAK23" s="188"/>
      <c r="BAL23" s="187"/>
      <c r="BAR23" s="188"/>
      <c r="BAS23" s="187"/>
      <c r="BAY23" s="188"/>
      <c r="BAZ23" s="187"/>
      <c r="BBA23" s="168"/>
      <c r="BBB23" s="189"/>
      <c r="BBF23" s="188"/>
      <c r="BBG23" s="187"/>
      <c r="BBM23" s="188"/>
      <c r="BBN23" s="187"/>
      <c r="BBT23" s="188"/>
      <c r="BBU23" s="187"/>
      <c r="BCA23" s="188"/>
      <c r="BCB23" s="187"/>
      <c r="BCE23" s="168"/>
      <c r="BCF23" s="189"/>
      <c r="BCH23" s="188"/>
      <c r="BCI23" s="187"/>
      <c r="BCO23" s="188"/>
      <c r="BCP23" s="187"/>
      <c r="BCV23" s="188"/>
      <c r="BCW23" s="187"/>
      <c r="BDC23" s="188"/>
      <c r="BDD23" s="187"/>
      <c r="BDJ23" s="168"/>
      <c r="BDK23" s="189"/>
      <c r="BDQ23" s="188"/>
      <c r="BDR23" s="187"/>
      <c r="BDX23" s="188"/>
      <c r="BDY23" s="187"/>
      <c r="BEE23" s="188"/>
      <c r="BEF23" s="187"/>
      <c r="BEL23" s="188"/>
      <c r="BEM23" s="187"/>
      <c r="BEO23" s="168"/>
      <c r="BEP23" s="189"/>
      <c r="BES23" s="188"/>
      <c r="BET23" s="187"/>
      <c r="BEZ23" s="188"/>
      <c r="BFA23" s="187"/>
      <c r="BFG23" s="188"/>
      <c r="BFH23" s="187"/>
      <c r="BFN23" s="188"/>
      <c r="BFO23" s="187"/>
      <c r="BFQ23" s="168"/>
      <c r="BFR23" s="189"/>
      <c r="BFU23" s="188"/>
      <c r="BFV23" s="187"/>
      <c r="BGB23" s="188"/>
      <c r="BGC23" s="187"/>
      <c r="BGI23" s="188"/>
      <c r="BGJ23" s="187"/>
      <c r="BGP23" s="188"/>
      <c r="BGQ23" s="187"/>
      <c r="BGV23" s="168"/>
      <c r="BGW23" s="191"/>
      <c r="BGX23" s="187"/>
      <c r="BHD23" s="188"/>
      <c r="BHE23" s="187"/>
      <c r="BHK23" s="188"/>
      <c r="BHL23" s="187"/>
      <c r="BHR23" s="188"/>
      <c r="BHS23" s="187"/>
      <c r="BHY23" s="188"/>
      <c r="BHZ23" s="190"/>
      <c r="BIA23" s="189"/>
      <c r="BIF23" s="188"/>
      <c r="BIG23" s="187"/>
      <c r="BIM23" s="188"/>
      <c r="BIN23" s="187"/>
      <c r="BIT23" s="188"/>
      <c r="BIU23" s="187"/>
      <c r="BJA23" s="188"/>
      <c r="BJB23" s="187"/>
      <c r="BJE23" s="168"/>
      <c r="BJF23" s="189"/>
      <c r="BJH23" s="188"/>
      <c r="BJI23" s="187"/>
      <c r="BJO23" s="188"/>
      <c r="BJP23" s="187"/>
      <c r="BJV23" s="188"/>
      <c r="BJW23" s="187"/>
      <c r="BKC23" s="188"/>
      <c r="BKD23" s="187"/>
      <c r="BKI23" s="168"/>
      <c r="BKJ23" s="191"/>
      <c r="BKK23" s="187"/>
      <c r="BKQ23" s="188"/>
      <c r="BKR23" s="187"/>
      <c r="BKX23" s="188"/>
      <c r="BKY23" s="187"/>
      <c r="BLE23" s="188"/>
      <c r="BLF23" s="187"/>
      <c r="BLL23" s="188"/>
      <c r="BLM23" s="187"/>
      <c r="BLN23" s="168"/>
      <c r="BLO23" s="189"/>
      <c r="BLS23" s="188"/>
      <c r="BLT23" s="187"/>
      <c r="BLZ23" s="188"/>
      <c r="BMA23" s="187"/>
      <c r="BMG23" s="188"/>
      <c r="BMH23" s="187"/>
      <c r="BMN23" s="188"/>
      <c r="BMO23" s="187"/>
      <c r="BMS23" s="168"/>
      <c r="BMT23" s="189"/>
      <c r="BMU23" s="188"/>
      <c r="BMV23" s="187"/>
      <c r="BNB23" s="188"/>
      <c r="BNC23" s="187"/>
      <c r="BNI23" s="188"/>
      <c r="BNJ23" s="187"/>
      <c r="BNP23" s="188"/>
      <c r="BNQ23" s="187"/>
      <c r="BNW23" s="168"/>
      <c r="BNX23" s="189"/>
      <c r="BOD23" s="188"/>
      <c r="BOE23" s="187"/>
      <c r="BOK23" s="188"/>
      <c r="BOL23" s="187"/>
      <c r="BOR23" s="188"/>
      <c r="BOS23" s="187"/>
      <c r="BOY23" s="188"/>
      <c r="BOZ23" s="187"/>
      <c r="BPB23" s="168"/>
      <c r="BPC23" s="189"/>
      <c r="BPF23" s="188"/>
      <c r="BPG23" s="187"/>
      <c r="BPM23" s="188"/>
      <c r="BPN23" s="187"/>
      <c r="BPT23" s="188"/>
      <c r="BPU23" s="187"/>
      <c r="BQA23" s="188"/>
      <c r="BQB23" s="187"/>
      <c r="BQF23" s="168"/>
      <c r="BQG23" s="189"/>
      <c r="BQH23" s="188"/>
      <c r="BQI23" s="187"/>
      <c r="BQO23" s="188"/>
      <c r="BQP23" s="187"/>
      <c r="BQV23" s="188"/>
      <c r="BQW23" s="187"/>
      <c r="BRC23" s="188"/>
      <c r="BRD23" s="187"/>
      <c r="BRJ23" s="188"/>
      <c r="BRK23" s="190"/>
      <c r="BRL23" s="189"/>
      <c r="BRQ23" s="188"/>
      <c r="BRR23" s="187"/>
      <c r="BRX23" s="188"/>
      <c r="BRY23" s="187"/>
      <c r="BSE23" s="188"/>
      <c r="BSF23" s="187"/>
      <c r="BSL23" s="188"/>
      <c r="BSM23" s="187"/>
      <c r="BSP23" s="168"/>
      <c r="BSQ23" s="189"/>
      <c r="BSS23" s="188"/>
      <c r="BST23" s="187"/>
      <c r="BSZ23" s="188"/>
      <c r="BTA23" s="187"/>
      <c r="BTG23" s="188"/>
      <c r="BTH23" s="187"/>
      <c r="BTN23" s="188"/>
      <c r="BTO23" s="187"/>
      <c r="BTS23" s="168"/>
      <c r="BTT23" s="189"/>
      <c r="BTU23" s="188"/>
      <c r="BTV23" s="187"/>
      <c r="BUB23" s="188"/>
      <c r="BUC23" s="187"/>
      <c r="BUI23" s="188"/>
      <c r="BUJ23" s="187"/>
      <c r="BUP23" s="188"/>
      <c r="BUQ23" s="187"/>
      <c r="BUW23" s="188"/>
      <c r="BUX23" s="190"/>
      <c r="BUY23" s="189"/>
      <c r="BVD23" s="188"/>
      <c r="BVE23" s="187"/>
      <c r="BVK23" s="188"/>
      <c r="BVL23" s="187"/>
      <c r="BVR23" s="188"/>
      <c r="BVS23" s="187"/>
      <c r="BVY23" s="188"/>
      <c r="BVZ23" s="187"/>
      <c r="BWB23" s="168"/>
      <c r="BWC23" s="189"/>
      <c r="BWF23" s="188"/>
      <c r="BWG23" s="187"/>
      <c r="BWM23" s="188"/>
      <c r="BWN23" s="187"/>
      <c r="BWT23" s="188"/>
      <c r="BWU23" s="187"/>
      <c r="BXA23" s="188"/>
      <c r="BXB23" s="187"/>
      <c r="BXG23" s="168"/>
      <c r="BXH23" s="191"/>
      <c r="BXI23" s="187"/>
      <c r="BXO23" s="188"/>
      <c r="BXP23" s="187"/>
      <c r="BXV23" s="188"/>
      <c r="BXW23" s="187"/>
      <c r="BYC23" s="188"/>
      <c r="BYD23" s="187"/>
      <c r="BYJ23" s="188"/>
      <c r="BYK23" s="190"/>
      <c r="BYL23" s="189"/>
      <c r="BYQ23" s="188"/>
      <c r="BYR23" s="187"/>
      <c r="BYX23" s="188"/>
      <c r="BYY23" s="187"/>
      <c r="BZE23" s="188"/>
      <c r="BZF23" s="187"/>
      <c r="BZL23" s="188"/>
      <c r="BZM23" s="187"/>
      <c r="BZP23" s="168"/>
      <c r="BZQ23" s="189"/>
      <c r="BZS23" s="188"/>
      <c r="BZT23" s="187"/>
      <c r="BZZ23" s="188"/>
      <c r="CAA23" s="187"/>
      <c r="CAG23" s="188"/>
      <c r="CAH23" s="187"/>
      <c r="CAN23" s="188"/>
      <c r="CAO23" s="187"/>
      <c r="CAU23" s="168"/>
      <c r="CAV23" s="189"/>
      <c r="CBB23" s="188"/>
      <c r="CBC23" s="187"/>
      <c r="CBI23" s="188"/>
      <c r="CBJ23" s="187"/>
      <c r="CBP23" s="188"/>
      <c r="CBQ23" s="187"/>
      <c r="CBW23" s="188"/>
      <c r="CBX23" s="187"/>
      <c r="CBY23" s="168"/>
      <c r="CBZ23" s="189"/>
      <c r="CCD23" s="188"/>
      <c r="CCE23" s="187"/>
      <c r="CCK23" s="188"/>
      <c r="CCL23" s="187"/>
      <c r="CCR23" s="188"/>
      <c r="CCS23" s="187"/>
      <c r="CCY23" s="188"/>
      <c r="CCZ23" s="187"/>
      <c r="CDD23" s="168"/>
      <c r="CDE23" s="189"/>
      <c r="CDF23" s="188"/>
      <c r="CDG23" s="187"/>
      <c r="CDM23" s="188"/>
      <c r="CDN23" s="187"/>
      <c r="CDT23" s="188"/>
      <c r="CDU23" s="187"/>
      <c r="CEA23" s="188"/>
      <c r="CEB23" s="187"/>
      <c r="CEH23" s="168"/>
      <c r="CEI23" s="189"/>
      <c r="CEO23" s="188"/>
      <c r="CEP23" s="187"/>
      <c r="CEV23" s="188"/>
      <c r="CEW23" s="187"/>
      <c r="CFC23" s="188"/>
      <c r="CFD23" s="187"/>
      <c r="CFJ23" s="188"/>
      <c r="CFK23" s="187"/>
    </row>
    <row r="24" spans="1:1019 1025:2048 2054:2195">
      <c r="A24" s="164" t="s">
        <v>272</v>
      </c>
      <c r="C24" s="164" t="s">
        <v>273</v>
      </c>
      <c r="D24" s="186"/>
      <c r="E24" s="186"/>
      <c r="K24" s="187"/>
      <c r="Q24" s="188"/>
      <c r="R24" s="187"/>
      <c r="X24" s="188"/>
      <c r="Y24" s="187"/>
      <c r="AE24" s="188"/>
      <c r="AF24" s="187"/>
      <c r="AJ24" s="168"/>
      <c r="AK24" s="189"/>
      <c r="AL24" s="188"/>
      <c r="AM24" s="187"/>
      <c r="AS24" s="188"/>
      <c r="AT24" s="187"/>
      <c r="AZ24" s="188"/>
      <c r="BA24" s="187"/>
      <c r="BG24" s="188"/>
      <c r="BH24" s="187"/>
      <c r="BL24" s="168"/>
      <c r="BM24" s="189"/>
      <c r="BN24" s="188"/>
      <c r="BO24" s="187"/>
      <c r="BU24" s="188"/>
      <c r="BV24" s="187"/>
      <c r="CB24" s="188"/>
      <c r="CC24" s="187"/>
      <c r="CI24" s="188"/>
      <c r="CJ24" s="187"/>
      <c r="CP24" s="188"/>
      <c r="CQ24" s="190"/>
      <c r="CR24" s="189"/>
      <c r="CW24" s="188"/>
      <c r="CX24" s="187"/>
      <c r="DD24" s="188"/>
      <c r="DE24" s="187"/>
      <c r="DK24" s="188"/>
      <c r="DL24" s="187"/>
      <c r="DR24" s="188"/>
      <c r="DS24" s="187"/>
      <c r="DU24" s="168"/>
      <c r="DV24" s="189"/>
      <c r="DY24" s="188"/>
      <c r="DZ24" s="187"/>
      <c r="EF24" s="188"/>
      <c r="EG24" s="187"/>
      <c r="EM24" s="188"/>
      <c r="EN24" s="187"/>
      <c r="ET24" s="188"/>
      <c r="EU24" s="187"/>
      <c r="EZ24" s="168"/>
      <c r="FA24" s="191"/>
      <c r="FB24" s="187"/>
      <c r="FH24" s="188"/>
      <c r="FI24" s="187"/>
      <c r="FO24" s="188"/>
      <c r="FP24" s="187"/>
      <c r="FV24" s="188"/>
      <c r="FW24" s="187"/>
      <c r="GC24" s="188"/>
      <c r="GD24" s="190"/>
      <c r="GE24" s="189"/>
      <c r="GJ24" s="188"/>
      <c r="GK24" s="187"/>
      <c r="GQ24" s="188"/>
      <c r="GR24" s="187"/>
      <c r="GX24" s="188"/>
      <c r="GY24" s="187"/>
      <c r="HE24" s="188"/>
      <c r="HF24" s="187"/>
      <c r="HI24" s="168"/>
      <c r="HJ24" s="189"/>
      <c r="HL24" s="188"/>
      <c r="HM24" s="187"/>
      <c r="HS24" s="188"/>
      <c r="HT24" s="187"/>
      <c r="HZ24" s="188"/>
      <c r="IA24" s="187"/>
      <c r="IG24" s="188"/>
      <c r="IH24" s="187"/>
      <c r="IN24" s="168"/>
      <c r="IO24" s="189"/>
      <c r="IU24" s="188"/>
      <c r="IV24" s="187"/>
      <c r="JB24" s="188"/>
      <c r="JC24" s="187"/>
      <c r="JI24" s="188"/>
      <c r="JJ24" s="187"/>
      <c r="JP24" s="188"/>
      <c r="JQ24" s="187"/>
      <c r="JR24" s="168"/>
      <c r="JS24" s="189"/>
      <c r="JW24" s="188"/>
      <c r="JX24" s="187"/>
      <c r="KD24" s="188"/>
      <c r="KE24" s="187"/>
      <c r="KK24" s="188"/>
      <c r="KL24" s="187"/>
      <c r="KR24" s="188"/>
      <c r="KS24" s="187"/>
      <c r="KW24" s="168"/>
      <c r="KX24" s="189"/>
      <c r="KY24" s="188"/>
      <c r="KZ24" s="187"/>
      <c r="LF24" s="188"/>
      <c r="LG24" s="187"/>
      <c r="LM24" s="188"/>
      <c r="LN24" s="187"/>
      <c r="LT24" s="188"/>
      <c r="LU24" s="187"/>
      <c r="MA24" s="168"/>
      <c r="MB24" s="189"/>
      <c r="MH24" s="188"/>
      <c r="MI24" s="187"/>
      <c r="MO24" s="188"/>
      <c r="MP24" s="187"/>
      <c r="MV24" s="188"/>
      <c r="MW24" s="187"/>
      <c r="NC24" s="188"/>
      <c r="ND24" s="187"/>
      <c r="NF24" s="168"/>
      <c r="NG24" s="189"/>
      <c r="NJ24" s="188"/>
      <c r="NK24" s="187"/>
      <c r="NQ24" s="188"/>
      <c r="NR24" s="187"/>
      <c r="NX24" s="188"/>
      <c r="NY24" s="187"/>
      <c r="OE24" s="188"/>
      <c r="OF24" s="187"/>
      <c r="OK24" s="168"/>
      <c r="OL24" s="191"/>
      <c r="OM24" s="187"/>
      <c r="OS24" s="188"/>
      <c r="OT24" s="187"/>
      <c r="OZ24" s="188"/>
      <c r="PA24" s="187"/>
      <c r="PG24" s="188"/>
      <c r="PH24" s="187"/>
      <c r="PN24" s="168"/>
      <c r="PO24" s="189"/>
      <c r="PU24" s="188"/>
      <c r="PV24" s="187"/>
      <c r="QB24" s="188"/>
      <c r="QC24" s="187"/>
      <c r="QI24" s="188"/>
      <c r="QJ24" s="187"/>
      <c r="QP24" s="188"/>
      <c r="QQ24" s="187"/>
      <c r="QS24" s="168"/>
      <c r="QT24" s="189"/>
      <c r="QW24" s="188"/>
      <c r="QX24" s="187"/>
      <c r="RD24" s="188"/>
      <c r="RE24" s="187"/>
      <c r="RK24" s="188"/>
      <c r="RL24" s="187"/>
      <c r="RR24" s="188"/>
      <c r="RS24" s="187"/>
      <c r="RW24" s="168"/>
      <c r="RX24" s="189"/>
      <c r="RY24" s="188"/>
      <c r="RZ24" s="187"/>
      <c r="SF24" s="188"/>
      <c r="SG24" s="187"/>
      <c r="SM24" s="188"/>
      <c r="SN24" s="187"/>
      <c r="ST24" s="188"/>
      <c r="SU24" s="187"/>
      <c r="TA24" s="188"/>
      <c r="TB24" s="190"/>
      <c r="TC24" s="189"/>
      <c r="TH24" s="188"/>
      <c r="TI24" s="187"/>
      <c r="TO24" s="188"/>
      <c r="TP24" s="187"/>
      <c r="TV24" s="188"/>
      <c r="TW24" s="187"/>
      <c r="UC24" s="188"/>
      <c r="UD24" s="187"/>
      <c r="UF24" s="168"/>
      <c r="UG24" s="189"/>
      <c r="UJ24" s="188"/>
      <c r="UK24" s="187"/>
      <c r="UQ24" s="188"/>
      <c r="UR24" s="187"/>
      <c r="UX24" s="188"/>
      <c r="UY24" s="187"/>
      <c r="VE24" s="188"/>
      <c r="VF24" s="187"/>
      <c r="VK24" s="168"/>
      <c r="VL24" s="191"/>
      <c r="VM24" s="187"/>
      <c r="VS24" s="188"/>
      <c r="VT24" s="187"/>
      <c r="VZ24" s="188"/>
      <c r="WA24" s="187"/>
      <c r="WG24" s="188"/>
      <c r="WH24" s="187"/>
      <c r="WN24" s="188"/>
      <c r="WO24" s="187"/>
      <c r="WP24" s="168"/>
      <c r="WQ24" s="189"/>
      <c r="WU24" s="188"/>
      <c r="WV24" s="187"/>
      <c r="XB24" s="188"/>
      <c r="XC24" s="187"/>
      <c r="XI24" s="188"/>
      <c r="XJ24" s="187"/>
      <c r="XP24" s="188"/>
      <c r="XQ24" s="187"/>
      <c r="XT24" s="168"/>
      <c r="XU24" s="189"/>
      <c r="XW24" s="188"/>
      <c r="XX24" s="187"/>
      <c r="YD24" s="188"/>
      <c r="YE24" s="187"/>
      <c r="YK24" s="188"/>
      <c r="YL24" s="187"/>
      <c r="YR24" s="188"/>
      <c r="YS24" s="187"/>
      <c r="YY24" s="168"/>
      <c r="YZ24" s="189"/>
      <c r="ZF24" s="188"/>
      <c r="ZG24" s="187"/>
      <c r="ZM24" s="188"/>
      <c r="ZN24" s="187"/>
      <c r="ZT24" s="188"/>
      <c r="ZU24" s="187"/>
      <c r="AAA24" s="188"/>
      <c r="AAB24" s="187"/>
      <c r="AAC24" s="168"/>
      <c r="AAD24" s="189"/>
      <c r="AAH24" s="188"/>
      <c r="AAI24" s="187"/>
      <c r="AAO24" s="188"/>
      <c r="AAP24" s="187"/>
      <c r="AAV24" s="188"/>
      <c r="AAW24" s="187"/>
      <c r="ABC24" s="188"/>
      <c r="ABD24" s="187"/>
      <c r="ABH24" s="168"/>
      <c r="ABI24" s="189"/>
      <c r="ABJ24" s="188"/>
      <c r="ABK24" s="187"/>
      <c r="ABQ24" s="188"/>
      <c r="ABR24" s="187"/>
      <c r="ABX24" s="188"/>
      <c r="ABY24" s="187"/>
      <c r="ACE24" s="188"/>
      <c r="ACF24" s="187"/>
      <c r="ACL24" s="188"/>
      <c r="ACM24" s="190"/>
      <c r="ACN24" s="189"/>
      <c r="ACS24" s="188"/>
      <c r="ACT24" s="187"/>
      <c r="ACZ24" s="188"/>
      <c r="ADA24" s="187"/>
      <c r="ADG24" s="188"/>
      <c r="ADH24" s="187"/>
      <c r="ADN24" s="188"/>
      <c r="ADO24" s="190"/>
      <c r="ADP24" s="189"/>
      <c r="ADU24" s="188"/>
      <c r="ADV24" s="187"/>
      <c r="AEB24" s="188"/>
      <c r="AEC24" s="187"/>
      <c r="AEI24" s="188"/>
      <c r="AEJ24" s="187"/>
      <c r="AEP24" s="188"/>
      <c r="AEQ24" s="187"/>
      <c r="AET24" s="168"/>
      <c r="AEU24" s="189"/>
      <c r="AEW24" s="188"/>
      <c r="AEX24" s="187"/>
      <c r="AFD24" s="188"/>
      <c r="AFE24" s="187"/>
      <c r="AFK24" s="188"/>
      <c r="AFL24" s="187"/>
      <c r="AFR24" s="188"/>
      <c r="AFS24" s="187"/>
      <c r="AFX24" s="168"/>
      <c r="AFY24" s="191"/>
      <c r="AFZ24" s="187"/>
      <c r="AGF24" s="188"/>
      <c r="AGG24" s="187"/>
      <c r="AGM24" s="188"/>
      <c r="AGN24" s="187"/>
      <c r="AGT24" s="188"/>
      <c r="AGU24" s="187"/>
      <c r="AHA24" s="188"/>
      <c r="AHB24" s="187"/>
      <c r="AHC24" s="168"/>
      <c r="AHD24" s="189"/>
      <c r="AHH24" s="188"/>
      <c r="AHI24" s="187"/>
      <c r="AHO24" s="188"/>
      <c r="AHP24" s="187"/>
      <c r="AHV24" s="188"/>
      <c r="AHW24" s="187"/>
      <c r="AIC24" s="188"/>
      <c r="AID24" s="187"/>
      <c r="AIG24" s="168"/>
      <c r="AIH24" s="189"/>
      <c r="AIJ24" s="188"/>
      <c r="AIK24" s="187"/>
      <c r="AIQ24" s="188"/>
      <c r="AIR24" s="187"/>
      <c r="AIX24" s="188"/>
      <c r="AIY24" s="187"/>
      <c r="AJE24" s="188"/>
      <c r="AJF24" s="187"/>
      <c r="AJL24" s="168"/>
      <c r="AJM24" s="189"/>
      <c r="AJS24" s="188"/>
      <c r="AJT24" s="187"/>
      <c r="AJZ24" s="188"/>
      <c r="AKA24" s="187"/>
      <c r="AKG24" s="188"/>
      <c r="AKH24" s="187"/>
      <c r="AKN24" s="188"/>
      <c r="AKO24" s="187"/>
      <c r="AKQ24" s="168"/>
      <c r="AKR24" s="189"/>
      <c r="AKU24" s="188"/>
      <c r="AKV24" s="187"/>
      <c r="ALB24" s="188"/>
      <c r="ALC24" s="187"/>
      <c r="ALI24" s="188"/>
      <c r="ALJ24" s="187"/>
      <c r="ALP24" s="188"/>
      <c r="ALQ24" s="187"/>
      <c r="ALU24" s="168"/>
      <c r="ALV24" s="189"/>
      <c r="ALW24" s="188"/>
      <c r="ALX24" s="187"/>
      <c r="AMD24" s="188"/>
      <c r="AME24" s="187"/>
      <c r="AMK24" s="188"/>
      <c r="AML24" s="187"/>
      <c r="AMR24" s="188"/>
      <c r="AMS24" s="187"/>
      <c r="AMY24" s="188"/>
      <c r="AMZ24" s="190"/>
      <c r="ANA24" s="189"/>
      <c r="ANF24" s="188"/>
      <c r="ANG24" s="187"/>
      <c r="ANM24" s="188"/>
      <c r="ANN24" s="187"/>
      <c r="ANT24" s="188"/>
      <c r="ANU24" s="187"/>
      <c r="AOA24" s="188"/>
      <c r="AOB24" s="187"/>
      <c r="AOD24" s="168"/>
      <c r="AOE24" s="189"/>
      <c r="AOH24" s="188"/>
      <c r="AOI24" s="187"/>
      <c r="AOO24" s="188"/>
      <c r="AOP24" s="187"/>
      <c r="AOV24" s="188"/>
      <c r="AOW24" s="187"/>
      <c r="APC24" s="188"/>
      <c r="APD24" s="187"/>
      <c r="API24" s="168"/>
      <c r="APJ24" s="191"/>
      <c r="APK24" s="187"/>
      <c r="APQ24" s="188"/>
      <c r="APR24" s="187"/>
      <c r="APX24" s="188"/>
      <c r="APY24" s="187"/>
      <c r="AQE24" s="188"/>
      <c r="AQF24" s="187"/>
      <c r="AQL24" s="188"/>
      <c r="AQM24" s="187"/>
      <c r="AQN24" s="168"/>
      <c r="AQO24" s="189"/>
      <c r="AQS24" s="188"/>
      <c r="AQT24" s="187"/>
      <c r="AQZ24" s="188"/>
      <c r="ARA24" s="187"/>
      <c r="ARG24" s="188"/>
      <c r="ARH24" s="187"/>
      <c r="ARN24" s="188"/>
      <c r="ARO24" s="187"/>
      <c r="ARP24" s="168"/>
      <c r="ARQ24" s="189"/>
      <c r="ARU24" s="188"/>
      <c r="ARV24" s="187"/>
      <c r="ASB24" s="188"/>
      <c r="ASC24" s="187"/>
      <c r="ASI24" s="188"/>
      <c r="ASJ24" s="187"/>
      <c r="ASP24" s="188"/>
      <c r="ASQ24" s="187"/>
      <c r="ASU24" s="168"/>
      <c r="ASV24" s="189"/>
      <c r="ASW24" s="188"/>
      <c r="ASX24" s="187"/>
      <c r="ATD24" s="188"/>
      <c r="ATE24" s="187"/>
      <c r="ATK24" s="188"/>
      <c r="ATL24" s="187"/>
      <c r="ATR24" s="188"/>
      <c r="ATS24" s="187"/>
      <c r="ATY24" s="168"/>
      <c r="ATZ24" s="189"/>
      <c r="AUF24" s="188"/>
      <c r="AUG24" s="187"/>
      <c r="AUM24" s="188"/>
      <c r="AUN24" s="187"/>
      <c r="AUT24" s="188"/>
      <c r="AUU24" s="187"/>
      <c r="AVA24" s="188"/>
      <c r="AVB24" s="187"/>
      <c r="AVD24" s="168"/>
      <c r="AVE24" s="189"/>
      <c r="AVH24" s="188"/>
      <c r="AVI24" s="187"/>
      <c r="AVO24" s="188"/>
      <c r="AVP24" s="187"/>
      <c r="AVV24" s="188"/>
      <c r="AVW24" s="187"/>
      <c r="AWC24" s="188"/>
      <c r="AWD24" s="187"/>
      <c r="AWH24" s="168"/>
      <c r="AWI24" s="189"/>
      <c r="AWJ24" s="188"/>
      <c r="AWK24" s="187"/>
      <c r="AWQ24" s="188"/>
      <c r="AWR24" s="187"/>
      <c r="AWX24" s="188"/>
      <c r="AWY24" s="187"/>
      <c r="AXE24" s="188"/>
      <c r="AXF24" s="187"/>
      <c r="AXL24" s="188"/>
      <c r="AXM24" s="190"/>
      <c r="AXN24" s="189"/>
      <c r="AXS24" s="188"/>
      <c r="AXT24" s="187"/>
      <c r="AXZ24" s="188"/>
      <c r="AYA24" s="187"/>
      <c r="AYG24" s="188"/>
      <c r="AYH24" s="187"/>
      <c r="AYN24" s="188"/>
      <c r="AYO24" s="187"/>
      <c r="AYR24" s="168"/>
      <c r="AYS24" s="189"/>
      <c r="AYU24" s="188"/>
      <c r="AYV24" s="187"/>
      <c r="AZB24" s="188"/>
      <c r="AZC24" s="187"/>
      <c r="AZI24" s="188"/>
      <c r="AZJ24" s="187"/>
      <c r="AZP24" s="188"/>
      <c r="AZQ24" s="187"/>
      <c r="AZV24" s="168"/>
      <c r="AZW24" s="191"/>
      <c r="AZX24" s="187"/>
      <c r="BAD24" s="188"/>
      <c r="BAE24" s="187"/>
      <c r="BAK24" s="188"/>
      <c r="BAL24" s="187"/>
      <c r="BAR24" s="188"/>
      <c r="BAS24" s="187"/>
      <c r="BAY24" s="188"/>
      <c r="BAZ24" s="187"/>
      <c r="BBA24" s="168"/>
      <c r="BBB24" s="189"/>
      <c r="BBF24" s="188"/>
      <c r="BBG24" s="187"/>
      <c r="BBM24" s="188"/>
      <c r="BBN24" s="187"/>
      <c r="BBT24" s="188"/>
      <c r="BBU24" s="187"/>
      <c r="BCA24" s="188"/>
      <c r="BCB24" s="187"/>
      <c r="BCE24" s="168"/>
      <c r="BCF24" s="189"/>
      <c r="BCH24" s="188"/>
      <c r="BCI24" s="187"/>
      <c r="BCO24" s="188"/>
      <c r="BCP24" s="187"/>
      <c r="BCV24" s="188"/>
      <c r="BCW24" s="187"/>
      <c r="BDC24" s="188"/>
      <c r="BDD24" s="187"/>
      <c r="BDJ24" s="168"/>
      <c r="BDK24" s="189"/>
      <c r="BDQ24" s="188"/>
      <c r="BDR24" s="187"/>
      <c r="BDX24" s="188"/>
      <c r="BDY24" s="187"/>
      <c r="BEE24" s="188"/>
      <c r="BEF24" s="187"/>
      <c r="BEL24" s="188"/>
      <c r="BEM24" s="187"/>
      <c r="BEO24" s="168"/>
      <c r="BEP24" s="189"/>
      <c r="BES24" s="188"/>
      <c r="BET24" s="187"/>
      <c r="BEZ24" s="188"/>
      <c r="BFA24" s="187"/>
      <c r="BFG24" s="188"/>
      <c r="BFH24" s="187"/>
      <c r="BFN24" s="188"/>
      <c r="BFO24" s="187"/>
      <c r="BFQ24" s="168"/>
      <c r="BFR24" s="189"/>
      <c r="BFU24" s="188"/>
      <c r="BFV24" s="187"/>
      <c r="BGB24" s="188"/>
      <c r="BGC24" s="187"/>
      <c r="BGI24" s="188"/>
      <c r="BGJ24" s="187"/>
      <c r="BGP24" s="188"/>
      <c r="BGQ24" s="187"/>
      <c r="BGV24" s="168"/>
      <c r="BGW24" s="191"/>
      <c r="BGX24" s="187"/>
      <c r="BHD24" s="188"/>
      <c r="BHE24" s="187"/>
      <c r="BHK24" s="188"/>
      <c r="BHL24" s="187"/>
      <c r="BHR24" s="188"/>
      <c r="BHS24" s="187"/>
      <c r="BHY24" s="188"/>
      <c r="BHZ24" s="190"/>
      <c r="BIA24" s="189"/>
      <c r="BIF24" s="188"/>
      <c r="BIG24" s="187"/>
      <c r="BIM24" s="188"/>
      <c r="BIN24" s="187"/>
      <c r="BIT24" s="188"/>
      <c r="BIU24" s="187"/>
      <c r="BJA24" s="188"/>
      <c r="BJB24" s="187"/>
      <c r="BJE24" s="168"/>
      <c r="BJF24" s="189"/>
      <c r="BJH24" s="188"/>
      <c r="BJI24" s="187"/>
      <c r="BJO24" s="188"/>
      <c r="BJP24" s="187"/>
      <c r="BJV24" s="188"/>
      <c r="BJW24" s="187"/>
      <c r="BKC24" s="188"/>
      <c r="BKD24" s="187"/>
      <c r="BKI24" s="168"/>
      <c r="BKJ24" s="191"/>
      <c r="BKK24" s="187"/>
      <c r="BKQ24" s="188"/>
      <c r="BKR24" s="187"/>
      <c r="BKX24" s="188"/>
      <c r="BKY24" s="187"/>
      <c r="BLE24" s="188"/>
      <c r="BLF24" s="187"/>
      <c r="BLL24" s="188"/>
      <c r="BLM24" s="187"/>
      <c r="BLN24" s="168"/>
      <c r="BLO24" s="189"/>
      <c r="BLS24" s="188"/>
      <c r="BLT24" s="187"/>
      <c r="BLZ24" s="188"/>
      <c r="BMA24" s="187"/>
      <c r="BMG24" s="188"/>
      <c r="BMH24" s="187"/>
      <c r="BMN24" s="188"/>
      <c r="BMO24" s="187"/>
      <c r="BMS24" s="168"/>
      <c r="BMT24" s="189"/>
      <c r="BMU24" s="188"/>
      <c r="BMV24" s="187"/>
      <c r="BNB24" s="188"/>
      <c r="BNC24" s="187"/>
      <c r="BNI24" s="188"/>
      <c r="BNJ24" s="187"/>
      <c r="BNP24" s="188"/>
      <c r="BNQ24" s="187"/>
      <c r="BNW24" s="168"/>
      <c r="BNX24" s="189"/>
      <c r="BOD24" s="188"/>
      <c r="BOE24" s="187"/>
      <c r="BOK24" s="188"/>
      <c r="BOL24" s="187"/>
      <c r="BOR24" s="188"/>
      <c r="BOS24" s="187"/>
      <c r="BOY24" s="188"/>
      <c r="BOZ24" s="187"/>
      <c r="BPB24" s="168"/>
      <c r="BPC24" s="189"/>
      <c r="BPF24" s="188"/>
      <c r="BPG24" s="187"/>
      <c r="BPM24" s="188"/>
      <c r="BPN24" s="187"/>
      <c r="BPT24" s="188"/>
      <c r="BPU24" s="187"/>
      <c r="BQA24" s="188"/>
      <c r="BQB24" s="187"/>
      <c r="BQF24" s="168"/>
      <c r="BQG24" s="189"/>
      <c r="BQH24" s="188"/>
      <c r="BQI24" s="187"/>
      <c r="BQO24" s="188"/>
      <c r="BQP24" s="187"/>
      <c r="BQV24" s="188"/>
      <c r="BQW24" s="187"/>
      <c r="BRC24" s="188"/>
      <c r="BRD24" s="187"/>
      <c r="BRJ24" s="188"/>
      <c r="BRK24" s="190"/>
      <c r="BRL24" s="189"/>
      <c r="BRQ24" s="188"/>
      <c r="BRR24" s="187"/>
      <c r="BRX24" s="188"/>
      <c r="BRY24" s="187"/>
      <c r="BSE24" s="188"/>
      <c r="BSF24" s="187"/>
      <c r="BSL24" s="188"/>
      <c r="BSM24" s="187"/>
      <c r="BSP24" s="168"/>
      <c r="BSQ24" s="189"/>
      <c r="BSS24" s="188"/>
      <c r="BST24" s="187"/>
      <c r="BSZ24" s="188"/>
      <c r="BTA24" s="187"/>
      <c r="BTG24" s="188"/>
      <c r="BTH24" s="187"/>
      <c r="BTN24" s="188"/>
      <c r="BTO24" s="187"/>
      <c r="BTS24" s="168"/>
      <c r="BTT24" s="189"/>
      <c r="BTU24" s="188"/>
      <c r="BTV24" s="187"/>
      <c r="BUB24" s="188"/>
      <c r="BUC24" s="187"/>
      <c r="BUI24" s="188"/>
      <c r="BUJ24" s="187"/>
      <c r="BUP24" s="188"/>
      <c r="BUQ24" s="187"/>
      <c r="BUW24" s="188"/>
      <c r="BUX24" s="190"/>
      <c r="BUY24" s="189"/>
      <c r="BVD24" s="188"/>
      <c r="BVE24" s="187"/>
      <c r="BVK24" s="188"/>
      <c r="BVL24" s="187"/>
      <c r="BVR24" s="188"/>
      <c r="BVS24" s="187"/>
      <c r="BVY24" s="188"/>
      <c r="BVZ24" s="187"/>
      <c r="BWB24" s="168"/>
      <c r="BWC24" s="189"/>
      <c r="BWF24" s="188"/>
      <c r="BWG24" s="187"/>
      <c r="BWM24" s="188"/>
      <c r="BWN24" s="187"/>
      <c r="BWT24" s="188"/>
      <c r="BWU24" s="187"/>
      <c r="BXA24" s="188"/>
      <c r="BXB24" s="187"/>
      <c r="BXG24" s="168"/>
      <c r="BXH24" s="191"/>
      <c r="BXI24" s="187"/>
      <c r="BXO24" s="188"/>
      <c r="BXP24" s="187"/>
      <c r="BXV24" s="188"/>
      <c r="BXW24" s="187"/>
      <c r="BYC24" s="188"/>
      <c r="BYD24" s="187"/>
      <c r="BYJ24" s="188"/>
      <c r="BYK24" s="190"/>
      <c r="BYL24" s="189"/>
      <c r="BYQ24" s="188"/>
      <c r="BYR24" s="187"/>
      <c r="BYX24" s="188"/>
      <c r="BYY24" s="187"/>
      <c r="BZE24" s="188"/>
      <c r="BZF24" s="187"/>
      <c r="BZL24" s="188"/>
      <c r="BZM24" s="187"/>
      <c r="BZP24" s="168"/>
      <c r="BZQ24" s="189"/>
      <c r="BZS24" s="188"/>
      <c r="BZT24" s="187"/>
      <c r="BZZ24" s="188"/>
      <c r="CAA24" s="187"/>
      <c r="CAG24" s="188"/>
      <c r="CAH24" s="187"/>
      <c r="CAN24" s="188"/>
      <c r="CAO24" s="187"/>
      <c r="CAU24" s="168"/>
      <c r="CAV24" s="189"/>
      <c r="CBB24" s="188"/>
      <c r="CBC24" s="187"/>
      <c r="CBI24" s="188"/>
      <c r="CBJ24" s="187"/>
      <c r="CBP24" s="188"/>
      <c r="CBQ24" s="187"/>
      <c r="CBW24" s="188"/>
      <c r="CBX24" s="187"/>
      <c r="CBY24" s="168"/>
      <c r="CBZ24" s="189"/>
      <c r="CCD24" s="188"/>
      <c r="CCE24" s="187"/>
      <c r="CCK24" s="188"/>
      <c r="CCL24" s="187"/>
      <c r="CCR24" s="188"/>
      <c r="CCS24" s="187"/>
      <c r="CCY24" s="188"/>
      <c r="CCZ24" s="187"/>
      <c r="CDD24" s="168"/>
      <c r="CDE24" s="189"/>
      <c r="CDF24" s="188"/>
      <c r="CDG24" s="187"/>
      <c r="CDM24" s="188"/>
      <c r="CDN24" s="187"/>
      <c r="CDT24" s="188"/>
      <c r="CDU24" s="187"/>
      <c r="CEA24" s="188"/>
      <c r="CEB24" s="187"/>
      <c r="CEH24" s="168"/>
      <c r="CEI24" s="189"/>
      <c r="CEO24" s="188"/>
      <c r="CEP24" s="187"/>
      <c r="CEV24" s="188"/>
      <c r="CEW24" s="187"/>
      <c r="CFC24" s="188"/>
      <c r="CFD24" s="187"/>
      <c r="CFJ24" s="188"/>
      <c r="CFK24" s="187"/>
    </row>
    <row r="25" spans="1:1019 1025:2048 2054:2195">
      <c r="A25" s="164" t="s">
        <v>274</v>
      </c>
      <c r="C25" s="164" t="s">
        <v>275</v>
      </c>
      <c r="D25" s="186"/>
      <c r="E25" s="186"/>
      <c r="K25" s="187"/>
      <c r="Q25" s="188"/>
      <c r="R25" s="187"/>
      <c r="X25" s="188"/>
      <c r="Y25" s="187"/>
      <c r="AE25" s="188"/>
      <c r="AF25" s="187"/>
      <c r="AJ25" s="168"/>
      <c r="AK25" s="189"/>
      <c r="AL25" s="188"/>
      <c r="AM25" s="187"/>
      <c r="AS25" s="188"/>
      <c r="AT25" s="187"/>
      <c r="AZ25" s="188"/>
      <c r="BA25" s="187"/>
      <c r="BG25" s="188"/>
      <c r="BH25" s="187"/>
      <c r="BL25" s="168"/>
      <c r="BM25" s="189"/>
      <c r="BN25" s="188"/>
      <c r="BO25" s="187"/>
      <c r="BU25" s="188"/>
      <c r="BV25" s="187"/>
      <c r="CB25" s="188"/>
      <c r="CC25" s="187"/>
      <c r="CI25" s="188"/>
      <c r="CJ25" s="187"/>
      <c r="CP25" s="188"/>
      <c r="CQ25" s="190"/>
      <c r="CR25" s="189"/>
      <c r="CW25" s="188"/>
      <c r="CX25" s="187"/>
      <c r="DD25" s="188"/>
      <c r="DE25" s="187"/>
      <c r="DK25" s="188"/>
      <c r="DL25" s="187"/>
      <c r="DR25" s="188"/>
      <c r="DS25" s="187"/>
      <c r="DU25" s="168"/>
      <c r="DV25" s="189"/>
      <c r="DY25" s="188"/>
      <c r="DZ25" s="187"/>
      <c r="EF25" s="188"/>
      <c r="EG25" s="187"/>
      <c r="EM25" s="188"/>
      <c r="EN25" s="187"/>
      <c r="ET25" s="188"/>
      <c r="EU25" s="187"/>
      <c r="EZ25" s="168"/>
      <c r="FA25" s="191"/>
      <c r="FB25" s="187"/>
      <c r="FH25" s="188"/>
      <c r="FI25" s="187"/>
      <c r="FO25" s="188"/>
      <c r="FP25" s="187"/>
      <c r="FV25" s="188"/>
      <c r="FW25" s="187"/>
      <c r="GC25" s="188"/>
      <c r="GD25" s="190"/>
      <c r="GE25" s="189"/>
      <c r="GJ25" s="188"/>
      <c r="GK25" s="187"/>
      <c r="GQ25" s="188"/>
      <c r="GR25" s="187"/>
      <c r="GX25" s="188"/>
      <c r="GY25" s="187"/>
      <c r="HE25" s="188"/>
      <c r="HF25" s="187"/>
      <c r="HI25" s="168"/>
      <c r="HJ25" s="189"/>
      <c r="HL25" s="188"/>
      <c r="HM25" s="187"/>
      <c r="HS25" s="188"/>
      <c r="HT25" s="187"/>
      <c r="HZ25" s="188"/>
      <c r="IA25" s="187"/>
      <c r="IG25" s="188"/>
      <c r="IH25" s="187"/>
      <c r="IN25" s="168"/>
      <c r="IO25" s="189"/>
      <c r="IU25" s="188"/>
      <c r="IV25" s="187"/>
      <c r="JB25" s="188"/>
      <c r="JC25" s="187"/>
      <c r="JI25" s="188"/>
      <c r="JJ25" s="187"/>
      <c r="JP25" s="188"/>
      <c r="JQ25" s="187"/>
      <c r="JR25" s="168"/>
      <c r="JS25" s="189"/>
      <c r="JW25" s="188"/>
      <c r="JX25" s="187"/>
      <c r="KD25" s="188"/>
      <c r="KE25" s="187"/>
      <c r="KK25" s="188"/>
      <c r="KL25" s="187"/>
      <c r="KR25" s="188"/>
      <c r="KS25" s="187"/>
      <c r="KW25" s="168"/>
      <c r="KX25" s="189"/>
      <c r="KY25" s="188"/>
      <c r="KZ25" s="187"/>
      <c r="LF25" s="188"/>
      <c r="LG25" s="187"/>
      <c r="LM25" s="188"/>
      <c r="LN25" s="187"/>
      <c r="LT25" s="188"/>
      <c r="LU25" s="187"/>
      <c r="MA25" s="168"/>
      <c r="MB25" s="189"/>
      <c r="MH25" s="188"/>
      <c r="MI25" s="187"/>
      <c r="MO25" s="188"/>
      <c r="MP25" s="187"/>
      <c r="MV25" s="188"/>
      <c r="MW25" s="187"/>
      <c r="NC25" s="188"/>
      <c r="ND25" s="187"/>
      <c r="NF25" s="168"/>
      <c r="NG25" s="189"/>
      <c r="NJ25" s="188"/>
      <c r="NK25" s="187"/>
      <c r="NQ25" s="188"/>
      <c r="NR25" s="187"/>
      <c r="NX25" s="188"/>
      <c r="NY25" s="187"/>
      <c r="OE25" s="188"/>
      <c r="OF25" s="187"/>
      <c r="OK25" s="168"/>
      <c r="OL25" s="191"/>
      <c r="OM25" s="187"/>
      <c r="OS25" s="188"/>
      <c r="OT25" s="187"/>
      <c r="OZ25" s="188"/>
      <c r="PA25" s="187"/>
      <c r="PG25" s="188"/>
      <c r="PH25" s="187"/>
      <c r="PN25" s="168"/>
      <c r="PO25" s="189"/>
      <c r="PU25" s="188"/>
      <c r="PV25" s="187"/>
      <c r="QB25" s="188"/>
      <c r="QC25" s="187"/>
      <c r="QI25" s="188"/>
      <c r="QJ25" s="187"/>
      <c r="QP25" s="188"/>
      <c r="QQ25" s="187"/>
      <c r="QS25" s="168"/>
      <c r="QT25" s="189"/>
      <c r="QW25" s="188"/>
      <c r="QX25" s="187"/>
      <c r="RD25" s="188"/>
      <c r="RE25" s="187"/>
      <c r="RK25" s="188"/>
      <c r="RL25" s="187"/>
      <c r="RR25" s="188"/>
      <c r="RS25" s="187"/>
      <c r="RW25" s="168"/>
      <c r="RX25" s="189"/>
      <c r="RY25" s="188"/>
      <c r="RZ25" s="187"/>
      <c r="SF25" s="188"/>
      <c r="SG25" s="187"/>
      <c r="SM25" s="188"/>
      <c r="SN25" s="187"/>
      <c r="ST25" s="188"/>
      <c r="SU25" s="187"/>
      <c r="TA25" s="188"/>
      <c r="TB25" s="190"/>
      <c r="TC25" s="189"/>
      <c r="TH25" s="188"/>
      <c r="TI25" s="187"/>
      <c r="TO25" s="188"/>
      <c r="TP25" s="187"/>
      <c r="TV25" s="188"/>
      <c r="TW25" s="187"/>
      <c r="UC25" s="188"/>
      <c r="UD25" s="187"/>
      <c r="UF25" s="168"/>
      <c r="UG25" s="189"/>
      <c r="UJ25" s="188"/>
      <c r="UK25" s="187"/>
      <c r="UQ25" s="188"/>
      <c r="UR25" s="187"/>
      <c r="UX25" s="188"/>
      <c r="UY25" s="187"/>
      <c r="VE25" s="188"/>
      <c r="VF25" s="187"/>
      <c r="VK25" s="168"/>
      <c r="VL25" s="191"/>
      <c r="VM25" s="187"/>
      <c r="VS25" s="188"/>
      <c r="VT25" s="187"/>
      <c r="VZ25" s="188"/>
      <c r="WA25" s="187"/>
      <c r="WG25" s="188"/>
      <c r="WH25" s="187"/>
      <c r="WN25" s="188"/>
      <c r="WO25" s="187"/>
      <c r="WP25" s="168"/>
      <c r="WQ25" s="189"/>
      <c r="WU25" s="188"/>
      <c r="WV25" s="187"/>
      <c r="XB25" s="188"/>
      <c r="XC25" s="187"/>
      <c r="XI25" s="188"/>
      <c r="XJ25" s="187"/>
      <c r="XP25" s="188"/>
      <c r="XQ25" s="187"/>
      <c r="XT25" s="168"/>
      <c r="XU25" s="189"/>
      <c r="XW25" s="188"/>
      <c r="XX25" s="187"/>
      <c r="YD25" s="188"/>
      <c r="YE25" s="187"/>
      <c r="YK25" s="188"/>
      <c r="YL25" s="187"/>
      <c r="YR25" s="188"/>
      <c r="YS25" s="187"/>
      <c r="YY25" s="168"/>
      <c r="YZ25" s="189"/>
      <c r="ZF25" s="188"/>
      <c r="ZG25" s="187"/>
      <c r="ZM25" s="188"/>
      <c r="ZN25" s="187"/>
      <c r="ZT25" s="188"/>
      <c r="ZU25" s="187"/>
      <c r="AAA25" s="188"/>
      <c r="AAB25" s="187"/>
      <c r="AAC25" s="168"/>
      <c r="AAD25" s="189"/>
      <c r="AAH25" s="188"/>
      <c r="AAI25" s="187"/>
      <c r="AAO25" s="188"/>
      <c r="AAP25" s="187"/>
      <c r="AAV25" s="188"/>
      <c r="AAW25" s="187"/>
      <c r="ABC25" s="188"/>
      <c r="ABD25" s="187"/>
      <c r="ABH25" s="168"/>
      <c r="ABI25" s="189"/>
      <c r="ABJ25" s="188"/>
      <c r="ABK25" s="187"/>
      <c r="ABQ25" s="188"/>
      <c r="ABR25" s="187"/>
      <c r="ABX25" s="188"/>
      <c r="ABY25" s="187"/>
      <c r="ACE25" s="188"/>
      <c r="ACF25" s="187"/>
      <c r="ACL25" s="188"/>
      <c r="ACM25" s="190"/>
      <c r="ACN25" s="189"/>
      <c r="ACS25" s="188"/>
      <c r="ACT25" s="187"/>
      <c r="ACZ25" s="188"/>
      <c r="ADA25" s="187"/>
      <c r="ADG25" s="188"/>
      <c r="ADH25" s="187"/>
      <c r="ADN25" s="188"/>
      <c r="ADO25" s="190"/>
      <c r="ADP25" s="189"/>
      <c r="ADU25" s="188"/>
      <c r="ADV25" s="187"/>
      <c r="AEB25" s="188"/>
      <c r="AEC25" s="187"/>
      <c r="AEI25" s="188"/>
      <c r="AEJ25" s="187"/>
      <c r="AEP25" s="188"/>
      <c r="AEQ25" s="187"/>
      <c r="AET25" s="168"/>
      <c r="AEU25" s="189"/>
      <c r="AEW25" s="188"/>
      <c r="AEX25" s="187"/>
      <c r="AFD25" s="188"/>
      <c r="AFE25" s="187"/>
      <c r="AFK25" s="188"/>
      <c r="AFL25" s="187"/>
      <c r="AFR25" s="188"/>
      <c r="AFS25" s="187"/>
      <c r="AFX25" s="168"/>
      <c r="AFY25" s="191"/>
      <c r="AFZ25" s="187"/>
      <c r="AGF25" s="188"/>
      <c r="AGG25" s="187"/>
      <c r="AGM25" s="188"/>
      <c r="AGN25" s="187"/>
      <c r="AGT25" s="188"/>
      <c r="AGU25" s="187"/>
      <c r="AHA25" s="188"/>
      <c r="AHB25" s="187"/>
      <c r="AHC25" s="168"/>
      <c r="AHD25" s="189"/>
      <c r="AHH25" s="188"/>
      <c r="AHI25" s="187"/>
      <c r="AHO25" s="188"/>
      <c r="AHP25" s="187"/>
      <c r="AHV25" s="188"/>
      <c r="AHW25" s="187"/>
      <c r="AIC25" s="188"/>
      <c r="AID25" s="187"/>
      <c r="AIG25" s="168"/>
      <c r="AIH25" s="189"/>
      <c r="AIJ25" s="188"/>
      <c r="AIK25" s="187"/>
      <c r="AIQ25" s="188"/>
      <c r="AIR25" s="187"/>
      <c r="AIX25" s="188"/>
      <c r="AIY25" s="187"/>
      <c r="AJE25" s="188"/>
      <c r="AJF25" s="187"/>
      <c r="AJL25" s="168"/>
      <c r="AJM25" s="189"/>
      <c r="AJS25" s="188"/>
      <c r="AJT25" s="187"/>
      <c r="AJZ25" s="188"/>
      <c r="AKA25" s="187"/>
      <c r="AKG25" s="188"/>
      <c r="AKH25" s="187"/>
      <c r="AKN25" s="188"/>
      <c r="AKO25" s="187"/>
      <c r="AKQ25" s="168"/>
      <c r="AKR25" s="189"/>
      <c r="AKU25" s="188"/>
      <c r="AKV25" s="187"/>
      <c r="ALB25" s="188"/>
      <c r="ALC25" s="187"/>
      <c r="ALI25" s="188"/>
      <c r="ALJ25" s="187"/>
      <c r="ALP25" s="188"/>
      <c r="ALQ25" s="187"/>
      <c r="ALU25" s="168"/>
      <c r="ALV25" s="189"/>
      <c r="ALW25" s="188"/>
      <c r="ALX25" s="187"/>
      <c r="AMD25" s="188"/>
      <c r="AME25" s="187"/>
      <c r="AMK25" s="188"/>
      <c r="AML25" s="187"/>
      <c r="AMR25" s="188"/>
      <c r="AMS25" s="187"/>
      <c r="AMY25" s="188"/>
      <c r="AMZ25" s="190"/>
      <c r="ANA25" s="189"/>
      <c r="ANF25" s="188"/>
      <c r="ANG25" s="187"/>
      <c r="ANM25" s="188"/>
      <c r="ANN25" s="187"/>
      <c r="ANT25" s="188"/>
      <c r="ANU25" s="187"/>
      <c r="AOA25" s="188"/>
      <c r="AOB25" s="187"/>
      <c r="AOD25" s="168"/>
      <c r="AOE25" s="189"/>
      <c r="AOH25" s="188"/>
      <c r="AOI25" s="187"/>
      <c r="AOO25" s="188"/>
      <c r="AOP25" s="187"/>
      <c r="AOV25" s="188"/>
      <c r="AOW25" s="187"/>
      <c r="APC25" s="188"/>
      <c r="APD25" s="187"/>
      <c r="API25" s="168"/>
      <c r="APJ25" s="191"/>
      <c r="APK25" s="187"/>
      <c r="APQ25" s="188"/>
      <c r="APR25" s="187"/>
      <c r="APX25" s="188"/>
      <c r="APY25" s="187"/>
      <c r="AQE25" s="188"/>
      <c r="AQF25" s="187"/>
      <c r="AQL25" s="188"/>
      <c r="AQM25" s="187"/>
      <c r="AQN25" s="168"/>
      <c r="AQO25" s="189"/>
      <c r="AQS25" s="188"/>
      <c r="AQT25" s="187"/>
      <c r="AQZ25" s="188"/>
      <c r="ARA25" s="187"/>
      <c r="ARG25" s="188"/>
      <c r="ARH25" s="187"/>
      <c r="ARN25" s="188"/>
      <c r="ARO25" s="187"/>
      <c r="ARP25" s="168"/>
      <c r="ARQ25" s="189"/>
      <c r="ARU25" s="188"/>
      <c r="ARV25" s="187"/>
      <c r="ASB25" s="188"/>
      <c r="ASC25" s="187"/>
      <c r="ASI25" s="188"/>
      <c r="ASJ25" s="187"/>
      <c r="ASP25" s="188"/>
      <c r="ASQ25" s="187"/>
      <c r="ASU25" s="168"/>
      <c r="ASV25" s="189"/>
      <c r="ASW25" s="188"/>
      <c r="ASX25" s="187"/>
      <c r="ATD25" s="188"/>
      <c r="ATE25" s="187"/>
      <c r="ATK25" s="188"/>
      <c r="ATL25" s="187"/>
      <c r="ATR25" s="188"/>
      <c r="ATS25" s="187"/>
      <c r="ATY25" s="168"/>
      <c r="ATZ25" s="189"/>
      <c r="AUF25" s="188"/>
      <c r="AUG25" s="187"/>
      <c r="AUM25" s="188"/>
      <c r="AUN25" s="187"/>
      <c r="AUT25" s="188"/>
      <c r="AUU25" s="187"/>
      <c r="AVA25" s="188"/>
      <c r="AVB25" s="187"/>
      <c r="AVD25" s="168"/>
      <c r="AVE25" s="189"/>
      <c r="AVH25" s="188"/>
      <c r="AVI25" s="187"/>
      <c r="AVO25" s="188"/>
      <c r="AVP25" s="187"/>
      <c r="AVV25" s="188"/>
      <c r="AVW25" s="187"/>
      <c r="AWC25" s="188"/>
      <c r="AWD25" s="187"/>
      <c r="AWH25" s="168"/>
      <c r="AWI25" s="189"/>
      <c r="AWJ25" s="188"/>
      <c r="AWK25" s="187"/>
      <c r="AWQ25" s="188"/>
      <c r="AWR25" s="187"/>
      <c r="AWX25" s="188"/>
      <c r="AWY25" s="187"/>
      <c r="AXE25" s="188"/>
      <c r="AXF25" s="187"/>
      <c r="AXL25" s="188"/>
      <c r="AXM25" s="190"/>
      <c r="AXN25" s="189"/>
      <c r="AXS25" s="188"/>
      <c r="AXT25" s="187"/>
      <c r="AXZ25" s="188"/>
      <c r="AYA25" s="187"/>
      <c r="AYG25" s="188"/>
      <c r="AYH25" s="187"/>
      <c r="AYN25" s="188"/>
      <c r="AYO25" s="187"/>
      <c r="AYR25" s="168"/>
      <c r="AYS25" s="189"/>
      <c r="AYU25" s="188"/>
      <c r="AYV25" s="187"/>
      <c r="AZB25" s="188"/>
      <c r="AZC25" s="187"/>
      <c r="AZI25" s="188"/>
      <c r="AZJ25" s="187"/>
      <c r="AZP25" s="188"/>
      <c r="AZQ25" s="187"/>
      <c r="AZV25" s="168"/>
      <c r="AZW25" s="191"/>
      <c r="AZX25" s="187"/>
      <c r="BAD25" s="188"/>
      <c r="BAE25" s="187"/>
      <c r="BAK25" s="188"/>
      <c r="BAL25" s="187"/>
      <c r="BAR25" s="188"/>
      <c r="BAS25" s="187"/>
      <c r="BAY25" s="188"/>
      <c r="BAZ25" s="187"/>
      <c r="BBA25" s="168"/>
      <c r="BBB25" s="189"/>
      <c r="BBF25" s="188"/>
      <c r="BBG25" s="187"/>
      <c r="BBM25" s="188"/>
      <c r="BBN25" s="187"/>
      <c r="BBT25" s="188"/>
      <c r="BBU25" s="187"/>
      <c r="BCA25" s="188"/>
      <c r="BCB25" s="187"/>
      <c r="BCE25" s="168"/>
      <c r="BCF25" s="189"/>
      <c r="BCH25" s="188"/>
      <c r="BCI25" s="187"/>
      <c r="BCO25" s="188"/>
      <c r="BCP25" s="187"/>
      <c r="BCV25" s="188"/>
      <c r="BCW25" s="187"/>
      <c r="BDC25" s="188"/>
      <c r="BDD25" s="187"/>
      <c r="BDJ25" s="168"/>
      <c r="BDK25" s="189"/>
      <c r="BDQ25" s="188"/>
      <c r="BDR25" s="187"/>
      <c r="BDX25" s="188"/>
      <c r="BDY25" s="187"/>
      <c r="BEE25" s="188"/>
      <c r="BEF25" s="187"/>
      <c r="BEL25" s="188"/>
      <c r="BEM25" s="187"/>
      <c r="BEO25" s="168"/>
      <c r="BEP25" s="189"/>
      <c r="BES25" s="188"/>
      <c r="BET25" s="187"/>
      <c r="BEZ25" s="188"/>
      <c r="BFA25" s="187"/>
      <c r="BFG25" s="188"/>
      <c r="BFH25" s="187"/>
      <c r="BFN25" s="188"/>
      <c r="BFO25" s="187"/>
      <c r="BFQ25" s="168"/>
      <c r="BFR25" s="189"/>
      <c r="BFU25" s="188"/>
      <c r="BFV25" s="187"/>
      <c r="BGB25" s="188"/>
      <c r="BGC25" s="187"/>
      <c r="BGI25" s="188"/>
      <c r="BGJ25" s="187"/>
      <c r="BGP25" s="188"/>
      <c r="BGQ25" s="187"/>
      <c r="BGV25" s="168"/>
      <c r="BGW25" s="191"/>
      <c r="BGX25" s="187"/>
      <c r="BHD25" s="188"/>
      <c r="BHE25" s="187"/>
      <c r="BHK25" s="188"/>
      <c r="BHL25" s="187"/>
      <c r="BHR25" s="188"/>
      <c r="BHS25" s="187"/>
      <c r="BHY25" s="188"/>
      <c r="BHZ25" s="190"/>
      <c r="BIA25" s="189"/>
      <c r="BIF25" s="188"/>
      <c r="BIG25" s="187"/>
      <c r="BIM25" s="188"/>
      <c r="BIN25" s="187"/>
      <c r="BIT25" s="188"/>
      <c r="BIU25" s="187"/>
      <c r="BJA25" s="188"/>
      <c r="BJB25" s="187"/>
      <c r="BJE25" s="168"/>
      <c r="BJF25" s="189"/>
      <c r="BJH25" s="188"/>
      <c r="BJI25" s="187"/>
      <c r="BJO25" s="188"/>
      <c r="BJP25" s="187"/>
      <c r="BJV25" s="188"/>
      <c r="BJW25" s="187"/>
      <c r="BKC25" s="188"/>
      <c r="BKD25" s="187"/>
      <c r="BKI25" s="168"/>
      <c r="BKJ25" s="191"/>
      <c r="BKK25" s="187"/>
      <c r="BKQ25" s="188"/>
      <c r="BKR25" s="187"/>
      <c r="BKX25" s="188"/>
      <c r="BKY25" s="187"/>
      <c r="BLE25" s="188"/>
      <c r="BLF25" s="187"/>
      <c r="BLL25" s="188"/>
      <c r="BLM25" s="187"/>
      <c r="BLN25" s="168"/>
      <c r="BLO25" s="189"/>
      <c r="BLS25" s="188"/>
      <c r="BLT25" s="187"/>
      <c r="BLZ25" s="188"/>
      <c r="BMA25" s="187"/>
      <c r="BMG25" s="188"/>
      <c r="BMH25" s="187"/>
      <c r="BMN25" s="188"/>
      <c r="BMO25" s="187"/>
      <c r="BMS25" s="168"/>
      <c r="BMT25" s="189"/>
      <c r="BMU25" s="188"/>
      <c r="BMV25" s="187"/>
      <c r="BNB25" s="188"/>
      <c r="BNC25" s="187"/>
      <c r="BNI25" s="188"/>
      <c r="BNJ25" s="187"/>
      <c r="BNP25" s="188"/>
      <c r="BNQ25" s="187"/>
      <c r="BNW25" s="168"/>
      <c r="BNX25" s="189"/>
      <c r="BOD25" s="188"/>
      <c r="BOE25" s="187"/>
      <c r="BOK25" s="188"/>
      <c r="BOL25" s="187"/>
      <c r="BOR25" s="188"/>
      <c r="BOS25" s="187"/>
      <c r="BOY25" s="188"/>
      <c r="BOZ25" s="187"/>
      <c r="BPB25" s="168"/>
      <c r="BPC25" s="189"/>
      <c r="BPF25" s="188"/>
      <c r="BPG25" s="187"/>
      <c r="BPM25" s="188"/>
      <c r="BPN25" s="187"/>
      <c r="BPT25" s="188"/>
      <c r="BPU25" s="187"/>
      <c r="BQA25" s="188"/>
      <c r="BQB25" s="187"/>
      <c r="BQF25" s="168"/>
      <c r="BQG25" s="189"/>
      <c r="BQH25" s="188"/>
      <c r="BQI25" s="187"/>
      <c r="BQO25" s="188"/>
      <c r="BQP25" s="187"/>
      <c r="BQV25" s="188"/>
      <c r="BQW25" s="187"/>
      <c r="BRC25" s="188"/>
      <c r="BRD25" s="187"/>
      <c r="BRJ25" s="188"/>
      <c r="BRK25" s="190"/>
      <c r="BRL25" s="189"/>
      <c r="BRQ25" s="188"/>
      <c r="BRR25" s="187"/>
      <c r="BRX25" s="188"/>
      <c r="BRY25" s="187"/>
      <c r="BSE25" s="188"/>
      <c r="BSF25" s="187"/>
      <c r="BSL25" s="188"/>
      <c r="BSM25" s="187"/>
      <c r="BSP25" s="168"/>
      <c r="BSQ25" s="189"/>
      <c r="BSS25" s="188"/>
      <c r="BST25" s="187"/>
      <c r="BSZ25" s="188"/>
      <c r="BTA25" s="187"/>
      <c r="BTG25" s="188"/>
      <c r="BTH25" s="187"/>
      <c r="BTN25" s="188"/>
      <c r="BTO25" s="187"/>
      <c r="BTS25" s="168"/>
      <c r="BTT25" s="189"/>
      <c r="BTU25" s="188"/>
      <c r="BTV25" s="187"/>
      <c r="BUB25" s="188"/>
      <c r="BUC25" s="187"/>
      <c r="BUI25" s="188"/>
      <c r="BUJ25" s="187"/>
      <c r="BUP25" s="188"/>
      <c r="BUQ25" s="187"/>
      <c r="BUW25" s="188"/>
      <c r="BUX25" s="190"/>
      <c r="BUY25" s="189"/>
      <c r="BVD25" s="188"/>
      <c r="BVE25" s="187"/>
      <c r="BVK25" s="188"/>
      <c r="BVL25" s="187"/>
      <c r="BVR25" s="188"/>
      <c r="BVS25" s="187"/>
      <c r="BVY25" s="188"/>
      <c r="BVZ25" s="187"/>
      <c r="BWB25" s="168"/>
      <c r="BWC25" s="189"/>
      <c r="BWF25" s="188"/>
      <c r="BWG25" s="187"/>
      <c r="BWM25" s="188"/>
      <c r="BWN25" s="187"/>
      <c r="BWT25" s="188"/>
      <c r="BWU25" s="187"/>
      <c r="BXA25" s="188"/>
      <c r="BXB25" s="187"/>
      <c r="BXG25" s="168"/>
      <c r="BXH25" s="191"/>
      <c r="BXI25" s="187"/>
      <c r="BXO25" s="188"/>
      <c r="BXP25" s="187"/>
      <c r="BXV25" s="188"/>
      <c r="BXW25" s="187"/>
      <c r="BYC25" s="188"/>
      <c r="BYD25" s="187"/>
      <c r="BYJ25" s="188"/>
      <c r="BYK25" s="190"/>
      <c r="BYL25" s="189"/>
      <c r="BYQ25" s="188"/>
      <c r="BYR25" s="187"/>
      <c r="BYX25" s="188"/>
      <c r="BYY25" s="187"/>
      <c r="BZE25" s="188"/>
      <c r="BZF25" s="187"/>
      <c r="BZL25" s="188"/>
      <c r="BZM25" s="187"/>
      <c r="BZP25" s="168"/>
      <c r="BZQ25" s="189"/>
      <c r="BZS25" s="188"/>
      <c r="BZT25" s="187"/>
      <c r="BZZ25" s="188"/>
      <c r="CAA25" s="187"/>
      <c r="CAG25" s="188"/>
      <c r="CAH25" s="187"/>
      <c r="CAN25" s="188"/>
      <c r="CAO25" s="187"/>
      <c r="CAU25" s="168"/>
      <c r="CAV25" s="189"/>
      <c r="CBB25" s="188"/>
      <c r="CBC25" s="187"/>
      <c r="CBI25" s="188"/>
      <c r="CBJ25" s="187"/>
      <c r="CBP25" s="188"/>
      <c r="CBQ25" s="187"/>
      <c r="CBW25" s="188"/>
      <c r="CBX25" s="187"/>
      <c r="CBY25" s="168"/>
      <c r="CBZ25" s="189"/>
      <c r="CCD25" s="188"/>
      <c r="CCE25" s="187"/>
      <c r="CCK25" s="188"/>
      <c r="CCL25" s="187"/>
      <c r="CCR25" s="188"/>
      <c r="CCS25" s="187"/>
      <c r="CCY25" s="188"/>
      <c r="CCZ25" s="187"/>
      <c r="CDD25" s="168"/>
      <c r="CDE25" s="189"/>
      <c r="CDF25" s="188"/>
      <c r="CDG25" s="187"/>
      <c r="CDM25" s="188"/>
      <c r="CDN25" s="187"/>
      <c r="CDT25" s="188"/>
      <c r="CDU25" s="187"/>
      <c r="CEA25" s="188"/>
      <c r="CEB25" s="187"/>
      <c r="CEH25" s="168"/>
      <c r="CEI25" s="189"/>
      <c r="CEO25" s="188"/>
      <c r="CEP25" s="187"/>
      <c r="CEV25" s="188"/>
      <c r="CEW25" s="187"/>
      <c r="CFC25" s="188"/>
      <c r="CFD25" s="187"/>
      <c r="CFJ25" s="188"/>
      <c r="CFK25" s="187"/>
    </row>
    <row r="26" spans="1:1019 1025:2048 2054:2195">
      <c r="A26" s="164" t="s">
        <v>276</v>
      </c>
      <c r="C26" s="164" t="s">
        <v>277</v>
      </c>
      <c r="D26" s="186"/>
      <c r="E26" s="186"/>
      <c r="K26" s="187"/>
      <c r="Q26" s="188"/>
      <c r="R26" s="187"/>
      <c r="X26" s="188"/>
      <c r="Y26" s="187"/>
      <c r="AE26" s="188"/>
      <c r="AF26" s="187"/>
      <c r="AJ26" s="168"/>
      <c r="AK26" s="189"/>
      <c r="AL26" s="188"/>
      <c r="AM26" s="187"/>
      <c r="AS26" s="188"/>
      <c r="AT26" s="187"/>
      <c r="AZ26" s="188"/>
      <c r="BA26" s="187"/>
      <c r="BG26" s="188"/>
      <c r="BH26" s="187"/>
      <c r="BL26" s="168"/>
      <c r="BM26" s="189"/>
      <c r="BN26" s="188"/>
      <c r="BO26" s="187"/>
      <c r="BU26" s="188"/>
      <c r="BV26" s="187"/>
      <c r="CB26" s="188"/>
      <c r="CC26" s="187"/>
      <c r="CI26" s="188"/>
      <c r="CJ26" s="187"/>
      <c r="CP26" s="188"/>
      <c r="CQ26" s="190"/>
      <c r="CR26" s="189"/>
      <c r="CW26" s="188"/>
      <c r="CX26" s="187"/>
      <c r="DD26" s="188"/>
      <c r="DE26" s="187"/>
      <c r="DK26" s="188"/>
      <c r="DL26" s="187"/>
      <c r="DR26" s="188"/>
      <c r="DS26" s="187"/>
      <c r="DU26" s="168"/>
      <c r="DV26" s="189"/>
      <c r="DY26" s="188"/>
      <c r="DZ26" s="187"/>
      <c r="EF26" s="188"/>
      <c r="EG26" s="187"/>
      <c r="EM26" s="188"/>
      <c r="EN26" s="187"/>
      <c r="ET26" s="188"/>
      <c r="EU26" s="187"/>
      <c r="EZ26" s="168"/>
      <c r="FA26" s="191"/>
      <c r="FB26" s="187"/>
      <c r="FH26" s="188"/>
      <c r="FI26" s="187"/>
      <c r="FO26" s="188"/>
      <c r="FP26" s="187"/>
      <c r="FV26" s="188"/>
      <c r="FW26" s="187"/>
      <c r="GC26" s="188"/>
      <c r="GD26" s="190"/>
      <c r="GE26" s="189"/>
      <c r="GJ26" s="188"/>
      <c r="GK26" s="187"/>
      <c r="GQ26" s="188"/>
      <c r="GR26" s="187"/>
      <c r="GX26" s="188"/>
      <c r="GY26" s="187"/>
      <c r="HE26" s="188"/>
      <c r="HF26" s="187"/>
      <c r="HI26" s="168"/>
      <c r="HJ26" s="189"/>
      <c r="HL26" s="188"/>
      <c r="HM26" s="187"/>
      <c r="HS26" s="188"/>
      <c r="HT26" s="187"/>
      <c r="HZ26" s="188"/>
      <c r="IA26" s="187"/>
      <c r="IG26" s="188"/>
      <c r="IH26" s="187"/>
      <c r="IN26" s="168"/>
      <c r="IO26" s="189"/>
      <c r="IU26" s="188"/>
      <c r="IV26" s="187"/>
      <c r="JB26" s="188"/>
      <c r="JC26" s="187"/>
      <c r="JI26" s="188"/>
      <c r="JJ26" s="187"/>
      <c r="JP26" s="188"/>
      <c r="JQ26" s="187"/>
      <c r="JR26" s="168"/>
      <c r="JS26" s="189"/>
      <c r="JW26" s="188"/>
      <c r="JX26" s="187"/>
      <c r="KD26" s="188"/>
      <c r="KE26" s="187"/>
      <c r="KK26" s="188"/>
      <c r="KL26" s="187"/>
      <c r="KR26" s="188"/>
      <c r="KS26" s="187"/>
      <c r="KW26" s="168"/>
      <c r="KX26" s="189"/>
      <c r="KY26" s="188"/>
      <c r="KZ26" s="187"/>
      <c r="LF26" s="188"/>
      <c r="LG26" s="187"/>
      <c r="LM26" s="188"/>
      <c r="LN26" s="187"/>
      <c r="LT26" s="188"/>
      <c r="LU26" s="187"/>
      <c r="MA26" s="168"/>
      <c r="MB26" s="189"/>
      <c r="MH26" s="188"/>
      <c r="MI26" s="187"/>
      <c r="MO26" s="188"/>
      <c r="MP26" s="187"/>
      <c r="MV26" s="188"/>
      <c r="MW26" s="187"/>
      <c r="NC26" s="188"/>
      <c r="ND26" s="187"/>
      <c r="NF26" s="168"/>
      <c r="NG26" s="189"/>
      <c r="NJ26" s="188"/>
      <c r="NK26" s="187"/>
      <c r="NQ26" s="188"/>
      <c r="NR26" s="187"/>
      <c r="NX26" s="188"/>
      <c r="NY26" s="187"/>
      <c r="OE26" s="188"/>
      <c r="OF26" s="187"/>
      <c r="OK26" s="168"/>
      <c r="OL26" s="191"/>
      <c r="OM26" s="187"/>
      <c r="OS26" s="188"/>
      <c r="OT26" s="187"/>
      <c r="OZ26" s="188"/>
      <c r="PA26" s="187"/>
      <c r="PG26" s="188"/>
      <c r="PH26" s="187"/>
      <c r="PN26" s="168"/>
      <c r="PO26" s="189"/>
      <c r="PU26" s="188"/>
      <c r="PV26" s="187"/>
      <c r="QB26" s="188"/>
      <c r="QC26" s="187"/>
      <c r="QI26" s="188"/>
      <c r="QJ26" s="187"/>
      <c r="QP26" s="188"/>
      <c r="QQ26" s="187"/>
      <c r="QS26" s="168"/>
      <c r="QT26" s="189"/>
      <c r="QW26" s="188"/>
      <c r="QX26" s="187"/>
      <c r="RD26" s="188"/>
      <c r="RE26" s="187"/>
      <c r="RK26" s="188"/>
      <c r="RL26" s="187"/>
      <c r="RR26" s="188"/>
      <c r="RS26" s="187"/>
      <c r="RW26" s="168"/>
      <c r="RX26" s="189"/>
      <c r="RY26" s="188"/>
      <c r="RZ26" s="187"/>
      <c r="SF26" s="188"/>
      <c r="SG26" s="187"/>
      <c r="SM26" s="188"/>
      <c r="SN26" s="187"/>
      <c r="ST26" s="188"/>
      <c r="SU26" s="187"/>
      <c r="TA26" s="188"/>
      <c r="TB26" s="190"/>
      <c r="TC26" s="189"/>
      <c r="TH26" s="188"/>
      <c r="TI26" s="187"/>
      <c r="TO26" s="188"/>
      <c r="TP26" s="187"/>
      <c r="TV26" s="188"/>
      <c r="TW26" s="187"/>
      <c r="UC26" s="188"/>
      <c r="UD26" s="187"/>
      <c r="UF26" s="168"/>
      <c r="UG26" s="189"/>
      <c r="UJ26" s="188"/>
      <c r="UK26" s="187"/>
      <c r="UQ26" s="188"/>
      <c r="UR26" s="187"/>
      <c r="UX26" s="188"/>
      <c r="UY26" s="187"/>
      <c r="VE26" s="188"/>
      <c r="VF26" s="187"/>
      <c r="VK26" s="168"/>
      <c r="VL26" s="191"/>
      <c r="VM26" s="187"/>
      <c r="VS26" s="188"/>
      <c r="VT26" s="187"/>
      <c r="VZ26" s="188"/>
      <c r="WA26" s="187"/>
      <c r="WG26" s="188"/>
      <c r="WH26" s="187"/>
      <c r="WN26" s="188"/>
      <c r="WO26" s="187"/>
      <c r="WP26" s="168"/>
      <c r="WQ26" s="189"/>
      <c r="WU26" s="188"/>
      <c r="WV26" s="187"/>
      <c r="XB26" s="188"/>
      <c r="XC26" s="187"/>
      <c r="XI26" s="188"/>
      <c r="XJ26" s="187"/>
      <c r="XP26" s="188"/>
      <c r="XQ26" s="187"/>
      <c r="XT26" s="168"/>
      <c r="XU26" s="189"/>
      <c r="XW26" s="188"/>
      <c r="XX26" s="187"/>
      <c r="YD26" s="188"/>
      <c r="YE26" s="187"/>
      <c r="YK26" s="188"/>
      <c r="YL26" s="187"/>
      <c r="YR26" s="188"/>
      <c r="YS26" s="187"/>
      <c r="YY26" s="168"/>
      <c r="YZ26" s="189"/>
      <c r="ZF26" s="188"/>
      <c r="ZG26" s="187"/>
      <c r="ZM26" s="188"/>
      <c r="ZN26" s="187"/>
      <c r="ZT26" s="188"/>
      <c r="ZU26" s="187"/>
      <c r="AAA26" s="188"/>
      <c r="AAB26" s="187"/>
      <c r="AAC26" s="168"/>
      <c r="AAD26" s="189"/>
      <c r="AAH26" s="188"/>
      <c r="AAI26" s="187"/>
      <c r="AAO26" s="188"/>
      <c r="AAP26" s="187"/>
      <c r="AAV26" s="188"/>
      <c r="AAW26" s="187"/>
      <c r="ABC26" s="188"/>
      <c r="ABD26" s="187"/>
      <c r="ABH26" s="168"/>
      <c r="ABI26" s="189"/>
      <c r="ABJ26" s="188"/>
      <c r="ABK26" s="187"/>
      <c r="ABQ26" s="188"/>
      <c r="ABR26" s="187"/>
      <c r="ABX26" s="188"/>
      <c r="ABY26" s="187"/>
      <c r="ACE26" s="188"/>
      <c r="ACF26" s="187"/>
      <c r="ACL26" s="188"/>
      <c r="ACM26" s="190"/>
      <c r="ACN26" s="189"/>
      <c r="ACS26" s="188"/>
      <c r="ACT26" s="187"/>
      <c r="ACZ26" s="188"/>
      <c r="ADA26" s="187"/>
      <c r="ADG26" s="188"/>
      <c r="ADH26" s="187"/>
      <c r="ADN26" s="188"/>
      <c r="ADO26" s="190"/>
      <c r="ADP26" s="189"/>
      <c r="ADU26" s="188"/>
      <c r="ADV26" s="187"/>
      <c r="AEB26" s="188"/>
      <c r="AEC26" s="187"/>
      <c r="AEI26" s="188"/>
      <c r="AEJ26" s="187"/>
      <c r="AEP26" s="188"/>
      <c r="AEQ26" s="187"/>
      <c r="AET26" s="168"/>
      <c r="AEU26" s="189"/>
      <c r="AEW26" s="188"/>
      <c r="AEX26" s="187"/>
      <c r="AFD26" s="188"/>
      <c r="AFE26" s="187"/>
      <c r="AFK26" s="188"/>
      <c r="AFL26" s="187"/>
      <c r="AFR26" s="188"/>
      <c r="AFS26" s="187"/>
      <c r="AFX26" s="168"/>
      <c r="AFY26" s="191"/>
      <c r="AFZ26" s="187"/>
      <c r="AGF26" s="188"/>
      <c r="AGG26" s="187"/>
      <c r="AGM26" s="188"/>
      <c r="AGN26" s="187"/>
      <c r="AGT26" s="188"/>
      <c r="AGU26" s="187"/>
      <c r="AHA26" s="188"/>
      <c r="AHB26" s="187"/>
      <c r="AHC26" s="168"/>
      <c r="AHD26" s="189"/>
      <c r="AHH26" s="188"/>
      <c r="AHI26" s="187"/>
      <c r="AHO26" s="188"/>
      <c r="AHP26" s="187"/>
      <c r="AHV26" s="188"/>
      <c r="AHW26" s="187"/>
      <c r="AIC26" s="188"/>
      <c r="AID26" s="187"/>
      <c r="AIG26" s="168"/>
      <c r="AIH26" s="189"/>
      <c r="AIJ26" s="188"/>
      <c r="AIK26" s="187"/>
      <c r="AIQ26" s="188"/>
      <c r="AIR26" s="187"/>
      <c r="AIX26" s="188"/>
      <c r="AIY26" s="187"/>
      <c r="AJE26" s="188"/>
      <c r="AJF26" s="187"/>
      <c r="AJL26" s="168"/>
      <c r="AJM26" s="189"/>
      <c r="AJS26" s="188"/>
      <c r="AJT26" s="187"/>
      <c r="AJZ26" s="188"/>
      <c r="AKA26" s="187"/>
      <c r="AKG26" s="188"/>
      <c r="AKH26" s="187"/>
      <c r="AKN26" s="188"/>
      <c r="AKO26" s="187"/>
      <c r="AKQ26" s="168"/>
      <c r="AKR26" s="189"/>
      <c r="AKU26" s="188"/>
      <c r="AKV26" s="187"/>
      <c r="ALB26" s="188"/>
      <c r="ALC26" s="187"/>
      <c r="ALI26" s="188"/>
      <c r="ALJ26" s="187"/>
      <c r="ALP26" s="188"/>
      <c r="ALQ26" s="187"/>
      <c r="ALU26" s="168"/>
      <c r="ALV26" s="189"/>
      <c r="ALW26" s="188"/>
      <c r="ALX26" s="187"/>
      <c r="AMD26" s="188"/>
      <c r="AME26" s="187"/>
      <c r="AMK26" s="188"/>
      <c r="AML26" s="187"/>
      <c r="AMR26" s="188"/>
      <c r="AMS26" s="187"/>
      <c r="AMY26" s="188"/>
      <c r="AMZ26" s="190"/>
      <c r="ANA26" s="189"/>
      <c r="ANF26" s="188"/>
      <c r="ANG26" s="187"/>
      <c r="ANM26" s="188"/>
      <c r="ANN26" s="187"/>
      <c r="ANT26" s="188"/>
      <c r="ANU26" s="187"/>
      <c r="AOA26" s="188"/>
      <c r="AOB26" s="187"/>
      <c r="AOD26" s="168"/>
      <c r="AOE26" s="189"/>
      <c r="AOH26" s="188"/>
      <c r="AOI26" s="187"/>
      <c r="AOO26" s="188"/>
      <c r="AOP26" s="187"/>
      <c r="AOV26" s="188"/>
      <c r="AOW26" s="187"/>
      <c r="APC26" s="188"/>
      <c r="APD26" s="187"/>
      <c r="API26" s="168"/>
      <c r="APJ26" s="191"/>
      <c r="APK26" s="187"/>
      <c r="APQ26" s="188"/>
      <c r="APR26" s="187"/>
      <c r="APX26" s="188"/>
      <c r="APY26" s="187"/>
      <c r="AQE26" s="188"/>
      <c r="AQF26" s="187"/>
      <c r="AQL26" s="188"/>
      <c r="AQM26" s="187"/>
      <c r="AQN26" s="168"/>
      <c r="AQO26" s="189"/>
      <c r="AQS26" s="188"/>
      <c r="AQT26" s="187"/>
      <c r="AQZ26" s="188"/>
      <c r="ARA26" s="187"/>
      <c r="ARG26" s="188"/>
      <c r="ARH26" s="187"/>
      <c r="ARN26" s="188"/>
      <c r="ARO26" s="187"/>
      <c r="ARP26" s="168"/>
      <c r="ARQ26" s="189"/>
      <c r="ARU26" s="188"/>
      <c r="ARV26" s="187"/>
      <c r="ASB26" s="188"/>
      <c r="ASC26" s="187"/>
      <c r="ASI26" s="188"/>
      <c r="ASJ26" s="187"/>
      <c r="ASP26" s="188"/>
      <c r="ASQ26" s="187"/>
      <c r="ASU26" s="168"/>
      <c r="ASV26" s="189"/>
      <c r="ASW26" s="188"/>
      <c r="ASX26" s="187"/>
      <c r="ATD26" s="188"/>
      <c r="ATE26" s="187"/>
      <c r="ATK26" s="188"/>
      <c r="ATL26" s="187"/>
      <c r="ATR26" s="188"/>
      <c r="ATS26" s="187"/>
      <c r="ATY26" s="168"/>
      <c r="ATZ26" s="189"/>
      <c r="AUF26" s="188"/>
      <c r="AUG26" s="187"/>
      <c r="AUM26" s="188"/>
      <c r="AUN26" s="187"/>
      <c r="AUT26" s="188"/>
      <c r="AUU26" s="187"/>
      <c r="AVA26" s="188"/>
      <c r="AVB26" s="187"/>
      <c r="AVD26" s="168"/>
      <c r="AVE26" s="189"/>
      <c r="AVH26" s="188"/>
      <c r="AVI26" s="187"/>
      <c r="AVO26" s="188"/>
      <c r="AVP26" s="187"/>
      <c r="AVV26" s="188"/>
      <c r="AVW26" s="187"/>
      <c r="AWC26" s="188"/>
      <c r="AWD26" s="187"/>
      <c r="AWH26" s="168"/>
      <c r="AWI26" s="189"/>
      <c r="AWJ26" s="188"/>
      <c r="AWK26" s="187"/>
      <c r="AWQ26" s="188"/>
      <c r="AWR26" s="187"/>
      <c r="AWX26" s="188"/>
      <c r="AWY26" s="187"/>
      <c r="AXE26" s="188"/>
      <c r="AXF26" s="187"/>
      <c r="AXL26" s="188"/>
      <c r="AXM26" s="190"/>
      <c r="AXN26" s="189"/>
      <c r="AXS26" s="188"/>
      <c r="AXT26" s="187"/>
      <c r="AXZ26" s="188"/>
      <c r="AYA26" s="187"/>
      <c r="AYG26" s="188"/>
      <c r="AYH26" s="187"/>
      <c r="AYN26" s="188"/>
      <c r="AYO26" s="187"/>
      <c r="AYR26" s="168"/>
      <c r="AYS26" s="189"/>
      <c r="AYU26" s="188"/>
      <c r="AYV26" s="187"/>
      <c r="AZB26" s="188"/>
      <c r="AZC26" s="187"/>
      <c r="AZI26" s="188"/>
      <c r="AZJ26" s="187"/>
      <c r="AZP26" s="188"/>
      <c r="AZQ26" s="187"/>
      <c r="AZV26" s="168"/>
      <c r="AZW26" s="191"/>
      <c r="AZX26" s="187"/>
      <c r="BAD26" s="188"/>
      <c r="BAE26" s="187"/>
      <c r="BAK26" s="188"/>
      <c r="BAL26" s="187"/>
      <c r="BAR26" s="188"/>
      <c r="BAS26" s="187"/>
      <c r="BAY26" s="188"/>
      <c r="BAZ26" s="187"/>
      <c r="BBA26" s="168"/>
      <c r="BBB26" s="189"/>
      <c r="BBF26" s="188"/>
      <c r="BBG26" s="187"/>
      <c r="BBM26" s="188"/>
      <c r="BBN26" s="187"/>
      <c r="BBT26" s="188"/>
      <c r="BBU26" s="187"/>
      <c r="BCA26" s="188"/>
      <c r="BCB26" s="187"/>
      <c r="BCE26" s="168"/>
      <c r="BCF26" s="189"/>
      <c r="BCH26" s="188"/>
      <c r="BCI26" s="187"/>
      <c r="BCO26" s="188"/>
      <c r="BCP26" s="187"/>
      <c r="BCV26" s="188"/>
      <c r="BCW26" s="187"/>
      <c r="BDC26" s="188"/>
      <c r="BDD26" s="187"/>
      <c r="BDJ26" s="168"/>
      <c r="BDK26" s="189"/>
      <c r="BDQ26" s="188"/>
      <c r="BDR26" s="187"/>
      <c r="BDX26" s="188"/>
      <c r="BDY26" s="187"/>
      <c r="BEE26" s="188"/>
      <c r="BEF26" s="187"/>
      <c r="BEL26" s="188"/>
      <c r="BEM26" s="187"/>
      <c r="BEO26" s="168"/>
      <c r="BEP26" s="189"/>
      <c r="BES26" s="188"/>
      <c r="BET26" s="187"/>
      <c r="BEZ26" s="188"/>
      <c r="BFA26" s="187"/>
      <c r="BFG26" s="188"/>
      <c r="BFH26" s="187"/>
      <c r="BFN26" s="188"/>
      <c r="BFO26" s="187"/>
      <c r="BFQ26" s="168"/>
      <c r="BFR26" s="189"/>
      <c r="BFU26" s="188"/>
      <c r="BFV26" s="187"/>
      <c r="BGB26" s="188"/>
      <c r="BGC26" s="187"/>
      <c r="BGI26" s="188"/>
      <c r="BGJ26" s="187"/>
      <c r="BGP26" s="188"/>
      <c r="BGQ26" s="187"/>
      <c r="BGV26" s="168"/>
      <c r="BGW26" s="191"/>
      <c r="BGX26" s="187"/>
      <c r="BHD26" s="188"/>
      <c r="BHE26" s="187"/>
      <c r="BHK26" s="188"/>
      <c r="BHL26" s="187"/>
      <c r="BHR26" s="188"/>
      <c r="BHS26" s="187"/>
      <c r="BHY26" s="188"/>
      <c r="BHZ26" s="190"/>
      <c r="BIA26" s="189"/>
      <c r="BIF26" s="188"/>
      <c r="BIG26" s="187"/>
      <c r="BIM26" s="188"/>
      <c r="BIN26" s="187"/>
      <c r="BIT26" s="188"/>
      <c r="BIU26" s="187"/>
      <c r="BJA26" s="188"/>
      <c r="BJB26" s="187"/>
      <c r="BJE26" s="168"/>
      <c r="BJF26" s="189"/>
      <c r="BJH26" s="188"/>
      <c r="BJI26" s="187"/>
      <c r="BJO26" s="188"/>
      <c r="BJP26" s="187"/>
      <c r="BJV26" s="188"/>
      <c r="BJW26" s="187"/>
      <c r="BKC26" s="188"/>
      <c r="BKD26" s="187"/>
      <c r="BKI26" s="168"/>
      <c r="BKJ26" s="191"/>
      <c r="BKK26" s="187"/>
      <c r="BKQ26" s="188"/>
      <c r="BKR26" s="187"/>
      <c r="BKX26" s="188"/>
      <c r="BKY26" s="187"/>
      <c r="BLE26" s="188"/>
      <c r="BLF26" s="187"/>
      <c r="BLL26" s="188"/>
      <c r="BLM26" s="187"/>
      <c r="BLN26" s="168"/>
      <c r="BLO26" s="189"/>
      <c r="BLS26" s="188"/>
      <c r="BLT26" s="187"/>
      <c r="BLZ26" s="188"/>
      <c r="BMA26" s="187"/>
      <c r="BMG26" s="188"/>
      <c r="BMH26" s="187"/>
      <c r="BMN26" s="188"/>
      <c r="BMO26" s="187"/>
      <c r="BMS26" s="168"/>
      <c r="BMT26" s="189"/>
      <c r="BMU26" s="188"/>
      <c r="BMV26" s="187"/>
      <c r="BNB26" s="188"/>
      <c r="BNC26" s="187"/>
      <c r="BNI26" s="188"/>
      <c r="BNJ26" s="187"/>
      <c r="BNP26" s="188"/>
      <c r="BNQ26" s="187"/>
      <c r="BNW26" s="168"/>
      <c r="BNX26" s="189"/>
      <c r="BOD26" s="188"/>
      <c r="BOE26" s="187"/>
      <c r="BOK26" s="188"/>
      <c r="BOL26" s="187"/>
      <c r="BOR26" s="188"/>
      <c r="BOS26" s="187"/>
      <c r="BOY26" s="188"/>
      <c r="BOZ26" s="187"/>
      <c r="BPB26" s="168"/>
      <c r="BPC26" s="189"/>
      <c r="BPF26" s="188"/>
      <c r="BPG26" s="187"/>
      <c r="BPM26" s="188"/>
      <c r="BPN26" s="187"/>
      <c r="BPT26" s="188"/>
      <c r="BPU26" s="187"/>
      <c r="BQA26" s="188"/>
      <c r="BQB26" s="187"/>
      <c r="BQF26" s="168"/>
      <c r="BQG26" s="189"/>
      <c r="BQH26" s="188"/>
      <c r="BQI26" s="187"/>
      <c r="BQO26" s="188"/>
      <c r="BQP26" s="187"/>
      <c r="BQV26" s="188"/>
      <c r="BQW26" s="187"/>
      <c r="BRC26" s="188"/>
      <c r="BRD26" s="187"/>
      <c r="BRJ26" s="188"/>
      <c r="BRK26" s="190"/>
      <c r="BRL26" s="189"/>
      <c r="BRQ26" s="188"/>
      <c r="BRR26" s="187"/>
      <c r="BRX26" s="188"/>
      <c r="BRY26" s="187"/>
      <c r="BSE26" s="188"/>
      <c r="BSF26" s="187"/>
      <c r="BSL26" s="188"/>
      <c r="BSM26" s="187"/>
      <c r="BSP26" s="168"/>
      <c r="BSQ26" s="189"/>
      <c r="BSS26" s="188"/>
      <c r="BST26" s="187"/>
      <c r="BSZ26" s="188"/>
      <c r="BTA26" s="187"/>
      <c r="BTG26" s="188"/>
      <c r="BTH26" s="187"/>
      <c r="BTN26" s="188"/>
      <c r="BTO26" s="187"/>
      <c r="BTS26" s="168"/>
      <c r="BTT26" s="189"/>
      <c r="BTU26" s="188"/>
      <c r="BTV26" s="187"/>
      <c r="BUB26" s="188"/>
      <c r="BUC26" s="187"/>
      <c r="BUI26" s="188"/>
      <c r="BUJ26" s="187"/>
      <c r="BUP26" s="188"/>
      <c r="BUQ26" s="187"/>
      <c r="BUW26" s="188"/>
      <c r="BUX26" s="190"/>
      <c r="BUY26" s="189"/>
      <c r="BVD26" s="188"/>
      <c r="BVE26" s="187"/>
      <c r="BVK26" s="188"/>
      <c r="BVL26" s="187"/>
      <c r="BVR26" s="188"/>
      <c r="BVS26" s="187"/>
      <c r="BVY26" s="188"/>
      <c r="BVZ26" s="187"/>
      <c r="BWB26" s="168"/>
      <c r="BWC26" s="189"/>
      <c r="BWF26" s="188"/>
      <c r="BWG26" s="187"/>
      <c r="BWM26" s="188"/>
      <c r="BWN26" s="187"/>
      <c r="BWT26" s="188"/>
      <c r="BWU26" s="187"/>
      <c r="BXA26" s="188"/>
      <c r="BXB26" s="187"/>
      <c r="BXG26" s="168"/>
      <c r="BXH26" s="191"/>
      <c r="BXI26" s="187"/>
      <c r="BXO26" s="188"/>
      <c r="BXP26" s="187"/>
      <c r="BXV26" s="188"/>
      <c r="BXW26" s="187"/>
      <c r="BYC26" s="188"/>
      <c r="BYD26" s="187"/>
      <c r="BYJ26" s="188"/>
      <c r="BYK26" s="190"/>
      <c r="BYL26" s="189"/>
      <c r="BYQ26" s="188"/>
      <c r="BYR26" s="187"/>
      <c r="BYX26" s="188"/>
      <c r="BYY26" s="187"/>
      <c r="BZE26" s="188"/>
      <c r="BZF26" s="187"/>
      <c r="BZL26" s="188"/>
      <c r="BZM26" s="187"/>
      <c r="BZP26" s="168"/>
      <c r="BZQ26" s="189"/>
      <c r="BZS26" s="188"/>
      <c r="BZT26" s="187"/>
      <c r="BZZ26" s="188"/>
      <c r="CAA26" s="187"/>
      <c r="CAG26" s="188"/>
      <c r="CAH26" s="187"/>
      <c r="CAN26" s="188"/>
      <c r="CAO26" s="187"/>
      <c r="CAU26" s="168"/>
      <c r="CAV26" s="189"/>
      <c r="CBB26" s="188"/>
      <c r="CBC26" s="187"/>
      <c r="CBI26" s="188"/>
      <c r="CBJ26" s="187"/>
      <c r="CBP26" s="188"/>
      <c r="CBQ26" s="187"/>
      <c r="CBW26" s="188"/>
      <c r="CBX26" s="187"/>
      <c r="CBY26" s="168"/>
      <c r="CBZ26" s="189"/>
      <c r="CCD26" s="188"/>
      <c r="CCE26" s="187"/>
      <c r="CCK26" s="188"/>
      <c r="CCL26" s="187"/>
      <c r="CCR26" s="188"/>
      <c r="CCS26" s="187"/>
      <c r="CCY26" s="188"/>
      <c r="CCZ26" s="187"/>
      <c r="CDD26" s="168"/>
      <c r="CDE26" s="189"/>
      <c r="CDF26" s="188"/>
      <c r="CDG26" s="187"/>
      <c r="CDM26" s="188"/>
      <c r="CDN26" s="187"/>
      <c r="CDT26" s="188"/>
      <c r="CDU26" s="187"/>
      <c r="CEA26" s="188"/>
      <c r="CEB26" s="187"/>
      <c r="CEH26" s="168"/>
      <c r="CEI26" s="189"/>
      <c r="CEO26" s="188"/>
      <c r="CEP26" s="187"/>
      <c r="CEV26" s="188"/>
      <c r="CEW26" s="187"/>
      <c r="CFC26" s="188"/>
      <c r="CFD26" s="187"/>
      <c r="CFJ26" s="188"/>
      <c r="CFK26" s="187"/>
    </row>
    <row r="27" spans="1:1019 1025:2048 2054:2195">
      <c r="A27" s="164" t="s">
        <v>278</v>
      </c>
      <c r="C27" s="164" t="s">
        <v>279</v>
      </c>
      <c r="D27" s="186"/>
      <c r="E27" s="186"/>
      <c r="K27" s="187"/>
      <c r="Q27" s="188"/>
      <c r="R27" s="187"/>
      <c r="X27" s="188"/>
      <c r="Y27" s="187"/>
      <c r="AE27" s="188"/>
      <c r="AF27" s="187"/>
      <c r="AJ27" s="168"/>
      <c r="AK27" s="189"/>
      <c r="AL27" s="188"/>
      <c r="AM27" s="187"/>
      <c r="AS27" s="188"/>
      <c r="AT27" s="187"/>
      <c r="AZ27" s="188"/>
      <c r="BA27" s="187"/>
      <c r="BG27" s="188"/>
      <c r="BH27" s="187"/>
      <c r="BL27" s="168"/>
      <c r="BM27" s="189"/>
      <c r="BN27" s="188"/>
      <c r="BO27" s="187"/>
      <c r="BU27" s="188"/>
      <c r="BV27" s="187"/>
      <c r="CB27" s="188"/>
      <c r="CC27" s="187"/>
      <c r="CI27" s="188"/>
      <c r="CJ27" s="187"/>
      <c r="CP27" s="188"/>
      <c r="CQ27" s="190"/>
      <c r="CR27" s="189"/>
      <c r="CW27" s="188"/>
      <c r="CX27" s="187"/>
      <c r="DD27" s="188"/>
      <c r="DE27" s="187"/>
      <c r="DK27" s="188"/>
      <c r="DL27" s="187"/>
      <c r="DR27" s="188"/>
      <c r="DS27" s="187"/>
      <c r="DU27" s="168"/>
      <c r="DV27" s="189"/>
      <c r="DY27" s="188"/>
      <c r="DZ27" s="187"/>
      <c r="EF27" s="188"/>
      <c r="EG27" s="187"/>
      <c r="EM27" s="188"/>
      <c r="EN27" s="187"/>
      <c r="ET27" s="188"/>
      <c r="EU27" s="187"/>
      <c r="EZ27" s="168"/>
      <c r="FA27" s="191"/>
      <c r="FB27" s="187"/>
      <c r="FH27" s="188"/>
      <c r="FI27" s="187"/>
      <c r="FO27" s="188"/>
      <c r="FP27" s="187"/>
      <c r="FV27" s="188"/>
      <c r="FW27" s="187"/>
      <c r="GC27" s="188"/>
      <c r="GD27" s="190"/>
      <c r="GE27" s="189"/>
      <c r="GJ27" s="188"/>
      <c r="GK27" s="187"/>
      <c r="GQ27" s="188"/>
      <c r="GR27" s="187"/>
      <c r="GX27" s="188"/>
      <c r="GY27" s="187"/>
      <c r="HE27" s="188"/>
      <c r="HF27" s="187"/>
      <c r="HI27" s="168"/>
      <c r="HJ27" s="189"/>
      <c r="HL27" s="188"/>
      <c r="HM27" s="187"/>
      <c r="HS27" s="188"/>
      <c r="HT27" s="187"/>
      <c r="HZ27" s="188"/>
      <c r="IA27" s="187"/>
      <c r="IG27" s="188"/>
      <c r="IH27" s="187"/>
      <c r="IN27" s="168"/>
      <c r="IO27" s="189"/>
      <c r="IU27" s="188"/>
      <c r="IV27" s="187"/>
      <c r="JB27" s="188"/>
      <c r="JC27" s="187"/>
      <c r="JI27" s="188"/>
      <c r="JJ27" s="187"/>
      <c r="JP27" s="188"/>
      <c r="JQ27" s="187"/>
      <c r="JR27" s="168"/>
      <c r="JS27" s="189"/>
      <c r="JW27" s="188"/>
      <c r="JX27" s="187"/>
      <c r="KD27" s="188"/>
      <c r="KE27" s="187"/>
      <c r="KK27" s="188"/>
      <c r="KL27" s="187"/>
      <c r="KR27" s="188"/>
      <c r="KS27" s="187"/>
      <c r="KW27" s="168"/>
      <c r="KX27" s="189"/>
      <c r="KY27" s="188"/>
      <c r="KZ27" s="187"/>
      <c r="LF27" s="188"/>
      <c r="LG27" s="187"/>
      <c r="LM27" s="188"/>
      <c r="LN27" s="187"/>
      <c r="LT27" s="188"/>
      <c r="LU27" s="187"/>
      <c r="MA27" s="168"/>
      <c r="MB27" s="189"/>
      <c r="MH27" s="188"/>
      <c r="MI27" s="187"/>
      <c r="MO27" s="188"/>
      <c r="MP27" s="187"/>
      <c r="MV27" s="188"/>
      <c r="MW27" s="187"/>
      <c r="NC27" s="188"/>
      <c r="ND27" s="187"/>
      <c r="NF27" s="168"/>
      <c r="NG27" s="189"/>
      <c r="NJ27" s="188"/>
      <c r="NK27" s="187"/>
      <c r="NQ27" s="188"/>
      <c r="NR27" s="187"/>
      <c r="NX27" s="188"/>
      <c r="NY27" s="187"/>
      <c r="OE27" s="188"/>
      <c r="OF27" s="187"/>
      <c r="OK27" s="168"/>
      <c r="OL27" s="191"/>
      <c r="OM27" s="187"/>
      <c r="OS27" s="188"/>
      <c r="OT27" s="187"/>
      <c r="OZ27" s="188"/>
      <c r="PA27" s="187"/>
      <c r="PG27" s="188"/>
      <c r="PH27" s="187"/>
      <c r="PN27" s="168"/>
      <c r="PO27" s="189"/>
      <c r="PU27" s="188"/>
      <c r="PV27" s="187"/>
      <c r="QB27" s="188"/>
      <c r="QC27" s="187"/>
      <c r="QI27" s="188"/>
      <c r="QJ27" s="187"/>
      <c r="QP27" s="188"/>
      <c r="QQ27" s="187"/>
      <c r="QS27" s="168"/>
      <c r="QT27" s="189"/>
      <c r="QW27" s="188"/>
      <c r="QX27" s="187"/>
      <c r="RD27" s="188"/>
      <c r="RE27" s="187"/>
      <c r="RK27" s="188"/>
      <c r="RL27" s="187"/>
      <c r="RR27" s="188"/>
      <c r="RS27" s="187"/>
      <c r="RW27" s="168"/>
      <c r="RX27" s="189"/>
      <c r="RY27" s="188"/>
      <c r="RZ27" s="187"/>
      <c r="SF27" s="188"/>
      <c r="SG27" s="187"/>
      <c r="SM27" s="188"/>
      <c r="SN27" s="187"/>
      <c r="ST27" s="188"/>
      <c r="SU27" s="187"/>
      <c r="TA27" s="188"/>
      <c r="TB27" s="190"/>
      <c r="TC27" s="189"/>
      <c r="TH27" s="188"/>
      <c r="TI27" s="187"/>
      <c r="TO27" s="188"/>
      <c r="TP27" s="187"/>
      <c r="TV27" s="188"/>
      <c r="TW27" s="187"/>
      <c r="UC27" s="188"/>
      <c r="UD27" s="187"/>
      <c r="UF27" s="168"/>
      <c r="UG27" s="189"/>
      <c r="UJ27" s="188"/>
      <c r="UK27" s="187"/>
      <c r="UQ27" s="188"/>
      <c r="UR27" s="187"/>
      <c r="UX27" s="188"/>
      <c r="UY27" s="187"/>
      <c r="VE27" s="188"/>
      <c r="VF27" s="187"/>
      <c r="VK27" s="168"/>
      <c r="VL27" s="191"/>
      <c r="VM27" s="187"/>
      <c r="VS27" s="188"/>
      <c r="VT27" s="187"/>
      <c r="VZ27" s="188"/>
      <c r="WA27" s="187"/>
      <c r="WG27" s="188"/>
      <c r="WH27" s="187"/>
      <c r="WN27" s="188"/>
      <c r="WO27" s="187"/>
      <c r="WP27" s="168"/>
      <c r="WQ27" s="189"/>
      <c r="WU27" s="188"/>
      <c r="WV27" s="187"/>
      <c r="XB27" s="188"/>
      <c r="XC27" s="187"/>
      <c r="XI27" s="188"/>
      <c r="XJ27" s="187"/>
      <c r="XP27" s="188"/>
      <c r="XQ27" s="187"/>
      <c r="XT27" s="168"/>
      <c r="XU27" s="189"/>
      <c r="XW27" s="188"/>
      <c r="XX27" s="187"/>
      <c r="YD27" s="188"/>
      <c r="YE27" s="187"/>
      <c r="YK27" s="188"/>
      <c r="YL27" s="187"/>
      <c r="YR27" s="188"/>
      <c r="YS27" s="187"/>
      <c r="YY27" s="168"/>
      <c r="YZ27" s="189"/>
      <c r="ZF27" s="188"/>
      <c r="ZG27" s="187"/>
      <c r="ZM27" s="188"/>
      <c r="ZN27" s="187"/>
      <c r="ZT27" s="188"/>
      <c r="ZU27" s="187"/>
      <c r="AAA27" s="188"/>
      <c r="AAB27" s="187"/>
      <c r="AAC27" s="168"/>
      <c r="AAD27" s="189"/>
      <c r="AAH27" s="188"/>
      <c r="AAI27" s="187"/>
      <c r="AAO27" s="188"/>
      <c r="AAP27" s="187"/>
      <c r="AAV27" s="188"/>
      <c r="AAW27" s="187"/>
      <c r="ABC27" s="188"/>
      <c r="ABD27" s="187"/>
      <c r="ABH27" s="168"/>
      <c r="ABI27" s="189"/>
      <c r="ABJ27" s="188"/>
      <c r="ABK27" s="187"/>
      <c r="ABQ27" s="188"/>
      <c r="ABR27" s="187"/>
      <c r="ABX27" s="188"/>
      <c r="ABY27" s="187"/>
      <c r="ACE27" s="188"/>
      <c r="ACF27" s="187"/>
      <c r="ACL27" s="188"/>
      <c r="ACM27" s="190"/>
      <c r="ACN27" s="189"/>
      <c r="ACS27" s="188"/>
      <c r="ACT27" s="187"/>
      <c r="ACZ27" s="188"/>
      <c r="ADA27" s="187"/>
      <c r="ADG27" s="188"/>
      <c r="ADH27" s="187"/>
      <c r="ADN27" s="188"/>
      <c r="ADO27" s="190"/>
      <c r="ADP27" s="189"/>
      <c r="ADU27" s="188"/>
      <c r="ADV27" s="187"/>
      <c r="AEB27" s="188"/>
      <c r="AEC27" s="187"/>
      <c r="AEI27" s="188"/>
      <c r="AEJ27" s="187"/>
      <c r="AEP27" s="188"/>
      <c r="AEQ27" s="187"/>
      <c r="AET27" s="168"/>
      <c r="AEU27" s="189"/>
      <c r="AEW27" s="188"/>
      <c r="AEX27" s="187"/>
      <c r="AFD27" s="188"/>
      <c r="AFE27" s="187"/>
      <c r="AFK27" s="188"/>
      <c r="AFL27" s="187"/>
      <c r="AFR27" s="188"/>
      <c r="AFS27" s="187"/>
      <c r="AFX27" s="168"/>
      <c r="AFY27" s="191"/>
      <c r="AFZ27" s="187"/>
      <c r="AGF27" s="188"/>
      <c r="AGG27" s="187"/>
      <c r="AGM27" s="188"/>
      <c r="AGN27" s="187"/>
      <c r="AGT27" s="188"/>
      <c r="AGU27" s="187"/>
      <c r="AHA27" s="188"/>
      <c r="AHB27" s="187"/>
      <c r="AHC27" s="168"/>
      <c r="AHD27" s="189"/>
      <c r="AHH27" s="188"/>
      <c r="AHI27" s="187"/>
      <c r="AHO27" s="188"/>
      <c r="AHP27" s="187"/>
      <c r="AHV27" s="188"/>
      <c r="AHW27" s="187"/>
      <c r="AIC27" s="188"/>
      <c r="AID27" s="187"/>
      <c r="AIG27" s="168"/>
      <c r="AIH27" s="189"/>
      <c r="AIJ27" s="188"/>
      <c r="AIK27" s="187"/>
      <c r="AIQ27" s="188"/>
      <c r="AIR27" s="187"/>
      <c r="AIX27" s="188"/>
      <c r="AIY27" s="187"/>
      <c r="AJE27" s="188"/>
      <c r="AJF27" s="187"/>
      <c r="AJL27" s="168"/>
      <c r="AJM27" s="189"/>
      <c r="AJS27" s="188"/>
      <c r="AJT27" s="187"/>
      <c r="AJZ27" s="188"/>
      <c r="AKA27" s="187"/>
      <c r="AKG27" s="188"/>
      <c r="AKH27" s="187"/>
      <c r="AKN27" s="188"/>
      <c r="AKO27" s="187"/>
      <c r="AKQ27" s="168"/>
      <c r="AKR27" s="189"/>
      <c r="AKU27" s="188"/>
      <c r="AKV27" s="187"/>
      <c r="ALB27" s="188"/>
      <c r="ALC27" s="187"/>
      <c r="ALI27" s="188"/>
      <c r="ALJ27" s="187"/>
      <c r="ALP27" s="188"/>
      <c r="ALQ27" s="187"/>
      <c r="ALU27" s="168"/>
      <c r="ALV27" s="189"/>
      <c r="ALW27" s="188"/>
      <c r="ALX27" s="187"/>
      <c r="AMD27" s="188"/>
      <c r="AME27" s="187"/>
      <c r="AMK27" s="188"/>
      <c r="AML27" s="187"/>
      <c r="AMR27" s="188"/>
      <c r="AMS27" s="187"/>
      <c r="AMY27" s="188"/>
      <c r="AMZ27" s="190"/>
      <c r="ANA27" s="189"/>
      <c r="ANF27" s="188"/>
      <c r="ANG27" s="187"/>
      <c r="ANM27" s="188"/>
      <c r="ANN27" s="187"/>
      <c r="ANT27" s="188"/>
      <c r="ANU27" s="187"/>
      <c r="AOA27" s="188"/>
      <c r="AOB27" s="187"/>
      <c r="AOD27" s="168"/>
      <c r="AOE27" s="189"/>
      <c r="AOH27" s="188"/>
      <c r="AOI27" s="187"/>
      <c r="AOO27" s="188"/>
      <c r="AOP27" s="187"/>
      <c r="AOV27" s="188"/>
      <c r="AOW27" s="187"/>
      <c r="APC27" s="188"/>
      <c r="APD27" s="187"/>
      <c r="API27" s="168"/>
      <c r="APJ27" s="191"/>
      <c r="APK27" s="187"/>
      <c r="APQ27" s="188"/>
      <c r="APR27" s="187"/>
      <c r="APX27" s="188"/>
      <c r="APY27" s="187"/>
      <c r="AQE27" s="188"/>
      <c r="AQF27" s="187"/>
      <c r="AQL27" s="188"/>
      <c r="AQM27" s="187"/>
      <c r="AQN27" s="168"/>
      <c r="AQO27" s="189"/>
      <c r="AQS27" s="188"/>
      <c r="AQT27" s="187"/>
      <c r="AQZ27" s="188"/>
      <c r="ARA27" s="187"/>
      <c r="ARG27" s="188"/>
      <c r="ARH27" s="187"/>
      <c r="ARN27" s="188"/>
      <c r="ARO27" s="187"/>
      <c r="ARP27" s="168"/>
      <c r="ARQ27" s="189"/>
      <c r="ARU27" s="188"/>
      <c r="ARV27" s="187"/>
      <c r="ASB27" s="188"/>
      <c r="ASC27" s="187"/>
      <c r="ASI27" s="188"/>
      <c r="ASJ27" s="187"/>
      <c r="ASP27" s="188"/>
      <c r="ASQ27" s="187"/>
      <c r="ASU27" s="168"/>
      <c r="ASV27" s="189"/>
      <c r="ASW27" s="188"/>
      <c r="ASX27" s="187"/>
      <c r="ATD27" s="188"/>
      <c r="ATE27" s="187"/>
      <c r="ATK27" s="188"/>
      <c r="ATL27" s="187"/>
      <c r="ATR27" s="188"/>
      <c r="ATS27" s="187"/>
      <c r="ATY27" s="168"/>
      <c r="ATZ27" s="189"/>
      <c r="AUF27" s="188"/>
      <c r="AUG27" s="187"/>
      <c r="AUM27" s="188"/>
      <c r="AUN27" s="187"/>
      <c r="AUT27" s="188"/>
      <c r="AUU27" s="187"/>
      <c r="AVA27" s="188"/>
      <c r="AVB27" s="187"/>
      <c r="AVD27" s="168"/>
      <c r="AVE27" s="189"/>
      <c r="AVH27" s="188"/>
      <c r="AVI27" s="187"/>
      <c r="AVO27" s="188"/>
      <c r="AVP27" s="187"/>
      <c r="AVV27" s="188"/>
      <c r="AVW27" s="187"/>
      <c r="AWC27" s="188"/>
      <c r="AWD27" s="187"/>
      <c r="AWH27" s="168"/>
      <c r="AWI27" s="189"/>
      <c r="AWJ27" s="188"/>
      <c r="AWK27" s="187"/>
      <c r="AWQ27" s="188"/>
      <c r="AWR27" s="187"/>
      <c r="AWX27" s="188"/>
      <c r="AWY27" s="187"/>
      <c r="AXE27" s="188"/>
      <c r="AXF27" s="187"/>
      <c r="AXL27" s="188"/>
      <c r="AXM27" s="190"/>
      <c r="AXN27" s="189"/>
      <c r="AXS27" s="188"/>
      <c r="AXT27" s="187"/>
      <c r="AXZ27" s="188"/>
      <c r="AYA27" s="187"/>
      <c r="AYG27" s="188"/>
      <c r="AYH27" s="187"/>
      <c r="AYN27" s="188"/>
      <c r="AYO27" s="187"/>
      <c r="AYR27" s="168"/>
      <c r="AYS27" s="189"/>
      <c r="AYU27" s="188"/>
      <c r="AYV27" s="187"/>
      <c r="AZB27" s="188"/>
      <c r="AZC27" s="187"/>
      <c r="AZI27" s="188"/>
      <c r="AZJ27" s="187"/>
      <c r="AZP27" s="188"/>
      <c r="AZQ27" s="187"/>
      <c r="AZV27" s="168"/>
      <c r="AZW27" s="191"/>
      <c r="AZX27" s="187"/>
      <c r="BAD27" s="188"/>
      <c r="BAE27" s="187"/>
      <c r="BAK27" s="188"/>
      <c r="BAL27" s="187"/>
      <c r="BAR27" s="188"/>
      <c r="BAS27" s="187"/>
      <c r="BAY27" s="188"/>
      <c r="BAZ27" s="187"/>
      <c r="BBA27" s="168"/>
      <c r="BBB27" s="189"/>
      <c r="BBF27" s="188"/>
      <c r="BBG27" s="187"/>
      <c r="BBM27" s="188"/>
      <c r="BBN27" s="187"/>
      <c r="BBT27" s="188"/>
      <c r="BBU27" s="187"/>
      <c r="BCA27" s="188"/>
      <c r="BCB27" s="187"/>
      <c r="BCE27" s="168"/>
      <c r="BCF27" s="189"/>
      <c r="BCH27" s="188"/>
      <c r="BCI27" s="187"/>
      <c r="BCO27" s="188"/>
      <c r="BCP27" s="187"/>
      <c r="BCV27" s="188"/>
      <c r="BCW27" s="187"/>
      <c r="BDC27" s="188"/>
      <c r="BDD27" s="187"/>
      <c r="BDJ27" s="168"/>
      <c r="BDK27" s="189"/>
      <c r="BDQ27" s="188"/>
      <c r="BDR27" s="187"/>
      <c r="BDX27" s="188"/>
      <c r="BDY27" s="187"/>
      <c r="BEE27" s="188"/>
      <c r="BEF27" s="187"/>
      <c r="BEL27" s="188"/>
      <c r="BEM27" s="187"/>
      <c r="BEO27" s="168"/>
      <c r="BEP27" s="189"/>
      <c r="BES27" s="188"/>
      <c r="BET27" s="187"/>
      <c r="BEZ27" s="188"/>
      <c r="BFA27" s="187"/>
      <c r="BFG27" s="188"/>
      <c r="BFH27" s="187"/>
      <c r="BFN27" s="188"/>
      <c r="BFO27" s="187"/>
      <c r="BFQ27" s="168"/>
      <c r="BFR27" s="189"/>
      <c r="BFU27" s="188"/>
      <c r="BFV27" s="187"/>
      <c r="BGB27" s="188"/>
      <c r="BGC27" s="187"/>
      <c r="BGI27" s="188"/>
      <c r="BGJ27" s="187"/>
      <c r="BGP27" s="188"/>
      <c r="BGQ27" s="187"/>
      <c r="BGV27" s="168"/>
      <c r="BGW27" s="191"/>
      <c r="BGX27" s="187"/>
      <c r="BHD27" s="188"/>
      <c r="BHE27" s="187"/>
      <c r="BHK27" s="188"/>
      <c r="BHL27" s="187"/>
      <c r="BHR27" s="188"/>
      <c r="BHS27" s="187"/>
      <c r="BHY27" s="188"/>
      <c r="BHZ27" s="190"/>
      <c r="BIA27" s="189"/>
      <c r="BIF27" s="188"/>
      <c r="BIG27" s="187"/>
      <c r="BIM27" s="188"/>
      <c r="BIN27" s="187"/>
      <c r="BIT27" s="188"/>
      <c r="BIU27" s="187"/>
      <c r="BJA27" s="188"/>
      <c r="BJB27" s="187"/>
      <c r="BJE27" s="168"/>
      <c r="BJF27" s="189"/>
      <c r="BJH27" s="188"/>
      <c r="BJI27" s="187"/>
      <c r="BJO27" s="188"/>
      <c r="BJP27" s="187"/>
      <c r="BJV27" s="188"/>
      <c r="BJW27" s="187"/>
      <c r="BKC27" s="188"/>
      <c r="BKD27" s="187"/>
      <c r="BKI27" s="168"/>
      <c r="BKJ27" s="191"/>
      <c r="BKK27" s="187"/>
      <c r="BKQ27" s="188"/>
      <c r="BKR27" s="187"/>
      <c r="BKX27" s="188"/>
      <c r="BKY27" s="187"/>
      <c r="BLE27" s="188"/>
      <c r="BLF27" s="187"/>
      <c r="BLL27" s="188"/>
      <c r="BLM27" s="187"/>
      <c r="BLN27" s="168"/>
      <c r="BLO27" s="189"/>
      <c r="BLS27" s="188"/>
      <c r="BLT27" s="187"/>
      <c r="BLZ27" s="188"/>
      <c r="BMA27" s="187"/>
      <c r="BMG27" s="188"/>
      <c r="BMH27" s="187"/>
      <c r="BMN27" s="188"/>
      <c r="BMO27" s="187"/>
      <c r="BMS27" s="168"/>
      <c r="BMT27" s="189"/>
      <c r="BMU27" s="188"/>
      <c r="BMV27" s="187"/>
      <c r="BNB27" s="188"/>
      <c r="BNC27" s="187"/>
      <c r="BNI27" s="188"/>
      <c r="BNJ27" s="187"/>
      <c r="BNP27" s="188"/>
      <c r="BNQ27" s="187"/>
      <c r="BNW27" s="168"/>
      <c r="BNX27" s="189"/>
      <c r="BOD27" s="188"/>
      <c r="BOE27" s="187"/>
      <c r="BOK27" s="188"/>
      <c r="BOL27" s="187"/>
      <c r="BOR27" s="188"/>
      <c r="BOS27" s="187"/>
      <c r="BOY27" s="188"/>
      <c r="BOZ27" s="187"/>
      <c r="BPB27" s="168"/>
      <c r="BPC27" s="189"/>
      <c r="BPF27" s="188"/>
      <c r="BPG27" s="187"/>
      <c r="BPM27" s="188"/>
      <c r="BPN27" s="187"/>
      <c r="BPT27" s="188"/>
      <c r="BPU27" s="187"/>
      <c r="BQA27" s="188"/>
      <c r="BQB27" s="187"/>
      <c r="BQF27" s="168"/>
      <c r="BQG27" s="189"/>
      <c r="BQH27" s="188"/>
      <c r="BQI27" s="187"/>
      <c r="BQO27" s="188"/>
      <c r="BQP27" s="187"/>
      <c r="BQV27" s="188"/>
      <c r="BQW27" s="187"/>
      <c r="BRC27" s="188"/>
      <c r="BRD27" s="187"/>
      <c r="BRJ27" s="188"/>
      <c r="BRK27" s="190"/>
      <c r="BRL27" s="189"/>
      <c r="BRQ27" s="188"/>
      <c r="BRR27" s="187"/>
      <c r="BRX27" s="188"/>
      <c r="BRY27" s="187"/>
      <c r="BSE27" s="188"/>
      <c r="BSF27" s="187"/>
      <c r="BSL27" s="188"/>
      <c r="BSM27" s="187"/>
      <c r="BSP27" s="168"/>
      <c r="BSQ27" s="189"/>
      <c r="BSS27" s="188"/>
      <c r="BST27" s="187"/>
      <c r="BSZ27" s="188"/>
      <c r="BTA27" s="187"/>
      <c r="BTG27" s="188"/>
      <c r="BTH27" s="187"/>
      <c r="BTN27" s="188"/>
      <c r="BTO27" s="187"/>
      <c r="BTS27" s="168"/>
      <c r="BTT27" s="189"/>
      <c r="BTU27" s="188"/>
      <c r="BTV27" s="187"/>
      <c r="BUB27" s="188"/>
      <c r="BUC27" s="187"/>
      <c r="BUI27" s="188"/>
      <c r="BUJ27" s="187"/>
      <c r="BUP27" s="188"/>
      <c r="BUQ27" s="187"/>
      <c r="BUW27" s="188"/>
      <c r="BUX27" s="190"/>
      <c r="BUY27" s="189"/>
      <c r="BVD27" s="188"/>
      <c r="BVE27" s="187"/>
      <c r="BVK27" s="188"/>
      <c r="BVL27" s="187"/>
      <c r="BVR27" s="188"/>
      <c r="BVS27" s="187"/>
      <c r="BVY27" s="188"/>
      <c r="BVZ27" s="187"/>
      <c r="BWB27" s="168"/>
      <c r="BWC27" s="189"/>
      <c r="BWF27" s="188"/>
      <c r="BWG27" s="187"/>
      <c r="BWM27" s="188"/>
      <c r="BWN27" s="187"/>
      <c r="BWT27" s="188"/>
      <c r="BWU27" s="187"/>
      <c r="BXA27" s="188"/>
      <c r="BXB27" s="187"/>
      <c r="BXG27" s="168"/>
      <c r="BXH27" s="191"/>
      <c r="BXI27" s="187"/>
      <c r="BXO27" s="188"/>
      <c r="BXP27" s="187"/>
      <c r="BXV27" s="188"/>
      <c r="BXW27" s="187"/>
      <c r="BYC27" s="188"/>
      <c r="BYD27" s="187"/>
      <c r="BYJ27" s="188"/>
      <c r="BYK27" s="190"/>
      <c r="BYL27" s="189"/>
      <c r="BYQ27" s="188"/>
      <c r="BYR27" s="187"/>
      <c r="BYX27" s="188"/>
      <c r="BYY27" s="187"/>
      <c r="BZE27" s="188"/>
      <c r="BZF27" s="187"/>
      <c r="BZL27" s="188"/>
      <c r="BZM27" s="187"/>
      <c r="BZP27" s="168"/>
      <c r="BZQ27" s="189"/>
      <c r="BZS27" s="188"/>
      <c r="BZT27" s="187"/>
      <c r="BZZ27" s="188"/>
      <c r="CAA27" s="187"/>
      <c r="CAG27" s="188"/>
      <c r="CAH27" s="187"/>
      <c r="CAN27" s="188"/>
      <c r="CAO27" s="187"/>
      <c r="CAU27" s="168"/>
      <c r="CAV27" s="189"/>
      <c r="CBB27" s="188"/>
      <c r="CBC27" s="187"/>
      <c r="CBI27" s="188"/>
      <c r="CBJ27" s="187"/>
      <c r="CBP27" s="188"/>
      <c r="CBQ27" s="187"/>
      <c r="CBW27" s="188"/>
      <c r="CBX27" s="187"/>
      <c r="CBY27" s="168"/>
      <c r="CBZ27" s="189"/>
      <c r="CCD27" s="188"/>
      <c r="CCE27" s="187"/>
      <c r="CCK27" s="188"/>
      <c r="CCL27" s="187"/>
      <c r="CCR27" s="188"/>
      <c r="CCS27" s="187"/>
      <c r="CCY27" s="188"/>
      <c r="CCZ27" s="187"/>
      <c r="CDD27" s="168"/>
      <c r="CDE27" s="189"/>
      <c r="CDF27" s="188"/>
      <c r="CDG27" s="187"/>
      <c r="CDM27" s="188"/>
      <c r="CDN27" s="187"/>
      <c r="CDT27" s="188"/>
      <c r="CDU27" s="187"/>
      <c r="CEA27" s="188"/>
      <c r="CEB27" s="187"/>
      <c r="CEH27" s="168"/>
      <c r="CEI27" s="189"/>
      <c r="CEO27" s="188"/>
      <c r="CEP27" s="187"/>
      <c r="CEV27" s="188"/>
      <c r="CEW27" s="187"/>
      <c r="CFC27" s="188"/>
      <c r="CFD27" s="187"/>
      <c r="CFJ27" s="188"/>
      <c r="CFK27" s="187"/>
    </row>
    <row r="28" spans="1:1019 1025:2048 2054:2195">
      <c r="D28" s="186"/>
      <c r="E28" s="186"/>
      <c r="K28" s="187"/>
      <c r="Q28" s="188"/>
      <c r="R28" s="187"/>
      <c r="X28" s="188"/>
      <c r="Y28" s="187"/>
      <c r="AE28" s="188"/>
      <c r="AF28" s="187"/>
      <c r="AJ28" s="168"/>
      <c r="AK28" s="189"/>
      <c r="AL28" s="188"/>
      <c r="AM28" s="187"/>
      <c r="AS28" s="188"/>
      <c r="AT28" s="187"/>
      <c r="AZ28" s="188"/>
      <c r="BA28" s="187"/>
      <c r="BG28" s="188"/>
      <c r="BH28" s="187"/>
      <c r="BL28" s="168"/>
      <c r="BM28" s="189"/>
      <c r="BN28" s="188"/>
      <c r="BO28" s="187"/>
      <c r="BU28" s="188"/>
      <c r="BV28" s="187"/>
      <c r="CB28" s="188"/>
      <c r="CC28" s="187"/>
      <c r="CI28" s="188"/>
      <c r="CJ28" s="187"/>
      <c r="CP28" s="188"/>
      <c r="CQ28" s="190"/>
      <c r="CR28" s="189"/>
      <c r="CW28" s="188"/>
      <c r="CX28" s="187"/>
      <c r="DD28" s="188"/>
      <c r="DE28" s="187"/>
      <c r="DK28" s="188"/>
      <c r="DL28" s="187"/>
      <c r="DR28" s="188"/>
      <c r="DS28" s="187"/>
      <c r="DU28" s="168"/>
      <c r="DV28" s="189"/>
      <c r="DY28" s="188"/>
      <c r="DZ28" s="187"/>
      <c r="EF28" s="188"/>
      <c r="EG28" s="187"/>
      <c r="EM28" s="188"/>
      <c r="EN28" s="187"/>
      <c r="ET28" s="188"/>
      <c r="EU28" s="187"/>
      <c r="EZ28" s="168"/>
      <c r="FA28" s="191"/>
      <c r="FB28" s="187"/>
      <c r="FH28" s="188"/>
      <c r="FI28" s="187"/>
      <c r="FO28" s="188"/>
      <c r="FP28" s="187"/>
      <c r="FV28" s="188"/>
      <c r="FW28" s="187"/>
      <c r="GC28" s="188"/>
      <c r="GD28" s="190"/>
      <c r="GE28" s="189"/>
      <c r="GJ28" s="188"/>
      <c r="GK28" s="187"/>
      <c r="GQ28" s="188"/>
      <c r="GR28" s="187"/>
      <c r="GX28" s="188"/>
      <c r="GY28" s="187"/>
      <c r="HE28" s="188"/>
      <c r="HF28" s="187"/>
      <c r="HI28" s="168"/>
      <c r="HJ28" s="189"/>
      <c r="HL28" s="188"/>
      <c r="HM28" s="187"/>
      <c r="HS28" s="188"/>
      <c r="HT28" s="187"/>
      <c r="HZ28" s="188"/>
      <c r="IA28" s="187"/>
      <c r="IG28" s="188"/>
      <c r="IH28" s="187"/>
      <c r="IN28" s="168"/>
      <c r="IO28" s="189"/>
      <c r="IU28" s="188"/>
      <c r="IV28" s="187"/>
      <c r="JB28" s="188"/>
      <c r="JC28" s="187"/>
      <c r="JI28" s="188"/>
      <c r="JJ28" s="187"/>
      <c r="JP28" s="188"/>
      <c r="JQ28" s="187"/>
      <c r="JR28" s="168"/>
      <c r="JS28" s="189"/>
      <c r="JW28" s="188"/>
      <c r="JX28" s="187"/>
      <c r="KD28" s="188"/>
      <c r="KE28" s="187"/>
      <c r="KK28" s="188"/>
      <c r="KL28" s="187"/>
      <c r="KR28" s="188"/>
      <c r="KS28" s="187"/>
      <c r="KW28" s="168"/>
      <c r="KX28" s="189"/>
      <c r="KY28" s="188"/>
      <c r="KZ28" s="187"/>
      <c r="LF28" s="188"/>
      <c r="LG28" s="187"/>
      <c r="LM28" s="188"/>
      <c r="LN28" s="187"/>
      <c r="LT28" s="188"/>
      <c r="LU28" s="187"/>
      <c r="MA28" s="168"/>
      <c r="MB28" s="189"/>
      <c r="MH28" s="188"/>
      <c r="MI28" s="187"/>
      <c r="MO28" s="188"/>
      <c r="MP28" s="187"/>
      <c r="MV28" s="188"/>
      <c r="MW28" s="187"/>
      <c r="NC28" s="188"/>
      <c r="ND28" s="187"/>
      <c r="NF28" s="168"/>
      <c r="NG28" s="189"/>
      <c r="NJ28" s="188"/>
      <c r="NK28" s="187"/>
      <c r="NQ28" s="188"/>
      <c r="NR28" s="187"/>
      <c r="NX28" s="188"/>
      <c r="NY28" s="187"/>
      <c r="OE28" s="188"/>
      <c r="OF28" s="187"/>
      <c r="OK28" s="168"/>
      <c r="OL28" s="191"/>
      <c r="OM28" s="187"/>
      <c r="OS28" s="188"/>
      <c r="OT28" s="187"/>
      <c r="OZ28" s="188"/>
      <c r="PA28" s="187"/>
      <c r="PG28" s="188"/>
      <c r="PH28" s="187"/>
      <c r="PN28" s="168"/>
      <c r="PO28" s="189"/>
      <c r="PU28" s="188"/>
      <c r="PV28" s="187"/>
      <c r="QB28" s="188"/>
      <c r="QC28" s="187"/>
      <c r="QI28" s="188"/>
      <c r="QJ28" s="187"/>
      <c r="QP28" s="188"/>
      <c r="QQ28" s="187"/>
      <c r="QS28" s="168"/>
      <c r="QT28" s="189"/>
      <c r="QW28" s="188"/>
      <c r="QX28" s="187"/>
      <c r="RD28" s="188"/>
      <c r="RE28" s="187"/>
      <c r="RK28" s="188"/>
      <c r="RL28" s="187"/>
      <c r="RR28" s="188"/>
      <c r="RS28" s="187"/>
      <c r="RW28" s="168"/>
      <c r="RX28" s="189"/>
      <c r="RY28" s="188"/>
      <c r="RZ28" s="187"/>
      <c r="SF28" s="188"/>
      <c r="SG28" s="187"/>
      <c r="SM28" s="188"/>
      <c r="SN28" s="187"/>
      <c r="ST28" s="188"/>
      <c r="SU28" s="187"/>
      <c r="TA28" s="188"/>
      <c r="TB28" s="190"/>
      <c r="TC28" s="189"/>
      <c r="TH28" s="188"/>
      <c r="TI28" s="187"/>
      <c r="TO28" s="188"/>
      <c r="TP28" s="187"/>
      <c r="TV28" s="188"/>
      <c r="TW28" s="187"/>
      <c r="UC28" s="188"/>
      <c r="UD28" s="187"/>
      <c r="UF28" s="168"/>
      <c r="UG28" s="189"/>
      <c r="UJ28" s="188"/>
      <c r="UK28" s="187"/>
      <c r="UQ28" s="188"/>
      <c r="UR28" s="187"/>
      <c r="UX28" s="188"/>
      <c r="UY28" s="187"/>
      <c r="VE28" s="188"/>
      <c r="VF28" s="187"/>
      <c r="VK28" s="168"/>
      <c r="VL28" s="191"/>
      <c r="VM28" s="187"/>
      <c r="VS28" s="188"/>
      <c r="VT28" s="187"/>
      <c r="VZ28" s="188"/>
      <c r="WA28" s="187"/>
      <c r="WG28" s="188"/>
      <c r="WH28" s="187"/>
      <c r="WN28" s="188"/>
      <c r="WO28" s="187"/>
      <c r="WP28" s="168"/>
      <c r="WQ28" s="189"/>
      <c r="WU28" s="188"/>
      <c r="WV28" s="187"/>
      <c r="XB28" s="188"/>
      <c r="XC28" s="187"/>
      <c r="XI28" s="188"/>
      <c r="XJ28" s="187"/>
      <c r="XP28" s="188"/>
      <c r="XQ28" s="187"/>
      <c r="XT28" s="168"/>
      <c r="XU28" s="189"/>
      <c r="XW28" s="188"/>
      <c r="XX28" s="187"/>
      <c r="YD28" s="188"/>
      <c r="YE28" s="187"/>
      <c r="YK28" s="188"/>
      <c r="YL28" s="187"/>
      <c r="YR28" s="188"/>
      <c r="YS28" s="187"/>
      <c r="YY28" s="168"/>
      <c r="YZ28" s="189"/>
      <c r="ZF28" s="188"/>
      <c r="ZG28" s="187"/>
      <c r="ZM28" s="188"/>
      <c r="ZN28" s="187"/>
      <c r="ZT28" s="188"/>
      <c r="ZU28" s="187"/>
      <c r="AAA28" s="188"/>
      <c r="AAB28" s="187"/>
      <c r="AAC28" s="168"/>
      <c r="AAD28" s="189"/>
      <c r="AAH28" s="188"/>
      <c r="AAI28" s="187"/>
      <c r="AAO28" s="188"/>
      <c r="AAP28" s="187"/>
      <c r="AAV28" s="188"/>
      <c r="AAW28" s="187"/>
      <c r="ABC28" s="188"/>
      <c r="ABD28" s="187"/>
      <c r="ABH28" s="168"/>
      <c r="ABI28" s="189"/>
      <c r="ABJ28" s="188"/>
      <c r="ABK28" s="187"/>
      <c r="ABQ28" s="188"/>
      <c r="ABR28" s="187"/>
      <c r="ABX28" s="188"/>
      <c r="ABY28" s="187"/>
      <c r="ACE28" s="188"/>
      <c r="ACF28" s="187"/>
      <c r="ACL28" s="188"/>
      <c r="ACM28" s="190"/>
      <c r="ACN28" s="189"/>
      <c r="ACS28" s="188"/>
      <c r="ACT28" s="187"/>
      <c r="ACZ28" s="188"/>
      <c r="ADA28" s="187"/>
      <c r="ADG28" s="188"/>
      <c r="ADH28" s="187"/>
      <c r="ADN28" s="188"/>
      <c r="ADO28" s="190"/>
      <c r="ADP28" s="189"/>
      <c r="ADU28" s="188"/>
      <c r="ADV28" s="187"/>
      <c r="AEB28" s="188"/>
      <c r="AEC28" s="187"/>
      <c r="AEI28" s="188"/>
      <c r="AEJ28" s="187"/>
      <c r="AEP28" s="188"/>
      <c r="AEQ28" s="187"/>
      <c r="AET28" s="168"/>
      <c r="AEU28" s="189"/>
      <c r="AEW28" s="188"/>
      <c r="AEX28" s="187"/>
      <c r="AFD28" s="188"/>
      <c r="AFE28" s="187"/>
      <c r="AFK28" s="188"/>
      <c r="AFL28" s="187"/>
      <c r="AFR28" s="188"/>
      <c r="AFS28" s="187"/>
      <c r="AFX28" s="168"/>
      <c r="AFY28" s="191"/>
      <c r="AFZ28" s="187"/>
      <c r="AGF28" s="188"/>
      <c r="AGG28" s="187"/>
      <c r="AGM28" s="188"/>
      <c r="AGN28" s="187"/>
      <c r="AGT28" s="188"/>
      <c r="AGU28" s="187"/>
      <c r="AHA28" s="188"/>
      <c r="AHB28" s="187"/>
      <c r="AHC28" s="168"/>
      <c r="AHD28" s="189"/>
      <c r="AHH28" s="188"/>
      <c r="AHI28" s="187"/>
      <c r="AHO28" s="188"/>
      <c r="AHP28" s="187"/>
      <c r="AHV28" s="188"/>
      <c r="AHW28" s="187"/>
      <c r="AIC28" s="188"/>
      <c r="AID28" s="187"/>
      <c r="AIG28" s="168"/>
      <c r="AIH28" s="189"/>
      <c r="AIJ28" s="188"/>
      <c r="AIK28" s="187"/>
      <c r="AIQ28" s="188"/>
      <c r="AIR28" s="187"/>
      <c r="AIX28" s="188"/>
      <c r="AIY28" s="187"/>
      <c r="AJE28" s="188"/>
      <c r="AJF28" s="187"/>
      <c r="AJL28" s="168"/>
      <c r="AJM28" s="189"/>
      <c r="AJS28" s="188"/>
      <c r="AJT28" s="187"/>
      <c r="AJZ28" s="188"/>
      <c r="AKA28" s="187"/>
      <c r="AKG28" s="188"/>
      <c r="AKH28" s="187"/>
      <c r="AKN28" s="188"/>
      <c r="AKO28" s="187"/>
      <c r="AKQ28" s="168"/>
      <c r="AKR28" s="189"/>
      <c r="AKU28" s="188"/>
      <c r="AKV28" s="187"/>
      <c r="ALB28" s="188"/>
      <c r="ALC28" s="187"/>
      <c r="ALI28" s="188"/>
      <c r="ALJ28" s="187"/>
      <c r="ALP28" s="188"/>
      <c r="ALQ28" s="187"/>
      <c r="ALU28" s="168"/>
      <c r="ALV28" s="189"/>
      <c r="ALW28" s="188"/>
      <c r="ALX28" s="187"/>
      <c r="AMD28" s="188"/>
      <c r="AME28" s="187"/>
      <c r="AMK28" s="188"/>
      <c r="AML28" s="187"/>
      <c r="AMR28" s="188"/>
      <c r="AMS28" s="187"/>
      <c r="AMY28" s="188"/>
      <c r="AMZ28" s="190"/>
      <c r="ANA28" s="189"/>
      <c r="ANF28" s="188"/>
      <c r="ANG28" s="187"/>
      <c r="ANM28" s="188"/>
      <c r="ANN28" s="187"/>
      <c r="ANT28" s="188"/>
      <c r="ANU28" s="187"/>
      <c r="AOA28" s="188"/>
      <c r="AOB28" s="187"/>
      <c r="AOD28" s="168"/>
      <c r="AOE28" s="189"/>
      <c r="AOH28" s="188"/>
      <c r="AOI28" s="187"/>
      <c r="AOO28" s="188"/>
      <c r="AOP28" s="187"/>
      <c r="AOV28" s="188"/>
      <c r="AOW28" s="187"/>
      <c r="APC28" s="188"/>
      <c r="APD28" s="187"/>
      <c r="API28" s="168"/>
      <c r="APJ28" s="191"/>
      <c r="APK28" s="187"/>
      <c r="APQ28" s="188"/>
      <c r="APR28" s="187"/>
      <c r="APX28" s="188"/>
      <c r="APY28" s="187"/>
      <c r="AQE28" s="188"/>
      <c r="AQF28" s="187"/>
      <c r="AQL28" s="188"/>
      <c r="AQM28" s="187"/>
      <c r="AQN28" s="168"/>
      <c r="AQO28" s="189"/>
      <c r="AQS28" s="188"/>
      <c r="AQT28" s="187"/>
      <c r="AQZ28" s="188"/>
      <c r="ARA28" s="187"/>
      <c r="ARG28" s="188"/>
      <c r="ARH28" s="187"/>
      <c r="ARN28" s="188"/>
      <c r="ARO28" s="187"/>
      <c r="ARP28" s="168"/>
      <c r="ARQ28" s="189"/>
      <c r="ARU28" s="188"/>
      <c r="ARV28" s="187"/>
      <c r="ASB28" s="188"/>
      <c r="ASC28" s="187"/>
      <c r="ASI28" s="188"/>
      <c r="ASJ28" s="187"/>
      <c r="ASP28" s="188"/>
      <c r="ASQ28" s="187"/>
      <c r="ASU28" s="168"/>
      <c r="ASV28" s="189"/>
      <c r="ASW28" s="188"/>
      <c r="ASX28" s="187"/>
      <c r="ATD28" s="188"/>
      <c r="ATE28" s="187"/>
      <c r="ATK28" s="188"/>
      <c r="ATL28" s="187"/>
      <c r="ATR28" s="188"/>
      <c r="ATS28" s="187"/>
      <c r="ATY28" s="168"/>
      <c r="ATZ28" s="189"/>
      <c r="AUF28" s="188"/>
      <c r="AUG28" s="187"/>
      <c r="AUM28" s="188"/>
      <c r="AUN28" s="187"/>
      <c r="AUT28" s="188"/>
      <c r="AUU28" s="187"/>
      <c r="AVA28" s="188"/>
      <c r="AVB28" s="187"/>
      <c r="AVD28" s="168"/>
      <c r="AVE28" s="189"/>
      <c r="AVH28" s="188"/>
      <c r="AVI28" s="187"/>
      <c r="AVO28" s="188"/>
      <c r="AVP28" s="187"/>
      <c r="AVV28" s="188"/>
      <c r="AVW28" s="187"/>
      <c r="AWC28" s="188"/>
      <c r="AWD28" s="187"/>
      <c r="AWH28" s="168"/>
      <c r="AWI28" s="189"/>
      <c r="AWJ28" s="188"/>
      <c r="AWK28" s="187"/>
      <c r="AWQ28" s="188"/>
      <c r="AWR28" s="187"/>
      <c r="AWX28" s="188"/>
      <c r="AWY28" s="187"/>
      <c r="AXE28" s="188"/>
      <c r="AXF28" s="187"/>
      <c r="AXL28" s="188"/>
      <c r="AXM28" s="190"/>
      <c r="AXN28" s="189"/>
      <c r="AXS28" s="188"/>
      <c r="AXT28" s="187"/>
      <c r="AXZ28" s="188"/>
      <c r="AYA28" s="187"/>
      <c r="AYG28" s="188"/>
      <c r="AYH28" s="187"/>
      <c r="AYN28" s="188"/>
      <c r="AYO28" s="187"/>
      <c r="AYR28" s="168"/>
      <c r="AYS28" s="189"/>
      <c r="AYU28" s="188"/>
      <c r="AYV28" s="187"/>
      <c r="AZB28" s="188"/>
      <c r="AZC28" s="187"/>
      <c r="AZI28" s="188"/>
      <c r="AZJ28" s="187"/>
      <c r="AZP28" s="188"/>
      <c r="AZQ28" s="187"/>
      <c r="AZV28" s="168"/>
      <c r="AZW28" s="191"/>
      <c r="AZX28" s="187"/>
      <c r="BAD28" s="188"/>
      <c r="BAE28" s="187"/>
      <c r="BAK28" s="188"/>
      <c r="BAL28" s="187"/>
      <c r="BAR28" s="188"/>
      <c r="BAS28" s="187"/>
      <c r="BAY28" s="188"/>
      <c r="BAZ28" s="187"/>
      <c r="BBA28" s="168"/>
      <c r="BBB28" s="189"/>
      <c r="BBF28" s="188"/>
      <c r="BBG28" s="187"/>
      <c r="BBM28" s="188"/>
      <c r="BBN28" s="187"/>
      <c r="BBT28" s="188"/>
      <c r="BBU28" s="187"/>
      <c r="BCA28" s="188"/>
      <c r="BCB28" s="187"/>
      <c r="BCE28" s="168"/>
      <c r="BCF28" s="189"/>
      <c r="BCH28" s="188"/>
      <c r="BCI28" s="187"/>
      <c r="BCO28" s="188"/>
      <c r="BCP28" s="187"/>
      <c r="BCV28" s="188"/>
      <c r="BCW28" s="187"/>
      <c r="BDC28" s="188"/>
      <c r="BDD28" s="187"/>
      <c r="BDJ28" s="168"/>
      <c r="BDK28" s="189"/>
      <c r="BDQ28" s="188"/>
      <c r="BDR28" s="187"/>
      <c r="BDX28" s="188"/>
      <c r="BDY28" s="187"/>
      <c r="BEE28" s="188"/>
      <c r="BEF28" s="187"/>
      <c r="BEL28" s="188"/>
      <c r="BEM28" s="187"/>
      <c r="BEO28" s="168"/>
      <c r="BEP28" s="189"/>
      <c r="BES28" s="188"/>
      <c r="BET28" s="187"/>
      <c r="BEZ28" s="188"/>
      <c r="BFA28" s="187"/>
      <c r="BFG28" s="188"/>
      <c r="BFH28" s="187"/>
      <c r="BFN28" s="188"/>
      <c r="BFO28" s="187"/>
      <c r="BFQ28" s="168"/>
      <c r="BFR28" s="189"/>
      <c r="BFU28" s="188"/>
      <c r="BFV28" s="187"/>
      <c r="BGB28" s="188"/>
      <c r="BGC28" s="187"/>
      <c r="BGI28" s="188"/>
      <c r="BGJ28" s="187"/>
      <c r="BGP28" s="188"/>
      <c r="BGQ28" s="187"/>
      <c r="BGV28" s="168"/>
      <c r="BGW28" s="191"/>
      <c r="BGX28" s="187"/>
      <c r="BHD28" s="188"/>
      <c r="BHE28" s="187"/>
      <c r="BHK28" s="188"/>
      <c r="BHL28" s="187"/>
      <c r="BHR28" s="188"/>
      <c r="BHS28" s="187"/>
      <c r="BHY28" s="188"/>
      <c r="BHZ28" s="190"/>
      <c r="BIA28" s="189"/>
      <c r="BIF28" s="188"/>
      <c r="BIG28" s="187"/>
      <c r="BIM28" s="188"/>
      <c r="BIN28" s="187"/>
      <c r="BIT28" s="188"/>
      <c r="BIU28" s="187"/>
      <c r="BJA28" s="188"/>
      <c r="BJB28" s="187"/>
      <c r="BJE28" s="168"/>
      <c r="BJF28" s="189"/>
      <c r="BJH28" s="188"/>
      <c r="BJI28" s="187"/>
      <c r="BJO28" s="188"/>
      <c r="BJP28" s="187"/>
      <c r="BJV28" s="188"/>
      <c r="BJW28" s="187"/>
      <c r="BKC28" s="188"/>
      <c r="BKD28" s="187"/>
      <c r="BKI28" s="168"/>
      <c r="BKJ28" s="191"/>
      <c r="BKK28" s="187"/>
      <c r="BKQ28" s="188"/>
      <c r="BKR28" s="187"/>
      <c r="BKX28" s="188"/>
      <c r="BKY28" s="187"/>
      <c r="BLE28" s="188"/>
      <c r="BLF28" s="187"/>
      <c r="BLL28" s="188"/>
      <c r="BLM28" s="187"/>
      <c r="BLN28" s="168"/>
      <c r="BLO28" s="189"/>
      <c r="BLS28" s="188"/>
      <c r="BLT28" s="187"/>
      <c r="BLZ28" s="188"/>
      <c r="BMA28" s="187"/>
      <c r="BMG28" s="188"/>
      <c r="BMH28" s="187"/>
      <c r="BMN28" s="188"/>
      <c r="BMO28" s="187"/>
      <c r="BMS28" s="168"/>
      <c r="BMT28" s="189"/>
      <c r="BMU28" s="188"/>
      <c r="BMV28" s="187"/>
      <c r="BNB28" s="188"/>
      <c r="BNC28" s="187"/>
      <c r="BNI28" s="188"/>
      <c r="BNJ28" s="187"/>
      <c r="BNP28" s="188"/>
      <c r="BNQ28" s="187"/>
      <c r="BNW28" s="168"/>
      <c r="BNX28" s="189"/>
      <c r="BOD28" s="188"/>
      <c r="BOE28" s="187"/>
      <c r="BOK28" s="188"/>
      <c r="BOL28" s="187"/>
      <c r="BOR28" s="188"/>
      <c r="BOS28" s="187"/>
      <c r="BOY28" s="188"/>
      <c r="BOZ28" s="187"/>
      <c r="BPB28" s="168"/>
      <c r="BPC28" s="189"/>
      <c r="BPF28" s="188"/>
      <c r="BPG28" s="187"/>
      <c r="BPM28" s="188"/>
      <c r="BPN28" s="187"/>
      <c r="BPT28" s="188"/>
      <c r="BPU28" s="187"/>
      <c r="BQA28" s="188"/>
      <c r="BQB28" s="187"/>
      <c r="BQF28" s="168"/>
      <c r="BQG28" s="189"/>
      <c r="BQH28" s="188"/>
      <c r="BQI28" s="187"/>
      <c r="BQO28" s="188"/>
      <c r="BQP28" s="187"/>
      <c r="BQV28" s="188"/>
      <c r="BQW28" s="187"/>
      <c r="BRC28" s="188"/>
      <c r="BRD28" s="187"/>
      <c r="BRJ28" s="188"/>
      <c r="BRK28" s="190"/>
      <c r="BRL28" s="189"/>
      <c r="BRQ28" s="188"/>
      <c r="BRR28" s="187"/>
      <c r="BRX28" s="188"/>
      <c r="BRY28" s="187"/>
      <c r="BSE28" s="188"/>
      <c r="BSF28" s="187"/>
      <c r="BSL28" s="188"/>
      <c r="BSM28" s="187"/>
      <c r="BSP28" s="168"/>
      <c r="BSQ28" s="189"/>
      <c r="BSS28" s="188"/>
      <c r="BST28" s="187"/>
      <c r="BSZ28" s="188"/>
      <c r="BTA28" s="187"/>
      <c r="BTG28" s="188"/>
      <c r="BTH28" s="187"/>
      <c r="BTN28" s="188"/>
      <c r="BTO28" s="187"/>
      <c r="BTS28" s="168"/>
      <c r="BTT28" s="189"/>
      <c r="BTU28" s="188"/>
      <c r="BTV28" s="187"/>
      <c r="BUB28" s="188"/>
      <c r="BUC28" s="187"/>
      <c r="BUI28" s="188"/>
      <c r="BUJ28" s="187"/>
      <c r="BUP28" s="188"/>
      <c r="BUQ28" s="187"/>
      <c r="BUW28" s="188"/>
      <c r="BUX28" s="190"/>
      <c r="BUY28" s="189"/>
      <c r="BVD28" s="188"/>
      <c r="BVE28" s="187"/>
      <c r="BVK28" s="188"/>
      <c r="BVL28" s="187"/>
      <c r="BVR28" s="188"/>
      <c r="BVS28" s="187"/>
      <c r="BVY28" s="188"/>
      <c r="BVZ28" s="187"/>
      <c r="BWB28" s="168"/>
      <c r="BWC28" s="189"/>
      <c r="BWF28" s="188"/>
      <c r="BWG28" s="187"/>
      <c r="BWM28" s="188"/>
      <c r="BWN28" s="187"/>
      <c r="BWT28" s="188"/>
      <c r="BWU28" s="187"/>
      <c r="BXA28" s="188"/>
      <c r="BXB28" s="187"/>
      <c r="BXG28" s="168"/>
      <c r="BXH28" s="191"/>
      <c r="BXI28" s="187"/>
      <c r="BXO28" s="188"/>
      <c r="BXP28" s="187"/>
      <c r="BXV28" s="188"/>
      <c r="BXW28" s="187"/>
      <c r="BYC28" s="188"/>
      <c r="BYD28" s="187"/>
      <c r="BYJ28" s="188"/>
      <c r="BYK28" s="190"/>
      <c r="BYL28" s="189"/>
      <c r="BYQ28" s="188"/>
      <c r="BYR28" s="187"/>
      <c r="BYX28" s="188"/>
      <c r="BYY28" s="187"/>
      <c r="BZE28" s="188"/>
      <c r="BZF28" s="187"/>
      <c r="BZL28" s="188"/>
      <c r="BZM28" s="187"/>
      <c r="BZP28" s="168"/>
      <c r="BZQ28" s="189"/>
      <c r="BZS28" s="188"/>
      <c r="BZT28" s="187"/>
      <c r="BZZ28" s="188"/>
      <c r="CAA28" s="187"/>
      <c r="CAG28" s="188"/>
      <c r="CAH28" s="187"/>
      <c r="CAN28" s="188"/>
      <c r="CAO28" s="187"/>
      <c r="CAU28" s="168"/>
      <c r="CAV28" s="189"/>
      <c r="CBB28" s="188"/>
      <c r="CBC28" s="187"/>
      <c r="CBI28" s="188"/>
      <c r="CBJ28" s="187"/>
      <c r="CBP28" s="188"/>
      <c r="CBQ28" s="187"/>
      <c r="CBW28" s="188"/>
      <c r="CBX28" s="187"/>
      <c r="CBY28" s="168"/>
      <c r="CBZ28" s="189"/>
      <c r="CCD28" s="188"/>
      <c r="CCE28" s="187"/>
      <c r="CCK28" s="188"/>
      <c r="CCL28" s="187"/>
      <c r="CCR28" s="188"/>
      <c r="CCS28" s="187"/>
      <c r="CCY28" s="188"/>
      <c r="CCZ28" s="187"/>
      <c r="CDD28" s="168"/>
      <c r="CDE28" s="189"/>
      <c r="CDF28" s="188"/>
      <c r="CDG28" s="187"/>
      <c r="CDM28" s="188"/>
      <c r="CDN28" s="187"/>
      <c r="CDT28" s="188"/>
      <c r="CDU28" s="187"/>
      <c r="CEA28" s="188"/>
      <c r="CEB28" s="187"/>
      <c r="CEH28" s="168"/>
      <c r="CEI28" s="189"/>
      <c r="CEO28" s="188"/>
      <c r="CEP28" s="187"/>
      <c r="CEV28" s="188"/>
      <c r="CEW28" s="187"/>
      <c r="CFC28" s="188"/>
      <c r="CFD28" s="187"/>
      <c r="CFJ28" s="188"/>
      <c r="CFK28" s="187"/>
    </row>
    <row r="29" spans="1:1019 1025:2048 2054:2195">
      <c r="A29" s="164" t="s">
        <v>280</v>
      </c>
      <c r="C29" s="164" t="s">
        <v>281</v>
      </c>
      <c r="D29" s="186">
        <v>44628</v>
      </c>
      <c r="E29" s="186">
        <v>44632</v>
      </c>
      <c r="K29" s="187"/>
      <c r="Q29" s="188"/>
      <c r="R29" s="187"/>
      <c r="X29" s="188"/>
      <c r="Y29" s="187"/>
      <c r="AE29" s="188"/>
      <c r="AF29" s="187"/>
      <c r="AJ29" s="168"/>
      <c r="AK29" s="189"/>
      <c r="AL29" s="188"/>
      <c r="AM29" s="187"/>
      <c r="AS29" s="188"/>
      <c r="AT29" s="187"/>
      <c r="AZ29" s="188"/>
      <c r="BA29" s="187"/>
      <c r="BG29" s="188"/>
      <c r="BH29" s="187"/>
      <c r="BL29" s="168"/>
      <c r="BM29" s="189"/>
      <c r="BN29" s="188"/>
      <c r="BO29" s="187"/>
      <c r="BU29" s="188"/>
      <c r="BV29" s="187"/>
      <c r="CB29" s="188"/>
      <c r="CC29" s="187"/>
      <c r="CI29" s="188"/>
      <c r="CJ29" s="187"/>
      <c r="CP29" s="188"/>
      <c r="CQ29" s="190"/>
      <c r="CR29" s="189"/>
      <c r="CW29" s="188"/>
      <c r="CX29" s="187"/>
      <c r="DD29" s="188"/>
      <c r="DE29" s="187"/>
      <c r="DK29" s="188"/>
      <c r="DL29" s="187"/>
      <c r="DR29" s="188"/>
      <c r="DS29" s="187"/>
      <c r="DU29" s="168"/>
      <c r="DV29" s="189"/>
      <c r="DY29" s="188"/>
      <c r="DZ29" s="187"/>
      <c r="EF29" s="188"/>
      <c r="EG29" s="187"/>
      <c r="EM29" s="188"/>
      <c r="EN29" s="187"/>
      <c r="ET29" s="188"/>
      <c r="EU29" s="187"/>
      <c r="EZ29" s="168"/>
      <c r="FA29" s="191"/>
      <c r="FB29" s="187"/>
      <c r="FH29" s="188"/>
      <c r="FI29" s="187"/>
      <c r="FO29" s="188"/>
      <c r="FP29" s="187"/>
      <c r="FV29" s="188"/>
      <c r="FW29" s="187"/>
      <c r="GC29" s="188"/>
      <c r="GD29" s="190"/>
      <c r="GE29" s="189"/>
      <c r="GJ29" s="188"/>
      <c r="GK29" s="187"/>
      <c r="GQ29" s="188"/>
      <c r="GR29" s="187"/>
      <c r="GX29" s="188"/>
      <c r="GY29" s="187"/>
      <c r="HE29" s="188"/>
      <c r="HF29" s="187"/>
      <c r="HI29" s="168"/>
      <c r="HJ29" s="189"/>
      <c r="HL29" s="188"/>
      <c r="HM29" s="187"/>
      <c r="HS29" s="188"/>
      <c r="HT29" s="187"/>
      <c r="HZ29" s="188"/>
      <c r="IA29" s="187"/>
      <c r="IG29" s="188"/>
      <c r="IH29" s="187"/>
      <c r="IN29" s="168"/>
      <c r="IO29" s="189"/>
      <c r="IU29" s="188"/>
      <c r="IV29" s="187"/>
      <c r="JB29" s="188"/>
      <c r="JC29" s="187"/>
      <c r="JI29" s="188"/>
      <c r="JJ29" s="187"/>
      <c r="JP29" s="188"/>
      <c r="JQ29" s="187"/>
      <c r="JR29" s="168"/>
      <c r="JS29" s="189"/>
      <c r="JW29" s="188"/>
      <c r="JX29" s="187"/>
      <c r="KD29" s="188"/>
      <c r="KE29" s="187"/>
      <c r="KK29" s="188"/>
      <c r="KL29" s="187"/>
      <c r="KR29" s="188"/>
      <c r="KS29" s="187"/>
      <c r="KW29" s="168"/>
      <c r="KX29" s="189"/>
      <c r="KY29" s="188"/>
      <c r="KZ29" s="187"/>
      <c r="LF29" s="188"/>
      <c r="LG29" s="187"/>
      <c r="LM29" s="188"/>
      <c r="LN29" s="187"/>
      <c r="LT29" s="188"/>
      <c r="LU29" s="187"/>
      <c r="MA29" s="168"/>
      <c r="MB29" s="189"/>
      <c r="MH29" s="188"/>
      <c r="MI29" s="187"/>
      <c r="MO29" s="188"/>
      <c r="MP29" s="187"/>
      <c r="MV29" s="188"/>
      <c r="MW29" s="187"/>
      <c r="NC29" s="188"/>
      <c r="ND29" s="187"/>
      <c r="NF29" s="168"/>
      <c r="NG29" s="189"/>
      <c r="NJ29" s="188"/>
      <c r="NK29" s="187"/>
      <c r="NQ29" s="188"/>
      <c r="NR29" s="187"/>
      <c r="NX29" s="188"/>
      <c r="NY29" s="187"/>
      <c r="OE29" s="188"/>
      <c r="OF29" s="187"/>
      <c r="OK29" s="168"/>
      <c r="OL29" s="191"/>
      <c r="OM29" s="187"/>
      <c r="OS29" s="188"/>
      <c r="OT29" s="187"/>
      <c r="OZ29" s="188"/>
      <c r="PA29" s="187"/>
      <c r="PG29" s="188"/>
      <c r="PH29" s="187"/>
      <c r="PN29" s="168"/>
      <c r="PO29" s="189"/>
      <c r="PU29" s="188"/>
      <c r="PV29" s="187"/>
      <c r="QB29" s="188"/>
      <c r="QC29" s="187"/>
      <c r="QI29" s="188"/>
      <c r="QJ29" s="187"/>
      <c r="QP29" s="188"/>
      <c r="QQ29" s="187"/>
      <c r="QS29" s="168"/>
      <c r="QT29" s="189"/>
      <c r="QW29" s="188"/>
      <c r="QX29" s="187"/>
      <c r="RD29" s="188"/>
      <c r="RE29" s="187"/>
      <c r="RK29" s="188"/>
      <c r="RL29" s="187"/>
      <c r="RR29" s="188"/>
      <c r="RS29" s="187"/>
      <c r="RW29" s="168"/>
      <c r="RX29" s="189"/>
      <c r="RY29" s="188"/>
      <c r="RZ29" s="187"/>
      <c r="SF29" s="188"/>
      <c r="SG29" s="187"/>
      <c r="SM29" s="188"/>
      <c r="SN29" s="187"/>
      <c r="ST29" s="188"/>
      <c r="SU29" s="187"/>
      <c r="TA29" s="188"/>
      <c r="TB29" s="190"/>
      <c r="TC29" s="189"/>
      <c r="TH29" s="188"/>
      <c r="TI29" s="187"/>
      <c r="TO29" s="188"/>
      <c r="TP29" s="187"/>
      <c r="TV29" s="188"/>
      <c r="TW29" s="187"/>
      <c r="UC29" s="188"/>
      <c r="UD29" s="187"/>
      <c r="UF29" s="168"/>
      <c r="UG29" s="189"/>
      <c r="UJ29" s="188"/>
      <c r="UK29" s="187"/>
      <c r="UQ29" s="188"/>
      <c r="UR29" s="187"/>
      <c r="UX29" s="188"/>
      <c r="UY29" s="187"/>
      <c r="VE29" s="188"/>
      <c r="VF29" s="187"/>
      <c r="VK29" s="168"/>
      <c r="VL29" s="191"/>
      <c r="VM29" s="187"/>
      <c r="VS29" s="188"/>
      <c r="VT29" s="187"/>
      <c r="VZ29" s="188"/>
      <c r="WA29" s="187"/>
      <c r="WG29" s="188"/>
      <c r="WH29" s="187"/>
      <c r="WN29" s="188"/>
      <c r="WO29" s="187"/>
      <c r="WP29" s="168"/>
      <c r="WQ29" s="189"/>
      <c r="WU29" s="188"/>
      <c r="WV29" s="187"/>
      <c r="XB29" s="188"/>
      <c r="XC29" s="187"/>
      <c r="XI29" s="188"/>
      <c r="XJ29" s="187"/>
      <c r="XP29" s="188"/>
      <c r="XQ29" s="187"/>
      <c r="XT29" s="168"/>
      <c r="XU29" s="189"/>
      <c r="XW29" s="188"/>
      <c r="XX29" s="187"/>
      <c r="YD29" s="188"/>
      <c r="YE29" s="187"/>
      <c r="YK29" s="188"/>
      <c r="YL29" s="187"/>
      <c r="YR29" s="188"/>
      <c r="YS29" s="187"/>
      <c r="YY29" s="168"/>
      <c r="YZ29" s="189"/>
      <c r="ZF29" s="188"/>
      <c r="ZG29" s="187"/>
      <c r="ZM29" s="188"/>
      <c r="ZN29" s="187"/>
      <c r="ZT29" s="188"/>
      <c r="ZU29" s="187"/>
      <c r="AAA29" s="188"/>
      <c r="AAB29" s="187"/>
      <c r="AAC29" s="168"/>
      <c r="AAD29" s="189"/>
      <c r="AAH29" s="188"/>
      <c r="AAI29" s="187"/>
      <c r="AAO29" s="188"/>
      <c r="AAP29" s="187"/>
      <c r="AAV29" s="188"/>
      <c r="AAW29" s="187"/>
      <c r="ABC29" s="188"/>
      <c r="ABD29" s="187"/>
      <c r="ABH29" s="168"/>
      <c r="ABI29" s="189"/>
      <c r="ABJ29" s="188"/>
      <c r="ABK29" s="187"/>
      <c r="ABQ29" s="188"/>
      <c r="ABR29" s="187"/>
      <c r="ABX29" s="188"/>
      <c r="ABY29" s="187"/>
      <c r="ACE29" s="188"/>
      <c r="ACF29" s="187"/>
      <c r="ACL29" s="188"/>
      <c r="ACM29" s="190"/>
      <c r="ACN29" s="189"/>
      <c r="ACS29" s="188"/>
      <c r="ACT29" s="187"/>
      <c r="ACZ29" s="188"/>
      <c r="ADA29" s="187"/>
      <c r="ADG29" s="188"/>
      <c r="ADH29" s="187"/>
      <c r="ADN29" s="188"/>
      <c r="ADO29" s="190"/>
      <c r="ADP29" s="189"/>
      <c r="ADU29" s="188"/>
      <c r="ADV29" s="187"/>
      <c r="AEB29" s="188"/>
      <c r="AEC29" s="187"/>
      <c r="AEI29" s="188"/>
      <c r="AEJ29" s="187"/>
      <c r="AEP29" s="188"/>
      <c r="AEQ29" s="187"/>
      <c r="AET29" s="168"/>
      <c r="AEU29" s="189"/>
      <c r="AEW29" s="188"/>
      <c r="AEX29" s="187"/>
      <c r="AFD29" s="188"/>
      <c r="AFE29" s="187"/>
      <c r="AFK29" s="188"/>
      <c r="AFL29" s="187"/>
      <c r="AFR29" s="188"/>
      <c r="AFS29" s="187"/>
      <c r="AFX29" s="168"/>
      <c r="AFY29" s="191"/>
      <c r="AFZ29" s="187"/>
      <c r="AGF29" s="188"/>
      <c r="AGG29" s="187"/>
      <c r="AGM29" s="188"/>
      <c r="AGN29" s="187"/>
      <c r="AGT29" s="188"/>
      <c r="AGU29" s="187"/>
      <c r="AHA29" s="188"/>
      <c r="AHB29" s="187"/>
      <c r="AHC29" s="168"/>
      <c r="AHD29" s="189"/>
      <c r="AHH29" s="188"/>
      <c r="AHI29" s="187"/>
      <c r="AHO29" s="188"/>
      <c r="AHP29" s="187"/>
      <c r="AHV29" s="188"/>
      <c r="AHW29" s="187"/>
      <c r="AIC29" s="188"/>
      <c r="AID29" s="187"/>
      <c r="AIG29" s="168"/>
      <c r="AIH29" s="189"/>
      <c r="AIJ29" s="188"/>
      <c r="AIK29" s="187"/>
      <c r="AIQ29" s="188"/>
      <c r="AIR29" s="187"/>
      <c r="AIX29" s="188"/>
      <c r="AIY29" s="187"/>
      <c r="AJE29" s="188"/>
      <c r="AJF29" s="187"/>
      <c r="AJL29" s="168"/>
      <c r="AJM29" s="189"/>
      <c r="AJS29" s="188"/>
      <c r="AJT29" s="187"/>
      <c r="AJZ29" s="188"/>
      <c r="AKA29" s="187"/>
      <c r="AKG29" s="188"/>
      <c r="AKH29" s="187"/>
      <c r="AKN29" s="188"/>
      <c r="AKO29" s="187"/>
      <c r="AKQ29" s="168"/>
      <c r="AKR29" s="189"/>
      <c r="AKU29" s="188"/>
      <c r="AKV29" s="187"/>
      <c r="ALB29" s="188"/>
      <c r="ALC29" s="187"/>
      <c r="ALI29" s="188"/>
      <c r="ALJ29" s="187"/>
      <c r="ALP29" s="188"/>
      <c r="ALQ29" s="187"/>
      <c r="ALU29" s="168"/>
      <c r="ALV29" s="189"/>
      <c r="ALW29" s="188"/>
      <c r="ALX29" s="187"/>
      <c r="AMD29" s="188"/>
      <c r="AME29" s="187"/>
      <c r="AMK29" s="188"/>
      <c r="AML29" s="187"/>
      <c r="AMR29" s="188"/>
      <c r="AMS29" s="187"/>
      <c r="AMY29" s="188"/>
      <c r="AMZ29" s="190"/>
      <c r="ANA29" s="189"/>
      <c r="ANF29" s="188"/>
      <c r="ANG29" s="187"/>
      <c r="ANM29" s="188"/>
      <c r="ANN29" s="187"/>
      <c r="ANT29" s="188"/>
      <c r="ANU29" s="187"/>
      <c r="AOA29" s="188"/>
      <c r="AOB29" s="187"/>
      <c r="AOD29" s="168"/>
      <c r="AOE29" s="189"/>
      <c r="AOH29" s="188"/>
      <c r="AOI29" s="187"/>
      <c r="AOO29" s="188"/>
      <c r="AOP29" s="187"/>
      <c r="AOV29" s="188"/>
      <c r="AOW29" s="187"/>
      <c r="APC29" s="188"/>
      <c r="APD29" s="187"/>
      <c r="API29" s="168"/>
      <c r="APJ29" s="191"/>
      <c r="APK29" s="187"/>
      <c r="APQ29" s="188"/>
      <c r="APR29" s="187"/>
      <c r="APX29" s="188"/>
      <c r="APY29" s="187"/>
      <c r="AQE29" s="188"/>
      <c r="AQF29" s="187"/>
      <c r="AQL29" s="188"/>
      <c r="AQM29" s="187"/>
      <c r="AQN29" s="168"/>
      <c r="AQO29" s="189"/>
      <c r="AQS29" s="188"/>
      <c r="AQT29" s="187"/>
      <c r="AQZ29" s="188"/>
      <c r="ARA29" s="187"/>
      <c r="ARG29" s="188"/>
      <c r="ARH29" s="187"/>
      <c r="ARN29" s="188"/>
      <c r="ARO29" s="187"/>
      <c r="ARP29" s="168"/>
      <c r="ARQ29" s="189"/>
      <c r="ARU29" s="188"/>
      <c r="ARV29" s="187"/>
      <c r="ARX29" s="164">
        <v>1</v>
      </c>
      <c r="ARY29" s="164">
        <v>1</v>
      </c>
      <c r="ARZ29" s="164">
        <v>1</v>
      </c>
      <c r="ASA29" s="164">
        <v>1</v>
      </c>
      <c r="ASB29" s="188">
        <v>1</v>
      </c>
      <c r="ASC29" s="187"/>
      <c r="ASI29" s="188"/>
      <c r="ASJ29" s="187"/>
      <c r="ASP29" s="188"/>
      <c r="ASQ29" s="187"/>
      <c r="ASU29" s="168"/>
      <c r="ASV29" s="189"/>
      <c r="ASW29" s="188"/>
      <c r="ASX29" s="187"/>
      <c r="ATD29" s="188"/>
      <c r="ATE29" s="187"/>
      <c r="ATK29" s="188"/>
      <c r="ATL29" s="187"/>
      <c r="ATR29" s="188"/>
      <c r="ATS29" s="187"/>
      <c r="ATY29" s="168"/>
      <c r="ATZ29" s="189"/>
      <c r="AUF29" s="188"/>
      <c r="AUG29" s="187"/>
      <c r="AUM29" s="188"/>
      <c r="AUN29" s="187"/>
      <c r="AUT29" s="188"/>
      <c r="AUU29" s="187"/>
      <c r="AVA29" s="188"/>
      <c r="AVB29" s="187"/>
      <c r="AVD29" s="168"/>
      <c r="AVE29" s="189"/>
      <c r="AVH29" s="188"/>
      <c r="AVI29" s="187"/>
      <c r="AVO29" s="188"/>
      <c r="AVP29" s="187"/>
      <c r="AVV29" s="188"/>
      <c r="AVW29" s="187"/>
      <c r="AWC29" s="188"/>
      <c r="AWD29" s="187"/>
      <c r="AWH29" s="168"/>
      <c r="AWI29" s="189"/>
      <c r="AWJ29" s="188"/>
      <c r="AWK29" s="187"/>
      <c r="AWQ29" s="188"/>
      <c r="AWR29" s="187"/>
      <c r="AWX29" s="188"/>
      <c r="AWY29" s="187"/>
      <c r="AXE29" s="188"/>
      <c r="AXF29" s="187"/>
      <c r="AXL29" s="188"/>
      <c r="AXM29" s="190"/>
      <c r="AXN29" s="189"/>
      <c r="AXS29" s="188"/>
      <c r="AXT29" s="187"/>
      <c r="AXZ29" s="188"/>
      <c r="AYA29" s="187"/>
      <c r="AYG29" s="188"/>
      <c r="AYH29" s="187"/>
      <c r="AYN29" s="188"/>
      <c r="AYO29" s="187"/>
      <c r="AYR29" s="168"/>
      <c r="AYS29" s="189"/>
      <c r="AYU29" s="188"/>
      <c r="AYV29" s="187"/>
      <c r="AZB29" s="188"/>
      <c r="AZC29" s="187"/>
      <c r="AZI29" s="188"/>
      <c r="AZJ29" s="187"/>
      <c r="AZP29" s="188"/>
      <c r="AZQ29" s="187"/>
      <c r="AZV29" s="168"/>
      <c r="AZW29" s="191"/>
      <c r="AZX29" s="187"/>
      <c r="BAD29" s="188"/>
      <c r="BAE29" s="187"/>
      <c r="BAK29" s="188"/>
      <c r="BAL29" s="187"/>
      <c r="BAR29" s="188"/>
      <c r="BAS29" s="187"/>
      <c r="BAY29" s="188"/>
      <c r="BAZ29" s="187"/>
      <c r="BBA29" s="168"/>
      <c r="BBB29" s="189"/>
      <c r="BBF29" s="188"/>
      <c r="BBG29" s="187"/>
      <c r="BBM29" s="188"/>
      <c r="BBN29" s="187"/>
      <c r="BBT29" s="188"/>
      <c r="BBU29" s="187"/>
      <c r="BCA29" s="188"/>
      <c r="BCB29" s="187"/>
      <c r="BCE29" s="168"/>
      <c r="BCF29" s="189"/>
      <c r="BCH29" s="188"/>
      <c r="BCI29" s="187"/>
      <c r="BCO29" s="188"/>
      <c r="BCP29" s="187"/>
      <c r="BCV29" s="188"/>
      <c r="BCW29" s="187"/>
      <c r="BDC29" s="188"/>
      <c r="BDD29" s="187"/>
      <c r="BDJ29" s="168"/>
      <c r="BDK29" s="189"/>
      <c r="BDQ29" s="188"/>
      <c r="BDR29" s="187"/>
      <c r="BDX29" s="188"/>
      <c r="BDY29" s="187"/>
      <c r="BEE29" s="188"/>
      <c r="BEF29" s="187"/>
      <c r="BEL29" s="188"/>
      <c r="BEM29" s="187"/>
      <c r="BEO29" s="168"/>
      <c r="BEP29" s="189"/>
      <c r="BES29" s="188"/>
      <c r="BET29" s="187"/>
      <c r="BEZ29" s="188"/>
      <c r="BFA29" s="187"/>
      <c r="BFG29" s="188"/>
      <c r="BFH29" s="187"/>
      <c r="BFN29" s="188"/>
      <c r="BFO29" s="187"/>
      <c r="BFQ29" s="168"/>
      <c r="BFR29" s="189"/>
      <c r="BFU29" s="188"/>
      <c r="BFV29" s="187"/>
      <c r="BGB29" s="188"/>
      <c r="BGC29" s="187"/>
      <c r="BGI29" s="188"/>
      <c r="BGJ29" s="187"/>
      <c r="BGP29" s="188"/>
      <c r="BGQ29" s="187"/>
      <c r="BGV29" s="168"/>
      <c r="BGW29" s="191"/>
      <c r="BGX29" s="187"/>
      <c r="BHD29" s="188"/>
      <c r="BHE29" s="187"/>
      <c r="BHK29" s="188"/>
      <c r="BHL29" s="187"/>
      <c r="BHR29" s="188"/>
      <c r="BHS29" s="187"/>
      <c r="BHY29" s="188"/>
      <c r="BHZ29" s="190"/>
      <c r="BIA29" s="189"/>
      <c r="BIF29" s="188"/>
      <c r="BIG29" s="187"/>
      <c r="BIM29" s="188"/>
      <c r="BIN29" s="187"/>
      <c r="BIT29" s="188"/>
      <c r="BIU29" s="187"/>
      <c r="BJA29" s="188"/>
      <c r="BJB29" s="187"/>
      <c r="BJE29" s="168"/>
      <c r="BJF29" s="189"/>
      <c r="BJH29" s="188"/>
      <c r="BJI29" s="187"/>
      <c r="BJO29" s="188"/>
      <c r="BJP29" s="187"/>
      <c r="BJV29" s="188"/>
      <c r="BJW29" s="187"/>
      <c r="BKC29" s="188"/>
      <c r="BKD29" s="187"/>
      <c r="BKI29" s="168"/>
      <c r="BKJ29" s="191"/>
      <c r="BKK29" s="187"/>
      <c r="BKQ29" s="188"/>
      <c r="BKR29" s="187"/>
      <c r="BKX29" s="188"/>
      <c r="BKY29" s="187"/>
      <c r="BLE29" s="188"/>
      <c r="BLF29" s="187"/>
      <c r="BLL29" s="188"/>
      <c r="BLM29" s="187"/>
      <c r="BLN29" s="168"/>
      <c r="BLO29" s="189"/>
      <c r="BLS29" s="188"/>
      <c r="BLT29" s="187"/>
      <c r="BLZ29" s="188"/>
      <c r="BMA29" s="187"/>
      <c r="BMG29" s="188"/>
      <c r="BMH29" s="187"/>
      <c r="BMN29" s="188"/>
      <c r="BMO29" s="187"/>
      <c r="BMS29" s="168"/>
      <c r="BMT29" s="189"/>
      <c r="BMU29" s="188"/>
      <c r="BMV29" s="187"/>
      <c r="BNB29" s="188"/>
      <c r="BNC29" s="187"/>
      <c r="BNI29" s="188"/>
      <c r="BNJ29" s="187"/>
      <c r="BNP29" s="188"/>
      <c r="BNQ29" s="187"/>
      <c r="BNW29" s="168"/>
      <c r="BNX29" s="189"/>
      <c r="BOD29" s="188"/>
      <c r="BOE29" s="187"/>
      <c r="BOK29" s="188"/>
      <c r="BOL29" s="187"/>
      <c r="BOR29" s="188"/>
      <c r="BOS29" s="187"/>
      <c r="BOY29" s="188"/>
      <c r="BOZ29" s="187"/>
      <c r="BPB29" s="168"/>
      <c r="BPC29" s="189"/>
      <c r="BPF29" s="188"/>
      <c r="BPG29" s="187"/>
      <c r="BPM29" s="188"/>
      <c r="BPN29" s="187"/>
      <c r="BPT29" s="188"/>
      <c r="BPU29" s="187"/>
      <c r="BQA29" s="188"/>
      <c r="BQB29" s="187"/>
      <c r="BQF29" s="168"/>
      <c r="BQG29" s="189"/>
      <c r="BQH29" s="188"/>
      <c r="BQI29" s="187"/>
      <c r="BQO29" s="188"/>
      <c r="BQP29" s="187"/>
      <c r="BQV29" s="188"/>
      <c r="BQW29" s="187"/>
      <c r="BRC29" s="188"/>
      <c r="BRD29" s="187"/>
      <c r="BRJ29" s="188"/>
      <c r="BRK29" s="190"/>
      <c r="BRL29" s="189"/>
      <c r="BRQ29" s="188"/>
      <c r="BRR29" s="187"/>
      <c r="BRX29" s="188"/>
      <c r="BRY29" s="187"/>
      <c r="BSE29" s="188"/>
      <c r="BSF29" s="187"/>
      <c r="BSL29" s="188"/>
      <c r="BSM29" s="187"/>
      <c r="BSP29" s="168"/>
      <c r="BSQ29" s="189"/>
      <c r="BSS29" s="188"/>
      <c r="BST29" s="187"/>
      <c r="BSZ29" s="188"/>
      <c r="BTA29" s="187"/>
      <c r="BTG29" s="188"/>
      <c r="BTH29" s="187"/>
      <c r="BTN29" s="188"/>
      <c r="BTO29" s="187"/>
      <c r="BTS29" s="168"/>
      <c r="BTT29" s="189"/>
      <c r="BTU29" s="188"/>
      <c r="BTV29" s="187"/>
      <c r="BUB29" s="188"/>
      <c r="BUC29" s="187"/>
      <c r="BUI29" s="188"/>
      <c r="BUJ29" s="187"/>
      <c r="BUP29" s="188"/>
      <c r="BUQ29" s="187"/>
      <c r="BUW29" s="188"/>
      <c r="BUX29" s="190"/>
      <c r="BUY29" s="189"/>
      <c r="BVD29" s="188"/>
      <c r="BVE29" s="187"/>
      <c r="BVK29" s="188"/>
      <c r="BVL29" s="187"/>
      <c r="BVR29" s="188"/>
      <c r="BVS29" s="187"/>
      <c r="BVY29" s="188"/>
      <c r="BVZ29" s="187"/>
      <c r="BWB29" s="168"/>
      <c r="BWC29" s="189"/>
      <c r="BWF29" s="188"/>
      <c r="BWG29" s="187"/>
      <c r="BWM29" s="188"/>
      <c r="BWN29" s="187"/>
      <c r="BWT29" s="188"/>
      <c r="BWU29" s="187"/>
      <c r="BXA29" s="188"/>
      <c r="BXB29" s="187"/>
      <c r="BXG29" s="168"/>
      <c r="BXH29" s="191"/>
      <c r="BXI29" s="187"/>
      <c r="BXO29" s="188"/>
      <c r="BXP29" s="187"/>
      <c r="BXV29" s="188"/>
      <c r="BXW29" s="187"/>
      <c r="BYC29" s="188"/>
      <c r="BYD29" s="187"/>
      <c r="BYJ29" s="188"/>
      <c r="BYK29" s="190"/>
      <c r="BYL29" s="189"/>
      <c r="BYQ29" s="188"/>
      <c r="BYR29" s="187"/>
      <c r="BYX29" s="188"/>
      <c r="BYY29" s="187"/>
      <c r="BZE29" s="188"/>
      <c r="BZF29" s="187"/>
      <c r="BZL29" s="188"/>
      <c r="BZM29" s="187"/>
      <c r="BZP29" s="168"/>
      <c r="BZQ29" s="189"/>
      <c r="BZS29" s="188"/>
      <c r="BZT29" s="187"/>
      <c r="BZZ29" s="188"/>
      <c r="CAA29" s="187"/>
      <c r="CAG29" s="188"/>
      <c r="CAH29" s="187"/>
      <c r="CAN29" s="188"/>
      <c r="CAO29" s="187"/>
      <c r="CAU29" s="168"/>
      <c r="CAV29" s="189"/>
      <c r="CBB29" s="188"/>
      <c r="CBC29" s="187"/>
      <c r="CBI29" s="188"/>
      <c r="CBJ29" s="187"/>
      <c r="CBP29" s="188"/>
      <c r="CBQ29" s="187"/>
      <c r="CBW29" s="188"/>
      <c r="CBX29" s="187"/>
      <c r="CBY29" s="168"/>
      <c r="CBZ29" s="189"/>
      <c r="CCD29" s="188"/>
      <c r="CCE29" s="187"/>
      <c r="CCK29" s="188"/>
      <c r="CCL29" s="187"/>
      <c r="CCR29" s="188"/>
      <c r="CCS29" s="187"/>
      <c r="CCY29" s="188"/>
      <c r="CCZ29" s="187"/>
      <c r="CDD29" s="168"/>
      <c r="CDE29" s="189"/>
      <c r="CDF29" s="188"/>
      <c r="CDG29" s="187"/>
      <c r="CDM29" s="188"/>
      <c r="CDN29" s="187"/>
      <c r="CDT29" s="188"/>
      <c r="CDU29" s="187"/>
      <c r="CEA29" s="188"/>
      <c r="CEB29" s="187"/>
      <c r="CEH29" s="168"/>
      <c r="CEI29" s="189"/>
      <c r="CEO29" s="188"/>
      <c r="CEP29" s="187"/>
      <c r="CEV29" s="188"/>
      <c r="CEW29" s="187"/>
      <c r="CFC29" s="188"/>
      <c r="CFD29" s="187"/>
      <c r="CFJ29" s="188"/>
      <c r="CFK29" s="187"/>
    </row>
    <row r="30" spans="1:1019 1025:2048 2054:2195">
      <c r="A30" s="164" t="s">
        <v>282</v>
      </c>
      <c r="C30" s="164" t="s">
        <v>283</v>
      </c>
      <c r="D30" s="186"/>
      <c r="E30" s="186"/>
      <c r="K30" s="187"/>
      <c r="Q30" s="188"/>
      <c r="R30" s="187"/>
      <c r="X30" s="188"/>
      <c r="Y30" s="187"/>
      <c r="AE30" s="188"/>
      <c r="AF30" s="187"/>
      <c r="AJ30" s="168"/>
      <c r="AK30" s="189"/>
      <c r="AL30" s="188"/>
      <c r="AM30" s="187"/>
      <c r="AS30" s="188"/>
      <c r="AT30" s="187"/>
      <c r="AZ30" s="188"/>
      <c r="BA30" s="187"/>
      <c r="BG30" s="188"/>
      <c r="BH30" s="187"/>
      <c r="BL30" s="168"/>
      <c r="BM30" s="189"/>
      <c r="BN30" s="188"/>
      <c r="BO30" s="187"/>
      <c r="BU30" s="188"/>
      <c r="BV30" s="187"/>
      <c r="CB30" s="188"/>
      <c r="CC30" s="187"/>
      <c r="CI30" s="188"/>
      <c r="CJ30" s="187"/>
      <c r="CP30" s="188"/>
      <c r="CQ30" s="190"/>
      <c r="CR30" s="189"/>
      <c r="CW30" s="188"/>
      <c r="CX30" s="187"/>
      <c r="DD30" s="188"/>
      <c r="DE30" s="187"/>
      <c r="DK30" s="188"/>
      <c r="DL30" s="187"/>
      <c r="DR30" s="188"/>
      <c r="DS30" s="187"/>
      <c r="DU30" s="168"/>
      <c r="DV30" s="189"/>
      <c r="DY30" s="188"/>
      <c r="DZ30" s="187"/>
      <c r="EF30" s="188"/>
      <c r="EG30" s="187"/>
      <c r="EM30" s="188"/>
      <c r="EN30" s="187"/>
      <c r="ET30" s="188"/>
      <c r="EU30" s="187"/>
      <c r="EZ30" s="168"/>
      <c r="FA30" s="191"/>
      <c r="FB30" s="187"/>
      <c r="FH30" s="188"/>
      <c r="FI30" s="187"/>
      <c r="FO30" s="188"/>
      <c r="FP30" s="187"/>
      <c r="FV30" s="188"/>
      <c r="FW30" s="187"/>
      <c r="GC30" s="188"/>
      <c r="GD30" s="190"/>
      <c r="GE30" s="189"/>
      <c r="GJ30" s="188"/>
      <c r="GK30" s="187"/>
      <c r="GQ30" s="188"/>
      <c r="GR30" s="187"/>
      <c r="GX30" s="188"/>
      <c r="GY30" s="187"/>
      <c r="HE30" s="188"/>
      <c r="HF30" s="187"/>
      <c r="HI30" s="168"/>
      <c r="HJ30" s="189"/>
      <c r="HL30" s="188"/>
      <c r="HM30" s="187"/>
      <c r="HS30" s="188"/>
      <c r="HT30" s="187"/>
      <c r="HZ30" s="188"/>
      <c r="IA30" s="187"/>
      <c r="IG30" s="188"/>
      <c r="IH30" s="187"/>
      <c r="IN30" s="168"/>
      <c r="IO30" s="189"/>
      <c r="IU30" s="188"/>
      <c r="IV30" s="187"/>
      <c r="JB30" s="188"/>
      <c r="JC30" s="187"/>
      <c r="JI30" s="188"/>
      <c r="JJ30" s="187"/>
      <c r="JP30" s="188"/>
      <c r="JQ30" s="187"/>
      <c r="JR30" s="168"/>
      <c r="JS30" s="189"/>
      <c r="JW30" s="188"/>
      <c r="JX30" s="187"/>
      <c r="KD30" s="188"/>
      <c r="KE30" s="187"/>
      <c r="KK30" s="188"/>
      <c r="KL30" s="187"/>
      <c r="KR30" s="188"/>
      <c r="KS30" s="187"/>
      <c r="KW30" s="168"/>
      <c r="KX30" s="189"/>
      <c r="KY30" s="188"/>
      <c r="KZ30" s="187"/>
      <c r="LF30" s="188"/>
      <c r="LG30" s="187"/>
      <c r="LM30" s="188"/>
      <c r="LN30" s="187"/>
      <c r="LT30" s="188"/>
      <c r="LU30" s="187"/>
      <c r="MA30" s="168"/>
      <c r="MB30" s="189"/>
      <c r="MH30" s="188"/>
      <c r="MI30" s="187"/>
      <c r="MO30" s="188"/>
      <c r="MP30" s="187"/>
      <c r="MV30" s="188"/>
      <c r="MW30" s="187"/>
      <c r="NC30" s="188"/>
      <c r="ND30" s="187"/>
      <c r="NF30" s="168"/>
      <c r="NG30" s="189"/>
      <c r="NJ30" s="188"/>
      <c r="NK30" s="187"/>
      <c r="NQ30" s="188"/>
      <c r="NR30" s="187"/>
      <c r="NX30" s="188"/>
      <c r="NY30" s="187"/>
      <c r="OE30" s="188"/>
      <c r="OF30" s="187"/>
      <c r="OK30" s="168"/>
      <c r="OL30" s="191"/>
      <c r="OM30" s="187"/>
      <c r="OS30" s="188"/>
      <c r="OT30" s="187"/>
      <c r="OZ30" s="188"/>
      <c r="PA30" s="187"/>
      <c r="PG30" s="188"/>
      <c r="PH30" s="187"/>
      <c r="PN30" s="168"/>
      <c r="PO30" s="189"/>
      <c r="PU30" s="188"/>
      <c r="PV30" s="187"/>
      <c r="QB30" s="188"/>
      <c r="QC30" s="187"/>
      <c r="QI30" s="188"/>
      <c r="QJ30" s="187"/>
      <c r="QP30" s="188"/>
      <c r="QQ30" s="187"/>
      <c r="QS30" s="168"/>
      <c r="QT30" s="189"/>
      <c r="QW30" s="188"/>
      <c r="QX30" s="187"/>
      <c r="RD30" s="188"/>
      <c r="RE30" s="187"/>
      <c r="RK30" s="188"/>
      <c r="RL30" s="187"/>
      <c r="RR30" s="188"/>
      <c r="RS30" s="187"/>
      <c r="RW30" s="168"/>
      <c r="RX30" s="189"/>
      <c r="RY30" s="188"/>
      <c r="RZ30" s="187"/>
      <c r="SF30" s="188"/>
      <c r="SG30" s="187"/>
      <c r="SM30" s="188"/>
      <c r="SN30" s="187"/>
      <c r="ST30" s="188"/>
      <c r="SU30" s="187"/>
      <c r="TA30" s="188"/>
      <c r="TB30" s="190"/>
      <c r="TC30" s="189"/>
      <c r="TH30" s="188"/>
      <c r="TI30" s="187"/>
      <c r="TO30" s="188"/>
      <c r="TP30" s="187"/>
      <c r="TV30" s="188"/>
      <c r="TW30" s="187"/>
      <c r="UC30" s="188"/>
      <c r="UD30" s="187"/>
      <c r="UF30" s="168"/>
      <c r="UG30" s="189"/>
      <c r="UJ30" s="188"/>
      <c r="UK30" s="187"/>
      <c r="UQ30" s="188"/>
      <c r="UR30" s="187"/>
      <c r="UX30" s="188"/>
      <c r="UY30" s="187"/>
      <c r="VE30" s="188"/>
      <c r="VF30" s="187"/>
      <c r="VK30" s="168"/>
      <c r="VL30" s="191"/>
      <c r="VM30" s="187"/>
      <c r="VS30" s="188"/>
      <c r="VT30" s="187"/>
      <c r="VZ30" s="188"/>
      <c r="WA30" s="187"/>
      <c r="WG30" s="188"/>
      <c r="WH30" s="187"/>
      <c r="WN30" s="188"/>
      <c r="WO30" s="187"/>
      <c r="WP30" s="168"/>
      <c r="WQ30" s="189"/>
      <c r="WU30" s="188"/>
      <c r="WV30" s="187"/>
      <c r="XB30" s="188"/>
      <c r="XC30" s="187"/>
      <c r="XI30" s="188"/>
      <c r="XJ30" s="187"/>
      <c r="XP30" s="188"/>
      <c r="XQ30" s="187"/>
      <c r="XT30" s="168"/>
      <c r="XU30" s="189"/>
      <c r="XW30" s="188"/>
      <c r="XX30" s="187"/>
      <c r="YD30" s="188"/>
      <c r="YE30" s="187"/>
      <c r="YK30" s="188"/>
      <c r="YL30" s="187"/>
      <c r="YR30" s="188"/>
      <c r="YS30" s="187"/>
      <c r="YY30" s="168"/>
      <c r="YZ30" s="189"/>
      <c r="ZF30" s="188"/>
      <c r="ZG30" s="187"/>
      <c r="ZM30" s="188"/>
      <c r="ZN30" s="187"/>
      <c r="ZT30" s="188"/>
      <c r="ZU30" s="187"/>
      <c r="AAA30" s="188"/>
      <c r="AAB30" s="187"/>
      <c r="AAC30" s="168"/>
      <c r="AAD30" s="189"/>
      <c r="AAH30" s="188"/>
      <c r="AAI30" s="187"/>
      <c r="AAO30" s="188"/>
      <c r="AAP30" s="187"/>
      <c r="AAV30" s="188"/>
      <c r="AAW30" s="187"/>
      <c r="ABC30" s="188"/>
      <c r="ABD30" s="187"/>
      <c r="ABH30" s="168"/>
      <c r="ABI30" s="189"/>
      <c r="ABJ30" s="188"/>
      <c r="ABK30" s="187"/>
      <c r="ABQ30" s="188"/>
      <c r="ABR30" s="187"/>
      <c r="ABX30" s="188"/>
      <c r="ABY30" s="187"/>
      <c r="ACE30" s="188"/>
      <c r="ACF30" s="187"/>
      <c r="ACL30" s="188"/>
      <c r="ACM30" s="190"/>
      <c r="ACN30" s="189"/>
      <c r="ACS30" s="188"/>
      <c r="ACT30" s="187"/>
      <c r="ACZ30" s="188"/>
      <c r="ADA30" s="187"/>
      <c r="ADG30" s="188"/>
      <c r="ADH30" s="187"/>
      <c r="ADN30" s="188"/>
      <c r="ADO30" s="190"/>
      <c r="ADP30" s="189"/>
      <c r="ADU30" s="188"/>
      <c r="ADV30" s="187"/>
      <c r="AEB30" s="188"/>
      <c r="AEC30" s="187"/>
      <c r="AEI30" s="188"/>
      <c r="AEJ30" s="187"/>
      <c r="AEP30" s="188"/>
      <c r="AEQ30" s="187"/>
      <c r="AET30" s="168"/>
      <c r="AEU30" s="189"/>
      <c r="AEW30" s="188"/>
      <c r="AEX30" s="187"/>
      <c r="AFD30" s="188"/>
      <c r="AFE30" s="187"/>
      <c r="AFK30" s="188"/>
      <c r="AFL30" s="187"/>
      <c r="AFR30" s="188"/>
      <c r="AFS30" s="187"/>
      <c r="AFX30" s="168"/>
      <c r="AFY30" s="191"/>
      <c r="AFZ30" s="187"/>
      <c r="AGF30" s="188"/>
      <c r="AGG30" s="187"/>
      <c r="AGM30" s="188"/>
      <c r="AGN30" s="187"/>
      <c r="AGT30" s="188"/>
      <c r="AGU30" s="187"/>
      <c r="AHA30" s="188"/>
      <c r="AHB30" s="187"/>
      <c r="AHC30" s="168"/>
      <c r="AHD30" s="189"/>
      <c r="AHH30" s="188"/>
      <c r="AHI30" s="187"/>
      <c r="AHO30" s="188"/>
      <c r="AHP30" s="187"/>
      <c r="AHV30" s="188"/>
      <c r="AHW30" s="187"/>
      <c r="AIC30" s="188"/>
      <c r="AID30" s="187"/>
      <c r="AIG30" s="168"/>
      <c r="AIH30" s="189"/>
      <c r="AIJ30" s="188"/>
      <c r="AIK30" s="187"/>
      <c r="AIQ30" s="188"/>
      <c r="AIR30" s="187"/>
      <c r="AIX30" s="188"/>
      <c r="AIY30" s="187"/>
      <c r="AJE30" s="188"/>
      <c r="AJF30" s="187"/>
      <c r="AJL30" s="168"/>
      <c r="AJM30" s="189"/>
      <c r="AJS30" s="188"/>
      <c r="AJT30" s="187"/>
      <c r="AJZ30" s="188"/>
      <c r="AKA30" s="187"/>
      <c r="AKG30" s="188"/>
      <c r="AKH30" s="187"/>
      <c r="AKN30" s="188"/>
      <c r="AKO30" s="187"/>
      <c r="AKQ30" s="168"/>
      <c r="AKR30" s="189"/>
      <c r="AKU30" s="188"/>
      <c r="AKV30" s="187"/>
      <c r="ALB30" s="188"/>
      <c r="ALC30" s="187"/>
      <c r="ALI30" s="188"/>
      <c r="ALJ30" s="187"/>
      <c r="ALP30" s="188"/>
      <c r="ALQ30" s="187"/>
      <c r="ALU30" s="168"/>
      <c r="ALV30" s="189"/>
      <c r="ALW30" s="188"/>
      <c r="ALX30" s="187"/>
      <c r="AMD30" s="188"/>
      <c r="AME30" s="187"/>
      <c r="AMK30" s="188"/>
      <c r="AML30" s="187"/>
      <c r="AMR30" s="188"/>
      <c r="AMS30" s="187"/>
      <c r="AMY30" s="188"/>
      <c r="AMZ30" s="190"/>
      <c r="ANA30" s="189"/>
      <c r="ANF30" s="188"/>
      <c r="ANG30" s="187"/>
      <c r="ANM30" s="188"/>
      <c r="ANN30" s="187"/>
      <c r="ANT30" s="188"/>
      <c r="ANU30" s="187"/>
      <c r="AOA30" s="188"/>
      <c r="AOB30" s="187"/>
      <c r="AOD30" s="168"/>
      <c r="AOE30" s="189"/>
      <c r="AOH30" s="188"/>
      <c r="AOI30" s="187"/>
      <c r="AOO30" s="188"/>
      <c r="AOP30" s="187"/>
      <c r="AOV30" s="188"/>
      <c r="AOW30" s="187"/>
      <c r="APC30" s="188"/>
      <c r="APD30" s="187"/>
      <c r="API30" s="168"/>
      <c r="APJ30" s="191"/>
      <c r="APK30" s="187"/>
      <c r="APQ30" s="188"/>
      <c r="APR30" s="187"/>
      <c r="APX30" s="188"/>
      <c r="APY30" s="187"/>
      <c r="AQE30" s="188"/>
      <c r="AQF30" s="187"/>
      <c r="AQL30" s="188"/>
      <c r="AQM30" s="187"/>
      <c r="AQN30" s="168"/>
      <c r="AQO30" s="189"/>
      <c r="AQS30" s="188"/>
      <c r="AQT30" s="187"/>
      <c r="AQZ30" s="188"/>
      <c r="ARA30" s="187"/>
      <c r="ARG30" s="188"/>
      <c r="ARH30" s="187"/>
      <c r="ARN30" s="188"/>
      <c r="ARO30" s="187"/>
      <c r="ARP30" s="168"/>
      <c r="ARQ30" s="189"/>
      <c r="ARU30" s="188"/>
      <c r="ARV30" s="187"/>
      <c r="ASB30" s="188"/>
      <c r="ASC30" s="187"/>
      <c r="ASI30" s="188"/>
      <c r="ASJ30" s="187"/>
      <c r="ASP30" s="188"/>
      <c r="ASQ30" s="187"/>
      <c r="ASU30" s="168"/>
      <c r="ASV30" s="189"/>
      <c r="ASW30" s="188"/>
      <c r="ASX30" s="187"/>
      <c r="ATD30" s="188"/>
      <c r="ATE30" s="187"/>
      <c r="ATK30" s="188"/>
      <c r="ATL30" s="187"/>
      <c r="ATR30" s="188"/>
      <c r="ATS30" s="187"/>
      <c r="ATY30" s="168"/>
      <c r="ATZ30" s="189"/>
      <c r="AUF30" s="188"/>
      <c r="AUG30" s="187"/>
      <c r="AUM30" s="188"/>
      <c r="AUN30" s="187"/>
      <c r="AUT30" s="188"/>
      <c r="AUU30" s="187"/>
      <c r="AVA30" s="188"/>
      <c r="AVB30" s="187"/>
      <c r="AVD30" s="168"/>
      <c r="AVE30" s="189"/>
      <c r="AVH30" s="188"/>
      <c r="AVI30" s="187"/>
      <c r="AVO30" s="188"/>
      <c r="AVP30" s="187"/>
      <c r="AVV30" s="188"/>
      <c r="AVW30" s="187"/>
      <c r="AWC30" s="188"/>
      <c r="AWD30" s="187"/>
      <c r="AWH30" s="168"/>
      <c r="AWI30" s="189"/>
      <c r="AWJ30" s="188"/>
      <c r="AWK30" s="187"/>
      <c r="AWQ30" s="188"/>
      <c r="AWR30" s="187"/>
      <c r="AWX30" s="188"/>
      <c r="AWY30" s="187"/>
      <c r="AXE30" s="188"/>
      <c r="AXF30" s="187"/>
      <c r="AXL30" s="188"/>
      <c r="AXM30" s="190"/>
      <c r="AXN30" s="189"/>
      <c r="AXS30" s="188"/>
      <c r="AXT30" s="187"/>
      <c r="AXZ30" s="188"/>
      <c r="AYA30" s="187"/>
      <c r="AYG30" s="188"/>
      <c r="AYH30" s="187"/>
      <c r="AYN30" s="188"/>
      <c r="AYO30" s="187"/>
      <c r="AYR30" s="168"/>
      <c r="AYS30" s="189"/>
      <c r="AYU30" s="188"/>
      <c r="AYV30" s="187"/>
      <c r="AZB30" s="188"/>
      <c r="AZC30" s="187"/>
      <c r="AZI30" s="188"/>
      <c r="AZJ30" s="187"/>
      <c r="AZP30" s="188"/>
      <c r="AZQ30" s="187"/>
      <c r="AZV30" s="168"/>
      <c r="AZW30" s="191"/>
      <c r="AZX30" s="187"/>
      <c r="BAD30" s="188"/>
      <c r="BAE30" s="187"/>
      <c r="BAK30" s="188"/>
      <c r="BAL30" s="187"/>
      <c r="BAR30" s="188"/>
      <c r="BAS30" s="187"/>
      <c r="BAY30" s="188"/>
      <c r="BAZ30" s="187"/>
      <c r="BBA30" s="168"/>
      <c r="BBB30" s="189"/>
      <c r="BBF30" s="188"/>
      <c r="BBG30" s="187"/>
      <c r="BBM30" s="188"/>
      <c r="BBN30" s="187"/>
      <c r="BBT30" s="188"/>
      <c r="BBU30" s="187"/>
      <c r="BCA30" s="188"/>
      <c r="BCB30" s="187"/>
      <c r="BCE30" s="168"/>
      <c r="BCF30" s="189"/>
      <c r="BCH30" s="188"/>
      <c r="BCI30" s="187"/>
      <c r="BCO30" s="188"/>
      <c r="BCP30" s="187"/>
      <c r="BCV30" s="188"/>
      <c r="BCW30" s="187"/>
      <c r="BDC30" s="188"/>
      <c r="BDD30" s="187"/>
      <c r="BDJ30" s="168"/>
      <c r="BDK30" s="189"/>
      <c r="BDQ30" s="188"/>
      <c r="BDR30" s="187"/>
      <c r="BDX30" s="188"/>
      <c r="BDY30" s="187"/>
      <c r="BEE30" s="188"/>
      <c r="BEF30" s="187"/>
      <c r="BEL30" s="188"/>
      <c r="BEM30" s="187"/>
      <c r="BEO30" s="168"/>
      <c r="BEP30" s="189"/>
      <c r="BES30" s="188"/>
      <c r="BET30" s="187"/>
      <c r="BEZ30" s="188"/>
      <c r="BFA30" s="187"/>
      <c r="BFG30" s="188"/>
      <c r="BFH30" s="187"/>
      <c r="BFN30" s="188"/>
      <c r="BFO30" s="187"/>
      <c r="BFQ30" s="168"/>
      <c r="BFR30" s="189"/>
      <c r="BFU30" s="188"/>
      <c r="BFV30" s="187"/>
      <c r="BGB30" s="188"/>
      <c r="BGC30" s="187"/>
      <c r="BGI30" s="188"/>
      <c r="BGJ30" s="187"/>
      <c r="BGP30" s="188"/>
      <c r="BGQ30" s="187"/>
      <c r="BGV30" s="168"/>
      <c r="BGW30" s="191"/>
      <c r="BGX30" s="187"/>
      <c r="BHD30" s="188"/>
      <c r="BHE30" s="187"/>
      <c r="BHK30" s="188"/>
      <c r="BHL30" s="187"/>
      <c r="BHR30" s="188"/>
      <c r="BHS30" s="187"/>
      <c r="BHY30" s="188"/>
      <c r="BHZ30" s="190"/>
      <c r="BIA30" s="189"/>
      <c r="BIF30" s="188"/>
      <c r="BIG30" s="187"/>
      <c r="BIM30" s="188"/>
      <c r="BIN30" s="187"/>
      <c r="BIT30" s="188"/>
      <c r="BIU30" s="187"/>
      <c r="BJA30" s="188"/>
      <c r="BJB30" s="187"/>
      <c r="BJE30" s="168"/>
      <c r="BJF30" s="189"/>
      <c r="BJH30" s="188"/>
      <c r="BJI30" s="187"/>
      <c r="BJO30" s="188"/>
      <c r="BJP30" s="187"/>
      <c r="BJV30" s="188"/>
      <c r="BJW30" s="187"/>
      <c r="BKC30" s="188"/>
      <c r="BKD30" s="187"/>
      <c r="BKI30" s="168"/>
      <c r="BKJ30" s="191"/>
      <c r="BKK30" s="187"/>
      <c r="BKQ30" s="188"/>
      <c r="BKR30" s="187"/>
      <c r="BKX30" s="188"/>
      <c r="BKY30" s="187"/>
      <c r="BLE30" s="188"/>
      <c r="BLF30" s="187"/>
      <c r="BLL30" s="188"/>
      <c r="BLM30" s="187"/>
      <c r="BLN30" s="168"/>
      <c r="BLO30" s="189"/>
      <c r="BLS30" s="188"/>
      <c r="BLT30" s="187"/>
      <c r="BLZ30" s="188"/>
      <c r="BMA30" s="187"/>
      <c r="BMG30" s="188"/>
      <c r="BMH30" s="187"/>
      <c r="BMN30" s="188"/>
      <c r="BMO30" s="187"/>
      <c r="BMS30" s="168"/>
      <c r="BMT30" s="189"/>
      <c r="BMU30" s="188"/>
      <c r="BMV30" s="187"/>
      <c r="BNB30" s="188"/>
      <c r="BNC30" s="187"/>
      <c r="BNI30" s="188"/>
      <c r="BNJ30" s="187"/>
      <c r="BNP30" s="188"/>
      <c r="BNQ30" s="187"/>
      <c r="BNW30" s="168"/>
      <c r="BNX30" s="189"/>
      <c r="BOD30" s="188"/>
      <c r="BOE30" s="187"/>
      <c r="BOK30" s="188"/>
      <c r="BOL30" s="187"/>
      <c r="BOR30" s="188"/>
      <c r="BOS30" s="187"/>
      <c r="BOY30" s="188"/>
      <c r="BOZ30" s="187"/>
      <c r="BPB30" s="168"/>
      <c r="BPC30" s="189"/>
      <c r="BPF30" s="188"/>
      <c r="BPG30" s="187"/>
      <c r="BPM30" s="188"/>
      <c r="BPN30" s="187"/>
      <c r="BPT30" s="188"/>
      <c r="BPU30" s="187"/>
      <c r="BQA30" s="188"/>
      <c r="BQB30" s="187"/>
      <c r="BQF30" s="168"/>
      <c r="BQG30" s="189"/>
      <c r="BQH30" s="188"/>
      <c r="BQI30" s="187"/>
      <c r="BQO30" s="188"/>
      <c r="BQP30" s="187"/>
      <c r="BQV30" s="188"/>
      <c r="BQW30" s="187"/>
      <c r="BRC30" s="188"/>
      <c r="BRD30" s="187"/>
      <c r="BRJ30" s="188"/>
      <c r="BRK30" s="190"/>
      <c r="BRL30" s="189"/>
      <c r="BRQ30" s="188"/>
      <c r="BRR30" s="187"/>
      <c r="BRX30" s="188"/>
      <c r="BRY30" s="187"/>
      <c r="BSE30" s="188"/>
      <c r="BSF30" s="187"/>
      <c r="BSL30" s="188"/>
      <c r="BSM30" s="187"/>
      <c r="BSP30" s="168"/>
      <c r="BSQ30" s="189"/>
      <c r="BSS30" s="188"/>
      <c r="BST30" s="187"/>
      <c r="BSZ30" s="188"/>
      <c r="BTA30" s="187"/>
      <c r="BTG30" s="188"/>
      <c r="BTH30" s="187"/>
      <c r="BTN30" s="188"/>
      <c r="BTO30" s="187"/>
      <c r="BTS30" s="168"/>
      <c r="BTT30" s="189"/>
      <c r="BTU30" s="188"/>
      <c r="BTV30" s="187"/>
      <c r="BUB30" s="188"/>
      <c r="BUC30" s="187"/>
      <c r="BUI30" s="188"/>
      <c r="BUJ30" s="187"/>
      <c r="BUP30" s="188"/>
      <c r="BUQ30" s="187"/>
      <c r="BUW30" s="188"/>
      <c r="BUX30" s="190"/>
      <c r="BUY30" s="189"/>
      <c r="BVD30" s="188"/>
      <c r="BVE30" s="187"/>
      <c r="BVK30" s="188"/>
      <c r="BVL30" s="187"/>
      <c r="BVR30" s="188"/>
      <c r="BVS30" s="187"/>
      <c r="BVY30" s="188"/>
      <c r="BVZ30" s="187"/>
      <c r="BWB30" s="168"/>
      <c r="BWC30" s="189"/>
      <c r="BWF30" s="188"/>
      <c r="BWG30" s="187"/>
      <c r="BWM30" s="188"/>
      <c r="BWN30" s="187"/>
      <c r="BWT30" s="188"/>
      <c r="BWU30" s="187"/>
      <c r="BXA30" s="188"/>
      <c r="BXB30" s="187"/>
      <c r="BXG30" s="168"/>
      <c r="BXH30" s="191"/>
      <c r="BXI30" s="187"/>
      <c r="BXO30" s="188"/>
      <c r="BXP30" s="187"/>
      <c r="BXV30" s="188"/>
      <c r="BXW30" s="187"/>
      <c r="BYC30" s="188"/>
      <c r="BYD30" s="187"/>
      <c r="BYJ30" s="188"/>
      <c r="BYK30" s="190"/>
      <c r="BYL30" s="189"/>
      <c r="BYQ30" s="188"/>
      <c r="BYR30" s="187"/>
      <c r="BYX30" s="188"/>
      <c r="BYY30" s="187"/>
      <c r="BZE30" s="188"/>
      <c r="BZF30" s="187"/>
      <c r="BZL30" s="188"/>
      <c r="BZM30" s="187"/>
      <c r="BZP30" s="168"/>
      <c r="BZQ30" s="189"/>
      <c r="BZS30" s="188"/>
      <c r="BZT30" s="187"/>
      <c r="BZZ30" s="188"/>
      <c r="CAA30" s="187"/>
      <c r="CAG30" s="188"/>
      <c r="CAH30" s="187"/>
      <c r="CAN30" s="188"/>
      <c r="CAO30" s="187"/>
      <c r="CAU30" s="168"/>
      <c r="CAV30" s="189"/>
      <c r="CBB30" s="188"/>
      <c r="CBC30" s="187"/>
      <c r="CBI30" s="188"/>
      <c r="CBJ30" s="187"/>
      <c r="CBP30" s="188"/>
      <c r="CBQ30" s="187"/>
      <c r="CBW30" s="188"/>
      <c r="CBX30" s="187"/>
      <c r="CBY30" s="168"/>
      <c r="CBZ30" s="189"/>
      <c r="CCD30" s="188"/>
      <c r="CCE30" s="187"/>
      <c r="CCK30" s="188"/>
      <c r="CCL30" s="187"/>
      <c r="CCR30" s="188"/>
      <c r="CCS30" s="187"/>
      <c r="CCY30" s="188"/>
      <c r="CCZ30" s="187"/>
      <c r="CDD30" s="168"/>
      <c r="CDE30" s="189"/>
      <c r="CDF30" s="188"/>
      <c r="CDG30" s="187"/>
      <c r="CDM30" s="188"/>
      <c r="CDN30" s="187"/>
      <c r="CDT30" s="188"/>
      <c r="CDU30" s="187"/>
      <c r="CEA30" s="188"/>
      <c r="CEB30" s="187"/>
      <c r="CEH30" s="168"/>
      <c r="CEI30" s="189"/>
      <c r="CEO30" s="188"/>
      <c r="CEP30" s="187"/>
      <c r="CEV30" s="188"/>
      <c r="CEW30" s="187"/>
      <c r="CFC30" s="188"/>
      <c r="CFD30" s="187"/>
      <c r="CFJ30" s="188"/>
      <c r="CFK30" s="187"/>
    </row>
    <row r="31" spans="1:1019 1025:2048 2054:2195">
      <c r="A31" s="164" t="s">
        <v>284</v>
      </c>
      <c r="C31" s="164" t="s">
        <v>285</v>
      </c>
      <c r="D31" s="186"/>
      <c r="E31" s="186"/>
      <c r="K31" s="187"/>
      <c r="Q31" s="188"/>
      <c r="R31" s="187"/>
      <c r="X31" s="188"/>
      <c r="Y31" s="187"/>
      <c r="AE31" s="188"/>
      <c r="AF31" s="187"/>
      <c r="AJ31" s="168"/>
      <c r="AK31" s="189"/>
      <c r="AL31" s="188"/>
      <c r="AM31" s="187"/>
      <c r="AS31" s="188"/>
      <c r="AT31" s="187"/>
      <c r="AZ31" s="188"/>
      <c r="BA31" s="187"/>
      <c r="BG31" s="188"/>
      <c r="BH31" s="187"/>
      <c r="BL31" s="168"/>
      <c r="BM31" s="189"/>
      <c r="BN31" s="188"/>
      <c r="BO31" s="187"/>
      <c r="BU31" s="188"/>
      <c r="BV31" s="187"/>
      <c r="CB31" s="188"/>
      <c r="CC31" s="187"/>
      <c r="CI31" s="188"/>
      <c r="CJ31" s="187"/>
      <c r="CP31" s="188"/>
      <c r="CQ31" s="190"/>
      <c r="CR31" s="189"/>
      <c r="CW31" s="188"/>
      <c r="CX31" s="187"/>
      <c r="DD31" s="188"/>
      <c r="DE31" s="187"/>
      <c r="DK31" s="188"/>
      <c r="DL31" s="187"/>
      <c r="DR31" s="188"/>
      <c r="DS31" s="187"/>
      <c r="DU31" s="168"/>
      <c r="DV31" s="189"/>
      <c r="DY31" s="188"/>
      <c r="DZ31" s="187"/>
      <c r="EF31" s="188"/>
      <c r="EG31" s="187"/>
      <c r="EM31" s="188"/>
      <c r="EN31" s="187"/>
      <c r="ET31" s="188"/>
      <c r="EU31" s="187"/>
      <c r="EZ31" s="168"/>
      <c r="FA31" s="191"/>
      <c r="FB31" s="187"/>
      <c r="FH31" s="188"/>
      <c r="FI31" s="187"/>
      <c r="FO31" s="188"/>
      <c r="FP31" s="187"/>
      <c r="FV31" s="188"/>
      <c r="FW31" s="187"/>
      <c r="GC31" s="188"/>
      <c r="GD31" s="190"/>
      <c r="GE31" s="189"/>
      <c r="GJ31" s="188"/>
      <c r="GK31" s="187"/>
      <c r="GQ31" s="188"/>
      <c r="GR31" s="187"/>
      <c r="GX31" s="188"/>
      <c r="GY31" s="187"/>
      <c r="HE31" s="188"/>
      <c r="HF31" s="187"/>
      <c r="HI31" s="168"/>
      <c r="HJ31" s="189"/>
      <c r="HL31" s="188"/>
      <c r="HM31" s="187"/>
      <c r="HS31" s="188"/>
      <c r="HT31" s="187"/>
      <c r="HZ31" s="188"/>
      <c r="IA31" s="187"/>
      <c r="IG31" s="188"/>
      <c r="IH31" s="187"/>
      <c r="IN31" s="168"/>
      <c r="IO31" s="189"/>
      <c r="IU31" s="188"/>
      <c r="IV31" s="187"/>
      <c r="JB31" s="188"/>
      <c r="JC31" s="187"/>
      <c r="JI31" s="188"/>
      <c r="JJ31" s="187"/>
      <c r="JP31" s="188"/>
      <c r="JQ31" s="187"/>
      <c r="JR31" s="168"/>
      <c r="JS31" s="189"/>
      <c r="JW31" s="188"/>
      <c r="JX31" s="187"/>
      <c r="KD31" s="188"/>
      <c r="KE31" s="187"/>
      <c r="KK31" s="188"/>
      <c r="KL31" s="187"/>
      <c r="KR31" s="188"/>
      <c r="KS31" s="187"/>
      <c r="KW31" s="168"/>
      <c r="KX31" s="189"/>
      <c r="KY31" s="188"/>
      <c r="KZ31" s="187"/>
      <c r="LF31" s="188"/>
      <c r="LG31" s="187"/>
      <c r="LM31" s="188"/>
      <c r="LN31" s="187"/>
      <c r="LT31" s="188"/>
      <c r="LU31" s="187"/>
      <c r="MA31" s="168"/>
      <c r="MB31" s="189"/>
      <c r="MH31" s="188"/>
      <c r="MI31" s="187"/>
      <c r="MO31" s="188"/>
      <c r="MP31" s="187"/>
      <c r="MV31" s="188"/>
      <c r="MW31" s="187"/>
      <c r="NC31" s="188"/>
      <c r="ND31" s="187"/>
      <c r="NF31" s="168"/>
      <c r="NG31" s="189"/>
      <c r="NJ31" s="188"/>
      <c r="NK31" s="187"/>
      <c r="NQ31" s="188"/>
      <c r="NR31" s="187"/>
      <c r="NX31" s="188"/>
      <c r="NY31" s="187"/>
      <c r="OE31" s="188"/>
      <c r="OF31" s="187"/>
      <c r="OK31" s="168"/>
      <c r="OL31" s="191"/>
      <c r="OM31" s="187"/>
      <c r="OS31" s="188"/>
      <c r="OT31" s="187"/>
      <c r="OZ31" s="188"/>
      <c r="PA31" s="187"/>
      <c r="PG31" s="188"/>
      <c r="PH31" s="187"/>
      <c r="PN31" s="168"/>
      <c r="PO31" s="189"/>
      <c r="PU31" s="188"/>
      <c r="PV31" s="187"/>
      <c r="QB31" s="188"/>
      <c r="QC31" s="187"/>
      <c r="QI31" s="188"/>
      <c r="QJ31" s="187"/>
      <c r="QP31" s="188"/>
      <c r="QQ31" s="187"/>
      <c r="QS31" s="168"/>
      <c r="QT31" s="189"/>
      <c r="QW31" s="188"/>
      <c r="QX31" s="187"/>
      <c r="RD31" s="188"/>
      <c r="RE31" s="187"/>
      <c r="RK31" s="188"/>
      <c r="RL31" s="187"/>
      <c r="RR31" s="188"/>
      <c r="RS31" s="187"/>
      <c r="RW31" s="168"/>
      <c r="RX31" s="189"/>
      <c r="RY31" s="188"/>
      <c r="RZ31" s="187"/>
      <c r="SF31" s="188"/>
      <c r="SG31" s="187"/>
      <c r="SM31" s="188"/>
      <c r="SN31" s="187"/>
      <c r="ST31" s="188"/>
      <c r="SU31" s="187"/>
      <c r="TA31" s="188"/>
      <c r="TB31" s="190"/>
      <c r="TC31" s="189"/>
      <c r="TH31" s="188"/>
      <c r="TI31" s="187"/>
      <c r="TO31" s="188"/>
      <c r="TP31" s="187"/>
      <c r="TV31" s="188"/>
      <c r="TW31" s="187"/>
      <c r="UC31" s="188"/>
      <c r="UD31" s="187"/>
      <c r="UF31" s="168"/>
      <c r="UG31" s="189"/>
      <c r="UJ31" s="188"/>
      <c r="UK31" s="187"/>
      <c r="UQ31" s="188"/>
      <c r="UR31" s="187"/>
      <c r="UX31" s="188"/>
      <c r="UY31" s="187"/>
      <c r="VE31" s="188"/>
      <c r="VF31" s="187"/>
      <c r="VK31" s="168"/>
      <c r="VL31" s="191"/>
      <c r="VM31" s="187"/>
      <c r="VS31" s="188"/>
      <c r="VT31" s="187"/>
      <c r="VZ31" s="188"/>
      <c r="WA31" s="187"/>
      <c r="WG31" s="188"/>
      <c r="WH31" s="187"/>
      <c r="WN31" s="188"/>
      <c r="WO31" s="187"/>
      <c r="WP31" s="168"/>
      <c r="WQ31" s="189"/>
      <c r="WU31" s="188"/>
      <c r="WV31" s="187"/>
      <c r="XB31" s="188"/>
      <c r="XC31" s="187"/>
      <c r="XI31" s="188"/>
      <c r="XJ31" s="187"/>
      <c r="XP31" s="188"/>
      <c r="XQ31" s="187"/>
      <c r="XT31" s="168"/>
      <c r="XU31" s="189"/>
      <c r="XW31" s="188"/>
      <c r="XX31" s="187"/>
      <c r="YD31" s="188"/>
      <c r="YE31" s="187"/>
      <c r="YK31" s="188"/>
      <c r="YL31" s="187"/>
      <c r="YR31" s="188"/>
      <c r="YS31" s="187"/>
      <c r="YY31" s="168"/>
      <c r="YZ31" s="189"/>
      <c r="ZF31" s="188"/>
      <c r="ZG31" s="187"/>
      <c r="ZM31" s="188"/>
      <c r="ZN31" s="187"/>
      <c r="ZT31" s="188"/>
      <c r="ZU31" s="187"/>
      <c r="AAA31" s="188"/>
      <c r="AAB31" s="187"/>
      <c r="AAC31" s="168"/>
      <c r="AAD31" s="189"/>
      <c r="AAH31" s="188"/>
      <c r="AAI31" s="187"/>
      <c r="AAO31" s="188"/>
      <c r="AAP31" s="187"/>
      <c r="AAV31" s="188"/>
      <c r="AAW31" s="187"/>
      <c r="ABC31" s="188"/>
      <c r="ABD31" s="187"/>
      <c r="ABH31" s="168"/>
      <c r="ABI31" s="189"/>
      <c r="ABJ31" s="188"/>
      <c r="ABK31" s="187"/>
      <c r="ABQ31" s="188"/>
      <c r="ABR31" s="187"/>
      <c r="ABX31" s="188"/>
      <c r="ABY31" s="187"/>
      <c r="ACE31" s="188"/>
      <c r="ACF31" s="187"/>
      <c r="ACL31" s="188"/>
      <c r="ACM31" s="190"/>
      <c r="ACN31" s="189"/>
      <c r="ACS31" s="188"/>
      <c r="ACT31" s="187"/>
      <c r="ACZ31" s="188"/>
      <c r="ADA31" s="187"/>
      <c r="ADG31" s="188"/>
      <c r="ADH31" s="187"/>
      <c r="ADN31" s="188"/>
      <c r="ADO31" s="190"/>
      <c r="ADP31" s="189"/>
      <c r="ADU31" s="188"/>
      <c r="ADV31" s="187"/>
      <c r="AEB31" s="188"/>
      <c r="AEC31" s="187"/>
      <c r="AEI31" s="188"/>
      <c r="AEJ31" s="187"/>
      <c r="AEP31" s="188"/>
      <c r="AEQ31" s="187"/>
      <c r="AET31" s="168"/>
      <c r="AEU31" s="189"/>
      <c r="AEW31" s="188"/>
      <c r="AEX31" s="187"/>
      <c r="AFD31" s="188"/>
      <c r="AFE31" s="187"/>
      <c r="AFK31" s="188"/>
      <c r="AFL31" s="187"/>
      <c r="AFR31" s="188"/>
      <c r="AFS31" s="187"/>
      <c r="AFX31" s="168"/>
      <c r="AFY31" s="191"/>
      <c r="AFZ31" s="187"/>
      <c r="AGF31" s="188"/>
      <c r="AGG31" s="187"/>
      <c r="AGM31" s="188"/>
      <c r="AGN31" s="187"/>
      <c r="AGT31" s="188"/>
      <c r="AGU31" s="187"/>
      <c r="AHA31" s="188"/>
      <c r="AHB31" s="187"/>
      <c r="AHC31" s="168"/>
      <c r="AHD31" s="189"/>
      <c r="AHH31" s="188"/>
      <c r="AHI31" s="187"/>
      <c r="AHO31" s="188"/>
      <c r="AHP31" s="187"/>
      <c r="AHV31" s="188"/>
      <c r="AHW31" s="187"/>
      <c r="AIC31" s="188"/>
      <c r="AID31" s="187"/>
      <c r="AIG31" s="168"/>
      <c r="AIH31" s="189"/>
      <c r="AIJ31" s="188"/>
      <c r="AIK31" s="187"/>
      <c r="AIQ31" s="188"/>
      <c r="AIR31" s="187"/>
      <c r="AIX31" s="188"/>
      <c r="AIY31" s="187"/>
      <c r="AJE31" s="188"/>
      <c r="AJF31" s="187"/>
      <c r="AJL31" s="168"/>
      <c r="AJM31" s="189"/>
      <c r="AJS31" s="188"/>
      <c r="AJT31" s="187"/>
      <c r="AJZ31" s="188"/>
      <c r="AKA31" s="187"/>
      <c r="AKG31" s="188"/>
      <c r="AKH31" s="187"/>
      <c r="AKN31" s="188"/>
      <c r="AKO31" s="187"/>
      <c r="AKQ31" s="168"/>
      <c r="AKR31" s="189"/>
      <c r="AKU31" s="188"/>
      <c r="AKV31" s="187"/>
      <c r="ALB31" s="188"/>
      <c r="ALC31" s="187"/>
      <c r="ALI31" s="188"/>
      <c r="ALJ31" s="187"/>
      <c r="ALP31" s="188"/>
      <c r="ALQ31" s="187"/>
      <c r="ALU31" s="168"/>
      <c r="ALV31" s="189"/>
      <c r="ALW31" s="188"/>
      <c r="ALX31" s="187"/>
      <c r="AMD31" s="188"/>
      <c r="AME31" s="187"/>
      <c r="AMK31" s="188"/>
      <c r="AML31" s="187"/>
      <c r="AMR31" s="188"/>
      <c r="AMS31" s="187"/>
      <c r="AMY31" s="188"/>
      <c r="AMZ31" s="190"/>
      <c r="ANA31" s="189"/>
      <c r="ANF31" s="188"/>
      <c r="ANG31" s="187"/>
      <c r="ANM31" s="188"/>
      <c r="ANN31" s="187"/>
      <c r="ANT31" s="188"/>
      <c r="ANU31" s="187"/>
      <c r="AOA31" s="188"/>
      <c r="AOB31" s="187"/>
      <c r="AOD31" s="168"/>
      <c r="AOE31" s="189"/>
      <c r="AOH31" s="188"/>
      <c r="AOI31" s="187"/>
      <c r="AOO31" s="188"/>
      <c r="AOP31" s="187"/>
      <c r="AOV31" s="188"/>
      <c r="AOW31" s="187"/>
      <c r="APC31" s="188"/>
      <c r="APD31" s="187"/>
      <c r="API31" s="168"/>
      <c r="APJ31" s="191"/>
      <c r="APK31" s="187"/>
      <c r="APQ31" s="188"/>
      <c r="APR31" s="187"/>
      <c r="APX31" s="188"/>
      <c r="APY31" s="187"/>
      <c r="AQE31" s="188"/>
      <c r="AQF31" s="187"/>
      <c r="AQL31" s="188"/>
      <c r="AQM31" s="187"/>
      <c r="AQN31" s="168"/>
      <c r="AQO31" s="189"/>
      <c r="AQS31" s="188"/>
      <c r="AQT31" s="187"/>
      <c r="AQZ31" s="188"/>
      <c r="ARA31" s="187"/>
      <c r="ARG31" s="188"/>
      <c r="ARH31" s="187"/>
      <c r="ARN31" s="188"/>
      <c r="ARO31" s="187"/>
      <c r="ARP31" s="168"/>
      <c r="ARQ31" s="189"/>
      <c r="ARU31" s="188"/>
      <c r="ARV31" s="187"/>
      <c r="ASB31" s="188"/>
      <c r="ASC31" s="187"/>
      <c r="ASI31" s="188"/>
      <c r="ASJ31" s="187"/>
      <c r="ASP31" s="188"/>
      <c r="ASQ31" s="187"/>
      <c r="ASU31" s="168"/>
      <c r="ASV31" s="189"/>
      <c r="ASW31" s="188"/>
      <c r="ASX31" s="187"/>
      <c r="ATD31" s="188"/>
      <c r="ATE31" s="187"/>
      <c r="ATK31" s="188"/>
      <c r="ATL31" s="187"/>
      <c r="ATR31" s="188"/>
      <c r="ATS31" s="187"/>
      <c r="ATY31" s="168"/>
      <c r="ATZ31" s="189"/>
      <c r="AUF31" s="188"/>
      <c r="AUG31" s="187"/>
      <c r="AUM31" s="188"/>
      <c r="AUN31" s="187"/>
      <c r="AUT31" s="188"/>
      <c r="AUU31" s="187"/>
      <c r="AVA31" s="188"/>
      <c r="AVB31" s="187"/>
      <c r="AVD31" s="168"/>
      <c r="AVE31" s="189"/>
      <c r="AVH31" s="188"/>
      <c r="AVI31" s="187"/>
      <c r="AVO31" s="188"/>
      <c r="AVP31" s="187"/>
      <c r="AVV31" s="188"/>
      <c r="AVW31" s="187"/>
      <c r="AWC31" s="188"/>
      <c r="AWD31" s="187"/>
      <c r="AWH31" s="168"/>
      <c r="AWI31" s="189"/>
      <c r="AWJ31" s="188"/>
      <c r="AWK31" s="187"/>
      <c r="AWQ31" s="188"/>
      <c r="AWR31" s="187"/>
      <c r="AWX31" s="188"/>
      <c r="AWY31" s="187"/>
      <c r="AXE31" s="188"/>
      <c r="AXF31" s="187"/>
      <c r="AXL31" s="188"/>
      <c r="AXM31" s="190"/>
      <c r="AXN31" s="189"/>
      <c r="AXS31" s="188"/>
      <c r="AXT31" s="187"/>
      <c r="AXZ31" s="188"/>
      <c r="AYA31" s="187"/>
      <c r="AYG31" s="188"/>
      <c r="AYH31" s="187"/>
      <c r="AYN31" s="188"/>
      <c r="AYO31" s="187"/>
      <c r="AYR31" s="168"/>
      <c r="AYS31" s="189"/>
      <c r="AYU31" s="188"/>
      <c r="AYV31" s="187"/>
      <c r="AZB31" s="188"/>
      <c r="AZC31" s="187"/>
      <c r="AZI31" s="188"/>
      <c r="AZJ31" s="187"/>
      <c r="AZP31" s="188"/>
      <c r="AZQ31" s="187"/>
      <c r="AZV31" s="168"/>
      <c r="AZW31" s="191"/>
      <c r="AZX31" s="187"/>
      <c r="BAD31" s="188"/>
      <c r="BAE31" s="187"/>
      <c r="BAK31" s="188"/>
      <c r="BAL31" s="187"/>
      <c r="BAR31" s="188"/>
      <c r="BAS31" s="187"/>
      <c r="BAY31" s="188"/>
      <c r="BAZ31" s="187"/>
      <c r="BBA31" s="168"/>
      <c r="BBB31" s="189"/>
      <c r="BBF31" s="188"/>
      <c r="BBG31" s="187"/>
      <c r="BBM31" s="188"/>
      <c r="BBN31" s="187"/>
      <c r="BBT31" s="188"/>
      <c r="BBU31" s="187"/>
      <c r="BCA31" s="188"/>
      <c r="BCB31" s="187"/>
      <c r="BCE31" s="168"/>
      <c r="BCF31" s="189"/>
      <c r="BCH31" s="188"/>
      <c r="BCI31" s="187"/>
      <c r="BCO31" s="188"/>
      <c r="BCP31" s="187"/>
      <c r="BCV31" s="188"/>
      <c r="BCW31" s="187"/>
      <c r="BDC31" s="188"/>
      <c r="BDD31" s="187"/>
      <c r="BDJ31" s="168"/>
      <c r="BDK31" s="189"/>
      <c r="BDQ31" s="188"/>
      <c r="BDR31" s="187"/>
      <c r="BDX31" s="188"/>
      <c r="BDY31" s="187"/>
      <c r="BEE31" s="188"/>
      <c r="BEF31" s="187"/>
      <c r="BEL31" s="188"/>
      <c r="BEM31" s="187"/>
      <c r="BEO31" s="168"/>
      <c r="BEP31" s="189"/>
      <c r="BES31" s="188"/>
      <c r="BET31" s="187"/>
      <c r="BEZ31" s="188"/>
      <c r="BFA31" s="187"/>
      <c r="BFG31" s="188"/>
      <c r="BFH31" s="187"/>
      <c r="BFN31" s="188"/>
      <c r="BFO31" s="187"/>
      <c r="BFQ31" s="168"/>
      <c r="BFR31" s="189"/>
      <c r="BFU31" s="188"/>
      <c r="BFV31" s="187"/>
      <c r="BGB31" s="188"/>
      <c r="BGC31" s="187"/>
      <c r="BGI31" s="188"/>
      <c r="BGJ31" s="187"/>
      <c r="BGP31" s="188"/>
      <c r="BGQ31" s="187"/>
      <c r="BGV31" s="168"/>
      <c r="BGW31" s="191"/>
      <c r="BGX31" s="187"/>
      <c r="BHD31" s="188"/>
      <c r="BHE31" s="187"/>
      <c r="BHK31" s="188"/>
      <c r="BHL31" s="187"/>
      <c r="BHR31" s="188"/>
      <c r="BHS31" s="187"/>
      <c r="BHY31" s="188"/>
      <c r="BHZ31" s="190"/>
      <c r="BIA31" s="189"/>
      <c r="BIF31" s="188"/>
      <c r="BIG31" s="187"/>
      <c r="BIM31" s="188"/>
      <c r="BIN31" s="187"/>
      <c r="BIT31" s="188"/>
      <c r="BIU31" s="187"/>
      <c r="BJA31" s="188"/>
      <c r="BJB31" s="187"/>
      <c r="BJE31" s="168"/>
      <c r="BJF31" s="189"/>
      <c r="BJH31" s="188"/>
      <c r="BJI31" s="187"/>
      <c r="BJO31" s="188"/>
      <c r="BJP31" s="187"/>
      <c r="BJV31" s="188"/>
      <c r="BJW31" s="187"/>
      <c r="BKC31" s="188"/>
      <c r="BKD31" s="187"/>
      <c r="BKI31" s="168"/>
      <c r="BKJ31" s="191"/>
      <c r="BKK31" s="187"/>
      <c r="BKQ31" s="188"/>
      <c r="BKR31" s="187"/>
      <c r="BKX31" s="188"/>
      <c r="BKY31" s="187"/>
      <c r="BLE31" s="188"/>
      <c r="BLF31" s="187"/>
      <c r="BLL31" s="188"/>
      <c r="BLM31" s="187"/>
      <c r="BLN31" s="168"/>
      <c r="BLO31" s="189"/>
      <c r="BLS31" s="188"/>
      <c r="BLT31" s="187"/>
      <c r="BLZ31" s="188"/>
      <c r="BMA31" s="187"/>
      <c r="BMG31" s="188"/>
      <c r="BMH31" s="187"/>
      <c r="BMN31" s="188"/>
      <c r="BMO31" s="187"/>
      <c r="BMS31" s="168"/>
      <c r="BMT31" s="189"/>
      <c r="BMU31" s="188"/>
      <c r="BMV31" s="187"/>
      <c r="BNB31" s="188"/>
      <c r="BNC31" s="187"/>
      <c r="BNI31" s="188"/>
      <c r="BNJ31" s="187"/>
      <c r="BNP31" s="188"/>
      <c r="BNQ31" s="187"/>
      <c r="BNW31" s="168"/>
      <c r="BNX31" s="189"/>
      <c r="BOD31" s="188"/>
      <c r="BOE31" s="187"/>
      <c r="BOK31" s="188"/>
      <c r="BOL31" s="187"/>
      <c r="BOR31" s="188"/>
      <c r="BOS31" s="187"/>
      <c r="BOY31" s="188"/>
      <c r="BOZ31" s="187"/>
      <c r="BPB31" s="168"/>
      <c r="BPC31" s="189"/>
      <c r="BPF31" s="188"/>
      <c r="BPG31" s="187"/>
      <c r="BPM31" s="188"/>
      <c r="BPN31" s="187"/>
      <c r="BPT31" s="188"/>
      <c r="BPU31" s="187"/>
      <c r="BQA31" s="188"/>
      <c r="BQB31" s="187"/>
      <c r="BQF31" s="168"/>
      <c r="BQG31" s="189"/>
      <c r="BQH31" s="188"/>
      <c r="BQI31" s="187"/>
      <c r="BQO31" s="188"/>
      <c r="BQP31" s="187"/>
      <c r="BQV31" s="188"/>
      <c r="BQW31" s="187"/>
      <c r="BRC31" s="188"/>
      <c r="BRD31" s="187"/>
      <c r="BRJ31" s="188"/>
      <c r="BRK31" s="190"/>
      <c r="BRL31" s="189"/>
      <c r="BRQ31" s="188"/>
      <c r="BRR31" s="187"/>
      <c r="BRX31" s="188"/>
      <c r="BRY31" s="187"/>
      <c r="BSE31" s="188"/>
      <c r="BSF31" s="187"/>
      <c r="BSL31" s="188"/>
      <c r="BSM31" s="187"/>
      <c r="BSP31" s="168"/>
      <c r="BSQ31" s="189"/>
      <c r="BSS31" s="188"/>
      <c r="BST31" s="187"/>
      <c r="BSZ31" s="188"/>
      <c r="BTA31" s="187"/>
      <c r="BTG31" s="188"/>
      <c r="BTH31" s="187"/>
      <c r="BTN31" s="188"/>
      <c r="BTO31" s="187"/>
      <c r="BTS31" s="168"/>
      <c r="BTT31" s="189"/>
      <c r="BTU31" s="188"/>
      <c r="BTV31" s="187"/>
      <c r="BUB31" s="188"/>
      <c r="BUC31" s="187"/>
      <c r="BUI31" s="188"/>
      <c r="BUJ31" s="187"/>
      <c r="BUP31" s="188"/>
      <c r="BUQ31" s="187"/>
      <c r="BUW31" s="188"/>
      <c r="BUX31" s="190"/>
      <c r="BUY31" s="189"/>
      <c r="BVD31" s="188"/>
      <c r="BVE31" s="187"/>
      <c r="BVK31" s="188"/>
      <c r="BVL31" s="187"/>
      <c r="BVR31" s="188"/>
      <c r="BVS31" s="187"/>
      <c r="BVY31" s="188"/>
      <c r="BVZ31" s="187"/>
      <c r="BWB31" s="168"/>
      <c r="BWC31" s="189"/>
      <c r="BWF31" s="188"/>
      <c r="BWG31" s="187"/>
      <c r="BWM31" s="188"/>
      <c r="BWN31" s="187"/>
      <c r="BWT31" s="188"/>
      <c r="BWU31" s="187"/>
      <c r="BXA31" s="188"/>
      <c r="BXB31" s="187"/>
      <c r="BXG31" s="168"/>
      <c r="BXH31" s="191"/>
      <c r="BXI31" s="187"/>
      <c r="BXO31" s="188"/>
      <c r="BXP31" s="187"/>
      <c r="BXV31" s="188"/>
      <c r="BXW31" s="187"/>
      <c r="BYC31" s="188"/>
      <c r="BYD31" s="187"/>
      <c r="BYJ31" s="188"/>
      <c r="BYK31" s="190"/>
      <c r="BYL31" s="189"/>
      <c r="BYQ31" s="188"/>
      <c r="BYR31" s="187"/>
      <c r="BYX31" s="188"/>
      <c r="BYY31" s="187"/>
      <c r="BZE31" s="188"/>
      <c r="BZF31" s="187"/>
      <c r="BZL31" s="188"/>
      <c r="BZM31" s="187"/>
      <c r="BZP31" s="168"/>
      <c r="BZQ31" s="189"/>
      <c r="BZS31" s="188"/>
      <c r="BZT31" s="187"/>
      <c r="BZZ31" s="188"/>
      <c r="CAA31" s="187"/>
      <c r="CAG31" s="188"/>
      <c r="CAH31" s="187"/>
      <c r="CAN31" s="188"/>
      <c r="CAO31" s="187"/>
      <c r="CAU31" s="168"/>
      <c r="CAV31" s="189"/>
      <c r="CBB31" s="188"/>
      <c r="CBC31" s="187"/>
      <c r="CBI31" s="188"/>
      <c r="CBJ31" s="187"/>
      <c r="CBP31" s="188"/>
      <c r="CBQ31" s="187"/>
      <c r="CBW31" s="188"/>
      <c r="CBX31" s="187"/>
      <c r="CBY31" s="168"/>
      <c r="CBZ31" s="189"/>
      <c r="CCD31" s="188"/>
      <c r="CCE31" s="187"/>
      <c r="CCK31" s="188"/>
      <c r="CCL31" s="187"/>
      <c r="CCR31" s="188"/>
      <c r="CCS31" s="187"/>
      <c r="CCY31" s="188"/>
      <c r="CCZ31" s="187"/>
      <c r="CDD31" s="168"/>
      <c r="CDE31" s="189"/>
      <c r="CDF31" s="188"/>
      <c r="CDG31" s="187"/>
      <c r="CDM31" s="188"/>
      <c r="CDN31" s="187"/>
      <c r="CDT31" s="188"/>
      <c r="CDU31" s="187"/>
      <c r="CEA31" s="188"/>
      <c r="CEB31" s="187"/>
      <c r="CEH31" s="168"/>
      <c r="CEI31" s="189"/>
      <c r="CEO31" s="188"/>
      <c r="CEP31" s="187"/>
      <c r="CEV31" s="188"/>
      <c r="CEW31" s="187"/>
      <c r="CFC31" s="188"/>
      <c r="CFD31" s="187"/>
      <c r="CFJ31" s="188"/>
      <c r="CFK31" s="187"/>
    </row>
    <row r="32" spans="1:1019 1025:2048 2054:2195">
      <c r="A32" s="164" t="s">
        <v>286</v>
      </c>
      <c r="C32" s="164" t="s">
        <v>287</v>
      </c>
      <c r="D32" s="186"/>
      <c r="E32" s="186"/>
      <c r="K32" s="187"/>
      <c r="Q32" s="188"/>
      <c r="R32" s="187"/>
      <c r="X32" s="188"/>
      <c r="Y32" s="187"/>
      <c r="AE32" s="188"/>
      <c r="AF32" s="187"/>
      <c r="AJ32" s="168"/>
      <c r="AK32" s="189"/>
      <c r="AL32" s="188"/>
      <c r="AM32" s="187"/>
      <c r="AS32" s="188"/>
      <c r="AT32" s="187"/>
      <c r="AZ32" s="188"/>
      <c r="BA32" s="187"/>
      <c r="BG32" s="188"/>
      <c r="BH32" s="187"/>
      <c r="BL32" s="168"/>
      <c r="BM32" s="189"/>
      <c r="BN32" s="188"/>
      <c r="BO32" s="187"/>
      <c r="BU32" s="188"/>
      <c r="BV32" s="187"/>
      <c r="CB32" s="188"/>
      <c r="CC32" s="187"/>
      <c r="CI32" s="188"/>
      <c r="CJ32" s="187"/>
      <c r="CP32" s="188"/>
      <c r="CQ32" s="190"/>
      <c r="CR32" s="189"/>
      <c r="CW32" s="188"/>
      <c r="CX32" s="187"/>
      <c r="DD32" s="188"/>
      <c r="DE32" s="187"/>
      <c r="DK32" s="188"/>
      <c r="DL32" s="187"/>
      <c r="DR32" s="188"/>
      <c r="DS32" s="187"/>
      <c r="DU32" s="168"/>
      <c r="DV32" s="189"/>
      <c r="DY32" s="188"/>
      <c r="DZ32" s="187"/>
      <c r="EF32" s="188"/>
      <c r="EG32" s="187"/>
      <c r="EM32" s="188"/>
      <c r="EN32" s="187"/>
      <c r="ET32" s="188"/>
      <c r="EU32" s="187"/>
      <c r="EZ32" s="168"/>
      <c r="FA32" s="191"/>
      <c r="FB32" s="187"/>
      <c r="FH32" s="188"/>
      <c r="FI32" s="187"/>
      <c r="FO32" s="188"/>
      <c r="FP32" s="187"/>
      <c r="FV32" s="188"/>
      <c r="FW32" s="187"/>
      <c r="GC32" s="188"/>
      <c r="GD32" s="190"/>
      <c r="GE32" s="189"/>
      <c r="GJ32" s="188"/>
      <c r="GK32" s="187"/>
      <c r="GQ32" s="188"/>
      <c r="GR32" s="187"/>
      <c r="GX32" s="188"/>
      <c r="GY32" s="187"/>
      <c r="HE32" s="188"/>
      <c r="HF32" s="187"/>
      <c r="HI32" s="168"/>
      <c r="HJ32" s="189"/>
      <c r="HL32" s="188"/>
      <c r="HM32" s="187"/>
      <c r="HS32" s="188"/>
      <c r="HT32" s="187"/>
      <c r="HZ32" s="188"/>
      <c r="IA32" s="187"/>
      <c r="IG32" s="188"/>
      <c r="IH32" s="187"/>
      <c r="IN32" s="168"/>
      <c r="IO32" s="189"/>
      <c r="IU32" s="188"/>
      <c r="IV32" s="187"/>
      <c r="JB32" s="188"/>
      <c r="JC32" s="187"/>
      <c r="JI32" s="188"/>
      <c r="JJ32" s="187"/>
      <c r="JP32" s="188"/>
      <c r="JQ32" s="187"/>
      <c r="JR32" s="168"/>
      <c r="JS32" s="189"/>
      <c r="JW32" s="188"/>
      <c r="JX32" s="187"/>
      <c r="KD32" s="188"/>
      <c r="KE32" s="187"/>
      <c r="KK32" s="188"/>
      <c r="KL32" s="187"/>
      <c r="KR32" s="188"/>
      <c r="KS32" s="187"/>
      <c r="KW32" s="168"/>
      <c r="KX32" s="189"/>
      <c r="KY32" s="188"/>
      <c r="KZ32" s="187"/>
      <c r="LF32" s="188"/>
      <c r="LG32" s="187"/>
      <c r="LM32" s="188"/>
      <c r="LN32" s="187"/>
      <c r="LT32" s="188"/>
      <c r="LU32" s="187"/>
      <c r="MA32" s="168"/>
      <c r="MB32" s="189"/>
      <c r="MH32" s="188"/>
      <c r="MI32" s="187"/>
      <c r="MO32" s="188"/>
      <c r="MP32" s="187"/>
      <c r="MV32" s="188"/>
      <c r="MW32" s="187"/>
      <c r="NC32" s="188"/>
      <c r="ND32" s="187"/>
      <c r="NF32" s="168"/>
      <c r="NG32" s="189"/>
      <c r="NJ32" s="188"/>
      <c r="NK32" s="187"/>
      <c r="NQ32" s="188"/>
      <c r="NR32" s="187"/>
      <c r="NX32" s="188"/>
      <c r="NY32" s="187"/>
      <c r="OE32" s="188"/>
      <c r="OF32" s="187"/>
      <c r="OK32" s="168"/>
      <c r="OL32" s="191"/>
      <c r="OM32" s="187"/>
      <c r="OS32" s="188"/>
      <c r="OT32" s="187"/>
      <c r="OZ32" s="188"/>
      <c r="PA32" s="187"/>
      <c r="PG32" s="188"/>
      <c r="PH32" s="187"/>
      <c r="PN32" s="168"/>
      <c r="PO32" s="189"/>
      <c r="PU32" s="188"/>
      <c r="PV32" s="187"/>
      <c r="QB32" s="188"/>
      <c r="QC32" s="187"/>
      <c r="QI32" s="188"/>
      <c r="QJ32" s="187"/>
      <c r="QP32" s="188"/>
      <c r="QQ32" s="187"/>
      <c r="QS32" s="168"/>
      <c r="QT32" s="189"/>
      <c r="QW32" s="188"/>
      <c r="QX32" s="187"/>
      <c r="RD32" s="188"/>
      <c r="RE32" s="187"/>
      <c r="RK32" s="188"/>
      <c r="RL32" s="187"/>
      <c r="RR32" s="188"/>
      <c r="RS32" s="187"/>
      <c r="RW32" s="168"/>
      <c r="RX32" s="189"/>
      <c r="RY32" s="188"/>
      <c r="RZ32" s="187"/>
      <c r="SF32" s="188"/>
      <c r="SG32" s="187"/>
      <c r="SM32" s="188"/>
      <c r="SN32" s="187"/>
      <c r="ST32" s="188"/>
      <c r="SU32" s="187"/>
      <c r="TA32" s="188"/>
      <c r="TB32" s="190"/>
      <c r="TC32" s="189"/>
      <c r="TH32" s="188"/>
      <c r="TI32" s="187"/>
      <c r="TO32" s="188"/>
      <c r="TP32" s="187"/>
      <c r="TV32" s="188"/>
      <c r="TW32" s="187"/>
      <c r="UC32" s="188"/>
      <c r="UD32" s="187"/>
      <c r="UF32" s="168"/>
      <c r="UG32" s="189"/>
      <c r="UJ32" s="188"/>
      <c r="UK32" s="187"/>
      <c r="UQ32" s="188"/>
      <c r="UR32" s="187"/>
      <c r="UX32" s="188"/>
      <c r="UY32" s="187"/>
      <c r="VE32" s="188"/>
      <c r="VF32" s="187"/>
      <c r="VK32" s="168"/>
      <c r="VL32" s="191"/>
      <c r="VM32" s="187"/>
      <c r="VS32" s="188"/>
      <c r="VT32" s="187"/>
      <c r="VZ32" s="188"/>
      <c r="WA32" s="187"/>
      <c r="WG32" s="188"/>
      <c r="WH32" s="187"/>
      <c r="WN32" s="188"/>
      <c r="WO32" s="187"/>
      <c r="WP32" s="168"/>
      <c r="WQ32" s="189"/>
      <c r="WU32" s="188"/>
      <c r="WV32" s="187"/>
      <c r="XB32" s="188"/>
      <c r="XC32" s="187"/>
      <c r="XI32" s="188"/>
      <c r="XJ32" s="187"/>
      <c r="XP32" s="188"/>
      <c r="XQ32" s="187"/>
      <c r="XT32" s="168"/>
      <c r="XU32" s="189"/>
      <c r="XW32" s="188"/>
      <c r="XX32" s="187"/>
      <c r="YD32" s="188"/>
      <c r="YE32" s="187"/>
      <c r="YK32" s="188"/>
      <c r="YL32" s="187"/>
      <c r="YR32" s="188"/>
      <c r="YS32" s="187"/>
      <c r="YY32" s="168"/>
      <c r="YZ32" s="189"/>
      <c r="ZF32" s="188"/>
      <c r="ZG32" s="187"/>
      <c r="ZM32" s="188"/>
      <c r="ZN32" s="187"/>
      <c r="ZT32" s="188"/>
      <c r="ZU32" s="187"/>
      <c r="AAA32" s="188"/>
      <c r="AAB32" s="187"/>
      <c r="AAC32" s="168"/>
      <c r="AAD32" s="189"/>
      <c r="AAH32" s="188"/>
      <c r="AAI32" s="187"/>
      <c r="AAO32" s="188"/>
      <c r="AAP32" s="187"/>
      <c r="AAV32" s="188"/>
      <c r="AAW32" s="187"/>
      <c r="ABC32" s="188"/>
      <c r="ABD32" s="187"/>
      <c r="ABH32" s="168"/>
      <c r="ABI32" s="189"/>
      <c r="ABJ32" s="188"/>
      <c r="ABK32" s="187"/>
      <c r="ABQ32" s="188"/>
      <c r="ABR32" s="187"/>
      <c r="ABX32" s="188"/>
      <c r="ABY32" s="187"/>
      <c r="ACE32" s="188"/>
      <c r="ACF32" s="187"/>
      <c r="ACL32" s="188"/>
      <c r="ACM32" s="190"/>
      <c r="ACN32" s="189"/>
      <c r="ACS32" s="188"/>
      <c r="ACT32" s="187"/>
      <c r="ACZ32" s="188"/>
      <c r="ADA32" s="187"/>
      <c r="ADG32" s="188"/>
      <c r="ADH32" s="187"/>
      <c r="ADN32" s="188"/>
      <c r="ADO32" s="190"/>
      <c r="ADP32" s="189"/>
      <c r="ADU32" s="188"/>
      <c r="ADV32" s="187"/>
      <c r="AEB32" s="188"/>
      <c r="AEC32" s="187"/>
      <c r="AEI32" s="188"/>
      <c r="AEJ32" s="187"/>
      <c r="AEP32" s="188"/>
      <c r="AEQ32" s="187"/>
      <c r="AET32" s="168"/>
      <c r="AEU32" s="189"/>
      <c r="AEW32" s="188"/>
      <c r="AEX32" s="187"/>
      <c r="AFD32" s="188"/>
      <c r="AFE32" s="187"/>
      <c r="AFK32" s="188"/>
      <c r="AFL32" s="187"/>
      <c r="AFR32" s="188"/>
      <c r="AFS32" s="187"/>
      <c r="AFX32" s="168"/>
      <c r="AFY32" s="191"/>
      <c r="AFZ32" s="187"/>
      <c r="AGF32" s="188"/>
      <c r="AGG32" s="187"/>
      <c r="AGM32" s="188"/>
      <c r="AGN32" s="187"/>
      <c r="AGT32" s="188"/>
      <c r="AGU32" s="187"/>
      <c r="AHA32" s="188"/>
      <c r="AHB32" s="187"/>
      <c r="AHC32" s="168"/>
      <c r="AHD32" s="189"/>
      <c r="AHH32" s="188"/>
      <c r="AHI32" s="187"/>
      <c r="AHO32" s="188"/>
      <c r="AHP32" s="187"/>
      <c r="AHV32" s="188"/>
      <c r="AHW32" s="187"/>
      <c r="AIC32" s="188"/>
      <c r="AID32" s="187"/>
      <c r="AIG32" s="168"/>
      <c r="AIH32" s="189"/>
      <c r="AIJ32" s="188"/>
      <c r="AIK32" s="187"/>
      <c r="AIQ32" s="188"/>
      <c r="AIR32" s="187"/>
      <c r="AIX32" s="188"/>
      <c r="AIY32" s="187"/>
      <c r="AJE32" s="188"/>
      <c r="AJF32" s="187"/>
      <c r="AJL32" s="168"/>
      <c r="AJM32" s="189"/>
      <c r="AJS32" s="188"/>
      <c r="AJT32" s="187"/>
      <c r="AJZ32" s="188"/>
      <c r="AKA32" s="187"/>
      <c r="AKG32" s="188"/>
      <c r="AKH32" s="187"/>
      <c r="AKN32" s="188"/>
      <c r="AKO32" s="187"/>
      <c r="AKQ32" s="168"/>
      <c r="AKR32" s="189"/>
      <c r="AKU32" s="188"/>
      <c r="AKV32" s="187"/>
      <c r="ALB32" s="188"/>
      <c r="ALC32" s="187"/>
      <c r="ALI32" s="188"/>
      <c r="ALJ32" s="187"/>
      <c r="ALP32" s="188"/>
      <c r="ALQ32" s="187"/>
      <c r="ALU32" s="168"/>
      <c r="ALV32" s="189"/>
      <c r="ALW32" s="188"/>
      <c r="ALX32" s="187"/>
      <c r="AMD32" s="188"/>
      <c r="AME32" s="187"/>
      <c r="AMK32" s="188"/>
      <c r="AML32" s="187"/>
      <c r="AMR32" s="188"/>
      <c r="AMS32" s="187"/>
      <c r="AMY32" s="188"/>
      <c r="AMZ32" s="190"/>
      <c r="ANA32" s="189"/>
      <c r="ANF32" s="188"/>
      <c r="ANG32" s="187"/>
      <c r="ANM32" s="188"/>
      <c r="ANN32" s="187"/>
      <c r="ANT32" s="188"/>
      <c r="ANU32" s="187"/>
      <c r="AOA32" s="188"/>
      <c r="AOB32" s="187"/>
      <c r="AOD32" s="168"/>
      <c r="AOE32" s="189"/>
      <c r="AOH32" s="188"/>
      <c r="AOI32" s="187"/>
      <c r="AOO32" s="188"/>
      <c r="AOP32" s="187"/>
      <c r="AOV32" s="188"/>
      <c r="AOW32" s="187"/>
      <c r="APC32" s="188"/>
      <c r="APD32" s="187"/>
      <c r="API32" s="168"/>
      <c r="APJ32" s="191"/>
      <c r="APK32" s="187"/>
      <c r="APQ32" s="188"/>
      <c r="APR32" s="187"/>
      <c r="APX32" s="188"/>
      <c r="APY32" s="187"/>
      <c r="AQE32" s="188"/>
      <c r="AQF32" s="187"/>
      <c r="AQL32" s="188"/>
      <c r="AQM32" s="187"/>
      <c r="AQN32" s="168"/>
      <c r="AQO32" s="189"/>
      <c r="AQS32" s="188"/>
      <c r="AQT32" s="187"/>
      <c r="AQZ32" s="188"/>
      <c r="ARA32" s="187"/>
      <c r="ARG32" s="188"/>
      <c r="ARH32" s="187"/>
      <c r="ARN32" s="188"/>
      <c r="ARO32" s="187"/>
      <c r="ARP32" s="168"/>
      <c r="ARQ32" s="189"/>
      <c r="ARU32" s="188"/>
      <c r="ARV32" s="187"/>
      <c r="ASB32" s="188"/>
      <c r="ASC32" s="187"/>
      <c r="ASI32" s="188"/>
      <c r="ASJ32" s="187"/>
      <c r="ASP32" s="188"/>
      <c r="ASQ32" s="187"/>
      <c r="ASU32" s="168"/>
      <c r="ASV32" s="189"/>
      <c r="ASW32" s="188"/>
      <c r="ASX32" s="187"/>
      <c r="ATD32" s="188"/>
      <c r="ATE32" s="187"/>
      <c r="ATK32" s="188"/>
      <c r="ATL32" s="187"/>
      <c r="ATR32" s="188"/>
      <c r="ATS32" s="187"/>
      <c r="ATY32" s="168"/>
      <c r="ATZ32" s="189"/>
      <c r="AUF32" s="188"/>
      <c r="AUG32" s="187"/>
      <c r="AUM32" s="188"/>
      <c r="AUN32" s="187"/>
      <c r="AUT32" s="188"/>
      <c r="AUU32" s="187"/>
      <c r="AVA32" s="188"/>
      <c r="AVB32" s="187"/>
      <c r="AVD32" s="168"/>
      <c r="AVE32" s="189"/>
      <c r="AVH32" s="188"/>
      <c r="AVI32" s="187"/>
      <c r="AVO32" s="188"/>
      <c r="AVP32" s="187"/>
      <c r="AVV32" s="188"/>
      <c r="AVW32" s="187"/>
      <c r="AWC32" s="188"/>
      <c r="AWD32" s="187"/>
      <c r="AWH32" s="168"/>
      <c r="AWI32" s="189"/>
      <c r="AWJ32" s="188"/>
      <c r="AWK32" s="187"/>
      <c r="AWQ32" s="188"/>
      <c r="AWR32" s="187"/>
      <c r="AWX32" s="188"/>
      <c r="AWY32" s="187"/>
      <c r="AXE32" s="188"/>
      <c r="AXF32" s="187"/>
      <c r="AXL32" s="188"/>
      <c r="AXM32" s="190"/>
      <c r="AXN32" s="189"/>
      <c r="AXS32" s="188"/>
      <c r="AXT32" s="187"/>
      <c r="AXZ32" s="188"/>
      <c r="AYA32" s="187"/>
      <c r="AYG32" s="188"/>
      <c r="AYH32" s="187"/>
      <c r="AYN32" s="188"/>
      <c r="AYO32" s="187"/>
      <c r="AYR32" s="168"/>
      <c r="AYS32" s="189"/>
      <c r="AYU32" s="188"/>
      <c r="AYV32" s="187"/>
      <c r="AZB32" s="188"/>
      <c r="AZC32" s="187"/>
      <c r="AZI32" s="188"/>
      <c r="AZJ32" s="187"/>
      <c r="AZP32" s="188"/>
      <c r="AZQ32" s="187"/>
      <c r="AZV32" s="168"/>
      <c r="AZW32" s="191"/>
      <c r="AZX32" s="187"/>
      <c r="BAD32" s="188"/>
      <c r="BAE32" s="187"/>
      <c r="BAK32" s="188"/>
      <c r="BAL32" s="187"/>
      <c r="BAR32" s="188"/>
      <c r="BAS32" s="187"/>
      <c r="BAY32" s="188"/>
      <c r="BAZ32" s="187"/>
      <c r="BBA32" s="168"/>
      <c r="BBB32" s="189"/>
      <c r="BBF32" s="188"/>
      <c r="BBG32" s="187"/>
      <c r="BBM32" s="188"/>
      <c r="BBN32" s="187"/>
      <c r="BBT32" s="188"/>
      <c r="BBU32" s="187"/>
      <c r="BCA32" s="188"/>
      <c r="BCB32" s="187"/>
      <c r="BCE32" s="168"/>
      <c r="BCF32" s="189"/>
      <c r="BCH32" s="188"/>
      <c r="BCI32" s="187"/>
      <c r="BCO32" s="188"/>
      <c r="BCP32" s="187"/>
      <c r="BCV32" s="188"/>
      <c r="BCW32" s="187"/>
      <c r="BDC32" s="188"/>
      <c r="BDD32" s="187"/>
      <c r="BDJ32" s="168"/>
      <c r="BDK32" s="189"/>
      <c r="BDQ32" s="188"/>
      <c r="BDR32" s="187"/>
      <c r="BDX32" s="188"/>
      <c r="BDY32" s="187"/>
      <c r="BEE32" s="188"/>
      <c r="BEF32" s="187"/>
      <c r="BEL32" s="188"/>
      <c r="BEM32" s="187"/>
      <c r="BEO32" s="168"/>
      <c r="BEP32" s="189"/>
      <c r="BES32" s="188"/>
      <c r="BET32" s="187"/>
      <c r="BEZ32" s="188"/>
      <c r="BFA32" s="187"/>
      <c r="BFG32" s="188"/>
      <c r="BFH32" s="187"/>
      <c r="BFN32" s="188"/>
      <c r="BFO32" s="187"/>
      <c r="BFQ32" s="168"/>
      <c r="BFR32" s="189"/>
      <c r="BFU32" s="188"/>
      <c r="BFV32" s="187"/>
      <c r="BGB32" s="188"/>
      <c r="BGC32" s="187"/>
      <c r="BGI32" s="188"/>
      <c r="BGJ32" s="187"/>
      <c r="BGP32" s="188"/>
      <c r="BGQ32" s="187"/>
      <c r="BGV32" s="168"/>
      <c r="BGW32" s="191"/>
      <c r="BGX32" s="187"/>
      <c r="BHD32" s="188"/>
      <c r="BHE32" s="187"/>
      <c r="BHK32" s="188"/>
      <c r="BHL32" s="187"/>
      <c r="BHR32" s="188"/>
      <c r="BHS32" s="187"/>
      <c r="BHY32" s="188"/>
      <c r="BHZ32" s="190"/>
      <c r="BIA32" s="189"/>
      <c r="BIF32" s="188"/>
      <c r="BIG32" s="187"/>
      <c r="BIM32" s="188"/>
      <c r="BIN32" s="187"/>
      <c r="BIT32" s="188"/>
      <c r="BIU32" s="187"/>
      <c r="BJA32" s="188"/>
      <c r="BJB32" s="187"/>
      <c r="BJE32" s="168"/>
      <c r="BJF32" s="189"/>
      <c r="BJH32" s="188"/>
      <c r="BJI32" s="187"/>
      <c r="BJO32" s="188"/>
      <c r="BJP32" s="187"/>
      <c r="BJV32" s="188"/>
      <c r="BJW32" s="187"/>
      <c r="BKC32" s="188"/>
      <c r="BKD32" s="187"/>
      <c r="BKI32" s="168"/>
      <c r="BKJ32" s="191"/>
      <c r="BKK32" s="187"/>
      <c r="BKQ32" s="188"/>
      <c r="BKR32" s="187"/>
      <c r="BKX32" s="188"/>
      <c r="BKY32" s="187"/>
      <c r="BLE32" s="188"/>
      <c r="BLF32" s="187"/>
      <c r="BLL32" s="188"/>
      <c r="BLM32" s="187"/>
      <c r="BLN32" s="168"/>
      <c r="BLO32" s="189"/>
      <c r="BLS32" s="188"/>
      <c r="BLT32" s="187"/>
      <c r="BLZ32" s="188"/>
      <c r="BMA32" s="187"/>
      <c r="BMG32" s="188"/>
      <c r="BMH32" s="187"/>
      <c r="BMN32" s="188"/>
      <c r="BMO32" s="187"/>
      <c r="BMS32" s="168"/>
      <c r="BMT32" s="189"/>
      <c r="BMU32" s="188"/>
      <c r="BMV32" s="187"/>
      <c r="BNB32" s="188"/>
      <c r="BNC32" s="187"/>
      <c r="BNI32" s="188"/>
      <c r="BNJ32" s="187"/>
      <c r="BNP32" s="188"/>
      <c r="BNQ32" s="187"/>
      <c r="BNW32" s="168"/>
      <c r="BNX32" s="189"/>
      <c r="BOD32" s="188"/>
      <c r="BOE32" s="187"/>
      <c r="BOK32" s="188"/>
      <c r="BOL32" s="187"/>
      <c r="BOR32" s="188"/>
      <c r="BOS32" s="187"/>
      <c r="BOY32" s="188"/>
      <c r="BOZ32" s="187"/>
      <c r="BPB32" s="168"/>
      <c r="BPC32" s="189"/>
      <c r="BPF32" s="188"/>
      <c r="BPG32" s="187"/>
      <c r="BPM32" s="188"/>
      <c r="BPN32" s="187"/>
      <c r="BPT32" s="188"/>
      <c r="BPU32" s="187"/>
      <c r="BQA32" s="188"/>
      <c r="BQB32" s="187"/>
      <c r="BQF32" s="168"/>
      <c r="BQG32" s="189"/>
      <c r="BQH32" s="188"/>
      <c r="BQI32" s="187"/>
      <c r="BQO32" s="188"/>
      <c r="BQP32" s="187"/>
      <c r="BQV32" s="188"/>
      <c r="BQW32" s="187"/>
      <c r="BRC32" s="188"/>
      <c r="BRD32" s="187"/>
      <c r="BRJ32" s="188"/>
      <c r="BRK32" s="190"/>
      <c r="BRL32" s="189"/>
      <c r="BRQ32" s="188"/>
      <c r="BRR32" s="187"/>
      <c r="BRX32" s="188"/>
      <c r="BRY32" s="187"/>
      <c r="BSE32" s="188"/>
      <c r="BSF32" s="187"/>
      <c r="BSL32" s="188"/>
      <c r="BSM32" s="187"/>
      <c r="BSP32" s="168"/>
      <c r="BSQ32" s="189"/>
      <c r="BSS32" s="188"/>
      <c r="BST32" s="187"/>
      <c r="BSZ32" s="188"/>
      <c r="BTA32" s="187"/>
      <c r="BTG32" s="188"/>
      <c r="BTH32" s="187"/>
      <c r="BTN32" s="188"/>
      <c r="BTO32" s="187"/>
      <c r="BTS32" s="168"/>
      <c r="BTT32" s="189"/>
      <c r="BTU32" s="188"/>
      <c r="BTV32" s="187"/>
      <c r="BUB32" s="188"/>
      <c r="BUC32" s="187"/>
      <c r="BUI32" s="188"/>
      <c r="BUJ32" s="187"/>
      <c r="BUP32" s="188"/>
      <c r="BUQ32" s="187"/>
      <c r="BUW32" s="188"/>
      <c r="BUX32" s="190"/>
      <c r="BUY32" s="189"/>
      <c r="BVD32" s="188"/>
      <c r="BVE32" s="187"/>
      <c r="BVK32" s="188"/>
      <c r="BVL32" s="187"/>
      <c r="BVR32" s="188"/>
      <c r="BVS32" s="187"/>
      <c r="BVY32" s="188"/>
      <c r="BVZ32" s="187"/>
      <c r="BWB32" s="168"/>
      <c r="BWC32" s="189"/>
      <c r="BWF32" s="188"/>
      <c r="BWG32" s="187"/>
      <c r="BWM32" s="188"/>
      <c r="BWN32" s="187"/>
      <c r="BWT32" s="188"/>
      <c r="BWU32" s="187"/>
      <c r="BXA32" s="188"/>
      <c r="BXB32" s="187"/>
      <c r="BXG32" s="168"/>
      <c r="BXH32" s="191"/>
      <c r="BXI32" s="187"/>
      <c r="BXO32" s="188"/>
      <c r="BXP32" s="187"/>
      <c r="BXV32" s="188"/>
      <c r="BXW32" s="187"/>
      <c r="BYC32" s="188"/>
      <c r="BYD32" s="187"/>
      <c r="BYJ32" s="188"/>
      <c r="BYK32" s="190"/>
      <c r="BYL32" s="189"/>
      <c r="BYQ32" s="188"/>
      <c r="BYR32" s="187"/>
      <c r="BYX32" s="188"/>
      <c r="BYY32" s="187"/>
      <c r="BZE32" s="188"/>
      <c r="BZF32" s="187"/>
      <c r="BZL32" s="188"/>
      <c r="BZM32" s="187"/>
      <c r="BZP32" s="168"/>
      <c r="BZQ32" s="189"/>
      <c r="BZS32" s="188"/>
      <c r="BZT32" s="187"/>
      <c r="BZZ32" s="188"/>
      <c r="CAA32" s="187"/>
      <c r="CAG32" s="188"/>
      <c r="CAH32" s="187"/>
      <c r="CAN32" s="188"/>
      <c r="CAO32" s="187"/>
      <c r="CAU32" s="168"/>
      <c r="CAV32" s="189"/>
      <c r="CBB32" s="188"/>
      <c r="CBC32" s="187"/>
      <c r="CBI32" s="188"/>
      <c r="CBJ32" s="187"/>
      <c r="CBP32" s="188"/>
      <c r="CBQ32" s="187"/>
      <c r="CBW32" s="188"/>
      <c r="CBX32" s="187"/>
      <c r="CBY32" s="168"/>
      <c r="CBZ32" s="189"/>
      <c r="CCD32" s="188"/>
      <c r="CCE32" s="187"/>
      <c r="CCK32" s="188"/>
      <c r="CCL32" s="187"/>
      <c r="CCR32" s="188"/>
      <c r="CCS32" s="187"/>
      <c r="CCY32" s="188"/>
      <c r="CCZ32" s="187"/>
      <c r="CDD32" s="168"/>
      <c r="CDE32" s="189"/>
      <c r="CDF32" s="188"/>
      <c r="CDG32" s="187"/>
      <c r="CDM32" s="188"/>
      <c r="CDN32" s="187"/>
      <c r="CDT32" s="188"/>
      <c r="CDU32" s="187"/>
      <c r="CEA32" s="188"/>
      <c r="CEB32" s="187"/>
      <c r="CEH32" s="168"/>
      <c r="CEI32" s="189"/>
      <c r="CEO32" s="188"/>
      <c r="CEP32" s="187"/>
      <c r="CEV32" s="188"/>
      <c r="CEW32" s="187"/>
      <c r="CFC32" s="188"/>
      <c r="CFD32" s="187"/>
      <c r="CFJ32" s="188"/>
      <c r="CFK32" s="187"/>
    </row>
    <row r="33" spans="1:1019 1025:2048 2054:2195">
      <c r="A33" s="164" t="s">
        <v>288</v>
      </c>
      <c r="C33" s="164" t="s">
        <v>289</v>
      </c>
      <c r="D33" s="186"/>
      <c r="E33" s="186"/>
      <c r="K33" s="187"/>
      <c r="Q33" s="188"/>
      <c r="R33" s="187"/>
      <c r="X33" s="188"/>
      <c r="Y33" s="187"/>
      <c r="AE33" s="188"/>
      <c r="AF33" s="187"/>
      <c r="AJ33" s="168"/>
      <c r="AK33" s="189"/>
      <c r="AL33" s="188"/>
      <c r="AM33" s="187"/>
      <c r="AS33" s="188"/>
      <c r="AT33" s="187"/>
      <c r="AZ33" s="188"/>
      <c r="BA33" s="187"/>
      <c r="BG33" s="188"/>
      <c r="BH33" s="187"/>
      <c r="BL33" s="168"/>
      <c r="BM33" s="189"/>
      <c r="BN33" s="188"/>
      <c r="BO33" s="187"/>
      <c r="BU33" s="188"/>
      <c r="BV33" s="187"/>
      <c r="CB33" s="188"/>
      <c r="CC33" s="187"/>
      <c r="CI33" s="188"/>
      <c r="CJ33" s="187"/>
      <c r="CP33" s="188"/>
      <c r="CQ33" s="190"/>
      <c r="CR33" s="189"/>
      <c r="CW33" s="188"/>
      <c r="CX33" s="187"/>
      <c r="DD33" s="188"/>
      <c r="DE33" s="187"/>
      <c r="DK33" s="188"/>
      <c r="DL33" s="187"/>
      <c r="DR33" s="188"/>
      <c r="DS33" s="187"/>
      <c r="DU33" s="168"/>
      <c r="DV33" s="189"/>
      <c r="DY33" s="188"/>
      <c r="DZ33" s="187"/>
      <c r="EF33" s="188"/>
      <c r="EG33" s="187"/>
      <c r="EM33" s="188"/>
      <c r="EN33" s="187"/>
      <c r="ET33" s="188"/>
      <c r="EU33" s="187"/>
      <c r="EZ33" s="168"/>
      <c r="FA33" s="191"/>
      <c r="FB33" s="187"/>
      <c r="FH33" s="188"/>
      <c r="FI33" s="187"/>
      <c r="FO33" s="188"/>
      <c r="FP33" s="187"/>
      <c r="FV33" s="188"/>
      <c r="FW33" s="187"/>
      <c r="GC33" s="188"/>
      <c r="GD33" s="190"/>
      <c r="GE33" s="189"/>
      <c r="GJ33" s="188"/>
      <c r="GK33" s="187"/>
      <c r="GQ33" s="188"/>
      <c r="GR33" s="187"/>
      <c r="GX33" s="188"/>
      <c r="GY33" s="187"/>
      <c r="HE33" s="188"/>
      <c r="HF33" s="187"/>
      <c r="HI33" s="168"/>
      <c r="HJ33" s="189"/>
      <c r="HL33" s="188"/>
      <c r="HM33" s="187"/>
      <c r="HS33" s="188"/>
      <c r="HT33" s="187"/>
      <c r="HZ33" s="188"/>
      <c r="IA33" s="187"/>
      <c r="IG33" s="188"/>
      <c r="IH33" s="187"/>
      <c r="IN33" s="168"/>
      <c r="IO33" s="189"/>
      <c r="IU33" s="188"/>
      <c r="IV33" s="187"/>
      <c r="JB33" s="188"/>
      <c r="JC33" s="187"/>
      <c r="JI33" s="188"/>
      <c r="JJ33" s="187"/>
      <c r="JP33" s="188"/>
      <c r="JQ33" s="187"/>
      <c r="JR33" s="168"/>
      <c r="JS33" s="189"/>
      <c r="JW33" s="188"/>
      <c r="JX33" s="187"/>
      <c r="KD33" s="188"/>
      <c r="KE33" s="187"/>
      <c r="KK33" s="188"/>
      <c r="KL33" s="187"/>
      <c r="KR33" s="188"/>
      <c r="KS33" s="187"/>
      <c r="KW33" s="168"/>
      <c r="KX33" s="189"/>
      <c r="KY33" s="188"/>
      <c r="KZ33" s="187"/>
      <c r="LF33" s="188"/>
      <c r="LG33" s="187"/>
      <c r="LM33" s="188"/>
      <c r="LN33" s="187"/>
      <c r="LT33" s="188"/>
      <c r="LU33" s="187"/>
      <c r="MA33" s="168"/>
      <c r="MB33" s="189"/>
      <c r="MH33" s="188"/>
      <c r="MI33" s="187"/>
      <c r="MO33" s="188"/>
      <c r="MP33" s="187"/>
      <c r="MV33" s="188"/>
      <c r="MW33" s="187"/>
      <c r="NC33" s="188"/>
      <c r="ND33" s="187"/>
      <c r="NF33" s="168"/>
      <c r="NG33" s="189"/>
      <c r="NJ33" s="188"/>
      <c r="NK33" s="187"/>
      <c r="NQ33" s="188"/>
      <c r="NR33" s="187"/>
      <c r="NX33" s="188"/>
      <c r="NY33" s="187"/>
      <c r="OE33" s="188"/>
      <c r="OF33" s="187"/>
      <c r="OK33" s="168"/>
      <c r="OL33" s="191"/>
      <c r="OM33" s="187"/>
      <c r="OS33" s="188"/>
      <c r="OT33" s="187"/>
      <c r="OZ33" s="188"/>
      <c r="PA33" s="187"/>
      <c r="PG33" s="188"/>
      <c r="PH33" s="187"/>
      <c r="PN33" s="168"/>
      <c r="PO33" s="189"/>
      <c r="PU33" s="188"/>
      <c r="PV33" s="187"/>
      <c r="QB33" s="188"/>
      <c r="QC33" s="187"/>
      <c r="QI33" s="188"/>
      <c r="QJ33" s="187"/>
      <c r="QP33" s="188"/>
      <c r="QQ33" s="187"/>
      <c r="QS33" s="168"/>
      <c r="QT33" s="189"/>
      <c r="QW33" s="188"/>
      <c r="QX33" s="187"/>
      <c r="RD33" s="188"/>
      <c r="RE33" s="187"/>
      <c r="RK33" s="188"/>
      <c r="RL33" s="187"/>
      <c r="RR33" s="188"/>
      <c r="RS33" s="187"/>
      <c r="RW33" s="168"/>
      <c r="RX33" s="189"/>
      <c r="RY33" s="188"/>
      <c r="RZ33" s="187"/>
      <c r="SF33" s="188"/>
      <c r="SG33" s="187"/>
      <c r="SM33" s="188"/>
      <c r="SN33" s="187"/>
      <c r="ST33" s="188"/>
      <c r="SU33" s="187"/>
      <c r="TA33" s="188"/>
      <c r="TB33" s="190"/>
      <c r="TC33" s="189"/>
      <c r="TH33" s="188"/>
      <c r="TI33" s="187"/>
      <c r="TO33" s="188"/>
      <c r="TP33" s="187"/>
      <c r="TV33" s="188"/>
      <c r="TW33" s="187"/>
      <c r="UC33" s="188"/>
      <c r="UD33" s="187"/>
      <c r="UF33" s="168"/>
      <c r="UG33" s="189"/>
      <c r="UJ33" s="188"/>
      <c r="UK33" s="187"/>
      <c r="UQ33" s="188"/>
      <c r="UR33" s="187"/>
      <c r="UX33" s="188"/>
      <c r="UY33" s="187"/>
      <c r="VE33" s="188"/>
      <c r="VF33" s="187"/>
      <c r="VK33" s="168"/>
      <c r="VL33" s="191"/>
      <c r="VM33" s="187"/>
      <c r="VS33" s="188"/>
      <c r="VT33" s="187"/>
      <c r="VZ33" s="188"/>
      <c r="WA33" s="187"/>
      <c r="WG33" s="188"/>
      <c r="WH33" s="187"/>
      <c r="WN33" s="188"/>
      <c r="WO33" s="187"/>
      <c r="WP33" s="168"/>
      <c r="WQ33" s="189"/>
      <c r="WU33" s="188"/>
      <c r="WV33" s="187"/>
      <c r="XB33" s="188"/>
      <c r="XC33" s="187"/>
      <c r="XI33" s="188"/>
      <c r="XJ33" s="187"/>
      <c r="XP33" s="188"/>
      <c r="XQ33" s="187"/>
      <c r="XT33" s="168"/>
      <c r="XU33" s="189"/>
      <c r="XW33" s="188"/>
      <c r="XX33" s="187"/>
      <c r="YD33" s="188"/>
      <c r="YE33" s="187"/>
      <c r="YK33" s="188"/>
      <c r="YL33" s="187"/>
      <c r="YR33" s="188"/>
      <c r="YS33" s="187"/>
      <c r="YY33" s="168"/>
      <c r="YZ33" s="189"/>
      <c r="ZF33" s="188"/>
      <c r="ZG33" s="187"/>
      <c r="ZM33" s="188"/>
      <c r="ZN33" s="187"/>
      <c r="ZT33" s="188"/>
      <c r="ZU33" s="187"/>
      <c r="AAA33" s="188"/>
      <c r="AAB33" s="187"/>
      <c r="AAC33" s="168"/>
      <c r="AAD33" s="189"/>
      <c r="AAH33" s="188"/>
      <c r="AAI33" s="187"/>
      <c r="AAO33" s="188"/>
      <c r="AAP33" s="187"/>
      <c r="AAV33" s="188"/>
      <c r="AAW33" s="187"/>
      <c r="ABC33" s="188"/>
      <c r="ABD33" s="187"/>
      <c r="ABH33" s="168"/>
      <c r="ABI33" s="189"/>
      <c r="ABJ33" s="188"/>
      <c r="ABK33" s="187"/>
      <c r="ABQ33" s="188"/>
      <c r="ABR33" s="187"/>
      <c r="ABX33" s="188"/>
      <c r="ABY33" s="187"/>
      <c r="ACE33" s="188"/>
      <c r="ACF33" s="187"/>
      <c r="ACL33" s="188"/>
      <c r="ACM33" s="190"/>
      <c r="ACN33" s="189"/>
      <c r="ACS33" s="188"/>
      <c r="ACT33" s="187"/>
      <c r="ACZ33" s="188"/>
      <c r="ADA33" s="187"/>
      <c r="ADG33" s="188"/>
      <c r="ADH33" s="187"/>
      <c r="ADN33" s="188"/>
      <c r="ADO33" s="190"/>
      <c r="ADP33" s="189"/>
      <c r="ADU33" s="188"/>
      <c r="ADV33" s="187"/>
      <c r="AEB33" s="188"/>
      <c r="AEC33" s="187"/>
      <c r="AEI33" s="188"/>
      <c r="AEJ33" s="187"/>
      <c r="AEP33" s="188"/>
      <c r="AEQ33" s="187"/>
      <c r="AET33" s="168"/>
      <c r="AEU33" s="189"/>
      <c r="AEW33" s="188"/>
      <c r="AEX33" s="187"/>
      <c r="AFD33" s="188"/>
      <c r="AFE33" s="187"/>
      <c r="AFK33" s="188"/>
      <c r="AFL33" s="187"/>
      <c r="AFR33" s="188"/>
      <c r="AFS33" s="187"/>
      <c r="AFX33" s="168"/>
      <c r="AFY33" s="191"/>
      <c r="AFZ33" s="187"/>
      <c r="AGF33" s="188"/>
      <c r="AGG33" s="187"/>
      <c r="AGM33" s="188"/>
      <c r="AGN33" s="187"/>
      <c r="AGT33" s="188"/>
      <c r="AGU33" s="187"/>
      <c r="AHA33" s="188"/>
      <c r="AHB33" s="187"/>
      <c r="AHC33" s="168"/>
      <c r="AHD33" s="189"/>
      <c r="AHH33" s="188"/>
      <c r="AHI33" s="187"/>
      <c r="AHO33" s="188"/>
      <c r="AHP33" s="187"/>
      <c r="AHV33" s="188"/>
      <c r="AHW33" s="187"/>
      <c r="AIC33" s="188"/>
      <c r="AID33" s="187"/>
      <c r="AIG33" s="168"/>
      <c r="AIH33" s="189"/>
      <c r="AIJ33" s="188"/>
      <c r="AIK33" s="187"/>
      <c r="AIQ33" s="188"/>
      <c r="AIR33" s="187"/>
      <c r="AIX33" s="188"/>
      <c r="AIY33" s="187"/>
      <c r="AJE33" s="188"/>
      <c r="AJF33" s="187"/>
      <c r="AJL33" s="168"/>
      <c r="AJM33" s="189"/>
      <c r="AJS33" s="188"/>
      <c r="AJT33" s="187"/>
      <c r="AJZ33" s="188"/>
      <c r="AKA33" s="187"/>
      <c r="AKG33" s="188"/>
      <c r="AKH33" s="187"/>
      <c r="AKN33" s="188"/>
      <c r="AKO33" s="187"/>
      <c r="AKQ33" s="168"/>
      <c r="AKR33" s="189"/>
      <c r="AKU33" s="188"/>
      <c r="AKV33" s="187"/>
      <c r="ALB33" s="188"/>
      <c r="ALC33" s="187"/>
      <c r="ALI33" s="188"/>
      <c r="ALJ33" s="187"/>
      <c r="ALP33" s="188"/>
      <c r="ALQ33" s="187"/>
      <c r="ALU33" s="168"/>
      <c r="ALV33" s="189"/>
      <c r="ALW33" s="188"/>
      <c r="ALX33" s="187"/>
      <c r="AMD33" s="188"/>
      <c r="AME33" s="187"/>
      <c r="AMK33" s="188"/>
      <c r="AML33" s="187"/>
      <c r="AMR33" s="188"/>
      <c r="AMS33" s="187"/>
      <c r="AMY33" s="188"/>
      <c r="AMZ33" s="190"/>
      <c r="ANA33" s="189"/>
      <c r="ANF33" s="188"/>
      <c r="ANG33" s="187"/>
      <c r="ANM33" s="188"/>
      <c r="ANN33" s="187"/>
      <c r="ANT33" s="188"/>
      <c r="ANU33" s="187"/>
      <c r="AOA33" s="188"/>
      <c r="AOB33" s="187"/>
      <c r="AOD33" s="168"/>
      <c r="AOE33" s="189"/>
      <c r="AOH33" s="188"/>
      <c r="AOI33" s="187"/>
      <c r="AOO33" s="188"/>
      <c r="AOP33" s="187"/>
      <c r="AOV33" s="188"/>
      <c r="AOW33" s="187"/>
      <c r="APC33" s="188"/>
      <c r="APD33" s="187"/>
      <c r="API33" s="168"/>
      <c r="APJ33" s="191"/>
      <c r="APK33" s="187"/>
      <c r="APQ33" s="188"/>
      <c r="APR33" s="187"/>
      <c r="APX33" s="188"/>
      <c r="APY33" s="187"/>
      <c r="AQE33" s="188"/>
      <c r="AQF33" s="187"/>
      <c r="AQL33" s="188"/>
      <c r="AQM33" s="187"/>
      <c r="AQN33" s="168"/>
      <c r="AQO33" s="189"/>
      <c r="AQS33" s="188"/>
      <c r="AQT33" s="187"/>
      <c r="AQZ33" s="188"/>
      <c r="ARA33" s="187"/>
      <c r="ARG33" s="188"/>
      <c r="ARH33" s="187"/>
      <c r="ARN33" s="188"/>
      <c r="ARO33" s="187"/>
      <c r="ARP33" s="168"/>
      <c r="ARQ33" s="189"/>
      <c r="ARU33" s="188"/>
      <c r="ARV33" s="187"/>
      <c r="ASB33" s="188"/>
      <c r="ASC33" s="187"/>
      <c r="ASI33" s="188"/>
      <c r="ASJ33" s="187"/>
      <c r="ASP33" s="188"/>
      <c r="ASQ33" s="187"/>
      <c r="ASU33" s="168"/>
      <c r="ASV33" s="189"/>
      <c r="ASW33" s="188"/>
      <c r="ASX33" s="187"/>
      <c r="ATD33" s="188"/>
      <c r="ATE33" s="187"/>
      <c r="ATK33" s="188"/>
      <c r="ATL33" s="187"/>
      <c r="ATR33" s="188"/>
      <c r="ATS33" s="187"/>
      <c r="ATY33" s="168"/>
      <c r="ATZ33" s="189"/>
      <c r="AUF33" s="188"/>
      <c r="AUG33" s="187"/>
      <c r="AUM33" s="188"/>
      <c r="AUN33" s="187"/>
      <c r="AUT33" s="188"/>
      <c r="AUU33" s="187"/>
      <c r="AVA33" s="188"/>
      <c r="AVB33" s="187"/>
      <c r="AVD33" s="168"/>
      <c r="AVE33" s="189"/>
      <c r="AVH33" s="188"/>
      <c r="AVI33" s="187"/>
      <c r="AVO33" s="188"/>
      <c r="AVP33" s="187"/>
      <c r="AVV33" s="188"/>
      <c r="AVW33" s="187"/>
      <c r="AWC33" s="188"/>
      <c r="AWD33" s="187"/>
      <c r="AWH33" s="168"/>
      <c r="AWI33" s="189"/>
      <c r="AWJ33" s="188"/>
      <c r="AWK33" s="187"/>
      <c r="AWQ33" s="188"/>
      <c r="AWR33" s="187"/>
      <c r="AWX33" s="188"/>
      <c r="AWY33" s="187"/>
      <c r="AXE33" s="188"/>
      <c r="AXF33" s="187"/>
      <c r="AXL33" s="188"/>
      <c r="AXM33" s="190"/>
      <c r="AXN33" s="189"/>
      <c r="AXS33" s="188"/>
      <c r="AXT33" s="187"/>
      <c r="AXZ33" s="188"/>
      <c r="AYA33" s="187"/>
      <c r="AYG33" s="188"/>
      <c r="AYH33" s="187"/>
      <c r="AYN33" s="188"/>
      <c r="AYO33" s="187"/>
      <c r="AYR33" s="168"/>
      <c r="AYS33" s="189"/>
      <c r="AYU33" s="188"/>
      <c r="AYV33" s="187"/>
      <c r="AZB33" s="188"/>
      <c r="AZC33" s="187"/>
      <c r="AZI33" s="188"/>
      <c r="AZJ33" s="187"/>
      <c r="AZP33" s="188"/>
      <c r="AZQ33" s="187"/>
      <c r="AZV33" s="168"/>
      <c r="AZW33" s="191"/>
      <c r="AZX33" s="187"/>
      <c r="BAD33" s="188"/>
      <c r="BAE33" s="187"/>
      <c r="BAK33" s="188"/>
      <c r="BAL33" s="187"/>
      <c r="BAR33" s="188"/>
      <c r="BAS33" s="187"/>
      <c r="BAY33" s="188"/>
      <c r="BAZ33" s="187"/>
      <c r="BBA33" s="168"/>
      <c r="BBB33" s="189"/>
      <c r="BBF33" s="188"/>
      <c r="BBG33" s="187"/>
      <c r="BBM33" s="188"/>
      <c r="BBN33" s="187"/>
      <c r="BBT33" s="188"/>
      <c r="BBU33" s="187"/>
      <c r="BCA33" s="188"/>
      <c r="BCB33" s="187"/>
      <c r="BCE33" s="168"/>
      <c r="BCF33" s="189"/>
      <c r="BCH33" s="188"/>
      <c r="BCI33" s="187"/>
      <c r="BCO33" s="188"/>
      <c r="BCP33" s="187"/>
      <c r="BCV33" s="188"/>
      <c r="BCW33" s="187"/>
      <c r="BDC33" s="188"/>
      <c r="BDD33" s="187"/>
      <c r="BDJ33" s="168"/>
      <c r="BDK33" s="189"/>
      <c r="BDQ33" s="188"/>
      <c r="BDR33" s="187"/>
      <c r="BDX33" s="188"/>
      <c r="BDY33" s="187"/>
      <c r="BEE33" s="188"/>
      <c r="BEF33" s="187"/>
      <c r="BEL33" s="188"/>
      <c r="BEM33" s="187"/>
      <c r="BEO33" s="168"/>
      <c r="BEP33" s="189"/>
      <c r="BES33" s="188"/>
      <c r="BET33" s="187"/>
      <c r="BEZ33" s="188"/>
      <c r="BFA33" s="187"/>
      <c r="BFG33" s="188"/>
      <c r="BFH33" s="187"/>
      <c r="BFN33" s="188"/>
      <c r="BFO33" s="187"/>
      <c r="BFQ33" s="168"/>
      <c r="BFR33" s="189"/>
      <c r="BFU33" s="188"/>
      <c r="BFV33" s="187"/>
      <c r="BGB33" s="188"/>
      <c r="BGC33" s="187"/>
      <c r="BGI33" s="188"/>
      <c r="BGJ33" s="187"/>
      <c r="BGP33" s="188"/>
      <c r="BGQ33" s="187"/>
      <c r="BGV33" s="168"/>
      <c r="BGW33" s="191"/>
      <c r="BGX33" s="187"/>
      <c r="BHD33" s="188"/>
      <c r="BHE33" s="187"/>
      <c r="BHK33" s="188"/>
      <c r="BHL33" s="187"/>
      <c r="BHR33" s="188"/>
      <c r="BHS33" s="187"/>
      <c r="BHY33" s="188"/>
      <c r="BHZ33" s="190"/>
      <c r="BIA33" s="189"/>
      <c r="BIF33" s="188"/>
      <c r="BIG33" s="187"/>
      <c r="BIM33" s="188"/>
      <c r="BIN33" s="187"/>
      <c r="BIT33" s="188"/>
      <c r="BIU33" s="187"/>
      <c r="BJA33" s="188"/>
      <c r="BJB33" s="187"/>
      <c r="BJE33" s="168"/>
      <c r="BJF33" s="189"/>
      <c r="BJH33" s="188"/>
      <c r="BJI33" s="187"/>
      <c r="BJO33" s="188"/>
      <c r="BJP33" s="187"/>
      <c r="BJV33" s="188"/>
      <c r="BJW33" s="187"/>
      <c r="BKC33" s="188"/>
      <c r="BKD33" s="187"/>
      <c r="BKI33" s="168"/>
      <c r="BKJ33" s="191"/>
      <c r="BKK33" s="187"/>
      <c r="BKQ33" s="188"/>
      <c r="BKR33" s="187"/>
      <c r="BKX33" s="188"/>
      <c r="BKY33" s="187"/>
      <c r="BLE33" s="188"/>
      <c r="BLF33" s="187"/>
      <c r="BLL33" s="188"/>
      <c r="BLM33" s="187"/>
      <c r="BLN33" s="168"/>
      <c r="BLO33" s="189"/>
      <c r="BLS33" s="188"/>
      <c r="BLT33" s="187"/>
      <c r="BLZ33" s="188"/>
      <c r="BMA33" s="187"/>
      <c r="BMG33" s="188"/>
      <c r="BMH33" s="187"/>
      <c r="BMN33" s="188"/>
      <c r="BMO33" s="187"/>
      <c r="BMS33" s="168"/>
      <c r="BMT33" s="189"/>
      <c r="BMU33" s="188"/>
      <c r="BMV33" s="187"/>
      <c r="BNB33" s="188"/>
      <c r="BNC33" s="187"/>
      <c r="BNI33" s="188"/>
      <c r="BNJ33" s="187"/>
      <c r="BNP33" s="188"/>
      <c r="BNQ33" s="187"/>
      <c r="BNW33" s="168"/>
      <c r="BNX33" s="189"/>
      <c r="BOD33" s="188"/>
      <c r="BOE33" s="187"/>
      <c r="BOK33" s="188"/>
      <c r="BOL33" s="187"/>
      <c r="BOR33" s="188"/>
      <c r="BOS33" s="187"/>
      <c r="BOY33" s="188"/>
      <c r="BOZ33" s="187"/>
      <c r="BPB33" s="168"/>
      <c r="BPC33" s="189"/>
      <c r="BPF33" s="188"/>
      <c r="BPG33" s="187"/>
      <c r="BPM33" s="188"/>
      <c r="BPN33" s="187"/>
      <c r="BPT33" s="188"/>
      <c r="BPU33" s="187"/>
      <c r="BQA33" s="188"/>
      <c r="BQB33" s="187"/>
      <c r="BQF33" s="168"/>
      <c r="BQG33" s="189"/>
      <c r="BQH33" s="188"/>
      <c r="BQI33" s="187"/>
      <c r="BQO33" s="188"/>
      <c r="BQP33" s="187"/>
      <c r="BQV33" s="188"/>
      <c r="BQW33" s="187"/>
      <c r="BRC33" s="188"/>
      <c r="BRD33" s="187"/>
      <c r="BRJ33" s="188"/>
      <c r="BRK33" s="190"/>
      <c r="BRL33" s="189"/>
      <c r="BRQ33" s="188"/>
      <c r="BRR33" s="187"/>
      <c r="BRX33" s="188"/>
      <c r="BRY33" s="187"/>
      <c r="BSE33" s="188"/>
      <c r="BSF33" s="187"/>
      <c r="BSL33" s="188"/>
      <c r="BSM33" s="187"/>
      <c r="BSP33" s="168"/>
      <c r="BSQ33" s="189"/>
      <c r="BSS33" s="188"/>
      <c r="BST33" s="187"/>
      <c r="BSZ33" s="188"/>
      <c r="BTA33" s="187"/>
      <c r="BTG33" s="188"/>
      <c r="BTH33" s="187"/>
      <c r="BTN33" s="188"/>
      <c r="BTO33" s="187"/>
      <c r="BTS33" s="168"/>
      <c r="BTT33" s="189"/>
      <c r="BTU33" s="188"/>
      <c r="BTV33" s="187"/>
      <c r="BUB33" s="188"/>
      <c r="BUC33" s="187"/>
      <c r="BUI33" s="188"/>
      <c r="BUJ33" s="187"/>
      <c r="BUP33" s="188"/>
      <c r="BUQ33" s="187"/>
      <c r="BUW33" s="188"/>
      <c r="BUX33" s="190"/>
      <c r="BUY33" s="189"/>
      <c r="BVD33" s="188"/>
      <c r="BVE33" s="187"/>
      <c r="BVK33" s="188"/>
      <c r="BVL33" s="187"/>
      <c r="BVR33" s="188"/>
      <c r="BVS33" s="187"/>
      <c r="BVY33" s="188"/>
      <c r="BVZ33" s="187"/>
      <c r="BWB33" s="168"/>
      <c r="BWC33" s="189"/>
      <c r="BWF33" s="188"/>
      <c r="BWG33" s="187"/>
      <c r="BWM33" s="188"/>
      <c r="BWN33" s="187"/>
      <c r="BWT33" s="188"/>
      <c r="BWU33" s="187"/>
      <c r="BXA33" s="188"/>
      <c r="BXB33" s="187"/>
      <c r="BXG33" s="168"/>
      <c r="BXH33" s="191"/>
      <c r="BXI33" s="187"/>
      <c r="BXO33" s="188"/>
      <c r="BXP33" s="187"/>
      <c r="BXV33" s="188"/>
      <c r="BXW33" s="187"/>
      <c r="BYC33" s="188"/>
      <c r="BYD33" s="187"/>
      <c r="BYJ33" s="188"/>
      <c r="BYK33" s="190"/>
      <c r="BYL33" s="189"/>
      <c r="BYQ33" s="188"/>
      <c r="BYR33" s="187"/>
      <c r="BYX33" s="188"/>
      <c r="BYY33" s="187"/>
      <c r="BZE33" s="188"/>
      <c r="BZF33" s="187"/>
      <c r="BZL33" s="188"/>
      <c r="BZM33" s="187"/>
      <c r="BZP33" s="168"/>
      <c r="BZQ33" s="189"/>
      <c r="BZS33" s="188"/>
      <c r="BZT33" s="187"/>
      <c r="BZZ33" s="188"/>
      <c r="CAA33" s="187"/>
      <c r="CAG33" s="188"/>
      <c r="CAH33" s="187"/>
      <c r="CAN33" s="188"/>
      <c r="CAO33" s="187"/>
      <c r="CAU33" s="168"/>
      <c r="CAV33" s="189"/>
      <c r="CBB33" s="188"/>
      <c r="CBC33" s="187"/>
      <c r="CBI33" s="188"/>
      <c r="CBJ33" s="187"/>
      <c r="CBP33" s="188"/>
      <c r="CBQ33" s="187"/>
      <c r="CBW33" s="188"/>
      <c r="CBX33" s="187"/>
      <c r="CBY33" s="168"/>
      <c r="CBZ33" s="189"/>
      <c r="CCD33" s="188"/>
      <c r="CCE33" s="187"/>
      <c r="CCK33" s="188"/>
      <c r="CCL33" s="187"/>
      <c r="CCR33" s="188"/>
      <c r="CCS33" s="187"/>
      <c r="CCY33" s="188"/>
      <c r="CCZ33" s="187"/>
      <c r="CDD33" s="168"/>
      <c r="CDE33" s="189"/>
      <c r="CDF33" s="188"/>
      <c r="CDG33" s="187"/>
      <c r="CDM33" s="188"/>
      <c r="CDN33" s="187"/>
      <c r="CDT33" s="188"/>
      <c r="CDU33" s="187"/>
      <c r="CEA33" s="188"/>
      <c r="CEB33" s="187"/>
      <c r="CEH33" s="168"/>
      <c r="CEI33" s="189"/>
      <c r="CEO33" s="188"/>
      <c r="CEP33" s="187"/>
      <c r="CEV33" s="188"/>
      <c r="CEW33" s="187"/>
      <c r="CFC33" s="188"/>
      <c r="CFD33" s="187"/>
      <c r="CFJ33" s="188"/>
      <c r="CFK33" s="187"/>
    </row>
    <row r="34" spans="1:1019 1025:2048 2054:2195">
      <c r="A34" s="164" t="s">
        <v>290</v>
      </c>
      <c r="C34" s="164" t="s">
        <v>291</v>
      </c>
      <c r="D34" s="186"/>
      <c r="E34" s="186"/>
      <c r="K34" s="187"/>
      <c r="Q34" s="188"/>
      <c r="R34" s="187"/>
      <c r="X34" s="188"/>
      <c r="Y34" s="187"/>
      <c r="AE34" s="188"/>
      <c r="AF34" s="187"/>
      <c r="AJ34" s="168"/>
      <c r="AK34" s="189"/>
      <c r="AL34" s="188"/>
      <c r="AM34" s="187"/>
      <c r="AS34" s="188"/>
      <c r="AT34" s="187"/>
      <c r="AZ34" s="188"/>
      <c r="BA34" s="187"/>
      <c r="BG34" s="188"/>
      <c r="BH34" s="187"/>
      <c r="BL34" s="168"/>
      <c r="BM34" s="189"/>
      <c r="BN34" s="188"/>
      <c r="BO34" s="187"/>
      <c r="BU34" s="188"/>
      <c r="BV34" s="187"/>
      <c r="CB34" s="188"/>
      <c r="CC34" s="187"/>
      <c r="CI34" s="188"/>
      <c r="CJ34" s="187"/>
      <c r="CP34" s="188"/>
      <c r="CQ34" s="190"/>
      <c r="CR34" s="189"/>
      <c r="CW34" s="188"/>
      <c r="CX34" s="187"/>
      <c r="DD34" s="188"/>
      <c r="DE34" s="187"/>
      <c r="DK34" s="188"/>
      <c r="DL34" s="187"/>
      <c r="DR34" s="188"/>
      <c r="DS34" s="187"/>
      <c r="DU34" s="168"/>
      <c r="DV34" s="189"/>
      <c r="DY34" s="188"/>
      <c r="DZ34" s="187"/>
      <c r="EF34" s="188"/>
      <c r="EG34" s="187"/>
      <c r="EM34" s="188"/>
      <c r="EN34" s="187"/>
      <c r="ET34" s="188"/>
      <c r="EU34" s="187"/>
      <c r="EZ34" s="168"/>
      <c r="FA34" s="191"/>
      <c r="FB34" s="187"/>
      <c r="FH34" s="188"/>
      <c r="FI34" s="187"/>
      <c r="FO34" s="188"/>
      <c r="FP34" s="187"/>
      <c r="FV34" s="188"/>
      <c r="FW34" s="187"/>
      <c r="GC34" s="188"/>
      <c r="GD34" s="190"/>
      <c r="GE34" s="189"/>
      <c r="GJ34" s="188"/>
      <c r="GK34" s="187"/>
      <c r="GQ34" s="188"/>
      <c r="GR34" s="187"/>
      <c r="GX34" s="188"/>
      <c r="GY34" s="187"/>
      <c r="HE34" s="188"/>
      <c r="HF34" s="187"/>
      <c r="HI34" s="168"/>
      <c r="HJ34" s="189"/>
      <c r="HL34" s="188"/>
      <c r="HM34" s="187"/>
      <c r="HS34" s="188"/>
      <c r="HT34" s="187"/>
      <c r="HZ34" s="188"/>
      <c r="IA34" s="187"/>
      <c r="IG34" s="188"/>
      <c r="IH34" s="187"/>
      <c r="IN34" s="168"/>
      <c r="IO34" s="189"/>
      <c r="IU34" s="188"/>
      <c r="IV34" s="187"/>
      <c r="JB34" s="188"/>
      <c r="JC34" s="187"/>
      <c r="JI34" s="188"/>
      <c r="JJ34" s="187"/>
      <c r="JP34" s="188"/>
      <c r="JQ34" s="187"/>
      <c r="JR34" s="168"/>
      <c r="JS34" s="189"/>
      <c r="JW34" s="188"/>
      <c r="JX34" s="187"/>
      <c r="KD34" s="188"/>
      <c r="KE34" s="187"/>
      <c r="KK34" s="188"/>
      <c r="KL34" s="187"/>
      <c r="KR34" s="188"/>
      <c r="KS34" s="187"/>
      <c r="KW34" s="168"/>
      <c r="KX34" s="189"/>
      <c r="KY34" s="188"/>
      <c r="KZ34" s="187"/>
      <c r="LF34" s="188"/>
      <c r="LG34" s="187"/>
      <c r="LM34" s="188"/>
      <c r="LN34" s="187"/>
      <c r="LT34" s="188"/>
      <c r="LU34" s="187"/>
      <c r="MA34" s="168"/>
      <c r="MB34" s="189"/>
      <c r="MH34" s="188"/>
      <c r="MI34" s="187"/>
      <c r="MO34" s="188"/>
      <c r="MP34" s="187"/>
      <c r="MV34" s="188"/>
      <c r="MW34" s="187"/>
      <c r="NC34" s="188"/>
      <c r="ND34" s="187"/>
      <c r="NF34" s="168"/>
      <c r="NG34" s="189"/>
      <c r="NJ34" s="188"/>
      <c r="NK34" s="187"/>
      <c r="NQ34" s="188"/>
      <c r="NR34" s="187"/>
      <c r="NX34" s="188"/>
      <c r="NY34" s="187"/>
      <c r="OE34" s="188"/>
      <c r="OF34" s="187"/>
      <c r="OK34" s="168"/>
      <c r="OL34" s="191"/>
      <c r="OM34" s="187"/>
      <c r="OS34" s="188"/>
      <c r="OT34" s="187"/>
      <c r="OZ34" s="188"/>
      <c r="PA34" s="187"/>
      <c r="PG34" s="188"/>
      <c r="PH34" s="187"/>
      <c r="PN34" s="168"/>
      <c r="PO34" s="189"/>
      <c r="PU34" s="188"/>
      <c r="PV34" s="187"/>
      <c r="QB34" s="188"/>
      <c r="QC34" s="187"/>
      <c r="QI34" s="188"/>
      <c r="QJ34" s="187"/>
      <c r="QP34" s="188"/>
      <c r="QQ34" s="187"/>
      <c r="QS34" s="168"/>
      <c r="QT34" s="189"/>
      <c r="QW34" s="188"/>
      <c r="QX34" s="187"/>
      <c r="RD34" s="188"/>
      <c r="RE34" s="187"/>
      <c r="RK34" s="188"/>
      <c r="RL34" s="187"/>
      <c r="RR34" s="188"/>
      <c r="RS34" s="187"/>
      <c r="RW34" s="168"/>
      <c r="RX34" s="189"/>
      <c r="RY34" s="188"/>
      <c r="RZ34" s="187"/>
      <c r="SF34" s="188"/>
      <c r="SG34" s="187"/>
      <c r="SM34" s="188"/>
      <c r="SN34" s="187"/>
      <c r="ST34" s="188"/>
      <c r="SU34" s="187"/>
      <c r="TA34" s="188"/>
      <c r="TB34" s="190"/>
      <c r="TC34" s="189"/>
      <c r="TH34" s="188"/>
      <c r="TI34" s="187"/>
      <c r="TO34" s="188"/>
      <c r="TP34" s="187"/>
      <c r="TV34" s="188"/>
      <c r="TW34" s="187"/>
      <c r="UC34" s="188"/>
      <c r="UD34" s="187"/>
      <c r="UF34" s="168"/>
      <c r="UG34" s="189"/>
      <c r="UJ34" s="188"/>
      <c r="UK34" s="187"/>
      <c r="UQ34" s="188"/>
      <c r="UR34" s="187"/>
      <c r="UX34" s="188"/>
      <c r="UY34" s="187"/>
      <c r="VE34" s="188"/>
      <c r="VF34" s="187"/>
      <c r="VK34" s="168"/>
      <c r="VL34" s="191"/>
      <c r="VM34" s="187"/>
      <c r="VS34" s="188"/>
      <c r="VT34" s="187"/>
      <c r="VZ34" s="188"/>
      <c r="WA34" s="187"/>
      <c r="WG34" s="188"/>
      <c r="WH34" s="187"/>
      <c r="WN34" s="188"/>
      <c r="WO34" s="187"/>
      <c r="WP34" s="168"/>
      <c r="WQ34" s="189"/>
      <c r="WU34" s="188"/>
      <c r="WV34" s="187"/>
      <c r="XB34" s="188"/>
      <c r="XC34" s="187"/>
      <c r="XI34" s="188"/>
      <c r="XJ34" s="187"/>
      <c r="XP34" s="188"/>
      <c r="XQ34" s="187"/>
      <c r="XT34" s="168"/>
      <c r="XU34" s="189"/>
      <c r="XW34" s="188"/>
      <c r="XX34" s="187"/>
      <c r="YD34" s="188"/>
      <c r="YE34" s="187"/>
      <c r="YK34" s="188"/>
      <c r="YL34" s="187"/>
      <c r="YR34" s="188"/>
      <c r="YS34" s="187"/>
      <c r="YY34" s="168"/>
      <c r="YZ34" s="189"/>
      <c r="ZF34" s="188"/>
      <c r="ZG34" s="187"/>
      <c r="ZM34" s="188"/>
      <c r="ZN34" s="187"/>
      <c r="ZT34" s="188"/>
      <c r="ZU34" s="187"/>
      <c r="AAA34" s="188"/>
      <c r="AAB34" s="187"/>
      <c r="AAC34" s="168"/>
      <c r="AAD34" s="189"/>
      <c r="AAH34" s="188"/>
      <c r="AAI34" s="187"/>
      <c r="AAO34" s="188"/>
      <c r="AAP34" s="187"/>
      <c r="AAV34" s="188"/>
      <c r="AAW34" s="187"/>
      <c r="ABC34" s="188"/>
      <c r="ABD34" s="187"/>
      <c r="ABH34" s="168"/>
      <c r="ABI34" s="189"/>
      <c r="ABJ34" s="188"/>
      <c r="ABK34" s="187"/>
      <c r="ABQ34" s="188"/>
      <c r="ABR34" s="187"/>
      <c r="ABX34" s="188"/>
      <c r="ABY34" s="187"/>
      <c r="ACE34" s="188"/>
      <c r="ACF34" s="187"/>
      <c r="ACL34" s="188"/>
      <c r="ACM34" s="190"/>
      <c r="ACN34" s="189"/>
      <c r="ACS34" s="188"/>
      <c r="ACT34" s="187"/>
      <c r="ACZ34" s="188"/>
      <c r="ADA34" s="187"/>
      <c r="ADG34" s="188"/>
      <c r="ADH34" s="187"/>
      <c r="ADN34" s="188"/>
      <c r="ADO34" s="190"/>
      <c r="ADP34" s="189"/>
      <c r="ADU34" s="188"/>
      <c r="ADV34" s="187"/>
      <c r="AEB34" s="188"/>
      <c r="AEC34" s="187"/>
      <c r="AEI34" s="188"/>
      <c r="AEJ34" s="187"/>
      <c r="AEP34" s="188"/>
      <c r="AEQ34" s="187"/>
      <c r="AET34" s="168"/>
      <c r="AEU34" s="189"/>
      <c r="AEW34" s="188"/>
      <c r="AEX34" s="187"/>
      <c r="AFD34" s="188"/>
      <c r="AFE34" s="187"/>
      <c r="AFK34" s="188"/>
      <c r="AFL34" s="187"/>
      <c r="AFR34" s="188"/>
      <c r="AFS34" s="187"/>
      <c r="AFX34" s="168"/>
      <c r="AFY34" s="191"/>
      <c r="AFZ34" s="187"/>
      <c r="AGF34" s="188"/>
      <c r="AGG34" s="187"/>
      <c r="AGM34" s="188"/>
      <c r="AGN34" s="187"/>
      <c r="AGT34" s="188"/>
      <c r="AGU34" s="187"/>
      <c r="AHA34" s="188"/>
      <c r="AHB34" s="187"/>
      <c r="AHC34" s="168"/>
      <c r="AHD34" s="189"/>
      <c r="AHH34" s="188"/>
      <c r="AHI34" s="187"/>
      <c r="AHO34" s="188"/>
      <c r="AHP34" s="187"/>
      <c r="AHV34" s="188"/>
      <c r="AHW34" s="187"/>
      <c r="AIC34" s="188"/>
      <c r="AID34" s="187"/>
      <c r="AIG34" s="168"/>
      <c r="AIH34" s="189"/>
      <c r="AIJ34" s="188"/>
      <c r="AIK34" s="187"/>
      <c r="AIQ34" s="188"/>
      <c r="AIR34" s="187"/>
      <c r="AIX34" s="188"/>
      <c r="AIY34" s="187"/>
      <c r="AJE34" s="188"/>
      <c r="AJF34" s="187"/>
      <c r="AJL34" s="168"/>
      <c r="AJM34" s="189"/>
      <c r="AJS34" s="188"/>
      <c r="AJT34" s="187"/>
      <c r="AJZ34" s="188"/>
      <c r="AKA34" s="187"/>
      <c r="AKG34" s="188"/>
      <c r="AKH34" s="187"/>
      <c r="AKN34" s="188"/>
      <c r="AKO34" s="187"/>
      <c r="AKQ34" s="168"/>
      <c r="AKR34" s="189"/>
      <c r="AKU34" s="188"/>
      <c r="AKV34" s="187"/>
      <c r="ALB34" s="188"/>
      <c r="ALC34" s="187"/>
      <c r="ALI34" s="188"/>
      <c r="ALJ34" s="187"/>
      <c r="ALP34" s="188"/>
      <c r="ALQ34" s="187"/>
      <c r="ALU34" s="168"/>
      <c r="ALV34" s="189"/>
      <c r="ALW34" s="188"/>
      <c r="ALX34" s="187"/>
      <c r="AMD34" s="188"/>
      <c r="AME34" s="187"/>
      <c r="AMK34" s="188"/>
      <c r="AML34" s="187"/>
      <c r="AMR34" s="188"/>
      <c r="AMS34" s="187"/>
      <c r="AMY34" s="188"/>
      <c r="AMZ34" s="190"/>
      <c r="ANA34" s="189"/>
      <c r="ANF34" s="188"/>
      <c r="ANG34" s="187"/>
      <c r="ANM34" s="188"/>
      <c r="ANN34" s="187"/>
      <c r="ANT34" s="188"/>
      <c r="ANU34" s="187"/>
      <c r="AOA34" s="188"/>
      <c r="AOB34" s="187"/>
      <c r="AOD34" s="168"/>
      <c r="AOE34" s="189"/>
      <c r="AOH34" s="188"/>
      <c r="AOI34" s="187"/>
      <c r="AOO34" s="188"/>
      <c r="AOP34" s="187"/>
      <c r="AOV34" s="188"/>
      <c r="AOW34" s="187"/>
      <c r="APC34" s="188"/>
      <c r="APD34" s="187"/>
      <c r="API34" s="168"/>
      <c r="APJ34" s="191"/>
      <c r="APK34" s="187"/>
      <c r="APQ34" s="188"/>
      <c r="APR34" s="187"/>
      <c r="APX34" s="188"/>
      <c r="APY34" s="187"/>
      <c r="AQE34" s="188"/>
      <c r="AQF34" s="187"/>
      <c r="AQL34" s="188"/>
      <c r="AQM34" s="187"/>
      <c r="AQN34" s="168"/>
      <c r="AQO34" s="189"/>
      <c r="AQS34" s="188"/>
      <c r="AQT34" s="187"/>
      <c r="AQZ34" s="188"/>
      <c r="ARA34" s="187"/>
      <c r="ARG34" s="188"/>
      <c r="ARH34" s="187"/>
      <c r="ARN34" s="188"/>
      <c r="ARO34" s="187"/>
      <c r="ARP34" s="168"/>
      <c r="ARQ34" s="189"/>
      <c r="ARU34" s="188"/>
      <c r="ARV34" s="187"/>
      <c r="ASB34" s="188"/>
      <c r="ASC34" s="187"/>
      <c r="ASI34" s="188"/>
      <c r="ASJ34" s="187"/>
      <c r="ASP34" s="188"/>
      <c r="ASQ34" s="187"/>
      <c r="ASU34" s="168"/>
      <c r="ASV34" s="189"/>
      <c r="ASW34" s="188"/>
      <c r="ASX34" s="187"/>
      <c r="ATD34" s="188"/>
      <c r="ATE34" s="187"/>
      <c r="ATK34" s="188"/>
      <c r="ATL34" s="187"/>
      <c r="ATR34" s="188"/>
      <c r="ATS34" s="187"/>
      <c r="ATY34" s="168"/>
      <c r="ATZ34" s="189"/>
      <c r="AUF34" s="188"/>
      <c r="AUG34" s="187"/>
      <c r="AUM34" s="188"/>
      <c r="AUN34" s="187"/>
      <c r="AUT34" s="188"/>
      <c r="AUU34" s="187"/>
      <c r="AVA34" s="188"/>
      <c r="AVB34" s="187"/>
      <c r="AVD34" s="168"/>
      <c r="AVE34" s="189"/>
      <c r="AVH34" s="188"/>
      <c r="AVI34" s="187"/>
      <c r="AVO34" s="188"/>
      <c r="AVP34" s="187"/>
      <c r="AVV34" s="188"/>
      <c r="AVW34" s="187"/>
      <c r="AWC34" s="188"/>
      <c r="AWD34" s="187"/>
      <c r="AWH34" s="168"/>
      <c r="AWI34" s="189"/>
      <c r="AWJ34" s="188"/>
      <c r="AWK34" s="187"/>
      <c r="AWQ34" s="188"/>
      <c r="AWR34" s="187"/>
      <c r="AWX34" s="188"/>
      <c r="AWY34" s="187"/>
      <c r="AXE34" s="188"/>
      <c r="AXF34" s="187"/>
      <c r="AXL34" s="188"/>
      <c r="AXM34" s="190"/>
      <c r="AXN34" s="189"/>
      <c r="AXS34" s="188"/>
      <c r="AXT34" s="187"/>
      <c r="AXZ34" s="188"/>
      <c r="AYA34" s="187"/>
      <c r="AYG34" s="188"/>
      <c r="AYH34" s="187"/>
      <c r="AYN34" s="188"/>
      <c r="AYO34" s="187"/>
      <c r="AYR34" s="168"/>
      <c r="AYS34" s="189"/>
      <c r="AYU34" s="188"/>
      <c r="AYV34" s="187"/>
      <c r="AZB34" s="188"/>
      <c r="AZC34" s="187"/>
      <c r="AZI34" s="188"/>
      <c r="AZJ34" s="187"/>
      <c r="AZP34" s="188"/>
      <c r="AZQ34" s="187"/>
      <c r="AZV34" s="168"/>
      <c r="AZW34" s="191"/>
      <c r="AZX34" s="187"/>
      <c r="BAD34" s="188"/>
      <c r="BAE34" s="187"/>
      <c r="BAK34" s="188"/>
      <c r="BAL34" s="187"/>
      <c r="BAR34" s="188"/>
      <c r="BAS34" s="187"/>
      <c r="BAY34" s="188"/>
      <c r="BAZ34" s="187"/>
      <c r="BBA34" s="168"/>
      <c r="BBB34" s="189"/>
      <c r="BBF34" s="188"/>
      <c r="BBG34" s="187"/>
      <c r="BBM34" s="188"/>
      <c r="BBN34" s="187"/>
      <c r="BBT34" s="188"/>
      <c r="BBU34" s="187"/>
      <c r="BCA34" s="188"/>
      <c r="BCB34" s="187"/>
      <c r="BCE34" s="168"/>
      <c r="BCF34" s="189"/>
      <c r="BCH34" s="188"/>
      <c r="BCI34" s="187"/>
      <c r="BCO34" s="188"/>
      <c r="BCP34" s="187"/>
      <c r="BCV34" s="188"/>
      <c r="BCW34" s="187"/>
      <c r="BDC34" s="188"/>
      <c r="BDD34" s="187"/>
      <c r="BDJ34" s="168"/>
      <c r="BDK34" s="189"/>
      <c r="BDQ34" s="188"/>
      <c r="BDR34" s="187"/>
      <c r="BDX34" s="188"/>
      <c r="BDY34" s="187"/>
      <c r="BEE34" s="188"/>
      <c r="BEF34" s="187"/>
      <c r="BEL34" s="188"/>
      <c r="BEM34" s="187"/>
      <c r="BEO34" s="168"/>
      <c r="BEP34" s="189"/>
      <c r="BES34" s="188"/>
      <c r="BET34" s="187"/>
      <c r="BEZ34" s="188"/>
      <c r="BFA34" s="187"/>
      <c r="BFG34" s="188"/>
      <c r="BFH34" s="187"/>
      <c r="BFN34" s="188"/>
      <c r="BFO34" s="187"/>
      <c r="BFQ34" s="168"/>
      <c r="BFR34" s="189"/>
      <c r="BFU34" s="188"/>
      <c r="BFV34" s="187"/>
      <c r="BGB34" s="188"/>
      <c r="BGC34" s="187"/>
      <c r="BGI34" s="188"/>
      <c r="BGJ34" s="187"/>
      <c r="BGP34" s="188"/>
      <c r="BGQ34" s="187"/>
      <c r="BGV34" s="168"/>
      <c r="BGW34" s="191"/>
      <c r="BGX34" s="187"/>
      <c r="BHD34" s="188"/>
      <c r="BHE34" s="187"/>
      <c r="BHK34" s="188"/>
      <c r="BHL34" s="187"/>
      <c r="BHR34" s="188"/>
      <c r="BHS34" s="187"/>
      <c r="BHY34" s="188"/>
      <c r="BHZ34" s="190"/>
      <c r="BIA34" s="189"/>
      <c r="BIF34" s="188"/>
      <c r="BIG34" s="187"/>
      <c r="BIM34" s="188"/>
      <c r="BIN34" s="187"/>
      <c r="BIT34" s="188"/>
      <c r="BIU34" s="187"/>
      <c r="BJA34" s="188"/>
      <c r="BJB34" s="187"/>
      <c r="BJE34" s="168"/>
      <c r="BJF34" s="189"/>
      <c r="BJH34" s="188"/>
      <c r="BJI34" s="187"/>
      <c r="BJO34" s="188"/>
      <c r="BJP34" s="187"/>
      <c r="BJV34" s="188"/>
      <c r="BJW34" s="187"/>
      <c r="BKC34" s="188"/>
      <c r="BKD34" s="187"/>
      <c r="BKI34" s="168"/>
      <c r="BKJ34" s="191"/>
      <c r="BKK34" s="187"/>
      <c r="BKQ34" s="188"/>
      <c r="BKR34" s="187"/>
      <c r="BKX34" s="188"/>
      <c r="BKY34" s="187"/>
      <c r="BLE34" s="188"/>
      <c r="BLF34" s="187"/>
      <c r="BLL34" s="188"/>
      <c r="BLM34" s="187"/>
      <c r="BLN34" s="168"/>
      <c r="BLO34" s="189"/>
      <c r="BLS34" s="188"/>
      <c r="BLT34" s="187"/>
      <c r="BLZ34" s="188"/>
      <c r="BMA34" s="187"/>
      <c r="BMG34" s="188"/>
      <c r="BMH34" s="187"/>
      <c r="BMN34" s="188"/>
      <c r="BMO34" s="187"/>
      <c r="BMS34" s="168"/>
      <c r="BMT34" s="189"/>
      <c r="BMU34" s="188"/>
      <c r="BMV34" s="187"/>
      <c r="BNB34" s="188"/>
      <c r="BNC34" s="187"/>
      <c r="BNI34" s="188"/>
      <c r="BNJ34" s="187"/>
      <c r="BNP34" s="188"/>
      <c r="BNQ34" s="187"/>
      <c r="BNW34" s="168"/>
      <c r="BNX34" s="189"/>
      <c r="BOD34" s="188"/>
      <c r="BOE34" s="187"/>
      <c r="BOK34" s="188"/>
      <c r="BOL34" s="187"/>
      <c r="BOR34" s="188"/>
      <c r="BOS34" s="187"/>
      <c r="BOY34" s="188"/>
      <c r="BOZ34" s="187"/>
      <c r="BPB34" s="168"/>
      <c r="BPC34" s="189"/>
      <c r="BPF34" s="188"/>
      <c r="BPG34" s="187"/>
      <c r="BPM34" s="188"/>
      <c r="BPN34" s="187"/>
      <c r="BPT34" s="188"/>
      <c r="BPU34" s="187"/>
      <c r="BQA34" s="188"/>
      <c r="BQB34" s="187"/>
      <c r="BQF34" s="168"/>
      <c r="BQG34" s="189"/>
      <c r="BQH34" s="188"/>
      <c r="BQI34" s="187"/>
      <c r="BQO34" s="188"/>
      <c r="BQP34" s="187"/>
      <c r="BQV34" s="188"/>
      <c r="BQW34" s="187"/>
      <c r="BRC34" s="188"/>
      <c r="BRD34" s="187"/>
      <c r="BRJ34" s="188"/>
      <c r="BRK34" s="190"/>
      <c r="BRL34" s="189"/>
      <c r="BRQ34" s="188"/>
      <c r="BRR34" s="187"/>
      <c r="BRX34" s="188"/>
      <c r="BRY34" s="187"/>
      <c r="BSE34" s="188"/>
      <c r="BSF34" s="187"/>
      <c r="BSL34" s="188"/>
      <c r="BSM34" s="187"/>
      <c r="BSP34" s="168"/>
      <c r="BSQ34" s="189"/>
      <c r="BSS34" s="188"/>
      <c r="BST34" s="187"/>
      <c r="BSZ34" s="188"/>
      <c r="BTA34" s="187"/>
      <c r="BTG34" s="188"/>
      <c r="BTH34" s="187"/>
      <c r="BTN34" s="188"/>
      <c r="BTO34" s="187"/>
      <c r="BTS34" s="168"/>
      <c r="BTT34" s="189"/>
      <c r="BTU34" s="188"/>
      <c r="BTV34" s="187"/>
      <c r="BUB34" s="188"/>
      <c r="BUC34" s="187"/>
      <c r="BUI34" s="188"/>
      <c r="BUJ34" s="187"/>
      <c r="BUP34" s="188"/>
      <c r="BUQ34" s="187"/>
      <c r="BUW34" s="188"/>
      <c r="BUX34" s="190"/>
      <c r="BUY34" s="189"/>
      <c r="BVD34" s="188"/>
      <c r="BVE34" s="187"/>
      <c r="BVK34" s="188"/>
      <c r="BVL34" s="187"/>
      <c r="BVR34" s="188"/>
      <c r="BVS34" s="187"/>
      <c r="BVY34" s="188"/>
      <c r="BVZ34" s="187"/>
      <c r="BWB34" s="168"/>
      <c r="BWC34" s="189"/>
      <c r="BWF34" s="188"/>
      <c r="BWG34" s="187"/>
      <c r="BWM34" s="188"/>
      <c r="BWN34" s="187"/>
      <c r="BWT34" s="188"/>
      <c r="BWU34" s="187"/>
      <c r="BXA34" s="188"/>
      <c r="BXB34" s="187"/>
      <c r="BXG34" s="168"/>
      <c r="BXH34" s="191"/>
      <c r="BXI34" s="187"/>
      <c r="BXO34" s="188"/>
      <c r="BXP34" s="187"/>
      <c r="BXV34" s="188"/>
      <c r="BXW34" s="187"/>
      <c r="BYC34" s="188"/>
      <c r="BYD34" s="187"/>
      <c r="BYJ34" s="188"/>
      <c r="BYK34" s="190"/>
      <c r="BYL34" s="189"/>
      <c r="BYQ34" s="188"/>
      <c r="BYR34" s="187"/>
      <c r="BYX34" s="188"/>
      <c r="BYY34" s="187"/>
      <c r="BZE34" s="188"/>
      <c r="BZF34" s="187"/>
      <c r="BZL34" s="188"/>
      <c r="BZM34" s="187"/>
      <c r="BZP34" s="168"/>
      <c r="BZQ34" s="189"/>
      <c r="BZS34" s="188"/>
      <c r="BZT34" s="187"/>
      <c r="BZZ34" s="188"/>
      <c r="CAA34" s="187"/>
      <c r="CAG34" s="188"/>
      <c r="CAH34" s="187"/>
      <c r="CAN34" s="188"/>
      <c r="CAO34" s="187"/>
      <c r="CAU34" s="168"/>
      <c r="CAV34" s="189"/>
      <c r="CBB34" s="188"/>
      <c r="CBC34" s="187"/>
      <c r="CBI34" s="188"/>
      <c r="CBJ34" s="187"/>
      <c r="CBP34" s="188"/>
      <c r="CBQ34" s="187"/>
      <c r="CBW34" s="188"/>
      <c r="CBX34" s="187"/>
      <c r="CBY34" s="168"/>
      <c r="CBZ34" s="189"/>
      <c r="CCD34" s="188"/>
      <c r="CCE34" s="187"/>
      <c r="CCK34" s="188"/>
      <c r="CCL34" s="187"/>
      <c r="CCR34" s="188"/>
      <c r="CCS34" s="187"/>
      <c r="CCY34" s="188"/>
      <c r="CCZ34" s="187"/>
      <c r="CDD34" s="168"/>
      <c r="CDE34" s="189"/>
      <c r="CDF34" s="188"/>
      <c r="CDG34" s="187"/>
      <c r="CDM34" s="188"/>
      <c r="CDN34" s="187"/>
      <c r="CDT34" s="188"/>
      <c r="CDU34" s="187"/>
      <c r="CEA34" s="188"/>
      <c r="CEB34" s="187"/>
      <c r="CEH34" s="168"/>
      <c r="CEI34" s="189"/>
      <c r="CEO34" s="188"/>
      <c r="CEP34" s="187"/>
      <c r="CEV34" s="188"/>
      <c r="CEW34" s="187"/>
      <c r="CFC34" s="188"/>
      <c r="CFD34" s="187"/>
      <c r="CFJ34" s="188"/>
      <c r="CFK34" s="187"/>
    </row>
    <row r="35" spans="1:1019 1025:2048 2054:2195">
      <c r="A35" s="164" t="s">
        <v>292</v>
      </c>
      <c r="C35" s="164" t="s">
        <v>293</v>
      </c>
      <c r="D35" s="186"/>
      <c r="E35" s="186"/>
      <c r="K35" s="187"/>
      <c r="Q35" s="188"/>
      <c r="R35" s="187"/>
      <c r="X35" s="188"/>
      <c r="Y35" s="187"/>
      <c r="AE35" s="188"/>
      <c r="AF35" s="187"/>
      <c r="AJ35" s="168"/>
      <c r="AK35" s="189"/>
      <c r="AL35" s="188"/>
      <c r="AM35" s="187"/>
      <c r="AS35" s="188"/>
      <c r="AT35" s="187"/>
      <c r="AZ35" s="188"/>
      <c r="BA35" s="187"/>
      <c r="BG35" s="188"/>
      <c r="BH35" s="187"/>
      <c r="BL35" s="168"/>
      <c r="BM35" s="189"/>
      <c r="BN35" s="188"/>
      <c r="BO35" s="187"/>
      <c r="BU35" s="188"/>
      <c r="BV35" s="187"/>
      <c r="CB35" s="188"/>
      <c r="CC35" s="187"/>
      <c r="CI35" s="188"/>
      <c r="CJ35" s="187"/>
      <c r="CP35" s="188"/>
      <c r="CQ35" s="190"/>
      <c r="CR35" s="189"/>
      <c r="CW35" s="188"/>
      <c r="CX35" s="187"/>
      <c r="DD35" s="188"/>
      <c r="DE35" s="187"/>
      <c r="DK35" s="188"/>
      <c r="DL35" s="187"/>
      <c r="DR35" s="188"/>
      <c r="DS35" s="187"/>
      <c r="DU35" s="168"/>
      <c r="DV35" s="189"/>
      <c r="DY35" s="188"/>
      <c r="DZ35" s="187"/>
      <c r="EF35" s="188"/>
      <c r="EG35" s="187"/>
      <c r="EM35" s="188"/>
      <c r="EN35" s="187"/>
      <c r="ET35" s="188"/>
      <c r="EU35" s="187"/>
      <c r="EZ35" s="168"/>
      <c r="FA35" s="191"/>
      <c r="FB35" s="187"/>
      <c r="FH35" s="188"/>
      <c r="FI35" s="187"/>
      <c r="FO35" s="188"/>
      <c r="FP35" s="187"/>
      <c r="FV35" s="188"/>
      <c r="FW35" s="187"/>
      <c r="GC35" s="188"/>
      <c r="GD35" s="190"/>
      <c r="GE35" s="189"/>
      <c r="GJ35" s="188"/>
      <c r="GK35" s="187"/>
      <c r="GQ35" s="188"/>
      <c r="GR35" s="187"/>
      <c r="GX35" s="188"/>
      <c r="GY35" s="187"/>
      <c r="HE35" s="188"/>
      <c r="HF35" s="187"/>
      <c r="HI35" s="168"/>
      <c r="HJ35" s="189"/>
      <c r="HL35" s="188"/>
      <c r="HM35" s="187"/>
      <c r="HS35" s="188"/>
      <c r="HT35" s="187"/>
      <c r="HZ35" s="188"/>
      <c r="IA35" s="187"/>
      <c r="IG35" s="188"/>
      <c r="IH35" s="187"/>
      <c r="IN35" s="168"/>
      <c r="IO35" s="189"/>
      <c r="IU35" s="188"/>
      <c r="IV35" s="187"/>
      <c r="JB35" s="188"/>
      <c r="JC35" s="187"/>
      <c r="JI35" s="188"/>
      <c r="JJ35" s="187"/>
      <c r="JP35" s="188"/>
      <c r="JQ35" s="187"/>
      <c r="JR35" s="168"/>
      <c r="JS35" s="189"/>
      <c r="JW35" s="188"/>
      <c r="JX35" s="187"/>
      <c r="KD35" s="188"/>
      <c r="KE35" s="187"/>
      <c r="KK35" s="188"/>
      <c r="KL35" s="187"/>
      <c r="KR35" s="188"/>
      <c r="KS35" s="187"/>
      <c r="KW35" s="168"/>
      <c r="KX35" s="189"/>
      <c r="KY35" s="188"/>
      <c r="KZ35" s="187"/>
      <c r="LF35" s="188"/>
      <c r="LG35" s="187"/>
      <c r="LM35" s="188"/>
      <c r="LN35" s="187"/>
      <c r="LT35" s="188"/>
      <c r="LU35" s="187"/>
      <c r="MA35" s="168"/>
      <c r="MB35" s="189"/>
      <c r="MH35" s="188"/>
      <c r="MI35" s="187"/>
      <c r="MO35" s="188"/>
      <c r="MP35" s="187"/>
      <c r="MV35" s="188"/>
      <c r="MW35" s="187"/>
      <c r="NC35" s="188"/>
      <c r="ND35" s="187"/>
      <c r="NF35" s="168"/>
      <c r="NG35" s="189"/>
      <c r="NJ35" s="188"/>
      <c r="NK35" s="187"/>
      <c r="NQ35" s="188"/>
      <c r="NR35" s="187"/>
      <c r="NX35" s="188"/>
      <c r="NY35" s="187"/>
      <c r="OE35" s="188"/>
      <c r="OF35" s="187"/>
      <c r="OK35" s="168"/>
      <c r="OL35" s="191"/>
      <c r="OM35" s="187"/>
      <c r="OS35" s="188"/>
      <c r="OT35" s="187"/>
      <c r="OZ35" s="188"/>
      <c r="PA35" s="187"/>
      <c r="PG35" s="188"/>
      <c r="PH35" s="187"/>
      <c r="PN35" s="168"/>
      <c r="PO35" s="189"/>
      <c r="PU35" s="188"/>
      <c r="PV35" s="187"/>
      <c r="QB35" s="188"/>
      <c r="QC35" s="187"/>
      <c r="QI35" s="188"/>
      <c r="QJ35" s="187"/>
      <c r="QP35" s="188"/>
      <c r="QQ35" s="187"/>
      <c r="QS35" s="168"/>
      <c r="QT35" s="189"/>
      <c r="QW35" s="188"/>
      <c r="QX35" s="187"/>
      <c r="RD35" s="188"/>
      <c r="RE35" s="187"/>
      <c r="RK35" s="188"/>
      <c r="RL35" s="187"/>
      <c r="RR35" s="188"/>
      <c r="RS35" s="187"/>
      <c r="RW35" s="168"/>
      <c r="RX35" s="189"/>
      <c r="RY35" s="188"/>
      <c r="RZ35" s="187"/>
      <c r="SF35" s="188"/>
      <c r="SG35" s="187"/>
      <c r="SM35" s="188"/>
      <c r="SN35" s="187"/>
      <c r="ST35" s="188"/>
      <c r="SU35" s="187"/>
      <c r="TA35" s="188"/>
      <c r="TB35" s="190"/>
      <c r="TC35" s="189"/>
      <c r="TH35" s="188"/>
      <c r="TI35" s="187"/>
      <c r="TO35" s="188"/>
      <c r="TP35" s="187"/>
      <c r="TV35" s="188"/>
      <c r="TW35" s="187"/>
      <c r="UC35" s="188"/>
      <c r="UD35" s="187"/>
      <c r="UF35" s="168"/>
      <c r="UG35" s="189"/>
      <c r="UJ35" s="188"/>
      <c r="UK35" s="187"/>
      <c r="UQ35" s="188"/>
      <c r="UR35" s="187"/>
      <c r="UX35" s="188"/>
      <c r="UY35" s="187"/>
      <c r="VE35" s="188"/>
      <c r="VF35" s="187"/>
      <c r="VK35" s="168"/>
      <c r="VL35" s="191"/>
      <c r="VM35" s="187"/>
      <c r="VS35" s="188"/>
      <c r="VT35" s="187"/>
      <c r="VZ35" s="188"/>
      <c r="WA35" s="187"/>
      <c r="WG35" s="188"/>
      <c r="WH35" s="187"/>
      <c r="WN35" s="188"/>
      <c r="WO35" s="187"/>
      <c r="WP35" s="168"/>
      <c r="WQ35" s="189"/>
      <c r="WU35" s="188"/>
      <c r="WV35" s="187"/>
      <c r="XB35" s="188"/>
      <c r="XC35" s="187"/>
      <c r="XI35" s="188"/>
      <c r="XJ35" s="187"/>
      <c r="XP35" s="188"/>
      <c r="XQ35" s="187"/>
      <c r="XT35" s="168"/>
      <c r="XU35" s="189"/>
      <c r="XW35" s="188"/>
      <c r="XX35" s="187"/>
      <c r="YD35" s="188"/>
      <c r="YE35" s="187"/>
      <c r="YK35" s="188"/>
      <c r="YL35" s="187"/>
      <c r="YR35" s="188"/>
      <c r="YS35" s="187"/>
      <c r="YY35" s="168"/>
      <c r="YZ35" s="189"/>
      <c r="ZF35" s="188"/>
      <c r="ZG35" s="187"/>
      <c r="ZM35" s="188"/>
      <c r="ZN35" s="187"/>
      <c r="ZT35" s="188"/>
      <c r="ZU35" s="187"/>
      <c r="AAA35" s="188"/>
      <c r="AAB35" s="187"/>
      <c r="AAC35" s="168"/>
      <c r="AAD35" s="189"/>
      <c r="AAH35" s="188"/>
      <c r="AAI35" s="187"/>
      <c r="AAO35" s="188"/>
      <c r="AAP35" s="187"/>
      <c r="AAV35" s="188"/>
      <c r="AAW35" s="187"/>
      <c r="ABC35" s="188"/>
      <c r="ABD35" s="187"/>
      <c r="ABH35" s="168"/>
      <c r="ABI35" s="189"/>
      <c r="ABJ35" s="188"/>
      <c r="ABK35" s="187"/>
      <c r="ABQ35" s="188"/>
      <c r="ABR35" s="187"/>
      <c r="ABX35" s="188"/>
      <c r="ABY35" s="187"/>
      <c r="ACE35" s="188"/>
      <c r="ACF35" s="187"/>
      <c r="ACL35" s="188"/>
      <c r="ACM35" s="190"/>
      <c r="ACN35" s="189"/>
      <c r="ACS35" s="188"/>
      <c r="ACT35" s="187"/>
      <c r="ACZ35" s="188"/>
      <c r="ADA35" s="187"/>
      <c r="ADG35" s="188"/>
      <c r="ADH35" s="187"/>
      <c r="ADN35" s="188"/>
      <c r="ADO35" s="190"/>
      <c r="ADP35" s="189"/>
      <c r="ADU35" s="188"/>
      <c r="ADV35" s="187"/>
      <c r="AEB35" s="188"/>
      <c r="AEC35" s="187"/>
      <c r="AEI35" s="188"/>
      <c r="AEJ35" s="187"/>
      <c r="AEP35" s="188"/>
      <c r="AEQ35" s="187"/>
      <c r="AET35" s="168"/>
      <c r="AEU35" s="189"/>
      <c r="AEW35" s="188"/>
      <c r="AEX35" s="187"/>
      <c r="AFD35" s="188"/>
      <c r="AFE35" s="187"/>
      <c r="AFK35" s="188"/>
      <c r="AFL35" s="187"/>
      <c r="AFR35" s="188"/>
      <c r="AFS35" s="187"/>
      <c r="AFX35" s="168"/>
      <c r="AFY35" s="191"/>
      <c r="AFZ35" s="187"/>
      <c r="AGF35" s="188"/>
      <c r="AGG35" s="187"/>
      <c r="AGM35" s="188"/>
      <c r="AGN35" s="187"/>
      <c r="AGT35" s="188"/>
      <c r="AGU35" s="187"/>
      <c r="AHA35" s="188"/>
      <c r="AHB35" s="187"/>
      <c r="AHC35" s="168"/>
      <c r="AHD35" s="189"/>
      <c r="AHH35" s="188"/>
      <c r="AHI35" s="187"/>
      <c r="AHO35" s="188"/>
      <c r="AHP35" s="187"/>
      <c r="AHV35" s="188"/>
      <c r="AHW35" s="187"/>
      <c r="AIC35" s="188"/>
      <c r="AID35" s="187"/>
      <c r="AIG35" s="168"/>
      <c r="AIH35" s="189"/>
      <c r="AIJ35" s="188"/>
      <c r="AIK35" s="187"/>
      <c r="AIQ35" s="188"/>
      <c r="AIR35" s="187"/>
      <c r="AIX35" s="188"/>
      <c r="AIY35" s="187"/>
      <c r="AJE35" s="188"/>
      <c r="AJF35" s="187"/>
      <c r="AJL35" s="168"/>
      <c r="AJM35" s="189"/>
      <c r="AJS35" s="188"/>
      <c r="AJT35" s="187"/>
      <c r="AJZ35" s="188"/>
      <c r="AKA35" s="187"/>
      <c r="AKG35" s="188"/>
      <c r="AKH35" s="187"/>
      <c r="AKN35" s="188"/>
      <c r="AKO35" s="187"/>
      <c r="AKQ35" s="168"/>
      <c r="AKR35" s="189"/>
      <c r="AKU35" s="188"/>
      <c r="AKV35" s="187"/>
      <c r="ALB35" s="188"/>
      <c r="ALC35" s="187"/>
      <c r="ALI35" s="188"/>
      <c r="ALJ35" s="187"/>
      <c r="ALP35" s="188"/>
      <c r="ALQ35" s="187"/>
      <c r="ALU35" s="168"/>
      <c r="ALV35" s="189"/>
      <c r="ALW35" s="188"/>
      <c r="ALX35" s="187"/>
      <c r="AMD35" s="188"/>
      <c r="AME35" s="187"/>
      <c r="AMK35" s="188"/>
      <c r="AML35" s="187"/>
      <c r="AMR35" s="188"/>
      <c r="AMS35" s="187"/>
      <c r="AMY35" s="188"/>
      <c r="AMZ35" s="190"/>
      <c r="ANA35" s="189"/>
      <c r="ANF35" s="188"/>
      <c r="ANG35" s="187"/>
      <c r="ANM35" s="188"/>
      <c r="ANN35" s="187"/>
      <c r="ANT35" s="188"/>
      <c r="ANU35" s="187"/>
      <c r="AOA35" s="188"/>
      <c r="AOB35" s="187"/>
      <c r="AOD35" s="168"/>
      <c r="AOE35" s="189"/>
      <c r="AOH35" s="188"/>
      <c r="AOI35" s="187"/>
      <c r="AOO35" s="188"/>
      <c r="AOP35" s="187"/>
      <c r="AOV35" s="188"/>
      <c r="AOW35" s="187"/>
      <c r="APC35" s="188"/>
      <c r="APD35" s="187"/>
      <c r="API35" s="168"/>
      <c r="APJ35" s="191"/>
      <c r="APK35" s="187"/>
      <c r="APQ35" s="188"/>
      <c r="APR35" s="187"/>
      <c r="APX35" s="188"/>
      <c r="APY35" s="187"/>
      <c r="AQE35" s="188"/>
      <c r="AQF35" s="187"/>
      <c r="AQL35" s="188"/>
      <c r="AQM35" s="187"/>
      <c r="AQN35" s="168"/>
      <c r="AQO35" s="189"/>
      <c r="AQS35" s="188"/>
      <c r="AQT35" s="187"/>
      <c r="AQZ35" s="188"/>
      <c r="ARA35" s="187"/>
      <c r="ARG35" s="188"/>
      <c r="ARH35" s="187"/>
      <c r="ARN35" s="188"/>
      <c r="ARO35" s="187"/>
      <c r="ARP35" s="168"/>
      <c r="ARQ35" s="189"/>
      <c r="ARU35" s="188"/>
      <c r="ARV35" s="187"/>
      <c r="ASB35" s="188"/>
      <c r="ASC35" s="187"/>
      <c r="ASI35" s="188"/>
      <c r="ASJ35" s="187"/>
      <c r="ASP35" s="188"/>
      <c r="ASQ35" s="187"/>
      <c r="ASU35" s="168"/>
      <c r="ASV35" s="189"/>
      <c r="ASW35" s="188"/>
      <c r="ASX35" s="187"/>
      <c r="ATD35" s="188"/>
      <c r="ATE35" s="187"/>
      <c r="ATK35" s="188"/>
      <c r="ATL35" s="187"/>
      <c r="ATR35" s="188"/>
      <c r="ATS35" s="187"/>
      <c r="ATY35" s="168"/>
      <c r="ATZ35" s="189"/>
      <c r="AUF35" s="188"/>
      <c r="AUG35" s="187"/>
      <c r="AUM35" s="188"/>
      <c r="AUN35" s="187"/>
      <c r="AUT35" s="188"/>
      <c r="AUU35" s="187"/>
      <c r="AVA35" s="188"/>
      <c r="AVB35" s="187"/>
      <c r="AVD35" s="168"/>
      <c r="AVE35" s="189"/>
      <c r="AVH35" s="188"/>
      <c r="AVI35" s="187"/>
      <c r="AVO35" s="188"/>
      <c r="AVP35" s="187"/>
      <c r="AVV35" s="188"/>
      <c r="AVW35" s="187"/>
      <c r="AWC35" s="188"/>
      <c r="AWD35" s="187"/>
      <c r="AWH35" s="168"/>
      <c r="AWI35" s="189"/>
      <c r="AWJ35" s="188"/>
      <c r="AWK35" s="187"/>
      <c r="AWQ35" s="188"/>
      <c r="AWR35" s="187"/>
      <c r="AWX35" s="188"/>
      <c r="AWY35" s="187"/>
      <c r="AXE35" s="188"/>
      <c r="AXF35" s="187"/>
      <c r="AXL35" s="188"/>
      <c r="AXM35" s="190"/>
      <c r="AXN35" s="189"/>
      <c r="AXS35" s="188"/>
      <c r="AXT35" s="187"/>
      <c r="AXZ35" s="188"/>
      <c r="AYA35" s="187"/>
      <c r="AYG35" s="188"/>
      <c r="AYH35" s="187"/>
      <c r="AYN35" s="188"/>
      <c r="AYO35" s="187"/>
      <c r="AYR35" s="168"/>
      <c r="AYS35" s="189"/>
      <c r="AYU35" s="188"/>
      <c r="AYV35" s="187"/>
      <c r="AZB35" s="188"/>
      <c r="AZC35" s="187"/>
      <c r="AZI35" s="188"/>
      <c r="AZJ35" s="187"/>
      <c r="AZP35" s="188"/>
      <c r="AZQ35" s="187"/>
      <c r="AZV35" s="168"/>
      <c r="AZW35" s="191"/>
      <c r="AZX35" s="187"/>
      <c r="BAD35" s="188"/>
      <c r="BAE35" s="187"/>
      <c r="BAK35" s="188"/>
      <c r="BAL35" s="187"/>
      <c r="BAR35" s="188"/>
      <c r="BAS35" s="187"/>
      <c r="BAY35" s="188"/>
      <c r="BAZ35" s="187"/>
      <c r="BBA35" s="168"/>
      <c r="BBB35" s="189"/>
      <c r="BBF35" s="188"/>
      <c r="BBG35" s="187"/>
      <c r="BBM35" s="188"/>
      <c r="BBN35" s="187"/>
      <c r="BBT35" s="188"/>
      <c r="BBU35" s="187"/>
      <c r="BCA35" s="188"/>
      <c r="BCB35" s="187"/>
      <c r="BCE35" s="168"/>
      <c r="BCF35" s="189"/>
      <c r="BCH35" s="188"/>
      <c r="BCI35" s="187"/>
      <c r="BCO35" s="188"/>
      <c r="BCP35" s="187"/>
      <c r="BCV35" s="188"/>
      <c r="BCW35" s="187"/>
      <c r="BDC35" s="188"/>
      <c r="BDD35" s="187"/>
      <c r="BDJ35" s="168"/>
      <c r="BDK35" s="189"/>
      <c r="BDQ35" s="188"/>
      <c r="BDR35" s="187"/>
      <c r="BDX35" s="188"/>
      <c r="BDY35" s="187"/>
      <c r="BEE35" s="188"/>
      <c r="BEF35" s="187"/>
      <c r="BEL35" s="188"/>
      <c r="BEM35" s="187"/>
      <c r="BEO35" s="168"/>
      <c r="BEP35" s="189"/>
      <c r="BES35" s="188"/>
      <c r="BET35" s="187"/>
      <c r="BEZ35" s="188"/>
      <c r="BFA35" s="187"/>
      <c r="BFG35" s="188"/>
      <c r="BFH35" s="187"/>
      <c r="BFN35" s="188"/>
      <c r="BFO35" s="187"/>
      <c r="BFQ35" s="168"/>
      <c r="BFR35" s="189"/>
      <c r="BFU35" s="188"/>
      <c r="BFV35" s="187"/>
      <c r="BGB35" s="188"/>
      <c r="BGC35" s="187"/>
      <c r="BGI35" s="188"/>
      <c r="BGJ35" s="187"/>
      <c r="BGP35" s="188"/>
      <c r="BGQ35" s="187"/>
      <c r="BGV35" s="168"/>
      <c r="BGW35" s="191"/>
      <c r="BGX35" s="187"/>
      <c r="BHD35" s="188"/>
      <c r="BHE35" s="187"/>
      <c r="BHK35" s="188"/>
      <c r="BHL35" s="187"/>
      <c r="BHR35" s="188"/>
      <c r="BHS35" s="187"/>
      <c r="BHY35" s="188"/>
      <c r="BHZ35" s="190"/>
      <c r="BIA35" s="189"/>
      <c r="BIF35" s="188"/>
      <c r="BIG35" s="187"/>
      <c r="BIM35" s="188"/>
      <c r="BIN35" s="187"/>
      <c r="BIT35" s="188"/>
      <c r="BIU35" s="187"/>
      <c r="BJA35" s="188"/>
      <c r="BJB35" s="187"/>
      <c r="BJE35" s="168"/>
      <c r="BJF35" s="189"/>
      <c r="BJH35" s="188"/>
      <c r="BJI35" s="187"/>
      <c r="BJO35" s="188"/>
      <c r="BJP35" s="187"/>
      <c r="BJV35" s="188"/>
      <c r="BJW35" s="187"/>
      <c r="BKC35" s="188"/>
      <c r="BKD35" s="187"/>
      <c r="BKI35" s="168"/>
      <c r="BKJ35" s="191"/>
      <c r="BKK35" s="187"/>
      <c r="BKQ35" s="188"/>
      <c r="BKR35" s="187"/>
      <c r="BKX35" s="188"/>
      <c r="BKY35" s="187"/>
      <c r="BLE35" s="188"/>
      <c r="BLF35" s="187"/>
      <c r="BLL35" s="188"/>
      <c r="BLM35" s="187"/>
      <c r="BLN35" s="168"/>
      <c r="BLO35" s="189"/>
      <c r="BLS35" s="188"/>
      <c r="BLT35" s="187"/>
      <c r="BLZ35" s="188"/>
      <c r="BMA35" s="187"/>
      <c r="BMG35" s="188"/>
      <c r="BMH35" s="187"/>
      <c r="BMN35" s="188"/>
      <c r="BMO35" s="187"/>
      <c r="BMS35" s="168"/>
      <c r="BMT35" s="189"/>
      <c r="BMU35" s="188"/>
      <c r="BMV35" s="187"/>
      <c r="BNB35" s="188"/>
      <c r="BNC35" s="187"/>
      <c r="BNI35" s="188"/>
      <c r="BNJ35" s="187"/>
      <c r="BNP35" s="188"/>
      <c r="BNQ35" s="187"/>
      <c r="BNW35" s="168"/>
      <c r="BNX35" s="189"/>
      <c r="BOD35" s="188"/>
      <c r="BOE35" s="187"/>
      <c r="BOK35" s="188"/>
      <c r="BOL35" s="187"/>
      <c r="BOR35" s="188"/>
      <c r="BOS35" s="187"/>
      <c r="BOY35" s="188"/>
      <c r="BOZ35" s="187"/>
      <c r="BPB35" s="168"/>
      <c r="BPC35" s="189"/>
      <c r="BPF35" s="188"/>
      <c r="BPG35" s="187"/>
      <c r="BPM35" s="188"/>
      <c r="BPN35" s="187"/>
      <c r="BPT35" s="188"/>
      <c r="BPU35" s="187"/>
      <c r="BQA35" s="188"/>
      <c r="BQB35" s="187"/>
      <c r="BQF35" s="168"/>
      <c r="BQG35" s="189"/>
      <c r="BQH35" s="188"/>
      <c r="BQI35" s="187"/>
      <c r="BQO35" s="188"/>
      <c r="BQP35" s="187"/>
      <c r="BQV35" s="188"/>
      <c r="BQW35" s="187"/>
      <c r="BRC35" s="188"/>
      <c r="BRD35" s="187"/>
      <c r="BRJ35" s="188"/>
      <c r="BRK35" s="190"/>
      <c r="BRL35" s="189"/>
      <c r="BRQ35" s="188"/>
      <c r="BRR35" s="187"/>
      <c r="BRX35" s="188"/>
      <c r="BRY35" s="187"/>
      <c r="BSE35" s="188"/>
      <c r="BSF35" s="187"/>
      <c r="BSL35" s="188"/>
      <c r="BSM35" s="187"/>
      <c r="BSP35" s="168"/>
      <c r="BSQ35" s="189"/>
      <c r="BSS35" s="188"/>
      <c r="BST35" s="187"/>
      <c r="BSZ35" s="188"/>
      <c r="BTA35" s="187"/>
      <c r="BTG35" s="188"/>
      <c r="BTH35" s="187"/>
      <c r="BTN35" s="188"/>
      <c r="BTO35" s="187"/>
      <c r="BTS35" s="168"/>
      <c r="BTT35" s="189"/>
      <c r="BTU35" s="188"/>
      <c r="BTV35" s="187"/>
      <c r="BUB35" s="188"/>
      <c r="BUC35" s="187"/>
      <c r="BUI35" s="188"/>
      <c r="BUJ35" s="187"/>
      <c r="BUP35" s="188"/>
      <c r="BUQ35" s="187"/>
      <c r="BUW35" s="188"/>
      <c r="BUX35" s="190"/>
      <c r="BUY35" s="189"/>
      <c r="BVD35" s="188"/>
      <c r="BVE35" s="187"/>
      <c r="BVK35" s="188"/>
      <c r="BVL35" s="187"/>
      <c r="BVR35" s="188"/>
      <c r="BVS35" s="187"/>
      <c r="BVY35" s="188"/>
      <c r="BVZ35" s="187"/>
      <c r="BWB35" s="168"/>
      <c r="BWC35" s="189"/>
      <c r="BWF35" s="188"/>
      <c r="BWG35" s="187"/>
      <c r="BWM35" s="188"/>
      <c r="BWN35" s="187"/>
      <c r="BWT35" s="188"/>
      <c r="BWU35" s="187"/>
      <c r="BXA35" s="188"/>
      <c r="BXB35" s="187"/>
      <c r="BXG35" s="168"/>
      <c r="BXH35" s="191"/>
      <c r="BXI35" s="187"/>
      <c r="BXO35" s="188"/>
      <c r="BXP35" s="187"/>
      <c r="BXV35" s="188"/>
      <c r="BXW35" s="187"/>
      <c r="BYC35" s="188"/>
      <c r="BYD35" s="187"/>
      <c r="BYJ35" s="188"/>
      <c r="BYK35" s="190"/>
      <c r="BYL35" s="189"/>
      <c r="BYQ35" s="188"/>
      <c r="BYR35" s="187"/>
      <c r="BYX35" s="188"/>
      <c r="BYY35" s="187"/>
      <c r="BZE35" s="188"/>
      <c r="BZF35" s="187"/>
      <c r="BZL35" s="188"/>
      <c r="BZM35" s="187"/>
      <c r="BZP35" s="168"/>
      <c r="BZQ35" s="189"/>
      <c r="BZS35" s="188"/>
      <c r="BZT35" s="187"/>
      <c r="BZZ35" s="188"/>
      <c r="CAA35" s="187"/>
      <c r="CAG35" s="188"/>
      <c r="CAH35" s="187"/>
      <c r="CAN35" s="188"/>
      <c r="CAO35" s="187"/>
      <c r="CAU35" s="168"/>
      <c r="CAV35" s="189"/>
      <c r="CBB35" s="188"/>
      <c r="CBC35" s="187"/>
      <c r="CBI35" s="188"/>
      <c r="CBJ35" s="187"/>
      <c r="CBP35" s="188"/>
      <c r="CBQ35" s="187"/>
      <c r="CBW35" s="188"/>
      <c r="CBX35" s="187"/>
      <c r="CBY35" s="168"/>
      <c r="CBZ35" s="189"/>
      <c r="CCD35" s="188"/>
      <c r="CCE35" s="187"/>
      <c r="CCK35" s="188"/>
      <c r="CCL35" s="187"/>
      <c r="CCR35" s="188"/>
      <c r="CCS35" s="187"/>
      <c r="CCY35" s="188"/>
      <c r="CCZ35" s="187"/>
      <c r="CDD35" s="168"/>
      <c r="CDE35" s="189"/>
      <c r="CDF35" s="188"/>
      <c r="CDG35" s="187"/>
      <c r="CDM35" s="188"/>
      <c r="CDN35" s="187"/>
      <c r="CDT35" s="188"/>
      <c r="CDU35" s="187"/>
      <c r="CEA35" s="188"/>
      <c r="CEB35" s="187"/>
      <c r="CEH35" s="168"/>
      <c r="CEI35" s="189"/>
      <c r="CEO35" s="188"/>
      <c r="CEP35" s="187"/>
      <c r="CEV35" s="188"/>
      <c r="CEW35" s="187"/>
      <c r="CFC35" s="188"/>
      <c r="CFD35" s="187"/>
      <c r="CFJ35" s="188"/>
      <c r="CFK35" s="187"/>
    </row>
    <row r="36" spans="1:1019 1025:2048 2054:2195">
      <c r="A36" s="164" t="s">
        <v>294</v>
      </c>
      <c r="C36" s="164" t="s">
        <v>295</v>
      </c>
      <c r="D36" s="186"/>
      <c r="E36" s="186"/>
      <c r="K36" s="187"/>
      <c r="Q36" s="188"/>
      <c r="R36" s="187"/>
      <c r="X36" s="188"/>
      <c r="Y36" s="187"/>
      <c r="AE36" s="188"/>
      <c r="AF36" s="187"/>
      <c r="AJ36" s="168"/>
      <c r="AK36" s="189"/>
      <c r="AL36" s="188"/>
      <c r="AM36" s="187"/>
      <c r="AS36" s="188"/>
      <c r="AT36" s="187"/>
      <c r="AZ36" s="188"/>
      <c r="BA36" s="187"/>
      <c r="BG36" s="188"/>
      <c r="BH36" s="187"/>
      <c r="BL36" s="168"/>
      <c r="BM36" s="189"/>
      <c r="BN36" s="188"/>
      <c r="BO36" s="187"/>
      <c r="BU36" s="188"/>
      <c r="BV36" s="187"/>
      <c r="CB36" s="188"/>
      <c r="CC36" s="187"/>
      <c r="CI36" s="188"/>
      <c r="CJ36" s="187"/>
      <c r="CP36" s="188"/>
      <c r="CQ36" s="190"/>
      <c r="CR36" s="189"/>
      <c r="CW36" s="188"/>
      <c r="CX36" s="187"/>
      <c r="DD36" s="188"/>
      <c r="DE36" s="187"/>
      <c r="DK36" s="188"/>
      <c r="DL36" s="187"/>
      <c r="DR36" s="188"/>
      <c r="DS36" s="187"/>
      <c r="DU36" s="168"/>
      <c r="DV36" s="189"/>
      <c r="DY36" s="188"/>
      <c r="DZ36" s="187"/>
      <c r="EF36" s="188"/>
      <c r="EG36" s="187"/>
      <c r="EM36" s="188"/>
      <c r="EN36" s="187"/>
      <c r="ET36" s="188"/>
      <c r="EU36" s="187"/>
      <c r="EZ36" s="168"/>
      <c r="FA36" s="191"/>
      <c r="FB36" s="187"/>
      <c r="FH36" s="188"/>
      <c r="FI36" s="187"/>
      <c r="FO36" s="188"/>
      <c r="FP36" s="187"/>
      <c r="FV36" s="188"/>
      <c r="FW36" s="187"/>
      <c r="GC36" s="188"/>
      <c r="GD36" s="190"/>
      <c r="GE36" s="189"/>
      <c r="GJ36" s="188"/>
      <c r="GK36" s="187"/>
      <c r="GQ36" s="188"/>
      <c r="GR36" s="187"/>
      <c r="GX36" s="188"/>
      <c r="GY36" s="187"/>
      <c r="HE36" s="188"/>
      <c r="HF36" s="187"/>
      <c r="HI36" s="168"/>
      <c r="HJ36" s="189"/>
      <c r="HL36" s="188"/>
      <c r="HM36" s="187"/>
      <c r="HS36" s="188"/>
      <c r="HT36" s="187"/>
      <c r="HZ36" s="188"/>
      <c r="IA36" s="187"/>
      <c r="IG36" s="188"/>
      <c r="IH36" s="187"/>
      <c r="IN36" s="168"/>
      <c r="IO36" s="189"/>
      <c r="IU36" s="188"/>
      <c r="IV36" s="187"/>
      <c r="JB36" s="188"/>
      <c r="JC36" s="187"/>
      <c r="JI36" s="188"/>
      <c r="JJ36" s="187"/>
      <c r="JP36" s="188"/>
      <c r="JQ36" s="187"/>
      <c r="JR36" s="168"/>
      <c r="JS36" s="189"/>
      <c r="JW36" s="188"/>
      <c r="JX36" s="187"/>
      <c r="KD36" s="188"/>
      <c r="KE36" s="187"/>
      <c r="KK36" s="188"/>
      <c r="KL36" s="187"/>
      <c r="KR36" s="188"/>
      <c r="KS36" s="187"/>
      <c r="KW36" s="168"/>
      <c r="KX36" s="189"/>
      <c r="KY36" s="188"/>
      <c r="KZ36" s="187"/>
      <c r="LF36" s="188"/>
      <c r="LG36" s="187"/>
      <c r="LM36" s="188"/>
      <c r="LN36" s="187"/>
      <c r="LT36" s="188"/>
      <c r="LU36" s="187"/>
      <c r="MA36" s="168"/>
      <c r="MB36" s="189"/>
      <c r="MH36" s="188"/>
      <c r="MI36" s="187"/>
      <c r="MO36" s="188"/>
      <c r="MP36" s="187"/>
      <c r="MV36" s="188"/>
      <c r="MW36" s="187"/>
      <c r="NC36" s="188"/>
      <c r="ND36" s="187"/>
      <c r="NF36" s="168"/>
      <c r="NG36" s="189"/>
      <c r="NJ36" s="188"/>
      <c r="NK36" s="187"/>
      <c r="NQ36" s="188"/>
      <c r="NR36" s="187"/>
      <c r="NX36" s="188"/>
      <c r="NY36" s="187"/>
      <c r="OE36" s="188"/>
      <c r="OF36" s="187"/>
      <c r="OK36" s="168"/>
      <c r="OL36" s="191"/>
      <c r="OM36" s="187"/>
      <c r="OS36" s="188"/>
      <c r="OT36" s="187"/>
      <c r="OZ36" s="188"/>
      <c r="PA36" s="187"/>
      <c r="PG36" s="188"/>
      <c r="PH36" s="187"/>
      <c r="PN36" s="168"/>
      <c r="PO36" s="189"/>
      <c r="PU36" s="188"/>
      <c r="PV36" s="187"/>
      <c r="QB36" s="188"/>
      <c r="QC36" s="187"/>
      <c r="QI36" s="188"/>
      <c r="QJ36" s="187"/>
      <c r="QP36" s="188"/>
      <c r="QQ36" s="187"/>
      <c r="QS36" s="168"/>
      <c r="QT36" s="189"/>
      <c r="QW36" s="188"/>
      <c r="QX36" s="187"/>
      <c r="RD36" s="188"/>
      <c r="RE36" s="187"/>
      <c r="RK36" s="188"/>
      <c r="RL36" s="187"/>
      <c r="RR36" s="188"/>
      <c r="RS36" s="187"/>
      <c r="RW36" s="168"/>
      <c r="RX36" s="189"/>
      <c r="RY36" s="188"/>
      <c r="RZ36" s="187"/>
      <c r="SF36" s="188"/>
      <c r="SG36" s="187"/>
      <c r="SM36" s="188"/>
      <c r="SN36" s="187"/>
      <c r="ST36" s="188"/>
      <c r="SU36" s="187"/>
      <c r="TA36" s="188"/>
      <c r="TB36" s="190"/>
      <c r="TC36" s="189"/>
      <c r="TH36" s="188"/>
      <c r="TI36" s="187"/>
      <c r="TO36" s="188"/>
      <c r="TP36" s="187"/>
      <c r="TV36" s="188"/>
      <c r="TW36" s="187"/>
      <c r="UC36" s="188"/>
      <c r="UD36" s="187"/>
      <c r="UF36" s="168"/>
      <c r="UG36" s="189"/>
      <c r="UJ36" s="188"/>
      <c r="UK36" s="187"/>
      <c r="UQ36" s="188"/>
      <c r="UR36" s="187"/>
      <c r="UX36" s="188"/>
      <c r="UY36" s="187"/>
      <c r="VE36" s="188"/>
      <c r="VF36" s="187"/>
      <c r="VK36" s="168"/>
      <c r="VL36" s="191"/>
      <c r="VM36" s="187"/>
      <c r="VS36" s="188"/>
      <c r="VT36" s="187"/>
      <c r="VZ36" s="188"/>
      <c r="WA36" s="187"/>
      <c r="WG36" s="188"/>
      <c r="WH36" s="187"/>
      <c r="WN36" s="188"/>
      <c r="WO36" s="187"/>
      <c r="WP36" s="168"/>
      <c r="WQ36" s="189"/>
      <c r="WU36" s="188"/>
      <c r="WV36" s="187"/>
      <c r="XB36" s="188"/>
      <c r="XC36" s="187"/>
      <c r="XI36" s="188"/>
      <c r="XJ36" s="187"/>
      <c r="XP36" s="188"/>
      <c r="XQ36" s="187"/>
      <c r="XT36" s="168"/>
      <c r="XU36" s="189"/>
      <c r="XW36" s="188"/>
      <c r="XX36" s="187"/>
      <c r="YD36" s="188"/>
      <c r="YE36" s="187"/>
      <c r="YK36" s="188"/>
      <c r="YL36" s="187"/>
      <c r="YR36" s="188"/>
      <c r="YS36" s="187"/>
      <c r="YY36" s="168"/>
      <c r="YZ36" s="189"/>
      <c r="ZF36" s="188"/>
      <c r="ZG36" s="187"/>
      <c r="ZM36" s="188"/>
      <c r="ZN36" s="187"/>
      <c r="ZT36" s="188"/>
      <c r="ZU36" s="187"/>
      <c r="AAA36" s="188"/>
      <c r="AAB36" s="187"/>
      <c r="AAC36" s="168"/>
      <c r="AAD36" s="189"/>
      <c r="AAH36" s="188"/>
      <c r="AAI36" s="187"/>
      <c r="AAO36" s="188"/>
      <c r="AAP36" s="187"/>
      <c r="AAV36" s="188"/>
      <c r="AAW36" s="187"/>
      <c r="ABC36" s="188"/>
      <c r="ABD36" s="187"/>
      <c r="ABH36" s="168"/>
      <c r="ABI36" s="189"/>
      <c r="ABJ36" s="188"/>
      <c r="ABK36" s="187"/>
      <c r="ABQ36" s="188"/>
      <c r="ABR36" s="187"/>
      <c r="ABX36" s="188"/>
      <c r="ABY36" s="187"/>
      <c r="ACE36" s="188"/>
      <c r="ACF36" s="187"/>
      <c r="ACL36" s="188"/>
      <c r="ACM36" s="190"/>
      <c r="ACN36" s="189"/>
      <c r="ACS36" s="188"/>
      <c r="ACT36" s="187"/>
      <c r="ACZ36" s="188"/>
      <c r="ADA36" s="187"/>
      <c r="ADG36" s="188"/>
      <c r="ADH36" s="187"/>
      <c r="ADN36" s="188"/>
      <c r="ADO36" s="190"/>
      <c r="ADP36" s="189"/>
      <c r="ADU36" s="188"/>
      <c r="ADV36" s="187"/>
      <c r="AEB36" s="188"/>
      <c r="AEC36" s="187"/>
      <c r="AEI36" s="188"/>
      <c r="AEJ36" s="187"/>
      <c r="AEP36" s="188"/>
      <c r="AEQ36" s="187"/>
      <c r="AET36" s="168"/>
      <c r="AEU36" s="189"/>
      <c r="AEW36" s="188"/>
      <c r="AEX36" s="187"/>
      <c r="AFD36" s="188"/>
      <c r="AFE36" s="187"/>
      <c r="AFK36" s="188"/>
      <c r="AFL36" s="187"/>
      <c r="AFR36" s="188"/>
      <c r="AFS36" s="187"/>
      <c r="AFX36" s="168"/>
      <c r="AFY36" s="191"/>
      <c r="AFZ36" s="187"/>
      <c r="AGF36" s="188"/>
      <c r="AGG36" s="187"/>
      <c r="AGM36" s="188"/>
      <c r="AGN36" s="187"/>
      <c r="AGT36" s="188"/>
      <c r="AGU36" s="187"/>
      <c r="AHA36" s="188"/>
      <c r="AHB36" s="187"/>
      <c r="AHC36" s="168"/>
      <c r="AHD36" s="189"/>
      <c r="AHH36" s="188"/>
      <c r="AHI36" s="187"/>
      <c r="AHO36" s="188"/>
      <c r="AHP36" s="187"/>
      <c r="AHV36" s="188"/>
      <c r="AHW36" s="187"/>
      <c r="AIC36" s="188"/>
      <c r="AID36" s="187"/>
      <c r="AIG36" s="168"/>
      <c r="AIH36" s="189"/>
      <c r="AIJ36" s="188"/>
      <c r="AIK36" s="187"/>
      <c r="AIQ36" s="188"/>
      <c r="AIR36" s="187"/>
      <c r="AIX36" s="188"/>
      <c r="AIY36" s="187"/>
      <c r="AJE36" s="188"/>
      <c r="AJF36" s="187"/>
      <c r="AJL36" s="168"/>
      <c r="AJM36" s="189"/>
      <c r="AJS36" s="188"/>
      <c r="AJT36" s="187"/>
      <c r="AJZ36" s="188"/>
      <c r="AKA36" s="187"/>
      <c r="AKG36" s="188"/>
      <c r="AKH36" s="187"/>
      <c r="AKN36" s="188"/>
      <c r="AKO36" s="187"/>
      <c r="AKQ36" s="168"/>
      <c r="AKR36" s="189"/>
      <c r="AKU36" s="188"/>
      <c r="AKV36" s="187"/>
      <c r="ALB36" s="188"/>
      <c r="ALC36" s="187"/>
      <c r="ALI36" s="188"/>
      <c r="ALJ36" s="187"/>
      <c r="ALP36" s="188"/>
      <c r="ALQ36" s="187"/>
      <c r="ALU36" s="168"/>
      <c r="ALV36" s="189"/>
      <c r="ALW36" s="188"/>
      <c r="ALX36" s="187"/>
      <c r="AMD36" s="188"/>
      <c r="AME36" s="187"/>
      <c r="AMK36" s="188"/>
      <c r="AML36" s="187"/>
      <c r="AMR36" s="188"/>
      <c r="AMS36" s="187"/>
      <c r="AMY36" s="188"/>
      <c r="AMZ36" s="190"/>
      <c r="ANA36" s="189"/>
      <c r="ANF36" s="188"/>
      <c r="ANG36" s="187"/>
      <c r="ANM36" s="188"/>
      <c r="ANN36" s="187"/>
      <c r="ANT36" s="188"/>
      <c r="ANU36" s="187"/>
      <c r="AOA36" s="188"/>
      <c r="AOB36" s="187"/>
      <c r="AOD36" s="168"/>
      <c r="AOE36" s="189"/>
      <c r="AOH36" s="188"/>
      <c r="AOI36" s="187"/>
      <c r="AOO36" s="188"/>
      <c r="AOP36" s="187"/>
      <c r="AOV36" s="188"/>
      <c r="AOW36" s="187"/>
      <c r="APC36" s="188"/>
      <c r="APD36" s="187"/>
      <c r="API36" s="168"/>
      <c r="APJ36" s="191"/>
      <c r="APK36" s="187"/>
      <c r="APQ36" s="188"/>
      <c r="APR36" s="187"/>
      <c r="APX36" s="188"/>
      <c r="APY36" s="187"/>
      <c r="AQE36" s="188"/>
      <c r="AQF36" s="187"/>
      <c r="AQL36" s="188"/>
      <c r="AQM36" s="187"/>
      <c r="AQN36" s="168"/>
      <c r="AQO36" s="189"/>
      <c r="AQS36" s="188"/>
      <c r="AQT36" s="187"/>
      <c r="AQZ36" s="188"/>
      <c r="ARA36" s="187"/>
      <c r="ARG36" s="188"/>
      <c r="ARH36" s="187"/>
      <c r="ARN36" s="188"/>
      <c r="ARO36" s="187"/>
      <c r="ARP36" s="168"/>
      <c r="ARQ36" s="189"/>
      <c r="ARU36" s="188"/>
      <c r="ARV36" s="187"/>
      <c r="ASB36" s="188"/>
      <c r="ASC36" s="187"/>
      <c r="ASI36" s="188"/>
      <c r="ASJ36" s="187"/>
      <c r="ASP36" s="188"/>
      <c r="ASQ36" s="187"/>
      <c r="ASU36" s="168"/>
      <c r="ASV36" s="189"/>
      <c r="ASW36" s="188"/>
      <c r="ASX36" s="187"/>
      <c r="ATD36" s="188"/>
      <c r="ATE36" s="187"/>
      <c r="ATK36" s="188"/>
      <c r="ATL36" s="187"/>
      <c r="ATR36" s="188"/>
      <c r="ATS36" s="187"/>
      <c r="ATY36" s="168"/>
      <c r="ATZ36" s="189"/>
      <c r="AUF36" s="188"/>
      <c r="AUG36" s="187"/>
      <c r="AUM36" s="188"/>
      <c r="AUN36" s="187"/>
      <c r="AUT36" s="188"/>
      <c r="AUU36" s="187"/>
      <c r="AVA36" s="188"/>
      <c r="AVB36" s="187"/>
      <c r="AVD36" s="168"/>
      <c r="AVE36" s="189"/>
      <c r="AVH36" s="188"/>
      <c r="AVI36" s="187"/>
      <c r="AVO36" s="188"/>
      <c r="AVP36" s="187"/>
      <c r="AVV36" s="188"/>
      <c r="AVW36" s="187"/>
      <c r="AWC36" s="188"/>
      <c r="AWD36" s="187"/>
      <c r="AWH36" s="168"/>
      <c r="AWI36" s="189"/>
      <c r="AWJ36" s="188"/>
      <c r="AWK36" s="187"/>
      <c r="AWQ36" s="188"/>
      <c r="AWR36" s="187"/>
      <c r="AWX36" s="188"/>
      <c r="AWY36" s="187"/>
      <c r="AXE36" s="188"/>
      <c r="AXF36" s="187"/>
      <c r="AXL36" s="188"/>
      <c r="AXM36" s="190"/>
      <c r="AXN36" s="189"/>
      <c r="AXS36" s="188"/>
      <c r="AXT36" s="187"/>
      <c r="AXZ36" s="188"/>
      <c r="AYA36" s="187"/>
      <c r="AYG36" s="188"/>
      <c r="AYH36" s="187"/>
      <c r="AYN36" s="188"/>
      <c r="AYO36" s="187"/>
      <c r="AYR36" s="168"/>
      <c r="AYS36" s="189"/>
      <c r="AYU36" s="188"/>
      <c r="AYV36" s="187"/>
      <c r="AZB36" s="188"/>
      <c r="AZC36" s="187"/>
      <c r="AZI36" s="188"/>
      <c r="AZJ36" s="187"/>
      <c r="AZP36" s="188"/>
      <c r="AZQ36" s="187"/>
      <c r="AZV36" s="168"/>
      <c r="AZW36" s="191"/>
      <c r="AZX36" s="187"/>
      <c r="BAD36" s="188"/>
      <c r="BAE36" s="187"/>
      <c r="BAK36" s="188"/>
      <c r="BAL36" s="187"/>
      <c r="BAR36" s="188"/>
      <c r="BAS36" s="187"/>
      <c r="BAY36" s="188"/>
      <c r="BAZ36" s="187"/>
      <c r="BBA36" s="168"/>
      <c r="BBB36" s="189"/>
      <c r="BBF36" s="188"/>
      <c r="BBG36" s="187"/>
      <c r="BBM36" s="188"/>
      <c r="BBN36" s="187"/>
      <c r="BBT36" s="188"/>
      <c r="BBU36" s="187"/>
      <c r="BCA36" s="188"/>
      <c r="BCB36" s="187"/>
      <c r="BCE36" s="168"/>
      <c r="BCF36" s="189"/>
      <c r="BCH36" s="188"/>
      <c r="BCI36" s="187"/>
      <c r="BCO36" s="188"/>
      <c r="BCP36" s="187"/>
      <c r="BCV36" s="188"/>
      <c r="BCW36" s="187"/>
      <c r="BDC36" s="188"/>
      <c r="BDD36" s="187"/>
      <c r="BDJ36" s="168"/>
      <c r="BDK36" s="189"/>
      <c r="BDQ36" s="188"/>
      <c r="BDR36" s="187"/>
      <c r="BDX36" s="188"/>
      <c r="BDY36" s="187"/>
      <c r="BEE36" s="188"/>
      <c r="BEF36" s="187"/>
      <c r="BEL36" s="188"/>
      <c r="BEM36" s="187"/>
      <c r="BEO36" s="168"/>
      <c r="BEP36" s="189"/>
      <c r="BES36" s="188"/>
      <c r="BET36" s="187"/>
      <c r="BEZ36" s="188"/>
      <c r="BFA36" s="187"/>
      <c r="BFG36" s="188"/>
      <c r="BFH36" s="187"/>
      <c r="BFN36" s="188"/>
      <c r="BFO36" s="187"/>
      <c r="BFQ36" s="168"/>
      <c r="BFR36" s="189"/>
      <c r="BFU36" s="188"/>
      <c r="BFV36" s="187"/>
      <c r="BGB36" s="188"/>
      <c r="BGC36" s="187"/>
      <c r="BGI36" s="188"/>
      <c r="BGJ36" s="187"/>
      <c r="BGP36" s="188"/>
      <c r="BGQ36" s="187"/>
      <c r="BGV36" s="168"/>
      <c r="BGW36" s="191"/>
      <c r="BGX36" s="187"/>
      <c r="BHD36" s="188"/>
      <c r="BHE36" s="187"/>
      <c r="BHK36" s="188"/>
      <c r="BHL36" s="187"/>
      <c r="BHR36" s="188"/>
      <c r="BHS36" s="187"/>
      <c r="BHY36" s="188"/>
      <c r="BHZ36" s="190"/>
      <c r="BIA36" s="189"/>
      <c r="BIF36" s="188"/>
      <c r="BIG36" s="187"/>
      <c r="BIM36" s="188"/>
      <c r="BIN36" s="187"/>
      <c r="BIT36" s="188"/>
      <c r="BIU36" s="187"/>
      <c r="BJA36" s="188"/>
      <c r="BJB36" s="187"/>
      <c r="BJE36" s="168"/>
      <c r="BJF36" s="189"/>
      <c r="BJH36" s="188"/>
      <c r="BJI36" s="187"/>
      <c r="BJO36" s="188"/>
      <c r="BJP36" s="187"/>
      <c r="BJV36" s="188"/>
      <c r="BJW36" s="187"/>
      <c r="BKC36" s="188"/>
      <c r="BKD36" s="187"/>
      <c r="BKI36" s="168"/>
      <c r="BKJ36" s="191"/>
      <c r="BKK36" s="187"/>
      <c r="BKQ36" s="188"/>
      <c r="BKR36" s="187"/>
      <c r="BKX36" s="188"/>
      <c r="BKY36" s="187"/>
      <c r="BLE36" s="188"/>
      <c r="BLF36" s="187"/>
      <c r="BLL36" s="188"/>
      <c r="BLM36" s="187"/>
      <c r="BLN36" s="168"/>
      <c r="BLO36" s="189"/>
      <c r="BLS36" s="188"/>
      <c r="BLT36" s="187"/>
      <c r="BLZ36" s="188"/>
      <c r="BMA36" s="187"/>
      <c r="BMG36" s="188"/>
      <c r="BMH36" s="187"/>
      <c r="BMN36" s="188"/>
      <c r="BMO36" s="187"/>
      <c r="BMS36" s="168"/>
      <c r="BMT36" s="189"/>
      <c r="BMU36" s="188"/>
      <c r="BMV36" s="187"/>
      <c r="BNB36" s="188"/>
      <c r="BNC36" s="187"/>
      <c r="BNI36" s="188"/>
      <c r="BNJ36" s="187"/>
      <c r="BNP36" s="188"/>
      <c r="BNQ36" s="187"/>
      <c r="BNW36" s="168"/>
      <c r="BNX36" s="189"/>
      <c r="BOD36" s="188"/>
      <c r="BOE36" s="187"/>
      <c r="BOK36" s="188"/>
      <c r="BOL36" s="187"/>
      <c r="BOR36" s="188"/>
      <c r="BOS36" s="187"/>
      <c r="BOY36" s="188"/>
      <c r="BOZ36" s="187"/>
      <c r="BPB36" s="168"/>
      <c r="BPC36" s="189"/>
      <c r="BPF36" s="188"/>
      <c r="BPG36" s="187"/>
      <c r="BPM36" s="188"/>
      <c r="BPN36" s="187"/>
      <c r="BPT36" s="188"/>
      <c r="BPU36" s="187"/>
      <c r="BQA36" s="188"/>
      <c r="BQB36" s="187"/>
      <c r="BQF36" s="168"/>
      <c r="BQG36" s="189"/>
      <c r="BQH36" s="188"/>
      <c r="BQI36" s="187"/>
      <c r="BQO36" s="188"/>
      <c r="BQP36" s="187"/>
      <c r="BQV36" s="188"/>
      <c r="BQW36" s="187"/>
      <c r="BRC36" s="188"/>
      <c r="BRD36" s="187"/>
      <c r="BRJ36" s="188"/>
      <c r="BRK36" s="190"/>
      <c r="BRL36" s="189"/>
      <c r="BRQ36" s="188"/>
      <c r="BRR36" s="187"/>
      <c r="BRX36" s="188"/>
      <c r="BRY36" s="187"/>
      <c r="BSE36" s="188"/>
      <c r="BSF36" s="187"/>
      <c r="BSL36" s="188"/>
      <c r="BSM36" s="187"/>
      <c r="BSP36" s="168"/>
      <c r="BSQ36" s="189"/>
      <c r="BSS36" s="188"/>
      <c r="BST36" s="187"/>
      <c r="BSZ36" s="188"/>
      <c r="BTA36" s="187"/>
      <c r="BTG36" s="188"/>
      <c r="BTH36" s="187"/>
      <c r="BTN36" s="188"/>
      <c r="BTO36" s="187"/>
      <c r="BTS36" s="168"/>
      <c r="BTT36" s="189"/>
      <c r="BTU36" s="188"/>
      <c r="BTV36" s="187"/>
      <c r="BUB36" s="188"/>
      <c r="BUC36" s="187"/>
      <c r="BUI36" s="188"/>
      <c r="BUJ36" s="187"/>
      <c r="BUP36" s="188"/>
      <c r="BUQ36" s="187"/>
      <c r="BUW36" s="188"/>
      <c r="BUX36" s="190"/>
      <c r="BUY36" s="189"/>
      <c r="BVD36" s="188"/>
      <c r="BVE36" s="187"/>
      <c r="BVK36" s="188"/>
      <c r="BVL36" s="187"/>
      <c r="BVR36" s="188"/>
      <c r="BVS36" s="187"/>
      <c r="BVY36" s="188"/>
      <c r="BVZ36" s="187"/>
      <c r="BWB36" s="168"/>
      <c r="BWC36" s="189"/>
      <c r="BWF36" s="188"/>
      <c r="BWG36" s="187"/>
      <c r="BWM36" s="188"/>
      <c r="BWN36" s="187"/>
      <c r="BWT36" s="188"/>
      <c r="BWU36" s="187"/>
      <c r="BXA36" s="188"/>
      <c r="BXB36" s="187"/>
      <c r="BXG36" s="168"/>
      <c r="BXH36" s="191"/>
      <c r="BXI36" s="187"/>
      <c r="BXO36" s="188"/>
      <c r="BXP36" s="187"/>
      <c r="BXV36" s="188"/>
      <c r="BXW36" s="187"/>
      <c r="BYC36" s="188"/>
      <c r="BYD36" s="187"/>
      <c r="BYJ36" s="188"/>
      <c r="BYK36" s="190"/>
      <c r="BYL36" s="189"/>
      <c r="BYQ36" s="188"/>
      <c r="BYR36" s="187"/>
      <c r="BYX36" s="188"/>
      <c r="BYY36" s="187"/>
      <c r="BZE36" s="188"/>
      <c r="BZF36" s="187"/>
      <c r="BZL36" s="188"/>
      <c r="BZM36" s="187"/>
      <c r="BZP36" s="168"/>
      <c r="BZQ36" s="189"/>
      <c r="BZS36" s="188"/>
      <c r="BZT36" s="187"/>
      <c r="BZZ36" s="188"/>
      <c r="CAA36" s="187"/>
      <c r="CAG36" s="188"/>
      <c r="CAH36" s="187"/>
      <c r="CAN36" s="188"/>
      <c r="CAO36" s="187"/>
      <c r="CAU36" s="168"/>
      <c r="CAV36" s="189"/>
      <c r="CBB36" s="188"/>
      <c r="CBC36" s="187"/>
      <c r="CBI36" s="188"/>
      <c r="CBJ36" s="187"/>
      <c r="CBP36" s="188"/>
      <c r="CBQ36" s="187"/>
      <c r="CBW36" s="188"/>
      <c r="CBX36" s="187"/>
      <c r="CBY36" s="168"/>
      <c r="CBZ36" s="189"/>
      <c r="CCD36" s="188"/>
      <c r="CCE36" s="187"/>
      <c r="CCK36" s="188"/>
      <c r="CCL36" s="187"/>
      <c r="CCR36" s="188"/>
      <c r="CCS36" s="187"/>
      <c r="CCY36" s="188"/>
      <c r="CCZ36" s="187"/>
      <c r="CDD36" s="168"/>
      <c r="CDE36" s="189"/>
      <c r="CDF36" s="188"/>
      <c r="CDG36" s="187"/>
      <c r="CDM36" s="188"/>
      <c r="CDN36" s="187"/>
      <c r="CDT36" s="188"/>
      <c r="CDU36" s="187"/>
      <c r="CEA36" s="188"/>
      <c r="CEB36" s="187"/>
      <c r="CEH36" s="168"/>
      <c r="CEI36" s="189"/>
      <c r="CEO36" s="188"/>
      <c r="CEP36" s="187"/>
      <c r="CEV36" s="188"/>
      <c r="CEW36" s="187"/>
      <c r="CFC36" s="188"/>
      <c r="CFD36" s="187"/>
      <c r="CFJ36" s="188"/>
      <c r="CFK36" s="187"/>
    </row>
    <row r="37" spans="1:1019 1025:2048 2054:2195">
      <c r="A37" s="164" t="s">
        <v>296</v>
      </c>
      <c r="C37" s="164" t="s">
        <v>297</v>
      </c>
      <c r="D37" s="186"/>
      <c r="E37" s="186"/>
      <c r="K37" s="187"/>
      <c r="Q37" s="188"/>
      <c r="R37" s="187"/>
      <c r="X37" s="188"/>
      <c r="Y37" s="187"/>
      <c r="AE37" s="188"/>
      <c r="AF37" s="187"/>
      <c r="AJ37" s="168"/>
      <c r="AK37" s="189"/>
      <c r="AL37" s="188"/>
      <c r="AM37" s="187"/>
      <c r="AS37" s="188"/>
      <c r="AT37" s="187"/>
      <c r="AZ37" s="188"/>
      <c r="BA37" s="187"/>
      <c r="BG37" s="188"/>
      <c r="BH37" s="187"/>
      <c r="BL37" s="168"/>
      <c r="BM37" s="189"/>
      <c r="BN37" s="188"/>
      <c r="BO37" s="187"/>
      <c r="BU37" s="188"/>
      <c r="BV37" s="187"/>
      <c r="CB37" s="188"/>
      <c r="CC37" s="187"/>
      <c r="CI37" s="188"/>
      <c r="CJ37" s="187"/>
      <c r="CP37" s="188"/>
      <c r="CQ37" s="190"/>
      <c r="CR37" s="189"/>
      <c r="CW37" s="188"/>
      <c r="CX37" s="187"/>
      <c r="DD37" s="188"/>
      <c r="DE37" s="187"/>
      <c r="DK37" s="188"/>
      <c r="DL37" s="187"/>
      <c r="DR37" s="188"/>
      <c r="DS37" s="187"/>
      <c r="DU37" s="168"/>
      <c r="DV37" s="189"/>
      <c r="DY37" s="188"/>
      <c r="DZ37" s="187"/>
      <c r="EF37" s="188"/>
      <c r="EG37" s="187"/>
      <c r="EM37" s="188"/>
      <c r="EN37" s="187"/>
      <c r="ET37" s="188"/>
      <c r="EU37" s="187"/>
      <c r="EZ37" s="168"/>
      <c r="FA37" s="191"/>
      <c r="FB37" s="187"/>
      <c r="FH37" s="188"/>
      <c r="FI37" s="187"/>
      <c r="FO37" s="188"/>
      <c r="FP37" s="187"/>
      <c r="FV37" s="188"/>
      <c r="FW37" s="187"/>
      <c r="GC37" s="188"/>
      <c r="GD37" s="190"/>
      <c r="GE37" s="189"/>
      <c r="GJ37" s="188"/>
      <c r="GK37" s="187"/>
      <c r="GQ37" s="188"/>
      <c r="GR37" s="187"/>
      <c r="GX37" s="188"/>
      <c r="GY37" s="187"/>
      <c r="HE37" s="188"/>
      <c r="HF37" s="187"/>
      <c r="HI37" s="168"/>
      <c r="HJ37" s="189"/>
      <c r="HL37" s="188"/>
      <c r="HM37" s="187"/>
      <c r="HS37" s="188"/>
      <c r="HT37" s="187"/>
      <c r="HZ37" s="188"/>
      <c r="IA37" s="187"/>
      <c r="IG37" s="188"/>
      <c r="IH37" s="187"/>
      <c r="IN37" s="168"/>
      <c r="IO37" s="189"/>
      <c r="IU37" s="188"/>
      <c r="IV37" s="187"/>
      <c r="JB37" s="188"/>
      <c r="JC37" s="187"/>
      <c r="JI37" s="188"/>
      <c r="JJ37" s="187"/>
      <c r="JP37" s="188"/>
      <c r="JQ37" s="187"/>
      <c r="JR37" s="168"/>
      <c r="JS37" s="189"/>
      <c r="JW37" s="188"/>
      <c r="JX37" s="187"/>
      <c r="KD37" s="188"/>
      <c r="KE37" s="187"/>
      <c r="KK37" s="188"/>
      <c r="KL37" s="187"/>
      <c r="KR37" s="188"/>
      <c r="KS37" s="187"/>
      <c r="KW37" s="168"/>
      <c r="KX37" s="189"/>
      <c r="KY37" s="188"/>
      <c r="KZ37" s="187"/>
      <c r="LF37" s="188"/>
      <c r="LG37" s="187"/>
      <c r="LM37" s="188"/>
      <c r="LN37" s="187"/>
      <c r="LT37" s="188"/>
      <c r="LU37" s="187"/>
      <c r="MA37" s="168"/>
      <c r="MB37" s="189"/>
      <c r="MH37" s="188"/>
      <c r="MI37" s="187"/>
      <c r="MO37" s="188"/>
      <c r="MP37" s="187"/>
      <c r="MV37" s="188"/>
      <c r="MW37" s="187"/>
      <c r="NC37" s="188"/>
      <c r="ND37" s="187"/>
      <c r="NF37" s="168"/>
      <c r="NG37" s="189"/>
      <c r="NJ37" s="188"/>
      <c r="NK37" s="187"/>
      <c r="NQ37" s="188"/>
      <c r="NR37" s="187"/>
      <c r="NX37" s="188"/>
      <c r="NY37" s="187"/>
      <c r="OE37" s="188"/>
      <c r="OF37" s="187"/>
      <c r="OK37" s="168"/>
      <c r="OL37" s="191"/>
      <c r="OM37" s="187"/>
      <c r="OS37" s="188"/>
      <c r="OT37" s="187"/>
      <c r="OZ37" s="188"/>
      <c r="PA37" s="187"/>
      <c r="PG37" s="188"/>
      <c r="PH37" s="187"/>
      <c r="PN37" s="168"/>
      <c r="PO37" s="189"/>
      <c r="PU37" s="188"/>
      <c r="PV37" s="187"/>
      <c r="QB37" s="188"/>
      <c r="QC37" s="187"/>
      <c r="QI37" s="188"/>
      <c r="QJ37" s="187"/>
      <c r="QP37" s="188"/>
      <c r="QQ37" s="187"/>
      <c r="QS37" s="168"/>
      <c r="QT37" s="189"/>
      <c r="QW37" s="188"/>
      <c r="QX37" s="187"/>
      <c r="RD37" s="188"/>
      <c r="RE37" s="187"/>
      <c r="RK37" s="188"/>
      <c r="RL37" s="187"/>
      <c r="RR37" s="188"/>
      <c r="RS37" s="187"/>
      <c r="RW37" s="168"/>
      <c r="RX37" s="189"/>
      <c r="RY37" s="188"/>
      <c r="RZ37" s="187"/>
      <c r="SF37" s="188"/>
      <c r="SG37" s="187"/>
      <c r="SM37" s="188"/>
      <c r="SN37" s="187"/>
      <c r="ST37" s="188"/>
      <c r="SU37" s="187"/>
      <c r="TA37" s="188"/>
      <c r="TB37" s="190"/>
      <c r="TC37" s="189"/>
      <c r="TH37" s="188"/>
      <c r="TI37" s="187"/>
      <c r="TO37" s="188"/>
      <c r="TP37" s="187"/>
      <c r="TV37" s="188"/>
      <c r="TW37" s="187"/>
      <c r="UC37" s="188"/>
      <c r="UD37" s="187"/>
      <c r="UF37" s="168"/>
      <c r="UG37" s="189"/>
      <c r="UJ37" s="188"/>
      <c r="UK37" s="187"/>
      <c r="UQ37" s="188"/>
      <c r="UR37" s="187"/>
      <c r="UX37" s="188"/>
      <c r="UY37" s="187"/>
      <c r="VE37" s="188"/>
      <c r="VF37" s="187"/>
      <c r="VK37" s="168"/>
      <c r="VL37" s="191"/>
      <c r="VM37" s="187"/>
      <c r="VS37" s="188"/>
      <c r="VT37" s="187"/>
      <c r="VZ37" s="188"/>
      <c r="WA37" s="187"/>
      <c r="WG37" s="188"/>
      <c r="WH37" s="187"/>
      <c r="WN37" s="188"/>
      <c r="WO37" s="187"/>
      <c r="WP37" s="168"/>
      <c r="WQ37" s="189"/>
      <c r="WU37" s="188"/>
      <c r="WV37" s="187"/>
      <c r="XB37" s="188"/>
      <c r="XC37" s="187"/>
      <c r="XI37" s="188"/>
      <c r="XJ37" s="187"/>
      <c r="XP37" s="188"/>
      <c r="XQ37" s="187"/>
      <c r="XT37" s="168"/>
      <c r="XU37" s="189"/>
      <c r="XW37" s="188"/>
      <c r="XX37" s="187"/>
      <c r="YD37" s="188"/>
      <c r="YE37" s="187"/>
      <c r="YK37" s="188"/>
      <c r="YL37" s="187"/>
      <c r="YR37" s="188"/>
      <c r="YS37" s="187"/>
      <c r="YY37" s="168"/>
      <c r="YZ37" s="189"/>
      <c r="ZF37" s="188"/>
      <c r="ZG37" s="187"/>
      <c r="ZM37" s="188"/>
      <c r="ZN37" s="187"/>
      <c r="ZT37" s="188"/>
      <c r="ZU37" s="187"/>
      <c r="AAA37" s="188"/>
      <c r="AAB37" s="187"/>
      <c r="AAC37" s="168"/>
      <c r="AAD37" s="189"/>
      <c r="AAH37" s="188"/>
      <c r="AAI37" s="187"/>
      <c r="AAO37" s="188"/>
      <c r="AAP37" s="187"/>
      <c r="AAV37" s="188"/>
      <c r="AAW37" s="187"/>
      <c r="ABC37" s="188"/>
      <c r="ABD37" s="187"/>
      <c r="ABH37" s="168"/>
      <c r="ABI37" s="189"/>
      <c r="ABJ37" s="188"/>
      <c r="ABK37" s="187"/>
      <c r="ABQ37" s="188"/>
      <c r="ABR37" s="187"/>
      <c r="ABX37" s="188"/>
      <c r="ABY37" s="187"/>
      <c r="ACE37" s="188"/>
      <c r="ACF37" s="187"/>
      <c r="ACL37" s="188"/>
      <c r="ACM37" s="190"/>
      <c r="ACN37" s="189"/>
      <c r="ACS37" s="188"/>
      <c r="ACT37" s="187"/>
      <c r="ACZ37" s="188"/>
      <c r="ADA37" s="187"/>
      <c r="ADG37" s="188"/>
      <c r="ADH37" s="187"/>
      <c r="ADN37" s="188"/>
      <c r="ADO37" s="190"/>
      <c r="ADP37" s="189"/>
      <c r="ADU37" s="188"/>
      <c r="ADV37" s="187"/>
      <c r="AEB37" s="188"/>
      <c r="AEC37" s="187"/>
      <c r="AEI37" s="188"/>
      <c r="AEJ37" s="187"/>
      <c r="AEP37" s="188"/>
      <c r="AEQ37" s="187"/>
      <c r="AET37" s="168"/>
      <c r="AEU37" s="189"/>
      <c r="AEW37" s="188"/>
      <c r="AEX37" s="187"/>
      <c r="AFD37" s="188"/>
      <c r="AFE37" s="187"/>
      <c r="AFK37" s="188"/>
      <c r="AFL37" s="187"/>
      <c r="AFR37" s="188"/>
      <c r="AFS37" s="187"/>
      <c r="AFX37" s="168"/>
      <c r="AFY37" s="191"/>
      <c r="AFZ37" s="187"/>
      <c r="AGF37" s="188"/>
      <c r="AGG37" s="187"/>
      <c r="AGM37" s="188"/>
      <c r="AGN37" s="187"/>
      <c r="AGT37" s="188"/>
      <c r="AGU37" s="187"/>
      <c r="AHA37" s="188"/>
      <c r="AHB37" s="187"/>
      <c r="AHC37" s="168"/>
      <c r="AHD37" s="189"/>
      <c r="AHH37" s="188"/>
      <c r="AHI37" s="187"/>
      <c r="AHO37" s="188"/>
      <c r="AHP37" s="187"/>
      <c r="AHV37" s="188"/>
      <c r="AHW37" s="187"/>
      <c r="AIC37" s="188"/>
      <c r="AID37" s="187"/>
      <c r="AIG37" s="168"/>
      <c r="AIH37" s="189"/>
      <c r="AIJ37" s="188"/>
      <c r="AIK37" s="187"/>
      <c r="AIQ37" s="188"/>
      <c r="AIR37" s="187"/>
      <c r="AIX37" s="188"/>
      <c r="AIY37" s="187"/>
      <c r="AJE37" s="188"/>
      <c r="AJF37" s="187"/>
      <c r="AJL37" s="168"/>
      <c r="AJM37" s="189"/>
      <c r="AJS37" s="188"/>
      <c r="AJT37" s="187"/>
      <c r="AJZ37" s="188"/>
      <c r="AKA37" s="187"/>
      <c r="AKG37" s="188"/>
      <c r="AKH37" s="187"/>
      <c r="AKN37" s="188"/>
      <c r="AKO37" s="187"/>
      <c r="AKQ37" s="168"/>
      <c r="AKR37" s="189"/>
      <c r="AKU37" s="188"/>
      <c r="AKV37" s="187"/>
      <c r="ALB37" s="188"/>
      <c r="ALC37" s="187"/>
      <c r="ALI37" s="188"/>
      <c r="ALJ37" s="187"/>
      <c r="ALP37" s="188"/>
      <c r="ALQ37" s="187"/>
      <c r="ALU37" s="168"/>
      <c r="ALV37" s="189"/>
      <c r="ALW37" s="188"/>
      <c r="ALX37" s="187"/>
      <c r="AMD37" s="188"/>
      <c r="AME37" s="187"/>
      <c r="AMK37" s="188"/>
      <c r="AML37" s="187"/>
      <c r="AMR37" s="188"/>
      <c r="AMS37" s="187"/>
      <c r="AMY37" s="188"/>
      <c r="AMZ37" s="190"/>
      <c r="ANA37" s="189"/>
      <c r="ANF37" s="188"/>
      <c r="ANG37" s="187"/>
      <c r="ANM37" s="188"/>
      <c r="ANN37" s="187"/>
      <c r="ANT37" s="188"/>
      <c r="ANU37" s="187"/>
      <c r="AOA37" s="188"/>
      <c r="AOB37" s="187"/>
      <c r="AOD37" s="168"/>
      <c r="AOE37" s="189"/>
      <c r="AOH37" s="188"/>
      <c r="AOI37" s="187"/>
      <c r="AOO37" s="188"/>
      <c r="AOP37" s="187"/>
      <c r="AOV37" s="188"/>
      <c r="AOW37" s="187"/>
      <c r="APC37" s="188"/>
      <c r="APD37" s="187"/>
      <c r="API37" s="168"/>
      <c r="APJ37" s="191"/>
      <c r="APK37" s="187"/>
      <c r="APQ37" s="188"/>
      <c r="APR37" s="187"/>
      <c r="APX37" s="188"/>
      <c r="APY37" s="187"/>
      <c r="AQE37" s="188"/>
      <c r="AQF37" s="187"/>
      <c r="AQL37" s="188"/>
      <c r="AQM37" s="187"/>
      <c r="AQN37" s="168"/>
      <c r="AQO37" s="189"/>
      <c r="AQS37" s="188"/>
      <c r="AQT37" s="187"/>
      <c r="AQZ37" s="188"/>
      <c r="ARA37" s="187"/>
      <c r="ARG37" s="188"/>
      <c r="ARH37" s="187"/>
      <c r="ARN37" s="188"/>
      <c r="ARO37" s="187"/>
      <c r="ARP37" s="168"/>
      <c r="ARQ37" s="189"/>
      <c r="ARU37" s="188"/>
      <c r="ARV37" s="187"/>
      <c r="ASB37" s="188"/>
      <c r="ASC37" s="187"/>
      <c r="ASI37" s="188"/>
      <c r="ASJ37" s="187"/>
      <c r="ASP37" s="188"/>
      <c r="ASQ37" s="187"/>
      <c r="ASU37" s="168"/>
      <c r="ASV37" s="189"/>
      <c r="ASW37" s="188"/>
      <c r="ASX37" s="187"/>
      <c r="ATD37" s="188"/>
      <c r="ATE37" s="187"/>
      <c r="ATK37" s="188"/>
      <c r="ATL37" s="187"/>
      <c r="ATR37" s="188"/>
      <c r="ATS37" s="187"/>
      <c r="ATY37" s="168"/>
      <c r="ATZ37" s="189"/>
      <c r="AUF37" s="188"/>
      <c r="AUG37" s="187"/>
      <c r="AUM37" s="188"/>
      <c r="AUN37" s="187"/>
      <c r="AUT37" s="188"/>
      <c r="AUU37" s="187"/>
      <c r="AVA37" s="188"/>
      <c r="AVB37" s="187"/>
      <c r="AVD37" s="168"/>
      <c r="AVE37" s="189"/>
      <c r="AVH37" s="188"/>
      <c r="AVI37" s="187"/>
      <c r="AVO37" s="188"/>
      <c r="AVP37" s="187"/>
      <c r="AVV37" s="188"/>
      <c r="AVW37" s="187"/>
      <c r="AWC37" s="188"/>
      <c r="AWD37" s="187"/>
      <c r="AWH37" s="168"/>
      <c r="AWI37" s="189"/>
      <c r="AWJ37" s="188"/>
      <c r="AWK37" s="187"/>
      <c r="AWQ37" s="188"/>
      <c r="AWR37" s="187"/>
      <c r="AWX37" s="188"/>
      <c r="AWY37" s="187"/>
      <c r="AXE37" s="188"/>
      <c r="AXF37" s="187"/>
      <c r="AXL37" s="188"/>
      <c r="AXM37" s="190"/>
      <c r="AXN37" s="189"/>
      <c r="AXS37" s="188"/>
      <c r="AXT37" s="187"/>
      <c r="AXZ37" s="188"/>
      <c r="AYA37" s="187"/>
      <c r="AYG37" s="188"/>
      <c r="AYH37" s="187"/>
      <c r="AYN37" s="188"/>
      <c r="AYO37" s="187"/>
      <c r="AYR37" s="168"/>
      <c r="AYS37" s="189"/>
      <c r="AYU37" s="188"/>
      <c r="AYV37" s="187"/>
      <c r="AZB37" s="188"/>
      <c r="AZC37" s="187"/>
      <c r="AZI37" s="188"/>
      <c r="AZJ37" s="187"/>
      <c r="AZP37" s="188"/>
      <c r="AZQ37" s="187"/>
      <c r="AZV37" s="168"/>
      <c r="AZW37" s="191"/>
      <c r="AZX37" s="187"/>
      <c r="BAD37" s="188"/>
      <c r="BAE37" s="187"/>
      <c r="BAK37" s="188"/>
      <c r="BAL37" s="187"/>
      <c r="BAR37" s="188"/>
      <c r="BAS37" s="187"/>
      <c r="BAY37" s="188"/>
      <c r="BAZ37" s="187"/>
      <c r="BBA37" s="168"/>
      <c r="BBB37" s="189"/>
      <c r="BBF37" s="188"/>
      <c r="BBG37" s="187"/>
      <c r="BBM37" s="188"/>
      <c r="BBN37" s="187"/>
      <c r="BBT37" s="188"/>
      <c r="BBU37" s="187"/>
      <c r="BCA37" s="188"/>
      <c r="BCB37" s="187"/>
      <c r="BCE37" s="168"/>
      <c r="BCF37" s="189"/>
      <c r="BCH37" s="188"/>
      <c r="BCI37" s="187"/>
      <c r="BCO37" s="188"/>
      <c r="BCP37" s="187"/>
      <c r="BCV37" s="188"/>
      <c r="BCW37" s="187"/>
      <c r="BDC37" s="188"/>
      <c r="BDD37" s="187"/>
      <c r="BDJ37" s="168"/>
      <c r="BDK37" s="189"/>
      <c r="BDQ37" s="188"/>
      <c r="BDR37" s="187"/>
      <c r="BDX37" s="188"/>
      <c r="BDY37" s="187"/>
      <c r="BEE37" s="188"/>
      <c r="BEF37" s="187"/>
      <c r="BEL37" s="188"/>
      <c r="BEM37" s="187"/>
      <c r="BEO37" s="168"/>
      <c r="BEP37" s="189"/>
      <c r="BES37" s="188"/>
      <c r="BET37" s="187"/>
      <c r="BEZ37" s="188"/>
      <c r="BFA37" s="187"/>
      <c r="BFG37" s="188"/>
      <c r="BFH37" s="187"/>
      <c r="BFN37" s="188"/>
      <c r="BFO37" s="187"/>
      <c r="BFQ37" s="168"/>
      <c r="BFR37" s="189"/>
      <c r="BFU37" s="188"/>
      <c r="BFV37" s="187"/>
      <c r="BGB37" s="188"/>
      <c r="BGC37" s="187"/>
      <c r="BGI37" s="188"/>
      <c r="BGJ37" s="187"/>
      <c r="BGP37" s="188"/>
      <c r="BGQ37" s="187"/>
      <c r="BGV37" s="168"/>
      <c r="BGW37" s="191"/>
      <c r="BGX37" s="187"/>
      <c r="BHD37" s="188"/>
      <c r="BHE37" s="187"/>
      <c r="BHK37" s="188"/>
      <c r="BHL37" s="187"/>
      <c r="BHR37" s="188"/>
      <c r="BHS37" s="187"/>
      <c r="BHY37" s="188"/>
      <c r="BHZ37" s="190"/>
      <c r="BIA37" s="189"/>
      <c r="BIF37" s="188"/>
      <c r="BIG37" s="187"/>
      <c r="BIM37" s="188"/>
      <c r="BIN37" s="187"/>
      <c r="BIT37" s="188"/>
      <c r="BIU37" s="187"/>
      <c r="BJA37" s="188"/>
      <c r="BJB37" s="187"/>
      <c r="BJE37" s="168"/>
      <c r="BJF37" s="189"/>
      <c r="BJH37" s="188"/>
      <c r="BJI37" s="187"/>
      <c r="BJO37" s="188"/>
      <c r="BJP37" s="187"/>
      <c r="BJV37" s="188"/>
      <c r="BJW37" s="187"/>
      <c r="BKC37" s="188"/>
      <c r="BKD37" s="187"/>
      <c r="BKI37" s="168"/>
      <c r="BKJ37" s="191"/>
      <c r="BKK37" s="187"/>
      <c r="BKQ37" s="188"/>
      <c r="BKR37" s="187"/>
      <c r="BKX37" s="188"/>
      <c r="BKY37" s="187"/>
      <c r="BLE37" s="188"/>
      <c r="BLF37" s="187"/>
      <c r="BLL37" s="188"/>
      <c r="BLM37" s="187"/>
      <c r="BLN37" s="168"/>
      <c r="BLO37" s="189"/>
      <c r="BLS37" s="188"/>
      <c r="BLT37" s="187"/>
      <c r="BLZ37" s="188"/>
      <c r="BMA37" s="187"/>
      <c r="BMG37" s="188"/>
      <c r="BMH37" s="187"/>
      <c r="BMN37" s="188"/>
      <c r="BMO37" s="187"/>
      <c r="BMS37" s="168"/>
      <c r="BMT37" s="189"/>
      <c r="BMU37" s="188"/>
      <c r="BMV37" s="187"/>
      <c r="BNB37" s="188"/>
      <c r="BNC37" s="187"/>
      <c r="BNI37" s="188"/>
      <c r="BNJ37" s="187"/>
      <c r="BNP37" s="188"/>
      <c r="BNQ37" s="187"/>
      <c r="BNW37" s="168"/>
      <c r="BNX37" s="189"/>
      <c r="BOD37" s="188"/>
      <c r="BOE37" s="187"/>
      <c r="BOK37" s="188"/>
      <c r="BOL37" s="187"/>
      <c r="BOR37" s="188"/>
      <c r="BOS37" s="187"/>
      <c r="BOY37" s="188"/>
      <c r="BOZ37" s="187"/>
      <c r="BPB37" s="168"/>
      <c r="BPC37" s="189"/>
      <c r="BPF37" s="188"/>
      <c r="BPG37" s="187"/>
      <c r="BPM37" s="188"/>
      <c r="BPN37" s="187"/>
      <c r="BPT37" s="188"/>
      <c r="BPU37" s="187"/>
      <c r="BQA37" s="188"/>
      <c r="BQB37" s="187"/>
      <c r="BQF37" s="168"/>
      <c r="BQG37" s="189"/>
      <c r="BQH37" s="188"/>
      <c r="BQI37" s="187"/>
      <c r="BQO37" s="188"/>
      <c r="BQP37" s="187"/>
      <c r="BQV37" s="188"/>
      <c r="BQW37" s="187"/>
      <c r="BRC37" s="188"/>
      <c r="BRD37" s="187"/>
      <c r="BRJ37" s="188"/>
      <c r="BRK37" s="190"/>
      <c r="BRL37" s="189"/>
      <c r="BRQ37" s="188"/>
      <c r="BRR37" s="187"/>
      <c r="BRX37" s="188"/>
      <c r="BRY37" s="187"/>
      <c r="BSE37" s="188"/>
      <c r="BSF37" s="187"/>
      <c r="BSL37" s="188"/>
      <c r="BSM37" s="187"/>
      <c r="BSP37" s="168"/>
      <c r="BSQ37" s="189"/>
      <c r="BSS37" s="188"/>
      <c r="BST37" s="187"/>
      <c r="BSZ37" s="188"/>
      <c r="BTA37" s="187"/>
      <c r="BTG37" s="188"/>
      <c r="BTH37" s="187"/>
      <c r="BTN37" s="188"/>
      <c r="BTO37" s="187"/>
      <c r="BTS37" s="168"/>
      <c r="BTT37" s="189"/>
      <c r="BTU37" s="188"/>
      <c r="BTV37" s="187"/>
      <c r="BUB37" s="188"/>
      <c r="BUC37" s="187"/>
      <c r="BUI37" s="188"/>
      <c r="BUJ37" s="187"/>
      <c r="BUP37" s="188"/>
      <c r="BUQ37" s="187"/>
      <c r="BUW37" s="188"/>
      <c r="BUX37" s="190"/>
      <c r="BUY37" s="189"/>
      <c r="BVD37" s="188"/>
      <c r="BVE37" s="187"/>
      <c r="BVK37" s="188"/>
      <c r="BVL37" s="187"/>
      <c r="BVR37" s="188"/>
      <c r="BVS37" s="187"/>
      <c r="BVY37" s="188"/>
      <c r="BVZ37" s="187"/>
      <c r="BWB37" s="168"/>
      <c r="BWC37" s="189"/>
      <c r="BWF37" s="188"/>
      <c r="BWG37" s="187"/>
      <c r="BWM37" s="188"/>
      <c r="BWN37" s="187"/>
      <c r="BWT37" s="188"/>
      <c r="BWU37" s="187"/>
      <c r="BXA37" s="188"/>
      <c r="BXB37" s="187"/>
      <c r="BXG37" s="168"/>
      <c r="BXH37" s="191"/>
      <c r="BXI37" s="187"/>
      <c r="BXO37" s="188"/>
      <c r="BXP37" s="187"/>
      <c r="BXV37" s="188"/>
      <c r="BXW37" s="187"/>
      <c r="BYC37" s="188"/>
      <c r="BYD37" s="187"/>
      <c r="BYJ37" s="188"/>
      <c r="BYK37" s="190"/>
      <c r="BYL37" s="189"/>
      <c r="BYQ37" s="188"/>
      <c r="BYR37" s="187"/>
      <c r="BYX37" s="188"/>
      <c r="BYY37" s="187"/>
      <c r="BZE37" s="188"/>
      <c r="BZF37" s="187"/>
      <c r="BZL37" s="188"/>
      <c r="BZM37" s="187"/>
      <c r="BZP37" s="168"/>
      <c r="BZQ37" s="189"/>
      <c r="BZS37" s="188"/>
      <c r="BZT37" s="187"/>
      <c r="BZZ37" s="188"/>
      <c r="CAA37" s="187"/>
      <c r="CAG37" s="188"/>
      <c r="CAH37" s="187"/>
      <c r="CAN37" s="188"/>
      <c r="CAO37" s="187"/>
      <c r="CAU37" s="168"/>
      <c r="CAV37" s="189"/>
      <c r="CBB37" s="188"/>
      <c r="CBC37" s="187"/>
      <c r="CBI37" s="188"/>
      <c r="CBJ37" s="187"/>
      <c r="CBP37" s="188"/>
      <c r="CBQ37" s="187"/>
      <c r="CBW37" s="188"/>
      <c r="CBX37" s="187"/>
      <c r="CBY37" s="168"/>
      <c r="CBZ37" s="189"/>
      <c r="CCD37" s="188"/>
      <c r="CCE37" s="187"/>
      <c r="CCK37" s="188"/>
      <c r="CCL37" s="187"/>
      <c r="CCR37" s="188"/>
      <c r="CCS37" s="187"/>
      <c r="CCY37" s="188"/>
      <c r="CCZ37" s="187"/>
      <c r="CDD37" s="168"/>
      <c r="CDE37" s="189"/>
      <c r="CDF37" s="188"/>
      <c r="CDG37" s="187"/>
      <c r="CDM37" s="188"/>
      <c r="CDN37" s="187"/>
      <c r="CDT37" s="188"/>
      <c r="CDU37" s="187"/>
      <c r="CEA37" s="188"/>
      <c r="CEB37" s="187"/>
      <c r="CEH37" s="168"/>
      <c r="CEI37" s="189"/>
      <c r="CEO37" s="188"/>
      <c r="CEP37" s="187"/>
      <c r="CEV37" s="188"/>
      <c r="CEW37" s="187"/>
      <c r="CFC37" s="188"/>
      <c r="CFD37" s="187"/>
      <c r="CFJ37" s="188"/>
      <c r="CFK37" s="187"/>
    </row>
    <row r="38" spans="1:1019 1025:2048 2054:2195">
      <c r="A38" s="164" t="s">
        <v>298</v>
      </c>
      <c r="C38" s="164" t="s">
        <v>299</v>
      </c>
      <c r="D38" s="186"/>
      <c r="E38" s="186"/>
      <c r="K38" s="187"/>
      <c r="Q38" s="188"/>
      <c r="R38" s="187"/>
      <c r="X38" s="188"/>
      <c r="Y38" s="187"/>
      <c r="AE38" s="188"/>
      <c r="AF38" s="187"/>
      <c r="AJ38" s="168"/>
      <c r="AK38" s="189"/>
      <c r="AL38" s="188"/>
      <c r="AM38" s="187"/>
      <c r="AS38" s="188"/>
      <c r="AT38" s="187"/>
      <c r="AZ38" s="188"/>
      <c r="BA38" s="187"/>
      <c r="BG38" s="188"/>
      <c r="BH38" s="187"/>
      <c r="BL38" s="168"/>
      <c r="BM38" s="189"/>
      <c r="BN38" s="188"/>
      <c r="BO38" s="187"/>
      <c r="BU38" s="188"/>
      <c r="BV38" s="187"/>
      <c r="CB38" s="188"/>
      <c r="CC38" s="187"/>
      <c r="CI38" s="188"/>
      <c r="CJ38" s="187"/>
      <c r="CP38" s="188"/>
      <c r="CQ38" s="190"/>
      <c r="CR38" s="189"/>
      <c r="CW38" s="188"/>
      <c r="CX38" s="187"/>
      <c r="DD38" s="188"/>
      <c r="DE38" s="187"/>
      <c r="DK38" s="188"/>
      <c r="DL38" s="187"/>
      <c r="DR38" s="188"/>
      <c r="DS38" s="187"/>
      <c r="DU38" s="168"/>
      <c r="DV38" s="189"/>
      <c r="DY38" s="188"/>
      <c r="DZ38" s="187"/>
      <c r="EF38" s="188"/>
      <c r="EG38" s="187"/>
      <c r="EM38" s="188"/>
      <c r="EN38" s="187"/>
      <c r="ET38" s="188"/>
      <c r="EU38" s="187"/>
      <c r="EZ38" s="168"/>
      <c r="FA38" s="191"/>
      <c r="FB38" s="187"/>
      <c r="FH38" s="188"/>
      <c r="FI38" s="187"/>
      <c r="FO38" s="188"/>
      <c r="FP38" s="187"/>
      <c r="FV38" s="188"/>
      <c r="FW38" s="187"/>
      <c r="GC38" s="188"/>
      <c r="GD38" s="190"/>
      <c r="GE38" s="189"/>
      <c r="GJ38" s="188"/>
      <c r="GK38" s="187"/>
      <c r="GQ38" s="188"/>
      <c r="GR38" s="187"/>
      <c r="GX38" s="188"/>
      <c r="GY38" s="187"/>
      <c r="HE38" s="188"/>
      <c r="HF38" s="187"/>
      <c r="HI38" s="168"/>
      <c r="HJ38" s="189"/>
      <c r="HL38" s="188"/>
      <c r="HM38" s="187"/>
      <c r="HS38" s="188"/>
      <c r="HT38" s="187"/>
      <c r="HZ38" s="188"/>
      <c r="IA38" s="187"/>
      <c r="IG38" s="188"/>
      <c r="IH38" s="187"/>
      <c r="IN38" s="168"/>
      <c r="IO38" s="189"/>
      <c r="IU38" s="188"/>
      <c r="IV38" s="187"/>
      <c r="JB38" s="188"/>
      <c r="JC38" s="187"/>
      <c r="JI38" s="188"/>
      <c r="JJ38" s="187"/>
      <c r="JP38" s="188"/>
      <c r="JQ38" s="187"/>
      <c r="JR38" s="168"/>
      <c r="JS38" s="189"/>
      <c r="JW38" s="188"/>
      <c r="JX38" s="187"/>
      <c r="KD38" s="188"/>
      <c r="KE38" s="187"/>
      <c r="KK38" s="188"/>
      <c r="KL38" s="187"/>
      <c r="KR38" s="188"/>
      <c r="KS38" s="187"/>
      <c r="KW38" s="168"/>
      <c r="KX38" s="189"/>
      <c r="KY38" s="188"/>
      <c r="KZ38" s="187"/>
      <c r="LF38" s="188"/>
      <c r="LG38" s="187"/>
      <c r="LM38" s="188"/>
      <c r="LN38" s="187"/>
      <c r="LT38" s="188"/>
      <c r="LU38" s="187"/>
      <c r="MA38" s="168"/>
      <c r="MB38" s="189"/>
      <c r="MH38" s="188"/>
      <c r="MI38" s="187"/>
      <c r="MO38" s="188"/>
      <c r="MP38" s="187"/>
      <c r="MV38" s="188"/>
      <c r="MW38" s="187"/>
      <c r="NC38" s="188"/>
      <c r="ND38" s="187"/>
      <c r="NF38" s="168"/>
      <c r="NG38" s="189"/>
      <c r="NJ38" s="188"/>
      <c r="NK38" s="187"/>
      <c r="NQ38" s="188"/>
      <c r="NR38" s="187"/>
      <c r="NX38" s="188"/>
      <c r="NY38" s="187"/>
      <c r="OE38" s="188"/>
      <c r="OF38" s="187"/>
      <c r="OK38" s="168"/>
      <c r="OL38" s="191"/>
      <c r="OM38" s="187"/>
      <c r="OS38" s="188"/>
      <c r="OT38" s="187"/>
      <c r="OZ38" s="188"/>
      <c r="PA38" s="187"/>
      <c r="PG38" s="188"/>
      <c r="PH38" s="187"/>
      <c r="PN38" s="168"/>
      <c r="PO38" s="189"/>
      <c r="PU38" s="188"/>
      <c r="PV38" s="187"/>
      <c r="QB38" s="188"/>
      <c r="QC38" s="187"/>
      <c r="QI38" s="188"/>
      <c r="QJ38" s="187"/>
      <c r="QP38" s="188"/>
      <c r="QQ38" s="187"/>
      <c r="QS38" s="168"/>
      <c r="QT38" s="189"/>
      <c r="QW38" s="188"/>
      <c r="QX38" s="187"/>
      <c r="RD38" s="188"/>
      <c r="RE38" s="187"/>
      <c r="RK38" s="188"/>
      <c r="RL38" s="187"/>
      <c r="RR38" s="188"/>
      <c r="RS38" s="187"/>
      <c r="RW38" s="168"/>
      <c r="RX38" s="189"/>
      <c r="RY38" s="188"/>
      <c r="RZ38" s="187"/>
      <c r="SF38" s="188"/>
      <c r="SG38" s="187"/>
      <c r="SM38" s="188"/>
      <c r="SN38" s="187"/>
      <c r="ST38" s="188"/>
      <c r="SU38" s="187"/>
      <c r="TA38" s="188"/>
      <c r="TB38" s="190"/>
      <c r="TC38" s="189"/>
      <c r="TH38" s="188"/>
      <c r="TI38" s="187"/>
      <c r="TO38" s="188"/>
      <c r="TP38" s="187"/>
      <c r="TV38" s="188"/>
      <c r="TW38" s="187"/>
      <c r="UC38" s="188"/>
      <c r="UD38" s="187"/>
      <c r="UF38" s="168"/>
      <c r="UG38" s="189"/>
      <c r="UJ38" s="188"/>
      <c r="UK38" s="187"/>
      <c r="UQ38" s="188"/>
      <c r="UR38" s="187"/>
      <c r="UX38" s="188"/>
      <c r="UY38" s="187"/>
      <c r="VE38" s="188"/>
      <c r="VF38" s="187"/>
      <c r="VK38" s="168"/>
      <c r="VL38" s="191"/>
      <c r="VM38" s="187"/>
      <c r="VS38" s="188"/>
      <c r="VT38" s="187"/>
      <c r="VZ38" s="188"/>
      <c r="WA38" s="187"/>
      <c r="WG38" s="188"/>
      <c r="WH38" s="187"/>
      <c r="WN38" s="188"/>
      <c r="WO38" s="187"/>
      <c r="WP38" s="168"/>
      <c r="WQ38" s="189"/>
      <c r="WU38" s="188"/>
      <c r="WV38" s="187"/>
      <c r="XB38" s="188"/>
      <c r="XC38" s="187"/>
      <c r="XI38" s="188"/>
      <c r="XJ38" s="187"/>
      <c r="XP38" s="188"/>
      <c r="XQ38" s="187"/>
      <c r="XT38" s="168"/>
      <c r="XU38" s="189"/>
      <c r="XW38" s="188"/>
      <c r="XX38" s="187"/>
      <c r="YD38" s="188"/>
      <c r="YE38" s="187"/>
      <c r="YK38" s="188"/>
      <c r="YL38" s="187"/>
      <c r="YR38" s="188"/>
      <c r="YS38" s="187"/>
      <c r="YY38" s="168"/>
      <c r="YZ38" s="189"/>
      <c r="ZF38" s="188"/>
      <c r="ZG38" s="187"/>
      <c r="ZM38" s="188"/>
      <c r="ZN38" s="187"/>
      <c r="ZT38" s="188"/>
      <c r="ZU38" s="187"/>
      <c r="AAA38" s="188"/>
      <c r="AAB38" s="187"/>
      <c r="AAC38" s="168"/>
      <c r="AAD38" s="189"/>
      <c r="AAH38" s="188"/>
      <c r="AAI38" s="187"/>
      <c r="AAO38" s="188"/>
      <c r="AAP38" s="187"/>
      <c r="AAV38" s="188"/>
      <c r="AAW38" s="187"/>
      <c r="ABC38" s="188"/>
      <c r="ABD38" s="187"/>
      <c r="ABH38" s="168"/>
      <c r="ABI38" s="189"/>
      <c r="ABJ38" s="188"/>
      <c r="ABK38" s="187"/>
      <c r="ABQ38" s="188"/>
      <c r="ABR38" s="187"/>
      <c r="ABX38" s="188"/>
      <c r="ABY38" s="187"/>
      <c r="ACE38" s="188"/>
      <c r="ACF38" s="187"/>
      <c r="ACL38" s="188"/>
      <c r="ACM38" s="190"/>
      <c r="ACN38" s="189"/>
      <c r="ACS38" s="188"/>
      <c r="ACT38" s="187"/>
      <c r="ACZ38" s="188"/>
      <c r="ADA38" s="187"/>
      <c r="ADG38" s="188"/>
      <c r="ADH38" s="187"/>
      <c r="ADN38" s="188"/>
      <c r="ADO38" s="190"/>
      <c r="ADP38" s="189"/>
      <c r="ADU38" s="188"/>
      <c r="ADV38" s="187"/>
      <c r="AEB38" s="188"/>
      <c r="AEC38" s="187"/>
      <c r="AEI38" s="188"/>
      <c r="AEJ38" s="187"/>
      <c r="AEP38" s="188"/>
      <c r="AEQ38" s="187"/>
      <c r="AET38" s="168"/>
      <c r="AEU38" s="189"/>
      <c r="AEW38" s="188"/>
      <c r="AEX38" s="187"/>
      <c r="AFD38" s="188"/>
      <c r="AFE38" s="187"/>
      <c r="AFK38" s="188"/>
      <c r="AFL38" s="187"/>
      <c r="AFR38" s="188"/>
      <c r="AFS38" s="187"/>
      <c r="AFX38" s="168"/>
      <c r="AFY38" s="191"/>
      <c r="AFZ38" s="187"/>
      <c r="AGF38" s="188"/>
      <c r="AGG38" s="187"/>
      <c r="AGM38" s="188"/>
      <c r="AGN38" s="187"/>
      <c r="AGT38" s="188"/>
      <c r="AGU38" s="187"/>
      <c r="AHA38" s="188"/>
      <c r="AHB38" s="187"/>
      <c r="AHC38" s="168"/>
      <c r="AHD38" s="189"/>
      <c r="AHH38" s="188"/>
      <c r="AHI38" s="187"/>
      <c r="AHO38" s="188"/>
      <c r="AHP38" s="187"/>
      <c r="AHV38" s="188"/>
      <c r="AHW38" s="187"/>
      <c r="AIC38" s="188"/>
      <c r="AID38" s="187"/>
      <c r="AIG38" s="168"/>
      <c r="AIH38" s="189"/>
      <c r="AIJ38" s="188"/>
      <c r="AIK38" s="187"/>
      <c r="AIQ38" s="188"/>
      <c r="AIR38" s="187"/>
      <c r="AIX38" s="188"/>
      <c r="AIY38" s="187"/>
      <c r="AJE38" s="188"/>
      <c r="AJF38" s="187"/>
      <c r="AJL38" s="168"/>
      <c r="AJM38" s="189"/>
      <c r="AJS38" s="188"/>
      <c r="AJT38" s="187"/>
      <c r="AJZ38" s="188"/>
      <c r="AKA38" s="187"/>
      <c r="AKG38" s="188"/>
      <c r="AKH38" s="187"/>
      <c r="AKN38" s="188"/>
      <c r="AKO38" s="187"/>
      <c r="AKQ38" s="168"/>
      <c r="AKR38" s="189"/>
      <c r="AKU38" s="188"/>
      <c r="AKV38" s="187"/>
      <c r="ALB38" s="188"/>
      <c r="ALC38" s="187"/>
      <c r="ALI38" s="188"/>
      <c r="ALJ38" s="187"/>
      <c r="ALP38" s="188"/>
      <c r="ALQ38" s="187"/>
      <c r="ALU38" s="168"/>
      <c r="ALV38" s="189"/>
      <c r="ALW38" s="188"/>
      <c r="ALX38" s="187"/>
      <c r="AMD38" s="188"/>
      <c r="AME38" s="187"/>
      <c r="AMK38" s="188"/>
      <c r="AML38" s="187"/>
      <c r="AMR38" s="188"/>
      <c r="AMS38" s="187"/>
      <c r="AMY38" s="188"/>
      <c r="AMZ38" s="190"/>
      <c r="ANA38" s="189"/>
      <c r="ANF38" s="188"/>
      <c r="ANG38" s="187"/>
      <c r="ANM38" s="188"/>
      <c r="ANN38" s="187"/>
      <c r="ANT38" s="188"/>
      <c r="ANU38" s="187"/>
      <c r="AOA38" s="188"/>
      <c r="AOB38" s="187"/>
      <c r="AOD38" s="168"/>
      <c r="AOE38" s="189"/>
      <c r="AOH38" s="188"/>
      <c r="AOI38" s="187"/>
      <c r="AOO38" s="188"/>
      <c r="AOP38" s="187"/>
      <c r="AOV38" s="188"/>
      <c r="AOW38" s="187"/>
      <c r="APC38" s="188"/>
      <c r="APD38" s="187"/>
      <c r="API38" s="168"/>
      <c r="APJ38" s="191"/>
      <c r="APK38" s="187"/>
      <c r="APQ38" s="188"/>
      <c r="APR38" s="187"/>
      <c r="APX38" s="188"/>
      <c r="APY38" s="187"/>
      <c r="AQE38" s="188"/>
      <c r="AQF38" s="187"/>
      <c r="AQL38" s="188"/>
      <c r="AQM38" s="187"/>
      <c r="AQN38" s="168"/>
      <c r="AQO38" s="189"/>
      <c r="AQS38" s="188"/>
      <c r="AQT38" s="187"/>
      <c r="AQZ38" s="188"/>
      <c r="ARA38" s="187"/>
      <c r="ARG38" s="188"/>
      <c r="ARH38" s="187"/>
      <c r="ARN38" s="188"/>
      <c r="ARO38" s="187"/>
      <c r="ARP38" s="168"/>
      <c r="ARQ38" s="189"/>
      <c r="ARU38" s="188"/>
      <c r="ARV38" s="187"/>
      <c r="ASB38" s="188"/>
      <c r="ASC38" s="187"/>
      <c r="ASI38" s="188"/>
      <c r="ASJ38" s="187"/>
      <c r="ASP38" s="188"/>
      <c r="ASQ38" s="187"/>
      <c r="ASU38" s="168"/>
      <c r="ASV38" s="189"/>
      <c r="ASW38" s="188"/>
      <c r="ASX38" s="187"/>
      <c r="ATD38" s="188"/>
      <c r="ATE38" s="187"/>
      <c r="ATK38" s="188"/>
      <c r="ATL38" s="187"/>
      <c r="ATR38" s="188"/>
      <c r="ATS38" s="187"/>
      <c r="ATY38" s="168"/>
      <c r="ATZ38" s="189"/>
      <c r="AUF38" s="188"/>
      <c r="AUG38" s="187"/>
      <c r="AUM38" s="188"/>
      <c r="AUN38" s="187"/>
      <c r="AUT38" s="188"/>
      <c r="AUU38" s="187"/>
      <c r="AVA38" s="188"/>
      <c r="AVB38" s="187"/>
      <c r="AVD38" s="168"/>
      <c r="AVE38" s="189"/>
      <c r="AVH38" s="188"/>
      <c r="AVI38" s="187"/>
      <c r="AVO38" s="188"/>
      <c r="AVP38" s="187"/>
      <c r="AVV38" s="188"/>
      <c r="AVW38" s="187"/>
      <c r="AWC38" s="188"/>
      <c r="AWD38" s="187"/>
      <c r="AWH38" s="168"/>
      <c r="AWI38" s="189"/>
      <c r="AWJ38" s="188"/>
      <c r="AWK38" s="187"/>
      <c r="AWQ38" s="188"/>
      <c r="AWR38" s="187"/>
      <c r="AWX38" s="188"/>
      <c r="AWY38" s="187"/>
      <c r="AXE38" s="188"/>
      <c r="AXF38" s="187"/>
      <c r="AXL38" s="188"/>
      <c r="AXM38" s="190"/>
      <c r="AXN38" s="189"/>
      <c r="AXS38" s="188"/>
      <c r="AXT38" s="187"/>
      <c r="AXZ38" s="188"/>
      <c r="AYA38" s="187"/>
      <c r="AYG38" s="188"/>
      <c r="AYH38" s="187"/>
      <c r="AYN38" s="188"/>
      <c r="AYO38" s="187"/>
      <c r="AYR38" s="168"/>
      <c r="AYS38" s="189"/>
      <c r="AYU38" s="188"/>
      <c r="AYV38" s="187"/>
      <c r="AZB38" s="188"/>
      <c r="AZC38" s="187"/>
      <c r="AZI38" s="188"/>
      <c r="AZJ38" s="187"/>
      <c r="AZP38" s="188"/>
      <c r="AZQ38" s="187"/>
      <c r="AZV38" s="168"/>
      <c r="AZW38" s="191"/>
      <c r="AZX38" s="187"/>
      <c r="BAD38" s="188"/>
      <c r="BAE38" s="187"/>
      <c r="BAK38" s="188"/>
      <c r="BAL38" s="187"/>
      <c r="BAR38" s="188"/>
      <c r="BAS38" s="187"/>
      <c r="BAY38" s="188"/>
      <c r="BAZ38" s="187"/>
      <c r="BBA38" s="168"/>
      <c r="BBB38" s="189"/>
      <c r="BBF38" s="188"/>
      <c r="BBG38" s="187"/>
      <c r="BBM38" s="188"/>
      <c r="BBN38" s="187"/>
      <c r="BBT38" s="188"/>
      <c r="BBU38" s="187"/>
      <c r="BCA38" s="188"/>
      <c r="BCB38" s="187"/>
      <c r="BCE38" s="168"/>
      <c r="BCF38" s="189"/>
      <c r="BCH38" s="188"/>
      <c r="BCI38" s="187"/>
      <c r="BCO38" s="188"/>
      <c r="BCP38" s="187"/>
      <c r="BCV38" s="188"/>
      <c r="BCW38" s="187"/>
      <c r="BDC38" s="188"/>
      <c r="BDD38" s="187"/>
      <c r="BDJ38" s="168"/>
      <c r="BDK38" s="189"/>
      <c r="BDQ38" s="188"/>
      <c r="BDR38" s="187"/>
      <c r="BDX38" s="188"/>
      <c r="BDY38" s="187"/>
      <c r="BEE38" s="188"/>
      <c r="BEF38" s="187"/>
      <c r="BEL38" s="188"/>
      <c r="BEM38" s="187"/>
      <c r="BEO38" s="168"/>
      <c r="BEP38" s="189"/>
      <c r="BES38" s="188"/>
      <c r="BET38" s="187"/>
      <c r="BEZ38" s="188"/>
      <c r="BFA38" s="187"/>
      <c r="BFG38" s="188"/>
      <c r="BFH38" s="187"/>
      <c r="BFN38" s="188"/>
      <c r="BFO38" s="187"/>
      <c r="BFQ38" s="168"/>
      <c r="BFR38" s="189"/>
      <c r="BFU38" s="188"/>
      <c r="BFV38" s="187"/>
      <c r="BGB38" s="188"/>
      <c r="BGC38" s="187"/>
      <c r="BGI38" s="188"/>
      <c r="BGJ38" s="187"/>
      <c r="BGP38" s="188"/>
      <c r="BGQ38" s="187"/>
      <c r="BGV38" s="168"/>
      <c r="BGW38" s="191"/>
      <c r="BGX38" s="187"/>
      <c r="BHD38" s="188"/>
      <c r="BHE38" s="187"/>
      <c r="BHK38" s="188"/>
      <c r="BHL38" s="187"/>
      <c r="BHR38" s="188"/>
      <c r="BHS38" s="187"/>
      <c r="BHY38" s="188"/>
      <c r="BHZ38" s="190"/>
      <c r="BIA38" s="189"/>
      <c r="BIF38" s="188"/>
      <c r="BIG38" s="187"/>
      <c r="BIM38" s="188"/>
      <c r="BIN38" s="187"/>
      <c r="BIT38" s="188"/>
      <c r="BIU38" s="187"/>
      <c r="BJA38" s="188"/>
      <c r="BJB38" s="187"/>
      <c r="BJE38" s="168"/>
      <c r="BJF38" s="189"/>
      <c r="BJH38" s="188"/>
      <c r="BJI38" s="187"/>
      <c r="BJO38" s="188"/>
      <c r="BJP38" s="187"/>
      <c r="BJV38" s="188"/>
      <c r="BJW38" s="187"/>
      <c r="BKC38" s="188"/>
      <c r="BKD38" s="187"/>
      <c r="BKI38" s="168"/>
      <c r="BKJ38" s="191"/>
      <c r="BKK38" s="187"/>
      <c r="BKQ38" s="188"/>
      <c r="BKR38" s="187"/>
      <c r="BKX38" s="188"/>
      <c r="BKY38" s="187"/>
      <c r="BLE38" s="188"/>
      <c r="BLF38" s="187"/>
      <c r="BLL38" s="188"/>
      <c r="BLM38" s="187"/>
      <c r="BLN38" s="168"/>
      <c r="BLO38" s="189"/>
      <c r="BLS38" s="188"/>
      <c r="BLT38" s="187"/>
      <c r="BLZ38" s="188"/>
      <c r="BMA38" s="187"/>
      <c r="BMG38" s="188"/>
      <c r="BMH38" s="187"/>
      <c r="BMN38" s="188"/>
      <c r="BMO38" s="187"/>
      <c r="BMS38" s="168"/>
      <c r="BMT38" s="189"/>
      <c r="BMU38" s="188"/>
      <c r="BMV38" s="187"/>
      <c r="BNB38" s="188"/>
      <c r="BNC38" s="187"/>
      <c r="BNI38" s="188"/>
      <c r="BNJ38" s="187"/>
      <c r="BNP38" s="188"/>
      <c r="BNQ38" s="187"/>
      <c r="BNW38" s="168"/>
      <c r="BNX38" s="189"/>
      <c r="BOD38" s="188"/>
      <c r="BOE38" s="187"/>
      <c r="BOK38" s="188"/>
      <c r="BOL38" s="187"/>
      <c r="BOR38" s="188"/>
      <c r="BOS38" s="187"/>
      <c r="BOY38" s="188"/>
      <c r="BOZ38" s="187"/>
      <c r="BPB38" s="168"/>
      <c r="BPC38" s="189"/>
      <c r="BPF38" s="188"/>
      <c r="BPG38" s="187"/>
      <c r="BPM38" s="188"/>
      <c r="BPN38" s="187"/>
      <c r="BPT38" s="188"/>
      <c r="BPU38" s="187"/>
      <c r="BQA38" s="188"/>
      <c r="BQB38" s="187"/>
      <c r="BQF38" s="168"/>
      <c r="BQG38" s="189"/>
      <c r="BQH38" s="188"/>
      <c r="BQI38" s="187"/>
      <c r="BQO38" s="188"/>
      <c r="BQP38" s="187"/>
      <c r="BQV38" s="188"/>
      <c r="BQW38" s="187"/>
      <c r="BRC38" s="188"/>
      <c r="BRD38" s="187"/>
      <c r="BRJ38" s="188"/>
      <c r="BRK38" s="190"/>
      <c r="BRL38" s="189"/>
      <c r="BRQ38" s="188"/>
      <c r="BRR38" s="187"/>
      <c r="BRX38" s="188"/>
      <c r="BRY38" s="187"/>
      <c r="BSE38" s="188"/>
      <c r="BSF38" s="187"/>
      <c r="BSL38" s="188"/>
      <c r="BSM38" s="187"/>
      <c r="BSP38" s="168"/>
      <c r="BSQ38" s="189"/>
      <c r="BSS38" s="188"/>
      <c r="BST38" s="187"/>
      <c r="BSZ38" s="188"/>
      <c r="BTA38" s="187"/>
      <c r="BTG38" s="188"/>
      <c r="BTH38" s="187"/>
      <c r="BTN38" s="188"/>
      <c r="BTO38" s="187"/>
      <c r="BTS38" s="168"/>
      <c r="BTT38" s="189"/>
      <c r="BTU38" s="188"/>
      <c r="BTV38" s="187"/>
      <c r="BUB38" s="188"/>
      <c r="BUC38" s="187"/>
      <c r="BUI38" s="188"/>
      <c r="BUJ38" s="187"/>
      <c r="BUP38" s="188"/>
      <c r="BUQ38" s="187"/>
      <c r="BUW38" s="188"/>
      <c r="BUX38" s="190"/>
      <c r="BUY38" s="189"/>
      <c r="BVD38" s="188"/>
      <c r="BVE38" s="187"/>
      <c r="BVK38" s="188"/>
      <c r="BVL38" s="187"/>
      <c r="BVR38" s="188"/>
      <c r="BVS38" s="187"/>
      <c r="BVY38" s="188"/>
      <c r="BVZ38" s="187"/>
      <c r="BWB38" s="168"/>
      <c r="BWC38" s="189"/>
      <c r="BWF38" s="188"/>
      <c r="BWG38" s="187"/>
      <c r="BWM38" s="188"/>
      <c r="BWN38" s="187"/>
      <c r="BWT38" s="188"/>
      <c r="BWU38" s="187"/>
      <c r="BXA38" s="188"/>
      <c r="BXB38" s="187"/>
      <c r="BXG38" s="168"/>
      <c r="BXH38" s="191"/>
      <c r="BXI38" s="187"/>
      <c r="BXO38" s="188"/>
      <c r="BXP38" s="187"/>
      <c r="BXV38" s="188"/>
      <c r="BXW38" s="187"/>
      <c r="BYC38" s="188"/>
      <c r="BYD38" s="187"/>
      <c r="BYJ38" s="188"/>
      <c r="BYK38" s="190"/>
      <c r="BYL38" s="189"/>
      <c r="BYQ38" s="188"/>
      <c r="BYR38" s="187"/>
      <c r="BYX38" s="188"/>
      <c r="BYY38" s="187"/>
      <c r="BZE38" s="188"/>
      <c r="BZF38" s="187"/>
      <c r="BZL38" s="188"/>
      <c r="BZM38" s="187"/>
      <c r="BZP38" s="168"/>
      <c r="BZQ38" s="189"/>
      <c r="BZS38" s="188"/>
      <c r="BZT38" s="187"/>
      <c r="BZZ38" s="188"/>
      <c r="CAA38" s="187"/>
      <c r="CAG38" s="188"/>
      <c r="CAH38" s="187"/>
      <c r="CAN38" s="188"/>
      <c r="CAO38" s="187"/>
      <c r="CAU38" s="168"/>
      <c r="CAV38" s="189"/>
      <c r="CBB38" s="188"/>
      <c r="CBC38" s="187"/>
      <c r="CBI38" s="188"/>
      <c r="CBJ38" s="187"/>
      <c r="CBP38" s="188"/>
      <c r="CBQ38" s="187"/>
      <c r="CBW38" s="188"/>
      <c r="CBX38" s="187"/>
      <c r="CBY38" s="168"/>
      <c r="CBZ38" s="189"/>
      <c r="CCD38" s="188"/>
      <c r="CCE38" s="187"/>
      <c r="CCK38" s="188"/>
      <c r="CCL38" s="187"/>
      <c r="CCR38" s="188"/>
      <c r="CCS38" s="187"/>
      <c r="CCY38" s="188"/>
      <c r="CCZ38" s="187"/>
      <c r="CDD38" s="168"/>
      <c r="CDE38" s="189"/>
      <c r="CDF38" s="188"/>
      <c r="CDG38" s="187"/>
      <c r="CDM38" s="188"/>
      <c r="CDN38" s="187"/>
      <c r="CDT38" s="188"/>
      <c r="CDU38" s="187"/>
      <c r="CEA38" s="188"/>
      <c r="CEB38" s="187"/>
      <c r="CEH38" s="168"/>
      <c r="CEI38" s="189"/>
      <c r="CEO38" s="188"/>
      <c r="CEP38" s="187"/>
      <c r="CEV38" s="188"/>
      <c r="CEW38" s="187"/>
      <c r="CFC38" s="188"/>
      <c r="CFD38" s="187"/>
      <c r="CFJ38" s="188"/>
      <c r="CFK38" s="187"/>
    </row>
    <row r="39" spans="1:1019 1025:2048 2054:2195">
      <c r="A39" s="164" t="s">
        <v>300</v>
      </c>
      <c r="C39" s="164" t="s">
        <v>301</v>
      </c>
      <c r="D39" s="186"/>
      <c r="E39" s="186"/>
      <c r="K39" s="187"/>
      <c r="Q39" s="188"/>
      <c r="R39" s="187"/>
      <c r="X39" s="188"/>
      <c r="Y39" s="187"/>
      <c r="AE39" s="188"/>
      <c r="AF39" s="187"/>
      <c r="AJ39" s="168"/>
      <c r="AK39" s="189"/>
      <c r="AL39" s="188"/>
      <c r="AM39" s="187"/>
      <c r="AS39" s="188"/>
      <c r="AT39" s="187"/>
      <c r="AZ39" s="188"/>
      <c r="BA39" s="187"/>
      <c r="BG39" s="188"/>
      <c r="BH39" s="187"/>
      <c r="BL39" s="168"/>
      <c r="BM39" s="189"/>
      <c r="BN39" s="188"/>
      <c r="BO39" s="187"/>
      <c r="BU39" s="188"/>
      <c r="BV39" s="187"/>
      <c r="CB39" s="188"/>
      <c r="CC39" s="187"/>
      <c r="CI39" s="188"/>
      <c r="CJ39" s="187"/>
      <c r="CP39" s="188"/>
      <c r="CQ39" s="190"/>
      <c r="CR39" s="189"/>
      <c r="CW39" s="188"/>
      <c r="CX39" s="187"/>
      <c r="DD39" s="188"/>
      <c r="DE39" s="187"/>
      <c r="DK39" s="188"/>
      <c r="DL39" s="187"/>
      <c r="DR39" s="188"/>
      <c r="DS39" s="187"/>
      <c r="DU39" s="168"/>
      <c r="DV39" s="189"/>
      <c r="DY39" s="188"/>
      <c r="DZ39" s="187"/>
      <c r="EF39" s="188"/>
      <c r="EG39" s="187"/>
      <c r="EM39" s="188"/>
      <c r="EN39" s="187"/>
      <c r="ET39" s="188"/>
      <c r="EU39" s="187"/>
      <c r="EZ39" s="168"/>
      <c r="FA39" s="191"/>
      <c r="FB39" s="187"/>
      <c r="FH39" s="188"/>
      <c r="FI39" s="187"/>
      <c r="FO39" s="188"/>
      <c r="FP39" s="187"/>
      <c r="FV39" s="188"/>
      <c r="FW39" s="187"/>
      <c r="GC39" s="188"/>
      <c r="GD39" s="190"/>
      <c r="GE39" s="189"/>
      <c r="GJ39" s="188"/>
      <c r="GK39" s="187"/>
      <c r="GQ39" s="188"/>
      <c r="GR39" s="187"/>
      <c r="GX39" s="188"/>
      <c r="GY39" s="187"/>
      <c r="HE39" s="188"/>
      <c r="HF39" s="187"/>
      <c r="HI39" s="168"/>
      <c r="HJ39" s="189"/>
      <c r="HL39" s="188"/>
      <c r="HM39" s="187"/>
      <c r="HS39" s="188"/>
      <c r="HT39" s="187"/>
      <c r="HZ39" s="188"/>
      <c r="IA39" s="187"/>
      <c r="IG39" s="188"/>
      <c r="IH39" s="187"/>
      <c r="IN39" s="168"/>
      <c r="IO39" s="189"/>
      <c r="IU39" s="188"/>
      <c r="IV39" s="187"/>
      <c r="JB39" s="188"/>
      <c r="JC39" s="187"/>
      <c r="JI39" s="188"/>
      <c r="JJ39" s="187"/>
      <c r="JP39" s="188"/>
      <c r="JQ39" s="187"/>
      <c r="JR39" s="168"/>
      <c r="JS39" s="189"/>
      <c r="JW39" s="188"/>
      <c r="JX39" s="187"/>
      <c r="KD39" s="188"/>
      <c r="KE39" s="187"/>
      <c r="KK39" s="188"/>
      <c r="KL39" s="187"/>
      <c r="KR39" s="188"/>
      <c r="KS39" s="187"/>
      <c r="KW39" s="168"/>
      <c r="KX39" s="189"/>
      <c r="KY39" s="188"/>
      <c r="KZ39" s="187"/>
      <c r="LF39" s="188"/>
      <c r="LG39" s="187"/>
      <c r="LM39" s="188"/>
      <c r="LN39" s="187"/>
      <c r="LT39" s="188"/>
      <c r="LU39" s="187"/>
      <c r="MA39" s="168"/>
      <c r="MB39" s="189"/>
      <c r="MH39" s="188"/>
      <c r="MI39" s="187"/>
      <c r="MO39" s="188"/>
      <c r="MP39" s="187"/>
      <c r="MV39" s="188"/>
      <c r="MW39" s="187"/>
      <c r="NC39" s="188"/>
      <c r="ND39" s="187"/>
      <c r="NF39" s="168"/>
      <c r="NG39" s="189"/>
      <c r="NJ39" s="188"/>
      <c r="NK39" s="187"/>
      <c r="NQ39" s="188"/>
      <c r="NR39" s="187"/>
      <c r="NX39" s="188"/>
      <c r="NY39" s="187"/>
      <c r="OE39" s="188"/>
      <c r="OF39" s="187"/>
      <c r="OK39" s="168"/>
      <c r="OL39" s="191"/>
      <c r="OM39" s="187"/>
      <c r="OS39" s="188"/>
      <c r="OT39" s="187"/>
      <c r="OZ39" s="188"/>
      <c r="PA39" s="187"/>
      <c r="PG39" s="188"/>
      <c r="PH39" s="187"/>
      <c r="PN39" s="168"/>
      <c r="PO39" s="189"/>
      <c r="PU39" s="188"/>
      <c r="PV39" s="187"/>
      <c r="QB39" s="188"/>
      <c r="QC39" s="187"/>
      <c r="QI39" s="188"/>
      <c r="QJ39" s="187"/>
      <c r="QP39" s="188"/>
      <c r="QQ39" s="187"/>
      <c r="QS39" s="168"/>
      <c r="QT39" s="189"/>
      <c r="QW39" s="188"/>
      <c r="QX39" s="187"/>
      <c r="RD39" s="188"/>
      <c r="RE39" s="187"/>
      <c r="RK39" s="188"/>
      <c r="RL39" s="187"/>
      <c r="RR39" s="188"/>
      <c r="RS39" s="187"/>
      <c r="RW39" s="168"/>
      <c r="RX39" s="189"/>
      <c r="RY39" s="188"/>
      <c r="RZ39" s="187"/>
      <c r="SF39" s="188"/>
      <c r="SG39" s="187"/>
      <c r="SM39" s="188"/>
      <c r="SN39" s="187"/>
      <c r="ST39" s="188"/>
      <c r="SU39" s="187"/>
      <c r="TA39" s="188"/>
      <c r="TB39" s="190"/>
      <c r="TC39" s="189"/>
      <c r="TH39" s="188"/>
      <c r="TI39" s="187"/>
      <c r="TO39" s="188"/>
      <c r="TP39" s="187"/>
      <c r="TV39" s="188"/>
      <c r="TW39" s="187"/>
      <c r="UC39" s="188"/>
      <c r="UD39" s="187"/>
      <c r="UF39" s="168"/>
      <c r="UG39" s="189"/>
      <c r="UJ39" s="188"/>
      <c r="UK39" s="187"/>
      <c r="UQ39" s="188"/>
      <c r="UR39" s="187"/>
      <c r="UX39" s="188"/>
      <c r="UY39" s="187"/>
      <c r="VE39" s="188"/>
      <c r="VF39" s="187"/>
      <c r="VK39" s="168"/>
      <c r="VL39" s="191"/>
      <c r="VM39" s="187"/>
      <c r="VS39" s="188"/>
      <c r="VT39" s="187"/>
      <c r="VZ39" s="188"/>
      <c r="WA39" s="187"/>
      <c r="WG39" s="188"/>
      <c r="WH39" s="187"/>
      <c r="WN39" s="188"/>
      <c r="WO39" s="187"/>
      <c r="WP39" s="168"/>
      <c r="WQ39" s="189"/>
      <c r="WU39" s="188"/>
      <c r="WV39" s="187"/>
      <c r="XB39" s="188"/>
      <c r="XC39" s="187"/>
      <c r="XI39" s="188"/>
      <c r="XJ39" s="187"/>
      <c r="XP39" s="188"/>
      <c r="XQ39" s="187"/>
      <c r="XT39" s="168"/>
      <c r="XU39" s="189"/>
      <c r="XW39" s="188"/>
      <c r="XX39" s="187"/>
      <c r="YD39" s="188"/>
      <c r="YE39" s="187"/>
      <c r="YK39" s="188"/>
      <c r="YL39" s="187"/>
      <c r="YR39" s="188"/>
      <c r="YS39" s="187"/>
      <c r="YY39" s="168"/>
      <c r="YZ39" s="189"/>
      <c r="ZF39" s="188"/>
      <c r="ZG39" s="187"/>
      <c r="ZM39" s="188"/>
      <c r="ZN39" s="187"/>
      <c r="ZT39" s="188"/>
      <c r="ZU39" s="187"/>
      <c r="AAA39" s="188"/>
      <c r="AAB39" s="187"/>
      <c r="AAC39" s="168"/>
      <c r="AAD39" s="189"/>
      <c r="AAH39" s="188"/>
      <c r="AAI39" s="187"/>
      <c r="AAO39" s="188"/>
      <c r="AAP39" s="187"/>
      <c r="AAV39" s="188"/>
      <c r="AAW39" s="187"/>
      <c r="ABC39" s="188"/>
      <c r="ABD39" s="187"/>
      <c r="ABH39" s="168"/>
      <c r="ABI39" s="189"/>
      <c r="ABJ39" s="188"/>
      <c r="ABK39" s="187"/>
      <c r="ABQ39" s="188"/>
      <c r="ABR39" s="187"/>
      <c r="ABX39" s="188"/>
      <c r="ABY39" s="187"/>
      <c r="ACE39" s="188"/>
      <c r="ACF39" s="187"/>
      <c r="ACL39" s="188"/>
      <c r="ACM39" s="190"/>
      <c r="ACN39" s="189"/>
      <c r="ACS39" s="188"/>
      <c r="ACT39" s="187"/>
      <c r="ACZ39" s="188"/>
      <c r="ADA39" s="187"/>
      <c r="ADG39" s="188"/>
      <c r="ADH39" s="187"/>
      <c r="ADN39" s="188"/>
      <c r="ADO39" s="190"/>
      <c r="ADP39" s="189"/>
      <c r="ADU39" s="188"/>
      <c r="ADV39" s="187"/>
      <c r="AEB39" s="188"/>
      <c r="AEC39" s="187"/>
      <c r="AEI39" s="188"/>
      <c r="AEJ39" s="187"/>
      <c r="AEP39" s="188"/>
      <c r="AEQ39" s="187"/>
      <c r="AET39" s="168"/>
      <c r="AEU39" s="189"/>
      <c r="AEW39" s="188"/>
      <c r="AEX39" s="187"/>
      <c r="AFD39" s="188"/>
      <c r="AFE39" s="187"/>
      <c r="AFK39" s="188"/>
      <c r="AFL39" s="187"/>
      <c r="AFR39" s="188"/>
      <c r="AFS39" s="187"/>
      <c r="AFX39" s="168"/>
      <c r="AFY39" s="191"/>
      <c r="AFZ39" s="187"/>
      <c r="AGF39" s="188"/>
      <c r="AGG39" s="187"/>
      <c r="AGM39" s="188"/>
      <c r="AGN39" s="187"/>
      <c r="AGT39" s="188"/>
      <c r="AGU39" s="187"/>
      <c r="AHA39" s="188"/>
      <c r="AHB39" s="187"/>
      <c r="AHC39" s="168"/>
      <c r="AHD39" s="189"/>
      <c r="AHH39" s="188"/>
      <c r="AHI39" s="187"/>
      <c r="AHO39" s="188"/>
      <c r="AHP39" s="187"/>
      <c r="AHV39" s="188"/>
      <c r="AHW39" s="187"/>
      <c r="AIC39" s="188"/>
      <c r="AID39" s="187"/>
      <c r="AIG39" s="168"/>
      <c r="AIH39" s="189"/>
      <c r="AIJ39" s="188"/>
      <c r="AIK39" s="187"/>
      <c r="AIQ39" s="188"/>
      <c r="AIR39" s="187"/>
      <c r="AIX39" s="188"/>
      <c r="AIY39" s="187"/>
      <c r="AJE39" s="188"/>
      <c r="AJF39" s="187"/>
      <c r="AJL39" s="168"/>
      <c r="AJM39" s="189"/>
      <c r="AJS39" s="188"/>
      <c r="AJT39" s="187"/>
      <c r="AJZ39" s="188"/>
      <c r="AKA39" s="187"/>
      <c r="AKG39" s="188"/>
      <c r="AKH39" s="187"/>
      <c r="AKN39" s="188"/>
      <c r="AKO39" s="187"/>
      <c r="AKQ39" s="168"/>
      <c r="AKR39" s="189"/>
      <c r="AKU39" s="188"/>
      <c r="AKV39" s="187"/>
      <c r="ALB39" s="188"/>
      <c r="ALC39" s="187"/>
      <c r="ALI39" s="188"/>
      <c r="ALJ39" s="187"/>
      <c r="ALP39" s="188"/>
      <c r="ALQ39" s="187"/>
      <c r="ALU39" s="168"/>
      <c r="ALV39" s="189"/>
      <c r="ALW39" s="188"/>
      <c r="ALX39" s="187"/>
      <c r="AMD39" s="188"/>
      <c r="AME39" s="187"/>
      <c r="AMK39" s="188"/>
      <c r="AML39" s="187"/>
      <c r="AMR39" s="188"/>
      <c r="AMS39" s="187"/>
      <c r="AMY39" s="188"/>
      <c r="AMZ39" s="190"/>
      <c r="ANA39" s="189"/>
      <c r="ANF39" s="188"/>
      <c r="ANG39" s="187"/>
      <c r="ANM39" s="188"/>
      <c r="ANN39" s="187"/>
      <c r="ANT39" s="188"/>
      <c r="ANU39" s="187"/>
      <c r="AOA39" s="188"/>
      <c r="AOB39" s="187"/>
      <c r="AOD39" s="168"/>
      <c r="AOE39" s="189"/>
      <c r="AOH39" s="188"/>
      <c r="AOI39" s="187"/>
      <c r="AOO39" s="188"/>
      <c r="AOP39" s="187"/>
      <c r="AOV39" s="188"/>
      <c r="AOW39" s="187"/>
      <c r="APC39" s="188"/>
      <c r="APD39" s="187"/>
      <c r="API39" s="168"/>
      <c r="APJ39" s="191"/>
      <c r="APK39" s="187"/>
      <c r="APQ39" s="188"/>
      <c r="APR39" s="187"/>
      <c r="APX39" s="188"/>
      <c r="APY39" s="187"/>
      <c r="AQE39" s="188"/>
      <c r="AQF39" s="187"/>
      <c r="AQL39" s="188"/>
      <c r="AQM39" s="187"/>
      <c r="AQN39" s="168"/>
      <c r="AQO39" s="189"/>
      <c r="AQS39" s="188"/>
      <c r="AQT39" s="187"/>
      <c r="AQZ39" s="188"/>
      <c r="ARA39" s="187"/>
      <c r="ARG39" s="188"/>
      <c r="ARH39" s="187"/>
      <c r="ARN39" s="188"/>
      <c r="ARO39" s="187"/>
      <c r="ARP39" s="168"/>
      <c r="ARQ39" s="189"/>
      <c r="ARU39" s="188"/>
      <c r="ARV39" s="187"/>
      <c r="ASB39" s="188"/>
      <c r="ASC39" s="187"/>
      <c r="ASI39" s="188"/>
      <c r="ASJ39" s="187"/>
      <c r="ASP39" s="188"/>
      <c r="ASQ39" s="187"/>
      <c r="ASU39" s="168"/>
      <c r="ASV39" s="189"/>
      <c r="ASW39" s="188"/>
      <c r="ASX39" s="187"/>
      <c r="ATD39" s="188"/>
      <c r="ATE39" s="187"/>
      <c r="ATK39" s="188"/>
      <c r="ATL39" s="187"/>
      <c r="ATR39" s="188"/>
      <c r="ATS39" s="187"/>
      <c r="ATY39" s="168"/>
      <c r="ATZ39" s="189"/>
      <c r="AUF39" s="188"/>
      <c r="AUG39" s="187"/>
      <c r="AUM39" s="188"/>
      <c r="AUN39" s="187"/>
      <c r="AUT39" s="188"/>
      <c r="AUU39" s="187"/>
      <c r="AVA39" s="188"/>
      <c r="AVB39" s="187"/>
      <c r="AVD39" s="168"/>
      <c r="AVE39" s="189"/>
      <c r="AVH39" s="188"/>
      <c r="AVI39" s="187"/>
      <c r="AVO39" s="188"/>
      <c r="AVP39" s="187"/>
      <c r="AVV39" s="188"/>
      <c r="AVW39" s="187"/>
      <c r="AWC39" s="188"/>
      <c r="AWD39" s="187"/>
      <c r="AWH39" s="168"/>
      <c r="AWI39" s="189"/>
      <c r="AWJ39" s="188"/>
      <c r="AWK39" s="187"/>
      <c r="AWQ39" s="188"/>
      <c r="AWR39" s="187"/>
      <c r="AWX39" s="188"/>
      <c r="AWY39" s="187"/>
      <c r="AXE39" s="188"/>
      <c r="AXF39" s="187"/>
      <c r="AXL39" s="188"/>
      <c r="AXM39" s="190"/>
      <c r="AXN39" s="189"/>
      <c r="AXS39" s="188"/>
      <c r="AXT39" s="187"/>
      <c r="AXZ39" s="188"/>
      <c r="AYA39" s="187"/>
      <c r="AYG39" s="188"/>
      <c r="AYH39" s="187"/>
      <c r="AYN39" s="188"/>
      <c r="AYO39" s="187"/>
      <c r="AYR39" s="168"/>
      <c r="AYS39" s="189"/>
      <c r="AYU39" s="188"/>
      <c r="AYV39" s="187"/>
      <c r="AZB39" s="188"/>
      <c r="AZC39" s="187"/>
      <c r="AZI39" s="188"/>
      <c r="AZJ39" s="187"/>
      <c r="AZP39" s="188"/>
      <c r="AZQ39" s="187"/>
      <c r="AZV39" s="168"/>
      <c r="AZW39" s="191"/>
      <c r="AZX39" s="187"/>
      <c r="BAD39" s="188"/>
      <c r="BAE39" s="187"/>
      <c r="BAK39" s="188"/>
      <c r="BAL39" s="187"/>
      <c r="BAR39" s="188"/>
      <c r="BAS39" s="187"/>
      <c r="BAY39" s="188"/>
      <c r="BAZ39" s="187"/>
      <c r="BBA39" s="168"/>
      <c r="BBB39" s="189"/>
      <c r="BBF39" s="188"/>
      <c r="BBG39" s="187"/>
      <c r="BBM39" s="188"/>
      <c r="BBN39" s="187"/>
      <c r="BBT39" s="188"/>
      <c r="BBU39" s="187"/>
      <c r="BCA39" s="188"/>
      <c r="BCB39" s="187"/>
      <c r="BCE39" s="168"/>
      <c r="BCF39" s="189"/>
      <c r="BCH39" s="188"/>
      <c r="BCI39" s="187"/>
      <c r="BCO39" s="188"/>
      <c r="BCP39" s="187"/>
      <c r="BCV39" s="188"/>
      <c r="BCW39" s="187"/>
      <c r="BDC39" s="188"/>
      <c r="BDD39" s="187"/>
      <c r="BDJ39" s="168"/>
      <c r="BDK39" s="189"/>
      <c r="BDQ39" s="188"/>
      <c r="BDR39" s="187"/>
      <c r="BDX39" s="188"/>
      <c r="BDY39" s="187"/>
      <c r="BEE39" s="188"/>
      <c r="BEF39" s="187"/>
      <c r="BEL39" s="188"/>
      <c r="BEM39" s="187"/>
      <c r="BEO39" s="168"/>
      <c r="BEP39" s="189"/>
      <c r="BES39" s="188"/>
      <c r="BET39" s="187"/>
      <c r="BEZ39" s="188"/>
      <c r="BFA39" s="187"/>
      <c r="BFG39" s="188"/>
      <c r="BFH39" s="187"/>
      <c r="BFN39" s="188"/>
      <c r="BFO39" s="187"/>
      <c r="BFQ39" s="168"/>
      <c r="BFR39" s="189"/>
      <c r="BFU39" s="188"/>
      <c r="BFV39" s="187"/>
      <c r="BGB39" s="188"/>
      <c r="BGC39" s="187"/>
      <c r="BGI39" s="188"/>
      <c r="BGJ39" s="187"/>
      <c r="BGP39" s="188"/>
      <c r="BGQ39" s="187"/>
      <c r="BGV39" s="168"/>
      <c r="BGW39" s="191"/>
      <c r="BGX39" s="187"/>
      <c r="BHD39" s="188"/>
      <c r="BHE39" s="187"/>
      <c r="BHK39" s="188"/>
      <c r="BHL39" s="187"/>
      <c r="BHR39" s="188"/>
      <c r="BHS39" s="187"/>
      <c r="BHY39" s="188"/>
      <c r="BHZ39" s="190"/>
      <c r="BIA39" s="189"/>
      <c r="BIF39" s="188"/>
      <c r="BIG39" s="187"/>
      <c r="BIM39" s="188"/>
      <c r="BIN39" s="187"/>
      <c r="BIT39" s="188"/>
      <c r="BIU39" s="187"/>
      <c r="BJA39" s="188"/>
      <c r="BJB39" s="187"/>
      <c r="BJE39" s="168"/>
      <c r="BJF39" s="189"/>
      <c r="BJH39" s="188"/>
      <c r="BJI39" s="187"/>
      <c r="BJO39" s="188"/>
      <c r="BJP39" s="187"/>
      <c r="BJV39" s="188"/>
      <c r="BJW39" s="187"/>
      <c r="BKC39" s="188"/>
      <c r="BKD39" s="187"/>
      <c r="BKI39" s="168"/>
      <c r="BKJ39" s="191"/>
      <c r="BKK39" s="187"/>
      <c r="BKQ39" s="188"/>
      <c r="BKR39" s="187"/>
      <c r="BKX39" s="188"/>
      <c r="BKY39" s="187"/>
      <c r="BLE39" s="188"/>
      <c r="BLF39" s="187"/>
      <c r="BLL39" s="188"/>
      <c r="BLM39" s="187"/>
      <c r="BLN39" s="168"/>
      <c r="BLO39" s="189"/>
      <c r="BLS39" s="188"/>
      <c r="BLT39" s="187"/>
      <c r="BLZ39" s="188"/>
      <c r="BMA39" s="187"/>
      <c r="BMG39" s="188"/>
      <c r="BMH39" s="187"/>
      <c r="BMN39" s="188"/>
      <c r="BMO39" s="187"/>
      <c r="BMS39" s="168"/>
      <c r="BMT39" s="189"/>
      <c r="BMU39" s="188"/>
      <c r="BMV39" s="187"/>
      <c r="BNB39" s="188"/>
      <c r="BNC39" s="187"/>
      <c r="BNI39" s="188"/>
      <c r="BNJ39" s="187"/>
      <c r="BNP39" s="188"/>
      <c r="BNQ39" s="187"/>
      <c r="BNW39" s="168"/>
      <c r="BNX39" s="189"/>
      <c r="BOD39" s="188"/>
      <c r="BOE39" s="187"/>
      <c r="BOK39" s="188"/>
      <c r="BOL39" s="187"/>
      <c r="BOR39" s="188"/>
      <c r="BOS39" s="187"/>
      <c r="BOY39" s="188"/>
      <c r="BOZ39" s="187"/>
      <c r="BPB39" s="168"/>
      <c r="BPC39" s="189"/>
      <c r="BPF39" s="188"/>
      <c r="BPG39" s="187"/>
      <c r="BPM39" s="188"/>
      <c r="BPN39" s="187"/>
      <c r="BPT39" s="188"/>
      <c r="BPU39" s="187"/>
      <c r="BQA39" s="188"/>
      <c r="BQB39" s="187"/>
      <c r="BQF39" s="168"/>
      <c r="BQG39" s="189"/>
      <c r="BQH39" s="188"/>
      <c r="BQI39" s="187"/>
      <c r="BQO39" s="188"/>
      <c r="BQP39" s="187"/>
      <c r="BQV39" s="188"/>
      <c r="BQW39" s="187"/>
      <c r="BRC39" s="188"/>
      <c r="BRD39" s="187"/>
      <c r="BRJ39" s="188"/>
      <c r="BRK39" s="190"/>
      <c r="BRL39" s="189"/>
      <c r="BRQ39" s="188"/>
      <c r="BRR39" s="187"/>
      <c r="BRX39" s="188"/>
      <c r="BRY39" s="187"/>
      <c r="BSE39" s="188"/>
      <c r="BSF39" s="187"/>
      <c r="BSL39" s="188"/>
      <c r="BSM39" s="187"/>
      <c r="BSP39" s="168"/>
      <c r="BSQ39" s="189"/>
      <c r="BSS39" s="188"/>
      <c r="BST39" s="187"/>
      <c r="BSZ39" s="188"/>
      <c r="BTA39" s="187"/>
      <c r="BTG39" s="188"/>
      <c r="BTH39" s="187"/>
      <c r="BTN39" s="188"/>
      <c r="BTO39" s="187"/>
      <c r="BTS39" s="168"/>
      <c r="BTT39" s="189"/>
      <c r="BTU39" s="188"/>
      <c r="BTV39" s="187"/>
      <c r="BUB39" s="188"/>
      <c r="BUC39" s="187"/>
      <c r="BUI39" s="188"/>
      <c r="BUJ39" s="187"/>
      <c r="BUP39" s="188"/>
      <c r="BUQ39" s="187"/>
      <c r="BUW39" s="188"/>
      <c r="BUX39" s="190"/>
      <c r="BUY39" s="189"/>
      <c r="BVD39" s="188"/>
      <c r="BVE39" s="187"/>
      <c r="BVK39" s="188"/>
      <c r="BVL39" s="187"/>
      <c r="BVR39" s="188"/>
      <c r="BVS39" s="187"/>
      <c r="BVY39" s="188"/>
      <c r="BVZ39" s="187"/>
      <c r="BWB39" s="168"/>
      <c r="BWC39" s="189"/>
      <c r="BWF39" s="188"/>
      <c r="BWG39" s="187"/>
      <c r="BWM39" s="188"/>
      <c r="BWN39" s="187"/>
      <c r="BWT39" s="188"/>
      <c r="BWU39" s="187"/>
      <c r="BXA39" s="188"/>
      <c r="BXB39" s="187"/>
      <c r="BXG39" s="168"/>
      <c r="BXH39" s="191"/>
      <c r="BXI39" s="187"/>
      <c r="BXO39" s="188"/>
      <c r="BXP39" s="187"/>
      <c r="BXV39" s="188"/>
      <c r="BXW39" s="187"/>
      <c r="BYC39" s="188"/>
      <c r="BYD39" s="187"/>
      <c r="BYJ39" s="188"/>
      <c r="BYK39" s="190"/>
      <c r="BYL39" s="189"/>
      <c r="BYQ39" s="188"/>
      <c r="BYR39" s="187"/>
      <c r="BYX39" s="188"/>
      <c r="BYY39" s="187"/>
      <c r="BZE39" s="188"/>
      <c r="BZF39" s="187"/>
      <c r="BZL39" s="188"/>
      <c r="BZM39" s="187"/>
      <c r="BZP39" s="168"/>
      <c r="BZQ39" s="189"/>
      <c r="BZS39" s="188"/>
      <c r="BZT39" s="187"/>
      <c r="BZZ39" s="188"/>
      <c r="CAA39" s="187"/>
      <c r="CAG39" s="188"/>
      <c r="CAH39" s="187"/>
      <c r="CAN39" s="188"/>
      <c r="CAO39" s="187"/>
      <c r="CAU39" s="168"/>
      <c r="CAV39" s="189"/>
      <c r="CBB39" s="188"/>
      <c r="CBC39" s="187"/>
      <c r="CBI39" s="188"/>
      <c r="CBJ39" s="187"/>
      <c r="CBP39" s="188"/>
      <c r="CBQ39" s="187"/>
      <c r="CBW39" s="188"/>
      <c r="CBX39" s="187"/>
      <c r="CBY39" s="168"/>
      <c r="CBZ39" s="189"/>
      <c r="CCD39" s="188"/>
      <c r="CCE39" s="187"/>
      <c r="CCK39" s="188"/>
      <c r="CCL39" s="187"/>
      <c r="CCR39" s="188"/>
      <c r="CCS39" s="187"/>
      <c r="CCY39" s="188"/>
      <c r="CCZ39" s="187"/>
      <c r="CDD39" s="168"/>
      <c r="CDE39" s="189"/>
      <c r="CDF39" s="188"/>
      <c r="CDG39" s="187"/>
      <c r="CDM39" s="188"/>
      <c r="CDN39" s="187"/>
      <c r="CDT39" s="188"/>
      <c r="CDU39" s="187"/>
      <c r="CEA39" s="188"/>
      <c r="CEB39" s="187"/>
      <c r="CEH39" s="168"/>
      <c r="CEI39" s="189"/>
      <c r="CEO39" s="188"/>
      <c r="CEP39" s="187"/>
      <c r="CEV39" s="188"/>
      <c r="CEW39" s="187"/>
      <c r="CFC39" s="188"/>
      <c r="CFD39" s="187"/>
      <c r="CFJ39" s="188"/>
      <c r="CFK39" s="187"/>
    </row>
    <row r="40" spans="1:1019 1025:2048 2054:2195">
      <c r="A40" s="164" t="s">
        <v>302</v>
      </c>
      <c r="C40" s="164" t="s">
        <v>303</v>
      </c>
      <c r="D40" s="186"/>
      <c r="E40" s="186"/>
      <c r="K40" s="187"/>
      <c r="Q40" s="188"/>
      <c r="R40" s="187"/>
      <c r="X40" s="188"/>
      <c r="Y40" s="187"/>
      <c r="AE40" s="188"/>
      <c r="AF40" s="187"/>
      <c r="AJ40" s="168"/>
      <c r="AK40" s="189"/>
      <c r="AL40" s="188"/>
      <c r="AM40" s="187"/>
      <c r="AS40" s="188"/>
      <c r="AT40" s="187"/>
      <c r="AZ40" s="188"/>
      <c r="BA40" s="187"/>
      <c r="BG40" s="188"/>
      <c r="BH40" s="187"/>
      <c r="BL40" s="168"/>
      <c r="BM40" s="189"/>
      <c r="BN40" s="188"/>
      <c r="BO40" s="187"/>
      <c r="BU40" s="188"/>
      <c r="BV40" s="187"/>
      <c r="CB40" s="188"/>
      <c r="CC40" s="187"/>
      <c r="CI40" s="188"/>
      <c r="CJ40" s="187"/>
      <c r="CP40" s="188"/>
      <c r="CQ40" s="190"/>
      <c r="CR40" s="189"/>
      <c r="CW40" s="188"/>
      <c r="CX40" s="187"/>
      <c r="DD40" s="188"/>
      <c r="DE40" s="187"/>
      <c r="DK40" s="188"/>
      <c r="DL40" s="187"/>
      <c r="DR40" s="188"/>
      <c r="DS40" s="187"/>
      <c r="DU40" s="168"/>
      <c r="DV40" s="189"/>
      <c r="DY40" s="188"/>
      <c r="DZ40" s="187"/>
      <c r="EF40" s="188"/>
      <c r="EG40" s="187"/>
      <c r="EM40" s="188"/>
      <c r="EN40" s="187"/>
      <c r="ET40" s="188"/>
      <c r="EU40" s="187"/>
      <c r="EZ40" s="168"/>
      <c r="FA40" s="191"/>
      <c r="FB40" s="187"/>
      <c r="FH40" s="188"/>
      <c r="FI40" s="187"/>
      <c r="FO40" s="188"/>
      <c r="FP40" s="187"/>
      <c r="FV40" s="188"/>
      <c r="FW40" s="187"/>
      <c r="GC40" s="188"/>
      <c r="GD40" s="190"/>
      <c r="GE40" s="189"/>
      <c r="GJ40" s="188"/>
      <c r="GK40" s="187"/>
      <c r="GQ40" s="188"/>
      <c r="GR40" s="187"/>
      <c r="GX40" s="188"/>
      <c r="GY40" s="187"/>
      <c r="HE40" s="188"/>
      <c r="HF40" s="187"/>
      <c r="HI40" s="168"/>
      <c r="HJ40" s="189"/>
      <c r="HL40" s="188"/>
      <c r="HM40" s="187"/>
      <c r="HS40" s="188"/>
      <c r="HT40" s="187"/>
      <c r="HZ40" s="188"/>
      <c r="IA40" s="187"/>
      <c r="IG40" s="188"/>
      <c r="IH40" s="187"/>
      <c r="IN40" s="168"/>
      <c r="IO40" s="189"/>
      <c r="IU40" s="188"/>
      <c r="IV40" s="187"/>
      <c r="JB40" s="188"/>
      <c r="JC40" s="187"/>
      <c r="JI40" s="188"/>
      <c r="JJ40" s="187"/>
      <c r="JP40" s="188"/>
      <c r="JQ40" s="187"/>
      <c r="JR40" s="168"/>
      <c r="JS40" s="189"/>
      <c r="JW40" s="188"/>
      <c r="JX40" s="187"/>
      <c r="KD40" s="188"/>
      <c r="KE40" s="187"/>
      <c r="KK40" s="188"/>
      <c r="KL40" s="187"/>
      <c r="KR40" s="188"/>
      <c r="KS40" s="187"/>
      <c r="KW40" s="168"/>
      <c r="KX40" s="189"/>
      <c r="KY40" s="188"/>
      <c r="KZ40" s="187"/>
      <c r="LF40" s="188"/>
      <c r="LG40" s="187"/>
      <c r="LM40" s="188"/>
      <c r="LN40" s="187"/>
      <c r="LT40" s="188"/>
      <c r="LU40" s="187"/>
      <c r="MA40" s="168"/>
      <c r="MB40" s="189"/>
      <c r="MH40" s="188"/>
      <c r="MI40" s="187"/>
      <c r="MO40" s="188"/>
      <c r="MP40" s="187"/>
      <c r="MV40" s="188"/>
      <c r="MW40" s="187"/>
      <c r="NC40" s="188"/>
      <c r="ND40" s="187"/>
      <c r="NF40" s="168"/>
      <c r="NG40" s="189"/>
      <c r="NJ40" s="188"/>
      <c r="NK40" s="187"/>
      <c r="NQ40" s="188"/>
      <c r="NR40" s="187"/>
      <c r="NX40" s="188"/>
      <c r="NY40" s="187"/>
      <c r="OE40" s="188"/>
      <c r="OF40" s="187"/>
      <c r="OK40" s="168"/>
      <c r="OL40" s="191"/>
      <c r="OM40" s="187"/>
      <c r="OS40" s="188"/>
      <c r="OT40" s="187"/>
      <c r="OZ40" s="188"/>
      <c r="PA40" s="187"/>
      <c r="PG40" s="188"/>
      <c r="PH40" s="187"/>
      <c r="PN40" s="168"/>
      <c r="PO40" s="189"/>
      <c r="PU40" s="188"/>
      <c r="PV40" s="187"/>
      <c r="QB40" s="188"/>
      <c r="QC40" s="187"/>
      <c r="QI40" s="188"/>
      <c r="QJ40" s="187"/>
      <c r="QP40" s="188"/>
      <c r="QQ40" s="187"/>
      <c r="QS40" s="168"/>
      <c r="QT40" s="189"/>
      <c r="QW40" s="188"/>
      <c r="QX40" s="187"/>
      <c r="RD40" s="188"/>
      <c r="RE40" s="187"/>
      <c r="RK40" s="188"/>
      <c r="RL40" s="187"/>
      <c r="RR40" s="188"/>
      <c r="RS40" s="187"/>
      <c r="RW40" s="168"/>
      <c r="RX40" s="189"/>
      <c r="RY40" s="188"/>
      <c r="RZ40" s="187"/>
      <c r="SF40" s="188"/>
      <c r="SG40" s="187"/>
      <c r="SM40" s="188"/>
      <c r="SN40" s="187"/>
      <c r="ST40" s="188"/>
      <c r="SU40" s="187"/>
      <c r="TA40" s="188"/>
      <c r="TB40" s="190"/>
      <c r="TC40" s="189"/>
      <c r="TH40" s="188"/>
      <c r="TI40" s="187"/>
      <c r="TO40" s="188"/>
      <c r="TP40" s="187"/>
      <c r="TV40" s="188"/>
      <c r="TW40" s="187"/>
      <c r="UC40" s="188"/>
      <c r="UD40" s="187"/>
      <c r="UF40" s="168"/>
      <c r="UG40" s="189"/>
      <c r="UJ40" s="188"/>
      <c r="UK40" s="187"/>
      <c r="UQ40" s="188"/>
      <c r="UR40" s="187"/>
      <c r="UX40" s="188"/>
      <c r="UY40" s="187"/>
      <c r="VE40" s="188"/>
      <c r="VF40" s="187"/>
      <c r="VK40" s="168"/>
      <c r="VL40" s="191"/>
      <c r="VM40" s="187"/>
      <c r="VS40" s="188"/>
      <c r="VT40" s="187"/>
      <c r="VZ40" s="188"/>
      <c r="WA40" s="187"/>
      <c r="WG40" s="188"/>
      <c r="WH40" s="187"/>
      <c r="WN40" s="188"/>
      <c r="WO40" s="187"/>
      <c r="WP40" s="168"/>
      <c r="WQ40" s="189"/>
      <c r="WU40" s="188"/>
      <c r="WV40" s="187"/>
      <c r="XB40" s="188"/>
      <c r="XC40" s="187"/>
      <c r="XI40" s="188"/>
      <c r="XJ40" s="187"/>
      <c r="XP40" s="188"/>
      <c r="XQ40" s="187"/>
      <c r="XT40" s="168"/>
      <c r="XU40" s="189"/>
      <c r="XW40" s="188"/>
      <c r="XX40" s="187"/>
      <c r="YD40" s="188"/>
      <c r="YE40" s="187"/>
      <c r="YK40" s="188"/>
      <c r="YL40" s="187"/>
      <c r="YR40" s="188"/>
      <c r="YS40" s="187"/>
      <c r="YY40" s="168"/>
      <c r="YZ40" s="189"/>
      <c r="ZF40" s="188"/>
      <c r="ZG40" s="187"/>
      <c r="ZM40" s="188"/>
      <c r="ZN40" s="187"/>
      <c r="ZT40" s="188"/>
      <c r="ZU40" s="187"/>
      <c r="AAA40" s="188"/>
      <c r="AAB40" s="187"/>
      <c r="AAC40" s="168"/>
      <c r="AAD40" s="189"/>
      <c r="AAH40" s="188"/>
      <c r="AAI40" s="187"/>
      <c r="AAO40" s="188"/>
      <c r="AAP40" s="187"/>
      <c r="AAV40" s="188"/>
      <c r="AAW40" s="187"/>
      <c r="ABC40" s="188"/>
      <c r="ABD40" s="187"/>
      <c r="ABH40" s="168"/>
      <c r="ABI40" s="189"/>
      <c r="ABJ40" s="188"/>
      <c r="ABK40" s="187"/>
      <c r="ABQ40" s="188"/>
      <c r="ABR40" s="187"/>
      <c r="ABX40" s="188"/>
      <c r="ABY40" s="187"/>
      <c r="ACE40" s="188"/>
      <c r="ACF40" s="187"/>
      <c r="ACL40" s="188"/>
      <c r="ACM40" s="190"/>
      <c r="ACN40" s="189"/>
      <c r="ACS40" s="188"/>
      <c r="ACT40" s="187"/>
      <c r="ACZ40" s="188"/>
      <c r="ADA40" s="187"/>
      <c r="ADG40" s="188"/>
      <c r="ADH40" s="187"/>
      <c r="ADN40" s="188"/>
      <c r="ADO40" s="190"/>
      <c r="ADP40" s="189"/>
      <c r="ADU40" s="188"/>
      <c r="ADV40" s="187"/>
      <c r="AEB40" s="188"/>
      <c r="AEC40" s="187"/>
      <c r="AEI40" s="188"/>
      <c r="AEJ40" s="187"/>
      <c r="AEP40" s="188"/>
      <c r="AEQ40" s="187"/>
      <c r="AET40" s="168"/>
      <c r="AEU40" s="189"/>
      <c r="AEW40" s="188"/>
      <c r="AEX40" s="187"/>
      <c r="AFD40" s="188"/>
      <c r="AFE40" s="187"/>
      <c r="AFK40" s="188"/>
      <c r="AFL40" s="187"/>
      <c r="AFR40" s="188"/>
      <c r="AFS40" s="187"/>
      <c r="AFX40" s="168"/>
      <c r="AFY40" s="191"/>
      <c r="AFZ40" s="187"/>
      <c r="AGF40" s="188"/>
      <c r="AGG40" s="187"/>
      <c r="AGM40" s="188"/>
      <c r="AGN40" s="187"/>
      <c r="AGT40" s="188"/>
      <c r="AGU40" s="187"/>
      <c r="AHA40" s="188"/>
      <c r="AHB40" s="187"/>
      <c r="AHC40" s="168"/>
      <c r="AHD40" s="189"/>
      <c r="AHH40" s="188"/>
      <c r="AHI40" s="187"/>
      <c r="AHO40" s="188"/>
      <c r="AHP40" s="187"/>
      <c r="AHV40" s="188"/>
      <c r="AHW40" s="187"/>
      <c r="AIC40" s="188"/>
      <c r="AID40" s="187"/>
      <c r="AIG40" s="168"/>
      <c r="AIH40" s="189"/>
      <c r="AIJ40" s="188"/>
      <c r="AIK40" s="187"/>
      <c r="AIQ40" s="188"/>
      <c r="AIR40" s="187"/>
      <c r="AIX40" s="188"/>
      <c r="AIY40" s="187"/>
      <c r="AJE40" s="188"/>
      <c r="AJF40" s="187"/>
      <c r="AJL40" s="168"/>
      <c r="AJM40" s="189"/>
      <c r="AJS40" s="188"/>
      <c r="AJT40" s="187"/>
      <c r="AJZ40" s="188"/>
      <c r="AKA40" s="187"/>
      <c r="AKG40" s="188"/>
      <c r="AKH40" s="187"/>
      <c r="AKN40" s="188"/>
      <c r="AKO40" s="187"/>
      <c r="AKQ40" s="168"/>
      <c r="AKR40" s="189"/>
      <c r="AKU40" s="188"/>
      <c r="AKV40" s="187"/>
      <c r="ALB40" s="188"/>
      <c r="ALC40" s="187"/>
      <c r="ALI40" s="188"/>
      <c r="ALJ40" s="187"/>
      <c r="ALP40" s="188"/>
      <c r="ALQ40" s="187"/>
      <c r="ALU40" s="168"/>
      <c r="ALV40" s="189"/>
      <c r="ALW40" s="188"/>
      <c r="ALX40" s="187"/>
      <c r="AMD40" s="188"/>
      <c r="AME40" s="187"/>
      <c r="AMK40" s="188"/>
      <c r="AML40" s="187"/>
      <c r="AMR40" s="188"/>
      <c r="AMS40" s="187"/>
      <c r="AMY40" s="188"/>
      <c r="AMZ40" s="190"/>
      <c r="ANA40" s="189"/>
      <c r="ANF40" s="188"/>
      <c r="ANG40" s="187"/>
      <c r="ANM40" s="188"/>
      <c r="ANN40" s="187"/>
      <c r="ANT40" s="188"/>
      <c r="ANU40" s="187"/>
      <c r="AOA40" s="188"/>
      <c r="AOB40" s="187"/>
      <c r="AOD40" s="168"/>
      <c r="AOE40" s="189"/>
      <c r="AOH40" s="188"/>
      <c r="AOI40" s="187"/>
      <c r="AOO40" s="188"/>
      <c r="AOP40" s="187"/>
      <c r="AOV40" s="188"/>
      <c r="AOW40" s="187"/>
      <c r="APC40" s="188"/>
      <c r="APD40" s="187"/>
      <c r="API40" s="168"/>
      <c r="APJ40" s="191"/>
      <c r="APK40" s="187"/>
      <c r="APQ40" s="188"/>
      <c r="APR40" s="187"/>
      <c r="APX40" s="188"/>
      <c r="APY40" s="187"/>
      <c r="AQE40" s="188"/>
      <c r="AQF40" s="187"/>
      <c r="AQL40" s="188"/>
      <c r="AQM40" s="187"/>
      <c r="AQN40" s="168"/>
      <c r="AQO40" s="189"/>
      <c r="AQS40" s="188"/>
      <c r="AQT40" s="187"/>
      <c r="AQZ40" s="188"/>
      <c r="ARA40" s="187"/>
      <c r="ARG40" s="188"/>
      <c r="ARH40" s="187"/>
      <c r="ARN40" s="188"/>
      <c r="ARO40" s="187"/>
      <c r="ARP40" s="168"/>
      <c r="ARQ40" s="189"/>
      <c r="ARU40" s="188"/>
      <c r="ARV40" s="187"/>
      <c r="ASB40" s="188"/>
      <c r="ASC40" s="187"/>
      <c r="ASI40" s="188"/>
      <c r="ASJ40" s="187"/>
      <c r="ASP40" s="188"/>
      <c r="ASQ40" s="187"/>
      <c r="ASU40" s="168"/>
      <c r="ASV40" s="189"/>
      <c r="ASW40" s="188"/>
      <c r="ASX40" s="187"/>
      <c r="ATD40" s="188"/>
      <c r="ATE40" s="187"/>
      <c r="ATK40" s="188"/>
      <c r="ATL40" s="187"/>
      <c r="ATR40" s="188"/>
      <c r="ATS40" s="187"/>
      <c r="ATY40" s="168"/>
      <c r="ATZ40" s="189"/>
      <c r="AUF40" s="188"/>
      <c r="AUG40" s="187"/>
      <c r="AUM40" s="188"/>
      <c r="AUN40" s="187"/>
      <c r="AUT40" s="188"/>
      <c r="AUU40" s="187"/>
      <c r="AVA40" s="188"/>
      <c r="AVB40" s="187"/>
      <c r="AVD40" s="168"/>
      <c r="AVE40" s="189"/>
      <c r="AVH40" s="188"/>
      <c r="AVI40" s="187"/>
      <c r="AVO40" s="188"/>
      <c r="AVP40" s="187"/>
      <c r="AVV40" s="188"/>
      <c r="AVW40" s="187"/>
      <c r="AWC40" s="188"/>
      <c r="AWD40" s="187"/>
      <c r="AWH40" s="168"/>
      <c r="AWI40" s="189"/>
      <c r="AWJ40" s="188"/>
      <c r="AWK40" s="187"/>
      <c r="AWQ40" s="188"/>
      <c r="AWR40" s="187"/>
      <c r="AWX40" s="188"/>
      <c r="AWY40" s="187"/>
      <c r="AXE40" s="188"/>
      <c r="AXF40" s="187"/>
      <c r="AXL40" s="188"/>
      <c r="AXM40" s="190"/>
      <c r="AXN40" s="189"/>
      <c r="AXS40" s="188"/>
      <c r="AXT40" s="187"/>
      <c r="AXZ40" s="188"/>
      <c r="AYA40" s="187"/>
      <c r="AYG40" s="188"/>
      <c r="AYH40" s="187"/>
      <c r="AYN40" s="188"/>
      <c r="AYO40" s="187"/>
      <c r="AYR40" s="168"/>
      <c r="AYS40" s="189"/>
      <c r="AYU40" s="188"/>
      <c r="AYV40" s="187"/>
      <c r="AZB40" s="188"/>
      <c r="AZC40" s="187"/>
      <c r="AZI40" s="188"/>
      <c r="AZJ40" s="187"/>
      <c r="AZP40" s="188"/>
      <c r="AZQ40" s="187"/>
      <c r="AZV40" s="168"/>
      <c r="AZW40" s="191"/>
      <c r="AZX40" s="187"/>
      <c r="BAD40" s="188"/>
      <c r="BAE40" s="187"/>
      <c r="BAK40" s="188"/>
      <c r="BAL40" s="187"/>
      <c r="BAR40" s="188"/>
      <c r="BAS40" s="187"/>
      <c r="BAY40" s="188"/>
      <c r="BAZ40" s="187"/>
      <c r="BBA40" s="168"/>
      <c r="BBB40" s="189"/>
      <c r="BBF40" s="188"/>
      <c r="BBG40" s="187"/>
      <c r="BBM40" s="188"/>
      <c r="BBN40" s="187"/>
      <c r="BBT40" s="188"/>
      <c r="BBU40" s="187"/>
      <c r="BCA40" s="188"/>
      <c r="BCB40" s="187"/>
      <c r="BCE40" s="168"/>
      <c r="BCF40" s="189"/>
      <c r="BCH40" s="188"/>
      <c r="BCI40" s="187"/>
      <c r="BCO40" s="188"/>
      <c r="BCP40" s="187"/>
      <c r="BCV40" s="188"/>
      <c r="BCW40" s="187"/>
      <c r="BDC40" s="188"/>
      <c r="BDD40" s="187"/>
      <c r="BDJ40" s="168"/>
      <c r="BDK40" s="189"/>
      <c r="BDQ40" s="188"/>
      <c r="BDR40" s="187"/>
      <c r="BDX40" s="188"/>
      <c r="BDY40" s="187"/>
      <c r="BEE40" s="188"/>
      <c r="BEF40" s="187"/>
      <c r="BEL40" s="188"/>
      <c r="BEM40" s="187"/>
      <c r="BEO40" s="168"/>
      <c r="BEP40" s="189"/>
      <c r="BES40" s="188"/>
      <c r="BET40" s="187"/>
      <c r="BEZ40" s="188"/>
      <c r="BFA40" s="187"/>
      <c r="BFG40" s="188"/>
      <c r="BFH40" s="187"/>
      <c r="BFN40" s="188"/>
      <c r="BFO40" s="187"/>
      <c r="BFQ40" s="168"/>
      <c r="BFR40" s="189"/>
      <c r="BFU40" s="188"/>
      <c r="BFV40" s="187"/>
      <c r="BGB40" s="188"/>
      <c r="BGC40" s="187"/>
      <c r="BGI40" s="188"/>
      <c r="BGJ40" s="187"/>
      <c r="BGP40" s="188"/>
      <c r="BGQ40" s="187"/>
      <c r="BGV40" s="168"/>
      <c r="BGW40" s="191"/>
      <c r="BGX40" s="187"/>
      <c r="BHD40" s="188"/>
      <c r="BHE40" s="187"/>
      <c r="BHK40" s="188"/>
      <c r="BHL40" s="187"/>
      <c r="BHR40" s="188"/>
      <c r="BHS40" s="187"/>
      <c r="BHY40" s="188"/>
      <c r="BHZ40" s="190"/>
      <c r="BIA40" s="189"/>
      <c r="BIF40" s="188"/>
      <c r="BIG40" s="187"/>
      <c r="BIM40" s="188"/>
      <c r="BIN40" s="187"/>
      <c r="BIT40" s="188"/>
      <c r="BIU40" s="187"/>
      <c r="BJA40" s="188"/>
      <c r="BJB40" s="187"/>
      <c r="BJE40" s="168"/>
      <c r="BJF40" s="189"/>
      <c r="BJH40" s="188"/>
      <c r="BJI40" s="187"/>
      <c r="BJO40" s="188"/>
      <c r="BJP40" s="187"/>
      <c r="BJV40" s="188"/>
      <c r="BJW40" s="187"/>
      <c r="BKC40" s="188"/>
      <c r="BKD40" s="187"/>
      <c r="BKI40" s="168"/>
      <c r="BKJ40" s="191"/>
      <c r="BKK40" s="187"/>
      <c r="BKQ40" s="188"/>
      <c r="BKR40" s="187"/>
      <c r="BKX40" s="188"/>
      <c r="BKY40" s="187"/>
      <c r="BLE40" s="188"/>
      <c r="BLF40" s="187"/>
      <c r="BLL40" s="188"/>
      <c r="BLM40" s="187"/>
      <c r="BLN40" s="168"/>
      <c r="BLO40" s="189"/>
      <c r="BLS40" s="188"/>
      <c r="BLT40" s="187"/>
      <c r="BLZ40" s="188"/>
      <c r="BMA40" s="187"/>
      <c r="BMG40" s="188"/>
      <c r="BMH40" s="187"/>
      <c r="BMN40" s="188"/>
      <c r="BMO40" s="187"/>
      <c r="BMS40" s="168"/>
      <c r="BMT40" s="189"/>
      <c r="BMU40" s="188"/>
      <c r="BMV40" s="187"/>
      <c r="BNB40" s="188"/>
      <c r="BNC40" s="187"/>
      <c r="BNI40" s="188"/>
      <c r="BNJ40" s="187"/>
      <c r="BNP40" s="188"/>
      <c r="BNQ40" s="187"/>
      <c r="BNW40" s="168"/>
      <c r="BNX40" s="189"/>
      <c r="BOD40" s="188"/>
      <c r="BOE40" s="187"/>
      <c r="BOK40" s="188"/>
      <c r="BOL40" s="187"/>
      <c r="BOR40" s="188"/>
      <c r="BOS40" s="187"/>
      <c r="BOY40" s="188"/>
      <c r="BOZ40" s="187"/>
      <c r="BPB40" s="168"/>
      <c r="BPC40" s="189"/>
      <c r="BPF40" s="188"/>
      <c r="BPG40" s="187"/>
      <c r="BPM40" s="188"/>
      <c r="BPN40" s="187"/>
      <c r="BPT40" s="188"/>
      <c r="BPU40" s="187"/>
      <c r="BQA40" s="188"/>
      <c r="BQB40" s="187"/>
      <c r="BQF40" s="168"/>
      <c r="BQG40" s="189"/>
      <c r="BQH40" s="188"/>
      <c r="BQI40" s="187"/>
      <c r="BQO40" s="188"/>
      <c r="BQP40" s="187"/>
      <c r="BQV40" s="188"/>
      <c r="BQW40" s="187"/>
      <c r="BRC40" s="188"/>
      <c r="BRD40" s="187"/>
      <c r="BRJ40" s="188"/>
      <c r="BRK40" s="190"/>
      <c r="BRL40" s="189"/>
      <c r="BRQ40" s="188"/>
      <c r="BRR40" s="187"/>
      <c r="BRX40" s="188"/>
      <c r="BRY40" s="187"/>
      <c r="BSE40" s="188"/>
      <c r="BSF40" s="187"/>
      <c r="BSL40" s="188"/>
      <c r="BSM40" s="187"/>
      <c r="BSP40" s="168"/>
      <c r="BSQ40" s="189"/>
      <c r="BSS40" s="188"/>
      <c r="BST40" s="187"/>
      <c r="BSZ40" s="188"/>
      <c r="BTA40" s="187"/>
      <c r="BTG40" s="188"/>
      <c r="BTH40" s="187"/>
      <c r="BTN40" s="188"/>
      <c r="BTO40" s="187"/>
      <c r="BTS40" s="168"/>
      <c r="BTT40" s="189"/>
      <c r="BTU40" s="188"/>
      <c r="BTV40" s="187"/>
      <c r="BUB40" s="188"/>
      <c r="BUC40" s="187"/>
      <c r="BUI40" s="188"/>
      <c r="BUJ40" s="187"/>
      <c r="BUP40" s="188"/>
      <c r="BUQ40" s="187"/>
      <c r="BUW40" s="188"/>
      <c r="BUX40" s="190"/>
      <c r="BUY40" s="189"/>
      <c r="BVD40" s="188"/>
      <c r="BVE40" s="187"/>
      <c r="BVK40" s="188"/>
      <c r="BVL40" s="187"/>
      <c r="BVR40" s="188"/>
      <c r="BVS40" s="187"/>
      <c r="BVY40" s="188"/>
      <c r="BVZ40" s="187"/>
      <c r="BWB40" s="168"/>
      <c r="BWC40" s="189"/>
      <c r="BWF40" s="188"/>
      <c r="BWG40" s="187"/>
      <c r="BWM40" s="188"/>
      <c r="BWN40" s="187"/>
      <c r="BWT40" s="188"/>
      <c r="BWU40" s="187"/>
      <c r="BXA40" s="188"/>
      <c r="BXB40" s="187"/>
      <c r="BXG40" s="168"/>
      <c r="BXH40" s="191"/>
      <c r="BXI40" s="187"/>
      <c r="BXO40" s="188"/>
      <c r="BXP40" s="187"/>
      <c r="BXV40" s="188"/>
      <c r="BXW40" s="187"/>
      <c r="BYC40" s="188"/>
      <c r="BYD40" s="187"/>
      <c r="BYJ40" s="188"/>
      <c r="BYK40" s="190"/>
      <c r="BYL40" s="189"/>
      <c r="BYQ40" s="188"/>
      <c r="BYR40" s="187"/>
      <c r="BYX40" s="188"/>
      <c r="BYY40" s="187"/>
      <c r="BZE40" s="188"/>
      <c r="BZF40" s="187"/>
      <c r="BZL40" s="188"/>
      <c r="BZM40" s="187"/>
      <c r="BZP40" s="168"/>
      <c r="BZQ40" s="189"/>
      <c r="BZS40" s="188"/>
      <c r="BZT40" s="187"/>
      <c r="BZZ40" s="188"/>
      <c r="CAA40" s="187"/>
      <c r="CAG40" s="188"/>
      <c r="CAH40" s="187"/>
      <c r="CAN40" s="188"/>
      <c r="CAO40" s="187"/>
      <c r="CAU40" s="168"/>
      <c r="CAV40" s="189"/>
      <c r="CBB40" s="188"/>
      <c r="CBC40" s="187"/>
      <c r="CBI40" s="188"/>
      <c r="CBJ40" s="187"/>
      <c r="CBP40" s="188"/>
      <c r="CBQ40" s="187"/>
      <c r="CBW40" s="188"/>
      <c r="CBX40" s="187"/>
      <c r="CBY40" s="168"/>
      <c r="CBZ40" s="189"/>
      <c r="CCD40" s="188"/>
      <c r="CCE40" s="187"/>
      <c r="CCK40" s="188"/>
      <c r="CCL40" s="187"/>
      <c r="CCR40" s="188"/>
      <c r="CCS40" s="187"/>
      <c r="CCY40" s="188"/>
      <c r="CCZ40" s="187"/>
      <c r="CDD40" s="168"/>
      <c r="CDE40" s="189"/>
      <c r="CDF40" s="188"/>
      <c r="CDG40" s="187"/>
      <c r="CDM40" s="188"/>
      <c r="CDN40" s="187"/>
      <c r="CDT40" s="188"/>
      <c r="CDU40" s="187"/>
      <c r="CEA40" s="188"/>
      <c r="CEB40" s="187"/>
      <c r="CEH40" s="168"/>
      <c r="CEI40" s="189"/>
      <c r="CEO40" s="188"/>
      <c r="CEP40" s="187"/>
      <c r="CEV40" s="188"/>
      <c r="CEW40" s="187"/>
      <c r="CFC40" s="188"/>
      <c r="CFD40" s="187"/>
      <c r="CFJ40" s="188"/>
      <c r="CFK40" s="187"/>
    </row>
    <row r="41" spans="1:1019 1025:2048 2054:2195">
      <c r="A41" s="164" t="s">
        <v>304</v>
      </c>
      <c r="C41" s="164" t="s">
        <v>305</v>
      </c>
      <c r="D41" s="186"/>
      <c r="E41" s="186"/>
      <c r="K41" s="187"/>
      <c r="Q41" s="188"/>
      <c r="R41" s="187"/>
      <c r="X41" s="188"/>
      <c r="Y41" s="187"/>
      <c r="AE41" s="188"/>
      <c r="AF41" s="187"/>
      <c r="AJ41" s="168"/>
      <c r="AK41" s="189"/>
      <c r="AL41" s="188"/>
      <c r="AM41" s="187"/>
      <c r="AS41" s="188"/>
      <c r="AT41" s="187"/>
      <c r="AZ41" s="188"/>
      <c r="BA41" s="187"/>
      <c r="BG41" s="188"/>
      <c r="BH41" s="187"/>
      <c r="BL41" s="168"/>
      <c r="BM41" s="189"/>
      <c r="BN41" s="188"/>
      <c r="BO41" s="187"/>
      <c r="BU41" s="188"/>
      <c r="BV41" s="187"/>
      <c r="CB41" s="188"/>
      <c r="CC41" s="187"/>
      <c r="CI41" s="188"/>
      <c r="CJ41" s="187"/>
      <c r="CP41" s="188"/>
      <c r="CQ41" s="190"/>
      <c r="CR41" s="189"/>
      <c r="CW41" s="188"/>
      <c r="CX41" s="187"/>
      <c r="DD41" s="188"/>
      <c r="DE41" s="187"/>
      <c r="DK41" s="188"/>
      <c r="DL41" s="187"/>
      <c r="DR41" s="188"/>
      <c r="DS41" s="187"/>
      <c r="DU41" s="168"/>
      <c r="DV41" s="189"/>
      <c r="DY41" s="188"/>
      <c r="DZ41" s="187"/>
      <c r="EF41" s="188"/>
      <c r="EG41" s="187"/>
      <c r="EM41" s="188"/>
      <c r="EN41" s="187"/>
      <c r="ET41" s="188"/>
      <c r="EU41" s="187"/>
      <c r="EZ41" s="168"/>
      <c r="FA41" s="191"/>
      <c r="FB41" s="187"/>
      <c r="FH41" s="188"/>
      <c r="FI41" s="187"/>
      <c r="FO41" s="188"/>
      <c r="FP41" s="187"/>
      <c r="FV41" s="188"/>
      <c r="FW41" s="187"/>
      <c r="GC41" s="188"/>
      <c r="GD41" s="190"/>
      <c r="GE41" s="189"/>
      <c r="GJ41" s="188"/>
      <c r="GK41" s="187"/>
      <c r="GQ41" s="188"/>
      <c r="GR41" s="187"/>
      <c r="GX41" s="188"/>
      <c r="GY41" s="187"/>
      <c r="HE41" s="188"/>
      <c r="HF41" s="187"/>
      <c r="HI41" s="168"/>
      <c r="HJ41" s="189"/>
      <c r="HL41" s="188"/>
      <c r="HM41" s="187"/>
      <c r="HS41" s="188"/>
      <c r="HT41" s="187"/>
      <c r="HZ41" s="188"/>
      <c r="IA41" s="187"/>
      <c r="IG41" s="188"/>
      <c r="IH41" s="187"/>
      <c r="IN41" s="168"/>
      <c r="IO41" s="189"/>
      <c r="IU41" s="188"/>
      <c r="IV41" s="187"/>
      <c r="JB41" s="188"/>
      <c r="JC41" s="187"/>
      <c r="JI41" s="188"/>
      <c r="JJ41" s="187"/>
      <c r="JP41" s="188"/>
      <c r="JQ41" s="187"/>
      <c r="JR41" s="168"/>
      <c r="JS41" s="189"/>
      <c r="JW41" s="188"/>
      <c r="JX41" s="187"/>
      <c r="KD41" s="188"/>
      <c r="KE41" s="187"/>
      <c r="KK41" s="188"/>
      <c r="KL41" s="187"/>
      <c r="KR41" s="188"/>
      <c r="KS41" s="187"/>
      <c r="KW41" s="168"/>
      <c r="KX41" s="189"/>
      <c r="KY41" s="188"/>
      <c r="KZ41" s="187"/>
      <c r="LF41" s="188"/>
      <c r="LG41" s="187"/>
      <c r="LM41" s="188"/>
      <c r="LN41" s="187"/>
      <c r="LT41" s="188"/>
      <c r="LU41" s="187"/>
      <c r="MA41" s="168"/>
      <c r="MB41" s="189"/>
      <c r="MH41" s="188"/>
      <c r="MI41" s="187"/>
      <c r="MO41" s="188"/>
      <c r="MP41" s="187"/>
      <c r="MV41" s="188"/>
      <c r="MW41" s="187"/>
      <c r="NC41" s="188"/>
      <c r="ND41" s="187"/>
      <c r="NF41" s="168"/>
      <c r="NG41" s="189"/>
      <c r="NJ41" s="188"/>
      <c r="NK41" s="187"/>
      <c r="NQ41" s="188"/>
      <c r="NR41" s="187"/>
      <c r="NX41" s="188"/>
      <c r="NY41" s="187"/>
      <c r="OE41" s="188"/>
      <c r="OF41" s="187"/>
      <c r="OK41" s="168"/>
      <c r="OL41" s="191"/>
      <c r="OM41" s="187"/>
      <c r="OS41" s="188"/>
      <c r="OT41" s="187"/>
      <c r="OZ41" s="188"/>
      <c r="PA41" s="187"/>
      <c r="PG41" s="188"/>
      <c r="PH41" s="187"/>
      <c r="PN41" s="168"/>
      <c r="PO41" s="189"/>
      <c r="PU41" s="188"/>
      <c r="PV41" s="187"/>
      <c r="QB41" s="188"/>
      <c r="QC41" s="187"/>
      <c r="QI41" s="188"/>
      <c r="QJ41" s="187"/>
      <c r="QP41" s="188"/>
      <c r="QQ41" s="187"/>
      <c r="QS41" s="168"/>
      <c r="QT41" s="189"/>
      <c r="QW41" s="188"/>
      <c r="QX41" s="187"/>
      <c r="RD41" s="188"/>
      <c r="RE41" s="187"/>
      <c r="RK41" s="188"/>
      <c r="RL41" s="187"/>
      <c r="RR41" s="188"/>
      <c r="RS41" s="187"/>
      <c r="RW41" s="168"/>
      <c r="RX41" s="189"/>
      <c r="RY41" s="188"/>
      <c r="RZ41" s="187"/>
      <c r="SF41" s="188"/>
      <c r="SG41" s="187"/>
      <c r="SM41" s="188"/>
      <c r="SN41" s="187"/>
      <c r="ST41" s="188"/>
      <c r="SU41" s="187"/>
      <c r="TA41" s="188"/>
      <c r="TB41" s="190"/>
      <c r="TC41" s="189"/>
      <c r="TH41" s="188"/>
      <c r="TI41" s="187"/>
      <c r="TO41" s="188"/>
      <c r="TP41" s="187"/>
      <c r="TV41" s="188"/>
      <c r="TW41" s="187"/>
      <c r="UC41" s="188"/>
      <c r="UD41" s="187"/>
      <c r="UF41" s="168"/>
      <c r="UG41" s="189"/>
      <c r="UJ41" s="188"/>
      <c r="UK41" s="187"/>
      <c r="UQ41" s="188"/>
      <c r="UR41" s="187"/>
      <c r="UX41" s="188"/>
      <c r="UY41" s="187"/>
      <c r="VE41" s="188"/>
      <c r="VF41" s="187"/>
      <c r="VK41" s="168"/>
      <c r="VL41" s="191"/>
      <c r="VM41" s="187"/>
      <c r="VS41" s="188"/>
      <c r="VT41" s="187"/>
      <c r="VZ41" s="188"/>
      <c r="WA41" s="187"/>
      <c r="WG41" s="188"/>
      <c r="WH41" s="187"/>
      <c r="WN41" s="188"/>
      <c r="WO41" s="187"/>
      <c r="WP41" s="168"/>
      <c r="WQ41" s="189"/>
      <c r="WU41" s="188"/>
      <c r="WV41" s="187"/>
      <c r="XB41" s="188"/>
      <c r="XC41" s="187"/>
      <c r="XI41" s="188"/>
      <c r="XJ41" s="187"/>
      <c r="XP41" s="188"/>
      <c r="XQ41" s="187"/>
      <c r="XT41" s="168"/>
      <c r="XU41" s="189"/>
      <c r="XW41" s="188"/>
      <c r="XX41" s="187"/>
      <c r="YD41" s="188"/>
      <c r="YE41" s="187"/>
      <c r="YK41" s="188"/>
      <c r="YL41" s="187"/>
      <c r="YR41" s="188"/>
      <c r="YS41" s="187"/>
      <c r="YY41" s="168"/>
      <c r="YZ41" s="189"/>
      <c r="ZF41" s="188"/>
      <c r="ZG41" s="187"/>
      <c r="ZM41" s="188"/>
      <c r="ZN41" s="187"/>
      <c r="ZT41" s="188"/>
      <c r="ZU41" s="187"/>
      <c r="AAA41" s="188"/>
      <c r="AAB41" s="187"/>
      <c r="AAC41" s="168"/>
      <c r="AAD41" s="189"/>
      <c r="AAH41" s="188"/>
      <c r="AAI41" s="187"/>
      <c r="AAO41" s="188"/>
      <c r="AAP41" s="187"/>
      <c r="AAV41" s="188"/>
      <c r="AAW41" s="187"/>
      <c r="ABC41" s="188"/>
      <c r="ABD41" s="187"/>
      <c r="ABH41" s="168"/>
      <c r="ABI41" s="189"/>
      <c r="ABJ41" s="188"/>
      <c r="ABK41" s="187"/>
      <c r="ABQ41" s="188"/>
      <c r="ABR41" s="187"/>
      <c r="ABX41" s="188"/>
      <c r="ABY41" s="187"/>
      <c r="ACE41" s="188"/>
      <c r="ACF41" s="187"/>
      <c r="ACL41" s="188"/>
      <c r="ACM41" s="190"/>
      <c r="ACN41" s="189"/>
      <c r="ACS41" s="188"/>
      <c r="ACT41" s="187"/>
      <c r="ACZ41" s="188"/>
      <c r="ADA41" s="187"/>
      <c r="ADG41" s="188"/>
      <c r="ADH41" s="187"/>
      <c r="ADN41" s="188"/>
      <c r="ADO41" s="190"/>
      <c r="ADP41" s="189"/>
      <c r="ADU41" s="188"/>
      <c r="ADV41" s="187"/>
      <c r="AEB41" s="188"/>
      <c r="AEC41" s="187"/>
      <c r="AEI41" s="188"/>
      <c r="AEJ41" s="187"/>
      <c r="AEP41" s="188"/>
      <c r="AEQ41" s="187"/>
      <c r="AET41" s="168"/>
      <c r="AEU41" s="189"/>
      <c r="AEW41" s="188"/>
      <c r="AEX41" s="187"/>
      <c r="AFD41" s="188"/>
      <c r="AFE41" s="187"/>
      <c r="AFK41" s="188"/>
      <c r="AFL41" s="187"/>
      <c r="AFR41" s="188"/>
      <c r="AFS41" s="187"/>
      <c r="AFX41" s="168"/>
      <c r="AFY41" s="191"/>
      <c r="AFZ41" s="187"/>
      <c r="AGF41" s="188"/>
      <c r="AGG41" s="187"/>
      <c r="AGM41" s="188"/>
      <c r="AGN41" s="187"/>
      <c r="AGT41" s="188"/>
      <c r="AGU41" s="187"/>
      <c r="AHA41" s="188"/>
      <c r="AHB41" s="187"/>
      <c r="AHC41" s="168"/>
      <c r="AHD41" s="189"/>
      <c r="AHH41" s="188"/>
      <c r="AHI41" s="187"/>
      <c r="AHO41" s="188"/>
      <c r="AHP41" s="187"/>
      <c r="AHV41" s="188"/>
      <c r="AHW41" s="187"/>
      <c r="AIC41" s="188"/>
      <c r="AID41" s="187"/>
      <c r="AIG41" s="168"/>
      <c r="AIH41" s="189"/>
      <c r="AIJ41" s="188"/>
      <c r="AIK41" s="187"/>
      <c r="AIQ41" s="188"/>
      <c r="AIR41" s="187"/>
      <c r="AIX41" s="188"/>
      <c r="AIY41" s="187"/>
      <c r="AJE41" s="188"/>
      <c r="AJF41" s="187"/>
      <c r="AJL41" s="168"/>
      <c r="AJM41" s="189"/>
      <c r="AJS41" s="188"/>
      <c r="AJT41" s="187"/>
      <c r="AJZ41" s="188"/>
      <c r="AKA41" s="187"/>
      <c r="AKG41" s="188"/>
      <c r="AKH41" s="187"/>
      <c r="AKN41" s="188"/>
      <c r="AKO41" s="187"/>
      <c r="AKQ41" s="168"/>
      <c r="AKR41" s="189"/>
      <c r="AKU41" s="188"/>
      <c r="AKV41" s="187"/>
      <c r="ALB41" s="188"/>
      <c r="ALC41" s="187"/>
      <c r="ALI41" s="188"/>
      <c r="ALJ41" s="187"/>
      <c r="ALP41" s="188"/>
      <c r="ALQ41" s="187"/>
      <c r="ALU41" s="168"/>
      <c r="ALV41" s="189"/>
      <c r="ALW41" s="188"/>
      <c r="ALX41" s="187"/>
      <c r="AMD41" s="188"/>
      <c r="AME41" s="187"/>
      <c r="AMK41" s="188"/>
      <c r="AML41" s="187"/>
      <c r="AMR41" s="188"/>
      <c r="AMS41" s="187"/>
      <c r="AMY41" s="188"/>
      <c r="AMZ41" s="190"/>
      <c r="ANA41" s="189"/>
      <c r="ANF41" s="188"/>
      <c r="ANG41" s="187"/>
      <c r="ANM41" s="188"/>
      <c r="ANN41" s="187"/>
      <c r="ANT41" s="188"/>
      <c r="ANU41" s="187"/>
      <c r="AOA41" s="188"/>
      <c r="AOB41" s="187"/>
      <c r="AOD41" s="168"/>
      <c r="AOE41" s="189"/>
      <c r="AOH41" s="188"/>
      <c r="AOI41" s="187"/>
      <c r="AOO41" s="188"/>
      <c r="AOP41" s="187"/>
      <c r="AOV41" s="188"/>
      <c r="AOW41" s="187"/>
      <c r="APC41" s="188"/>
      <c r="APD41" s="187"/>
      <c r="API41" s="168"/>
      <c r="APJ41" s="191"/>
      <c r="APK41" s="187"/>
      <c r="APQ41" s="188"/>
      <c r="APR41" s="187"/>
      <c r="APX41" s="188"/>
      <c r="APY41" s="187"/>
      <c r="AQE41" s="188"/>
      <c r="AQF41" s="187"/>
      <c r="AQL41" s="188"/>
      <c r="AQM41" s="187"/>
      <c r="AQN41" s="168"/>
      <c r="AQO41" s="189"/>
      <c r="AQS41" s="188"/>
      <c r="AQT41" s="187"/>
      <c r="AQZ41" s="188"/>
      <c r="ARA41" s="187"/>
      <c r="ARG41" s="188"/>
      <c r="ARH41" s="187"/>
      <c r="ARN41" s="188"/>
      <c r="ARO41" s="187"/>
      <c r="ARP41" s="168"/>
      <c r="ARQ41" s="189"/>
      <c r="ARU41" s="188"/>
      <c r="ARV41" s="187"/>
      <c r="ASB41" s="188"/>
      <c r="ASC41" s="187"/>
      <c r="ASI41" s="188"/>
      <c r="ASJ41" s="187"/>
      <c r="ASP41" s="188"/>
      <c r="ASQ41" s="187"/>
      <c r="ASU41" s="168"/>
      <c r="ASV41" s="189"/>
      <c r="ASW41" s="188"/>
      <c r="ASX41" s="187"/>
      <c r="ATD41" s="188"/>
      <c r="ATE41" s="187"/>
      <c r="ATK41" s="188"/>
      <c r="ATL41" s="187"/>
      <c r="ATR41" s="188"/>
      <c r="ATS41" s="187"/>
      <c r="ATY41" s="168"/>
      <c r="ATZ41" s="189"/>
      <c r="AUF41" s="188"/>
      <c r="AUG41" s="187"/>
      <c r="AUM41" s="188"/>
      <c r="AUN41" s="187"/>
      <c r="AUT41" s="188"/>
      <c r="AUU41" s="187"/>
      <c r="AVA41" s="188"/>
      <c r="AVB41" s="187"/>
      <c r="AVD41" s="168"/>
      <c r="AVE41" s="189"/>
      <c r="AVH41" s="188"/>
      <c r="AVI41" s="187"/>
      <c r="AVO41" s="188"/>
      <c r="AVP41" s="187"/>
      <c r="AVV41" s="188"/>
      <c r="AVW41" s="187"/>
      <c r="AWC41" s="188"/>
      <c r="AWD41" s="187"/>
      <c r="AWH41" s="168"/>
      <c r="AWI41" s="189"/>
      <c r="AWJ41" s="188"/>
      <c r="AWK41" s="187"/>
      <c r="AWQ41" s="188"/>
      <c r="AWR41" s="187"/>
      <c r="AWX41" s="188"/>
      <c r="AWY41" s="187"/>
      <c r="AXE41" s="188"/>
      <c r="AXF41" s="187"/>
      <c r="AXL41" s="188"/>
      <c r="AXM41" s="190"/>
      <c r="AXN41" s="189"/>
      <c r="AXS41" s="188"/>
      <c r="AXT41" s="187"/>
      <c r="AXZ41" s="188"/>
      <c r="AYA41" s="187"/>
      <c r="AYG41" s="188"/>
      <c r="AYH41" s="187"/>
      <c r="AYN41" s="188"/>
      <c r="AYO41" s="187"/>
      <c r="AYR41" s="168"/>
      <c r="AYS41" s="189"/>
      <c r="AYU41" s="188"/>
      <c r="AYV41" s="187"/>
      <c r="AZB41" s="188"/>
      <c r="AZC41" s="187"/>
      <c r="AZI41" s="188"/>
      <c r="AZJ41" s="187"/>
      <c r="AZP41" s="188"/>
      <c r="AZQ41" s="187"/>
      <c r="AZV41" s="168"/>
      <c r="AZW41" s="191"/>
      <c r="AZX41" s="187"/>
      <c r="BAD41" s="188"/>
      <c r="BAE41" s="187"/>
      <c r="BAK41" s="188"/>
      <c r="BAL41" s="187"/>
      <c r="BAR41" s="188"/>
      <c r="BAS41" s="187"/>
      <c r="BAY41" s="188"/>
      <c r="BAZ41" s="187"/>
      <c r="BBA41" s="168"/>
      <c r="BBB41" s="189"/>
      <c r="BBF41" s="188"/>
      <c r="BBG41" s="187"/>
      <c r="BBM41" s="188"/>
      <c r="BBN41" s="187"/>
      <c r="BBT41" s="188"/>
      <c r="BBU41" s="187"/>
      <c r="BCA41" s="188"/>
      <c r="BCB41" s="187"/>
      <c r="BCE41" s="168"/>
      <c r="BCF41" s="189"/>
      <c r="BCH41" s="188"/>
      <c r="BCI41" s="187"/>
      <c r="BCO41" s="188"/>
      <c r="BCP41" s="187"/>
      <c r="BCV41" s="188"/>
      <c r="BCW41" s="187"/>
      <c r="BDC41" s="188"/>
      <c r="BDD41" s="187"/>
      <c r="BDJ41" s="168"/>
      <c r="BDK41" s="189"/>
      <c r="BDQ41" s="188"/>
      <c r="BDR41" s="187"/>
      <c r="BDX41" s="188"/>
      <c r="BDY41" s="187"/>
      <c r="BEE41" s="188"/>
      <c r="BEF41" s="187"/>
      <c r="BEL41" s="188"/>
      <c r="BEM41" s="187"/>
      <c r="BEO41" s="168"/>
      <c r="BEP41" s="189"/>
      <c r="BES41" s="188"/>
      <c r="BET41" s="187"/>
      <c r="BEZ41" s="188"/>
      <c r="BFA41" s="187"/>
      <c r="BFG41" s="188"/>
      <c r="BFH41" s="187"/>
      <c r="BFN41" s="188"/>
      <c r="BFO41" s="187"/>
      <c r="BFQ41" s="168"/>
      <c r="BFR41" s="189"/>
      <c r="BFU41" s="188"/>
      <c r="BFV41" s="187"/>
      <c r="BGB41" s="188"/>
      <c r="BGC41" s="187"/>
      <c r="BGI41" s="188"/>
      <c r="BGJ41" s="187"/>
      <c r="BGP41" s="188"/>
      <c r="BGQ41" s="187"/>
      <c r="BGV41" s="168"/>
      <c r="BGW41" s="191"/>
      <c r="BGX41" s="187"/>
      <c r="BHD41" s="188"/>
      <c r="BHE41" s="187"/>
      <c r="BHK41" s="188"/>
      <c r="BHL41" s="187"/>
      <c r="BHR41" s="188"/>
      <c r="BHS41" s="187"/>
      <c r="BHY41" s="188"/>
      <c r="BHZ41" s="190"/>
      <c r="BIA41" s="189"/>
      <c r="BIF41" s="188"/>
      <c r="BIG41" s="187"/>
      <c r="BIM41" s="188"/>
      <c r="BIN41" s="187"/>
      <c r="BIT41" s="188"/>
      <c r="BIU41" s="187"/>
      <c r="BJA41" s="188"/>
      <c r="BJB41" s="187"/>
      <c r="BJE41" s="168"/>
      <c r="BJF41" s="189"/>
      <c r="BJH41" s="188"/>
      <c r="BJI41" s="187"/>
      <c r="BJO41" s="188"/>
      <c r="BJP41" s="187"/>
      <c r="BJV41" s="188"/>
      <c r="BJW41" s="187"/>
      <c r="BKC41" s="188"/>
      <c r="BKD41" s="187"/>
      <c r="BKI41" s="168"/>
      <c r="BKJ41" s="191"/>
      <c r="BKK41" s="187"/>
      <c r="BKQ41" s="188"/>
      <c r="BKR41" s="187"/>
      <c r="BKX41" s="188"/>
      <c r="BKY41" s="187"/>
      <c r="BLE41" s="188"/>
      <c r="BLF41" s="187"/>
      <c r="BLL41" s="188"/>
      <c r="BLM41" s="187"/>
      <c r="BLN41" s="168"/>
      <c r="BLO41" s="189"/>
      <c r="BLS41" s="188"/>
      <c r="BLT41" s="187"/>
      <c r="BLZ41" s="188"/>
      <c r="BMA41" s="187"/>
      <c r="BMG41" s="188"/>
      <c r="BMH41" s="187"/>
      <c r="BMN41" s="188"/>
      <c r="BMO41" s="187"/>
      <c r="BMS41" s="168"/>
      <c r="BMT41" s="189"/>
      <c r="BMU41" s="188"/>
      <c r="BMV41" s="187"/>
      <c r="BNB41" s="188"/>
      <c r="BNC41" s="187"/>
      <c r="BNI41" s="188"/>
      <c r="BNJ41" s="187"/>
      <c r="BNP41" s="188"/>
      <c r="BNQ41" s="187"/>
      <c r="BNW41" s="168"/>
      <c r="BNX41" s="189"/>
      <c r="BOD41" s="188"/>
      <c r="BOE41" s="187"/>
      <c r="BOK41" s="188"/>
      <c r="BOL41" s="187"/>
      <c r="BOR41" s="188"/>
      <c r="BOS41" s="187"/>
      <c r="BOY41" s="188"/>
      <c r="BOZ41" s="187"/>
      <c r="BPB41" s="168"/>
      <c r="BPC41" s="189"/>
      <c r="BPF41" s="188"/>
      <c r="BPG41" s="187"/>
      <c r="BPM41" s="188"/>
      <c r="BPN41" s="187"/>
      <c r="BPT41" s="188"/>
      <c r="BPU41" s="187"/>
      <c r="BQA41" s="188"/>
      <c r="BQB41" s="187"/>
      <c r="BQF41" s="168"/>
      <c r="BQG41" s="189"/>
      <c r="BQH41" s="188"/>
      <c r="BQI41" s="187"/>
      <c r="BQO41" s="188"/>
      <c r="BQP41" s="187"/>
      <c r="BQV41" s="188"/>
      <c r="BQW41" s="187"/>
      <c r="BRC41" s="188"/>
      <c r="BRD41" s="187"/>
      <c r="BRJ41" s="188"/>
      <c r="BRK41" s="190"/>
      <c r="BRL41" s="189"/>
      <c r="BRQ41" s="188"/>
      <c r="BRR41" s="187"/>
      <c r="BRX41" s="188"/>
      <c r="BRY41" s="187"/>
      <c r="BSE41" s="188"/>
      <c r="BSF41" s="187"/>
      <c r="BSL41" s="188"/>
      <c r="BSM41" s="187"/>
      <c r="BSP41" s="168"/>
      <c r="BSQ41" s="189"/>
      <c r="BSS41" s="188"/>
      <c r="BST41" s="187"/>
      <c r="BSZ41" s="188"/>
      <c r="BTA41" s="187"/>
      <c r="BTG41" s="188"/>
      <c r="BTH41" s="187"/>
      <c r="BTN41" s="188"/>
      <c r="BTO41" s="187"/>
      <c r="BTS41" s="168"/>
      <c r="BTT41" s="189"/>
      <c r="BTU41" s="188"/>
      <c r="BTV41" s="187"/>
      <c r="BUB41" s="188"/>
      <c r="BUC41" s="187"/>
      <c r="BUI41" s="188"/>
      <c r="BUJ41" s="187"/>
      <c r="BUP41" s="188"/>
      <c r="BUQ41" s="187"/>
      <c r="BUW41" s="188"/>
      <c r="BUX41" s="190"/>
      <c r="BUY41" s="189"/>
      <c r="BVD41" s="188"/>
      <c r="BVE41" s="187"/>
      <c r="BVK41" s="188"/>
      <c r="BVL41" s="187"/>
      <c r="BVR41" s="188"/>
      <c r="BVS41" s="187"/>
      <c r="BVY41" s="188"/>
      <c r="BVZ41" s="187"/>
      <c r="BWB41" s="168"/>
      <c r="BWC41" s="189"/>
      <c r="BWF41" s="188"/>
      <c r="BWG41" s="187"/>
      <c r="BWM41" s="188"/>
      <c r="BWN41" s="187"/>
      <c r="BWT41" s="188"/>
      <c r="BWU41" s="187"/>
      <c r="BXA41" s="188"/>
      <c r="BXB41" s="187"/>
      <c r="BXG41" s="168"/>
      <c r="BXH41" s="191"/>
      <c r="BXI41" s="187"/>
      <c r="BXO41" s="188"/>
      <c r="BXP41" s="187"/>
      <c r="BXV41" s="188"/>
      <c r="BXW41" s="187"/>
      <c r="BYC41" s="188"/>
      <c r="BYD41" s="187"/>
      <c r="BYJ41" s="188"/>
      <c r="BYK41" s="190"/>
      <c r="BYL41" s="189"/>
      <c r="BYQ41" s="188"/>
      <c r="BYR41" s="187"/>
      <c r="BYX41" s="188"/>
      <c r="BYY41" s="187"/>
      <c r="BZE41" s="188"/>
      <c r="BZF41" s="187"/>
      <c r="BZL41" s="188"/>
      <c r="BZM41" s="187"/>
      <c r="BZP41" s="168"/>
      <c r="BZQ41" s="189"/>
      <c r="BZS41" s="188"/>
      <c r="BZT41" s="187"/>
      <c r="BZZ41" s="188"/>
      <c r="CAA41" s="187"/>
      <c r="CAG41" s="188"/>
      <c r="CAH41" s="187"/>
      <c r="CAN41" s="188"/>
      <c r="CAO41" s="187"/>
      <c r="CAU41" s="168"/>
      <c r="CAV41" s="189"/>
      <c r="CBB41" s="188"/>
      <c r="CBC41" s="187"/>
      <c r="CBI41" s="188"/>
      <c r="CBJ41" s="187"/>
      <c r="CBP41" s="188"/>
      <c r="CBQ41" s="187"/>
      <c r="CBW41" s="188"/>
      <c r="CBX41" s="187"/>
      <c r="CBY41" s="168"/>
      <c r="CBZ41" s="189"/>
      <c r="CCD41" s="188"/>
      <c r="CCE41" s="187"/>
      <c r="CCK41" s="188"/>
      <c r="CCL41" s="187"/>
      <c r="CCR41" s="188"/>
      <c r="CCS41" s="187"/>
      <c r="CCY41" s="188"/>
      <c r="CCZ41" s="187"/>
      <c r="CDD41" s="168"/>
      <c r="CDE41" s="189"/>
      <c r="CDF41" s="188"/>
      <c r="CDG41" s="187"/>
      <c r="CDM41" s="188"/>
      <c r="CDN41" s="187"/>
      <c r="CDT41" s="188"/>
      <c r="CDU41" s="187"/>
      <c r="CEA41" s="188"/>
      <c r="CEB41" s="187"/>
      <c r="CEH41" s="168"/>
      <c r="CEI41" s="189"/>
      <c r="CEO41" s="188"/>
      <c r="CEP41" s="187"/>
      <c r="CEV41" s="188"/>
      <c r="CEW41" s="187"/>
      <c r="CFC41" s="188"/>
      <c r="CFD41" s="187"/>
      <c r="CFJ41" s="188"/>
      <c r="CFK41" s="187"/>
    </row>
    <row r="42" spans="1:1019 1025:2048 2054:2195">
      <c r="A42" s="164" t="s">
        <v>306</v>
      </c>
      <c r="C42" s="164" t="s">
        <v>307</v>
      </c>
      <c r="D42" s="186"/>
      <c r="E42" s="186"/>
      <c r="K42" s="187"/>
      <c r="Q42" s="188"/>
      <c r="R42" s="187"/>
      <c r="X42" s="188"/>
      <c r="Y42" s="187"/>
      <c r="AE42" s="188"/>
      <c r="AF42" s="187"/>
      <c r="AJ42" s="168"/>
      <c r="AK42" s="189"/>
      <c r="AL42" s="188"/>
      <c r="AM42" s="187"/>
      <c r="AS42" s="188"/>
      <c r="AT42" s="187"/>
      <c r="AZ42" s="188"/>
      <c r="BA42" s="187"/>
      <c r="BG42" s="188"/>
      <c r="BH42" s="187"/>
      <c r="BL42" s="168"/>
      <c r="BM42" s="189"/>
      <c r="BN42" s="188"/>
      <c r="BO42" s="187"/>
      <c r="BU42" s="188"/>
      <c r="BV42" s="187"/>
      <c r="CB42" s="188"/>
      <c r="CC42" s="187"/>
      <c r="CI42" s="188"/>
      <c r="CJ42" s="187"/>
      <c r="CP42" s="188"/>
      <c r="CQ42" s="190"/>
      <c r="CR42" s="189"/>
      <c r="CW42" s="188"/>
      <c r="CX42" s="187"/>
      <c r="DD42" s="188"/>
      <c r="DE42" s="187"/>
      <c r="DK42" s="188"/>
      <c r="DL42" s="187"/>
      <c r="DR42" s="188"/>
      <c r="DS42" s="187"/>
      <c r="DU42" s="168"/>
      <c r="DV42" s="189"/>
      <c r="DY42" s="188"/>
      <c r="DZ42" s="187"/>
      <c r="EF42" s="188"/>
      <c r="EG42" s="187"/>
      <c r="EM42" s="188"/>
      <c r="EN42" s="187"/>
      <c r="ET42" s="188"/>
      <c r="EU42" s="187"/>
      <c r="EZ42" s="168"/>
      <c r="FA42" s="191"/>
      <c r="FB42" s="187"/>
      <c r="FH42" s="188"/>
      <c r="FI42" s="187"/>
      <c r="FO42" s="188"/>
      <c r="FP42" s="187"/>
      <c r="FV42" s="188"/>
      <c r="FW42" s="187"/>
      <c r="GC42" s="188"/>
      <c r="GD42" s="190"/>
      <c r="GE42" s="189"/>
      <c r="GJ42" s="188"/>
      <c r="GK42" s="187"/>
      <c r="GQ42" s="188"/>
      <c r="GR42" s="187"/>
      <c r="GX42" s="188"/>
      <c r="GY42" s="187"/>
      <c r="HE42" s="188"/>
      <c r="HF42" s="187"/>
      <c r="HI42" s="168"/>
      <c r="HJ42" s="189"/>
      <c r="HL42" s="188"/>
      <c r="HM42" s="187"/>
      <c r="HS42" s="188"/>
      <c r="HT42" s="187"/>
      <c r="HZ42" s="188"/>
      <c r="IA42" s="187"/>
      <c r="IG42" s="188"/>
      <c r="IH42" s="187"/>
      <c r="IN42" s="168"/>
      <c r="IO42" s="189"/>
      <c r="IU42" s="188"/>
      <c r="IV42" s="187"/>
      <c r="JB42" s="188"/>
      <c r="JC42" s="187"/>
      <c r="JI42" s="188"/>
      <c r="JJ42" s="187"/>
      <c r="JP42" s="188"/>
      <c r="JQ42" s="187"/>
      <c r="JR42" s="168"/>
      <c r="JS42" s="189"/>
      <c r="JW42" s="188"/>
      <c r="JX42" s="187"/>
      <c r="KD42" s="188"/>
      <c r="KE42" s="187"/>
      <c r="KK42" s="188"/>
      <c r="KL42" s="187"/>
      <c r="KR42" s="188"/>
      <c r="KS42" s="187"/>
      <c r="KW42" s="168"/>
      <c r="KX42" s="189"/>
      <c r="KY42" s="188"/>
      <c r="KZ42" s="187"/>
      <c r="LF42" s="188"/>
      <c r="LG42" s="187"/>
      <c r="LM42" s="188"/>
      <c r="LN42" s="187"/>
      <c r="LT42" s="188"/>
      <c r="LU42" s="187"/>
      <c r="MA42" s="168"/>
      <c r="MB42" s="189"/>
      <c r="MH42" s="188"/>
      <c r="MI42" s="187"/>
      <c r="MO42" s="188"/>
      <c r="MP42" s="187"/>
      <c r="MV42" s="188"/>
      <c r="MW42" s="187"/>
      <c r="NC42" s="188"/>
      <c r="ND42" s="187"/>
      <c r="NF42" s="168"/>
      <c r="NG42" s="189"/>
      <c r="NJ42" s="188"/>
      <c r="NK42" s="187"/>
      <c r="NQ42" s="188"/>
      <c r="NR42" s="187"/>
      <c r="NX42" s="188"/>
      <c r="NY42" s="187"/>
      <c r="OE42" s="188"/>
      <c r="OF42" s="187"/>
      <c r="OK42" s="168"/>
      <c r="OL42" s="191"/>
      <c r="OM42" s="187"/>
      <c r="OS42" s="188"/>
      <c r="OT42" s="187"/>
      <c r="OZ42" s="188"/>
      <c r="PA42" s="187"/>
      <c r="PG42" s="188"/>
      <c r="PH42" s="187"/>
      <c r="PN42" s="168"/>
      <c r="PO42" s="189"/>
      <c r="PU42" s="188"/>
      <c r="PV42" s="187"/>
      <c r="QB42" s="188"/>
      <c r="QC42" s="187"/>
      <c r="QI42" s="188"/>
      <c r="QJ42" s="187"/>
      <c r="QP42" s="188"/>
      <c r="QQ42" s="187"/>
      <c r="QS42" s="168"/>
      <c r="QT42" s="189"/>
      <c r="QW42" s="188"/>
      <c r="QX42" s="187"/>
      <c r="RD42" s="188"/>
      <c r="RE42" s="187"/>
      <c r="RK42" s="188"/>
      <c r="RL42" s="187"/>
      <c r="RR42" s="188"/>
      <c r="RS42" s="187"/>
      <c r="RW42" s="168"/>
      <c r="RX42" s="189"/>
      <c r="RY42" s="188"/>
      <c r="RZ42" s="187"/>
      <c r="SF42" s="188"/>
      <c r="SG42" s="187"/>
      <c r="SM42" s="188"/>
      <c r="SN42" s="187"/>
      <c r="ST42" s="188"/>
      <c r="SU42" s="187"/>
      <c r="TA42" s="188"/>
      <c r="TB42" s="190"/>
      <c r="TC42" s="189"/>
      <c r="TH42" s="188"/>
      <c r="TI42" s="187"/>
      <c r="TO42" s="188"/>
      <c r="TP42" s="187"/>
      <c r="TV42" s="188"/>
      <c r="TW42" s="187"/>
      <c r="UC42" s="188"/>
      <c r="UD42" s="187"/>
      <c r="UF42" s="168"/>
      <c r="UG42" s="189"/>
      <c r="UJ42" s="188"/>
      <c r="UK42" s="187"/>
      <c r="UQ42" s="188"/>
      <c r="UR42" s="187"/>
      <c r="UX42" s="188"/>
      <c r="UY42" s="187"/>
      <c r="VE42" s="188"/>
      <c r="VF42" s="187"/>
      <c r="VK42" s="168"/>
      <c r="VL42" s="191"/>
      <c r="VM42" s="187"/>
      <c r="VS42" s="188"/>
      <c r="VT42" s="187"/>
      <c r="VZ42" s="188"/>
      <c r="WA42" s="187"/>
      <c r="WG42" s="188"/>
      <c r="WH42" s="187"/>
      <c r="WN42" s="188"/>
      <c r="WO42" s="187"/>
      <c r="WP42" s="168"/>
      <c r="WQ42" s="189"/>
      <c r="WU42" s="188"/>
      <c r="WV42" s="187"/>
      <c r="XB42" s="188"/>
      <c r="XC42" s="187"/>
      <c r="XI42" s="188"/>
      <c r="XJ42" s="187"/>
      <c r="XP42" s="188"/>
      <c r="XQ42" s="187"/>
      <c r="XT42" s="168"/>
      <c r="XU42" s="189"/>
      <c r="XW42" s="188"/>
      <c r="XX42" s="187"/>
      <c r="YD42" s="188"/>
      <c r="YE42" s="187"/>
      <c r="YK42" s="188"/>
      <c r="YL42" s="187"/>
      <c r="YR42" s="188"/>
      <c r="YS42" s="187"/>
      <c r="YY42" s="168"/>
      <c r="YZ42" s="189"/>
      <c r="ZF42" s="188"/>
      <c r="ZG42" s="187"/>
      <c r="ZM42" s="188"/>
      <c r="ZN42" s="187"/>
      <c r="ZT42" s="188"/>
      <c r="ZU42" s="187"/>
      <c r="AAA42" s="188"/>
      <c r="AAB42" s="187"/>
      <c r="AAC42" s="168"/>
      <c r="AAD42" s="189"/>
      <c r="AAH42" s="188"/>
      <c r="AAI42" s="187"/>
      <c r="AAO42" s="188"/>
      <c r="AAP42" s="187"/>
      <c r="AAV42" s="188"/>
      <c r="AAW42" s="187"/>
      <c r="ABC42" s="188"/>
      <c r="ABD42" s="187"/>
      <c r="ABH42" s="168"/>
      <c r="ABI42" s="189"/>
      <c r="ABJ42" s="188"/>
      <c r="ABK42" s="187"/>
      <c r="ABQ42" s="188"/>
      <c r="ABR42" s="187"/>
      <c r="ABX42" s="188"/>
      <c r="ABY42" s="187"/>
      <c r="ACE42" s="188"/>
      <c r="ACF42" s="187"/>
      <c r="ACL42" s="188"/>
      <c r="ACM42" s="190"/>
      <c r="ACN42" s="189"/>
      <c r="ACS42" s="188"/>
      <c r="ACT42" s="187"/>
      <c r="ACZ42" s="188"/>
      <c r="ADA42" s="187"/>
      <c r="ADG42" s="188"/>
      <c r="ADH42" s="187"/>
      <c r="ADN42" s="188"/>
      <c r="ADO42" s="190"/>
      <c r="ADP42" s="189"/>
      <c r="ADU42" s="188"/>
      <c r="ADV42" s="187"/>
      <c r="AEB42" s="188"/>
      <c r="AEC42" s="187"/>
      <c r="AEI42" s="188"/>
      <c r="AEJ42" s="187"/>
      <c r="AEP42" s="188"/>
      <c r="AEQ42" s="187"/>
      <c r="AET42" s="168"/>
      <c r="AEU42" s="189"/>
      <c r="AEW42" s="188"/>
      <c r="AEX42" s="187"/>
      <c r="AFD42" s="188"/>
      <c r="AFE42" s="187"/>
      <c r="AFK42" s="188"/>
      <c r="AFL42" s="187"/>
      <c r="AFR42" s="188"/>
      <c r="AFS42" s="187"/>
      <c r="AFX42" s="168"/>
      <c r="AFY42" s="191"/>
      <c r="AFZ42" s="187"/>
      <c r="AGF42" s="188"/>
      <c r="AGG42" s="187"/>
      <c r="AGM42" s="188"/>
      <c r="AGN42" s="187"/>
      <c r="AGT42" s="188"/>
      <c r="AGU42" s="187"/>
      <c r="AHA42" s="188"/>
      <c r="AHB42" s="187"/>
      <c r="AHC42" s="168"/>
      <c r="AHD42" s="189"/>
      <c r="AHH42" s="188"/>
      <c r="AHI42" s="187"/>
      <c r="AHO42" s="188"/>
      <c r="AHP42" s="187"/>
      <c r="AHV42" s="188"/>
      <c r="AHW42" s="187"/>
      <c r="AIC42" s="188"/>
      <c r="AID42" s="187"/>
      <c r="AIG42" s="168"/>
      <c r="AIH42" s="189"/>
      <c r="AIJ42" s="188"/>
      <c r="AIK42" s="187"/>
      <c r="AIQ42" s="188"/>
      <c r="AIR42" s="187"/>
      <c r="AIX42" s="188"/>
      <c r="AIY42" s="187"/>
      <c r="AJE42" s="188"/>
      <c r="AJF42" s="187"/>
      <c r="AJL42" s="168"/>
      <c r="AJM42" s="189"/>
      <c r="AJS42" s="188"/>
      <c r="AJT42" s="187"/>
      <c r="AJZ42" s="188"/>
      <c r="AKA42" s="187"/>
      <c r="AKG42" s="188"/>
      <c r="AKH42" s="187"/>
      <c r="AKN42" s="188"/>
      <c r="AKO42" s="187"/>
      <c r="AKQ42" s="168"/>
      <c r="AKR42" s="189"/>
      <c r="AKU42" s="188"/>
      <c r="AKV42" s="187"/>
      <c r="ALB42" s="188"/>
      <c r="ALC42" s="187"/>
      <c r="ALI42" s="188"/>
      <c r="ALJ42" s="187"/>
      <c r="ALP42" s="188"/>
      <c r="ALQ42" s="187"/>
      <c r="ALU42" s="168"/>
      <c r="ALV42" s="189"/>
      <c r="ALW42" s="188"/>
      <c r="ALX42" s="187"/>
      <c r="AMD42" s="188"/>
      <c r="AME42" s="187"/>
      <c r="AMK42" s="188"/>
      <c r="AML42" s="187"/>
      <c r="AMR42" s="188"/>
      <c r="AMS42" s="187"/>
      <c r="AMY42" s="188"/>
      <c r="AMZ42" s="190"/>
      <c r="ANA42" s="189"/>
      <c r="ANF42" s="188"/>
      <c r="ANG42" s="187"/>
      <c r="ANM42" s="188"/>
      <c r="ANN42" s="187"/>
      <c r="ANT42" s="188"/>
      <c r="ANU42" s="187"/>
      <c r="AOA42" s="188"/>
      <c r="AOB42" s="187"/>
      <c r="AOD42" s="168"/>
      <c r="AOE42" s="189"/>
      <c r="AOH42" s="188"/>
      <c r="AOI42" s="187"/>
      <c r="AOO42" s="188"/>
      <c r="AOP42" s="187"/>
      <c r="AOV42" s="188"/>
      <c r="AOW42" s="187"/>
      <c r="APC42" s="188"/>
      <c r="APD42" s="187"/>
      <c r="API42" s="168"/>
      <c r="APJ42" s="191"/>
      <c r="APK42" s="187"/>
      <c r="APQ42" s="188"/>
      <c r="APR42" s="187"/>
      <c r="APX42" s="188"/>
      <c r="APY42" s="187"/>
      <c r="AQE42" s="188"/>
      <c r="AQF42" s="187"/>
      <c r="AQL42" s="188"/>
      <c r="AQM42" s="187"/>
      <c r="AQN42" s="168"/>
      <c r="AQO42" s="189"/>
      <c r="AQS42" s="188"/>
      <c r="AQT42" s="187"/>
      <c r="AQZ42" s="188"/>
      <c r="ARA42" s="187"/>
      <c r="ARG42" s="188"/>
      <c r="ARH42" s="187"/>
      <c r="ARN42" s="188"/>
      <c r="ARO42" s="187"/>
      <c r="ARP42" s="168"/>
      <c r="ARQ42" s="189"/>
      <c r="ARU42" s="188"/>
      <c r="ARV42" s="187"/>
      <c r="ASB42" s="188"/>
      <c r="ASC42" s="187"/>
      <c r="ASI42" s="188"/>
      <c r="ASJ42" s="187"/>
      <c r="ASP42" s="188"/>
      <c r="ASQ42" s="187"/>
      <c r="ASU42" s="168"/>
      <c r="ASV42" s="189"/>
      <c r="ASW42" s="188"/>
      <c r="ASX42" s="187"/>
      <c r="ATD42" s="188"/>
      <c r="ATE42" s="187"/>
      <c r="ATK42" s="188"/>
      <c r="ATL42" s="187"/>
      <c r="ATR42" s="188"/>
      <c r="ATS42" s="187"/>
      <c r="ATY42" s="168"/>
      <c r="ATZ42" s="189"/>
      <c r="AUF42" s="188"/>
      <c r="AUG42" s="187"/>
      <c r="AUM42" s="188"/>
      <c r="AUN42" s="187"/>
      <c r="AUT42" s="188"/>
      <c r="AUU42" s="187"/>
      <c r="AVA42" s="188"/>
      <c r="AVB42" s="187"/>
      <c r="AVD42" s="168"/>
      <c r="AVE42" s="189"/>
      <c r="AVH42" s="188"/>
      <c r="AVI42" s="187"/>
      <c r="AVO42" s="188"/>
      <c r="AVP42" s="187"/>
      <c r="AVV42" s="188"/>
      <c r="AVW42" s="187"/>
      <c r="AWC42" s="188"/>
      <c r="AWD42" s="187"/>
      <c r="AWH42" s="168"/>
      <c r="AWI42" s="189"/>
      <c r="AWJ42" s="188"/>
      <c r="AWK42" s="187"/>
      <c r="AWQ42" s="188"/>
      <c r="AWR42" s="187"/>
      <c r="AWX42" s="188"/>
      <c r="AWY42" s="187"/>
      <c r="AXE42" s="188"/>
      <c r="AXF42" s="187"/>
      <c r="AXL42" s="188"/>
      <c r="AXM42" s="190"/>
      <c r="AXN42" s="189"/>
      <c r="AXS42" s="188"/>
      <c r="AXT42" s="187"/>
      <c r="AXZ42" s="188"/>
      <c r="AYA42" s="187"/>
      <c r="AYG42" s="188"/>
      <c r="AYH42" s="187"/>
      <c r="AYN42" s="188"/>
      <c r="AYO42" s="187"/>
      <c r="AYR42" s="168"/>
      <c r="AYS42" s="189"/>
      <c r="AYU42" s="188"/>
      <c r="AYV42" s="187"/>
      <c r="AZB42" s="188"/>
      <c r="AZC42" s="187"/>
      <c r="AZI42" s="188"/>
      <c r="AZJ42" s="187"/>
      <c r="AZP42" s="188"/>
      <c r="AZQ42" s="187"/>
      <c r="AZV42" s="168"/>
      <c r="AZW42" s="191"/>
      <c r="AZX42" s="187"/>
      <c r="BAD42" s="188"/>
      <c r="BAE42" s="187"/>
      <c r="BAK42" s="188"/>
      <c r="BAL42" s="187"/>
      <c r="BAR42" s="188"/>
      <c r="BAS42" s="187"/>
      <c r="BAY42" s="188"/>
      <c r="BAZ42" s="187"/>
      <c r="BBA42" s="168"/>
      <c r="BBB42" s="189"/>
      <c r="BBF42" s="188"/>
      <c r="BBG42" s="187"/>
      <c r="BBM42" s="188"/>
      <c r="BBN42" s="187"/>
      <c r="BBT42" s="188"/>
      <c r="BBU42" s="187"/>
      <c r="BCA42" s="188"/>
      <c r="BCB42" s="187"/>
      <c r="BCE42" s="168"/>
      <c r="BCF42" s="189"/>
      <c r="BCH42" s="188"/>
      <c r="BCI42" s="187"/>
      <c r="BCO42" s="188"/>
      <c r="BCP42" s="187"/>
      <c r="BCV42" s="188"/>
      <c r="BCW42" s="187"/>
      <c r="BDC42" s="188"/>
      <c r="BDD42" s="187"/>
      <c r="BDJ42" s="168"/>
      <c r="BDK42" s="189"/>
      <c r="BDQ42" s="188"/>
      <c r="BDR42" s="187"/>
      <c r="BDX42" s="188"/>
      <c r="BDY42" s="187"/>
      <c r="BEE42" s="188"/>
      <c r="BEF42" s="187"/>
      <c r="BEL42" s="188"/>
      <c r="BEM42" s="187"/>
      <c r="BEO42" s="168"/>
      <c r="BEP42" s="189"/>
      <c r="BES42" s="188"/>
      <c r="BET42" s="187"/>
      <c r="BEZ42" s="188"/>
      <c r="BFA42" s="187"/>
      <c r="BFG42" s="188"/>
      <c r="BFH42" s="187"/>
      <c r="BFN42" s="188"/>
      <c r="BFO42" s="187"/>
      <c r="BFQ42" s="168"/>
      <c r="BFR42" s="189"/>
      <c r="BFU42" s="188"/>
      <c r="BFV42" s="187"/>
      <c r="BGB42" s="188"/>
      <c r="BGC42" s="187"/>
      <c r="BGI42" s="188"/>
      <c r="BGJ42" s="187"/>
      <c r="BGP42" s="188"/>
      <c r="BGQ42" s="187"/>
      <c r="BGV42" s="168"/>
      <c r="BGW42" s="191"/>
      <c r="BGX42" s="187"/>
      <c r="BHD42" s="188"/>
      <c r="BHE42" s="187"/>
      <c r="BHK42" s="188"/>
      <c r="BHL42" s="187"/>
      <c r="BHR42" s="188"/>
      <c r="BHS42" s="187"/>
      <c r="BHY42" s="188"/>
      <c r="BHZ42" s="190"/>
      <c r="BIA42" s="189"/>
      <c r="BIF42" s="188"/>
      <c r="BIG42" s="187"/>
      <c r="BIM42" s="188"/>
      <c r="BIN42" s="187"/>
      <c r="BIT42" s="188"/>
      <c r="BIU42" s="187"/>
      <c r="BJA42" s="188"/>
      <c r="BJB42" s="187"/>
      <c r="BJE42" s="168"/>
      <c r="BJF42" s="189"/>
      <c r="BJH42" s="188"/>
      <c r="BJI42" s="187"/>
      <c r="BJO42" s="188"/>
      <c r="BJP42" s="187"/>
      <c r="BJV42" s="188"/>
      <c r="BJW42" s="187"/>
      <c r="BKC42" s="188"/>
      <c r="BKD42" s="187"/>
      <c r="BKI42" s="168"/>
      <c r="BKJ42" s="191"/>
      <c r="BKK42" s="187"/>
      <c r="BKQ42" s="188"/>
      <c r="BKR42" s="187"/>
      <c r="BKX42" s="188"/>
      <c r="BKY42" s="187"/>
      <c r="BLE42" s="188"/>
      <c r="BLF42" s="187"/>
      <c r="BLL42" s="188"/>
      <c r="BLM42" s="187"/>
      <c r="BLN42" s="168"/>
      <c r="BLO42" s="189"/>
      <c r="BLS42" s="188"/>
      <c r="BLT42" s="187"/>
      <c r="BLZ42" s="188"/>
      <c r="BMA42" s="187"/>
      <c r="BMG42" s="188"/>
      <c r="BMH42" s="187"/>
      <c r="BMN42" s="188"/>
      <c r="BMO42" s="187"/>
      <c r="BMS42" s="168"/>
      <c r="BMT42" s="189"/>
      <c r="BMU42" s="188"/>
      <c r="BMV42" s="187"/>
      <c r="BNB42" s="188"/>
      <c r="BNC42" s="187"/>
      <c r="BNI42" s="188"/>
      <c r="BNJ42" s="187"/>
      <c r="BNP42" s="188"/>
      <c r="BNQ42" s="187"/>
      <c r="BNW42" s="168"/>
      <c r="BNX42" s="189"/>
      <c r="BOD42" s="188"/>
      <c r="BOE42" s="187"/>
      <c r="BOK42" s="188"/>
      <c r="BOL42" s="187"/>
      <c r="BOR42" s="188"/>
      <c r="BOS42" s="187"/>
      <c r="BOY42" s="188"/>
      <c r="BOZ42" s="187"/>
      <c r="BPB42" s="168"/>
      <c r="BPC42" s="189"/>
      <c r="BPF42" s="188"/>
      <c r="BPG42" s="187"/>
      <c r="BPM42" s="188"/>
      <c r="BPN42" s="187"/>
      <c r="BPT42" s="188"/>
      <c r="BPU42" s="187"/>
      <c r="BQA42" s="188"/>
      <c r="BQB42" s="187"/>
      <c r="BQF42" s="168"/>
      <c r="BQG42" s="189"/>
      <c r="BQH42" s="188"/>
      <c r="BQI42" s="187"/>
      <c r="BQO42" s="188"/>
      <c r="BQP42" s="187"/>
      <c r="BQV42" s="188"/>
      <c r="BQW42" s="187"/>
      <c r="BRC42" s="188"/>
      <c r="BRD42" s="187"/>
      <c r="BRJ42" s="188"/>
      <c r="BRK42" s="190"/>
      <c r="BRL42" s="189"/>
      <c r="BRQ42" s="188"/>
      <c r="BRR42" s="187"/>
      <c r="BRX42" s="188"/>
      <c r="BRY42" s="187"/>
      <c r="BSE42" s="188"/>
      <c r="BSF42" s="187"/>
      <c r="BSL42" s="188"/>
      <c r="BSM42" s="187"/>
      <c r="BSP42" s="168"/>
      <c r="BSQ42" s="189"/>
      <c r="BSS42" s="188"/>
      <c r="BST42" s="187"/>
      <c r="BSZ42" s="188"/>
      <c r="BTA42" s="187"/>
      <c r="BTG42" s="188"/>
      <c r="BTH42" s="187"/>
      <c r="BTN42" s="188"/>
      <c r="BTO42" s="187"/>
      <c r="BTS42" s="168"/>
      <c r="BTT42" s="189"/>
      <c r="BTU42" s="188"/>
      <c r="BTV42" s="187"/>
      <c r="BUB42" s="188"/>
      <c r="BUC42" s="187"/>
      <c r="BUI42" s="188"/>
      <c r="BUJ42" s="187"/>
      <c r="BUP42" s="188"/>
      <c r="BUQ42" s="187"/>
      <c r="BUW42" s="188"/>
      <c r="BUX42" s="190"/>
      <c r="BUY42" s="189"/>
      <c r="BVD42" s="188"/>
      <c r="BVE42" s="187"/>
      <c r="BVK42" s="188"/>
      <c r="BVL42" s="187"/>
      <c r="BVR42" s="188"/>
      <c r="BVS42" s="187"/>
      <c r="BVY42" s="188"/>
      <c r="BVZ42" s="187"/>
      <c r="BWB42" s="168"/>
      <c r="BWC42" s="189"/>
      <c r="BWF42" s="188"/>
      <c r="BWG42" s="187"/>
      <c r="BWM42" s="188"/>
      <c r="BWN42" s="187"/>
      <c r="BWT42" s="188"/>
      <c r="BWU42" s="187"/>
      <c r="BXA42" s="188"/>
      <c r="BXB42" s="187"/>
      <c r="BXG42" s="168"/>
      <c r="BXH42" s="191"/>
      <c r="BXI42" s="187"/>
      <c r="BXO42" s="188"/>
      <c r="BXP42" s="187"/>
      <c r="BXV42" s="188"/>
      <c r="BXW42" s="187"/>
      <c r="BYC42" s="188"/>
      <c r="BYD42" s="187"/>
      <c r="BYJ42" s="188"/>
      <c r="BYK42" s="190"/>
      <c r="BYL42" s="189"/>
      <c r="BYQ42" s="188"/>
      <c r="BYR42" s="187"/>
      <c r="BYX42" s="188"/>
      <c r="BYY42" s="187"/>
      <c r="BZE42" s="188"/>
      <c r="BZF42" s="187"/>
      <c r="BZL42" s="188"/>
      <c r="BZM42" s="187"/>
      <c r="BZP42" s="168"/>
      <c r="BZQ42" s="189"/>
      <c r="BZS42" s="188"/>
      <c r="BZT42" s="187"/>
      <c r="BZZ42" s="188"/>
      <c r="CAA42" s="187"/>
      <c r="CAG42" s="188"/>
      <c r="CAH42" s="187"/>
      <c r="CAN42" s="188"/>
      <c r="CAO42" s="187"/>
      <c r="CAU42" s="168"/>
      <c r="CAV42" s="189"/>
      <c r="CBB42" s="188"/>
      <c r="CBC42" s="187"/>
      <c r="CBI42" s="188"/>
      <c r="CBJ42" s="187"/>
      <c r="CBP42" s="188"/>
      <c r="CBQ42" s="187"/>
      <c r="CBW42" s="188"/>
      <c r="CBX42" s="187"/>
      <c r="CBY42" s="168"/>
      <c r="CBZ42" s="189"/>
      <c r="CCD42" s="188"/>
      <c r="CCE42" s="187"/>
      <c r="CCK42" s="188"/>
      <c r="CCL42" s="187"/>
      <c r="CCR42" s="188"/>
      <c r="CCS42" s="187"/>
      <c r="CCY42" s="188"/>
      <c r="CCZ42" s="187"/>
      <c r="CDD42" s="168"/>
      <c r="CDE42" s="189"/>
      <c r="CDF42" s="188"/>
      <c r="CDG42" s="187"/>
      <c r="CDM42" s="188"/>
      <c r="CDN42" s="187"/>
      <c r="CDT42" s="188"/>
      <c r="CDU42" s="187"/>
      <c r="CEA42" s="188"/>
      <c r="CEB42" s="187"/>
      <c r="CEH42" s="168"/>
      <c r="CEI42" s="189"/>
      <c r="CEO42" s="188"/>
      <c r="CEP42" s="187"/>
      <c r="CEV42" s="188"/>
      <c r="CEW42" s="187"/>
      <c r="CFC42" s="188"/>
      <c r="CFD42" s="187"/>
      <c r="CFJ42" s="188"/>
      <c r="CFK42" s="187"/>
    </row>
    <row r="43" spans="1:1019 1025:2048 2054:2195">
      <c r="A43" s="164" t="s">
        <v>308</v>
      </c>
      <c r="D43" s="186"/>
      <c r="E43" s="186"/>
      <c r="K43" s="187"/>
      <c r="Q43" s="188"/>
      <c r="R43" s="187"/>
      <c r="X43" s="188"/>
      <c r="Y43" s="187"/>
      <c r="AE43" s="188"/>
      <c r="AF43" s="187"/>
      <c r="AJ43" s="168"/>
      <c r="AK43" s="189"/>
      <c r="AL43" s="188"/>
      <c r="AM43" s="187"/>
      <c r="AS43" s="188"/>
      <c r="AT43" s="187"/>
      <c r="AZ43" s="188"/>
      <c r="BA43" s="187"/>
      <c r="BG43" s="188"/>
      <c r="BH43" s="187"/>
      <c r="BL43" s="168"/>
      <c r="BM43" s="189"/>
      <c r="BN43" s="188"/>
      <c r="BO43" s="187"/>
      <c r="BU43" s="188"/>
      <c r="BV43" s="187"/>
      <c r="CB43" s="188"/>
      <c r="CC43" s="187"/>
      <c r="CI43" s="188"/>
      <c r="CJ43" s="187"/>
      <c r="CP43" s="188"/>
      <c r="CQ43" s="190"/>
      <c r="CR43" s="189"/>
      <c r="CW43" s="188"/>
      <c r="CX43" s="187"/>
      <c r="DD43" s="188"/>
      <c r="DE43" s="187"/>
      <c r="DK43" s="188"/>
      <c r="DL43" s="187"/>
      <c r="DR43" s="188"/>
      <c r="DS43" s="187"/>
      <c r="DU43" s="168"/>
      <c r="DV43" s="189"/>
      <c r="DY43" s="188"/>
      <c r="DZ43" s="187"/>
      <c r="EF43" s="188"/>
      <c r="EG43" s="187"/>
      <c r="EM43" s="188"/>
      <c r="EN43" s="187"/>
      <c r="ET43" s="188"/>
      <c r="EU43" s="187"/>
      <c r="EZ43" s="168"/>
      <c r="FA43" s="191"/>
      <c r="FB43" s="187"/>
      <c r="FH43" s="188"/>
      <c r="FI43" s="187"/>
      <c r="FO43" s="188"/>
      <c r="FP43" s="187"/>
      <c r="FV43" s="188"/>
      <c r="FW43" s="187"/>
      <c r="GC43" s="188"/>
      <c r="GD43" s="190"/>
      <c r="GE43" s="189"/>
      <c r="GJ43" s="188"/>
      <c r="GK43" s="187"/>
      <c r="GQ43" s="188"/>
      <c r="GR43" s="187"/>
      <c r="GX43" s="188"/>
      <c r="GY43" s="187"/>
      <c r="HE43" s="188"/>
      <c r="HF43" s="187"/>
      <c r="HI43" s="168"/>
      <c r="HJ43" s="189"/>
      <c r="HL43" s="188"/>
      <c r="HM43" s="187"/>
      <c r="HS43" s="188"/>
      <c r="HT43" s="187"/>
      <c r="HZ43" s="188"/>
      <c r="IA43" s="187"/>
      <c r="IG43" s="188"/>
      <c r="IH43" s="187"/>
      <c r="IN43" s="168"/>
      <c r="IO43" s="189"/>
      <c r="IU43" s="188"/>
      <c r="IV43" s="187"/>
      <c r="JB43" s="188"/>
      <c r="JC43" s="187"/>
      <c r="JI43" s="188"/>
      <c r="JJ43" s="187"/>
      <c r="JP43" s="188"/>
      <c r="JQ43" s="187"/>
      <c r="JR43" s="168"/>
      <c r="JS43" s="189"/>
      <c r="JW43" s="188"/>
      <c r="JX43" s="187"/>
      <c r="KD43" s="188"/>
      <c r="KE43" s="187"/>
      <c r="KK43" s="188"/>
      <c r="KL43" s="187"/>
      <c r="KR43" s="188"/>
      <c r="KS43" s="187"/>
      <c r="KW43" s="168"/>
      <c r="KX43" s="189"/>
      <c r="KY43" s="188"/>
      <c r="KZ43" s="187"/>
      <c r="LF43" s="188"/>
      <c r="LG43" s="187"/>
      <c r="LM43" s="188"/>
      <c r="LN43" s="187"/>
      <c r="LT43" s="188"/>
      <c r="LU43" s="187"/>
      <c r="MA43" s="168"/>
      <c r="MB43" s="189"/>
      <c r="MH43" s="188"/>
      <c r="MI43" s="187"/>
      <c r="MO43" s="188"/>
      <c r="MP43" s="187"/>
      <c r="MV43" s="188"/>
      <c r="MW43" s="187"/>
      <c r="NC43" s="188"/>
      <c r="ND43" s="187"/>
      <c r="NF43" s="168"/>
      <c r="NG43" s="189"/>
      <c r="NJ43" s="188"/>
      <c r="NK43" s="187"/>
      <c r="NQ43" s="188"/>
      <c r="NR43" s="187"/>
      <c r="NX43" s="188"/>
      <c r="NY43" s="187"/>
      <c r="OE43" s="188"/>
      <c r="OF43" s="187"/>
      <c r="OK43" s="168"/>
      <c r="OL43" s="191"/>
      <c r="OM43" s="187"/>
      <c r="OS43" s="188"/>
      <c r="OT43" s="187"/>
      <c r="OZ43" s="188"/>
      <c r="PA43" s="187"/>
      <c r="PG43" s="188"/>
      <c r="PH43" s="187"/>
      <c r="PN43" s="168"/>
      <c r="PO43" s="189"/>
      <c r="PU43" s="188"/>
      <c r="PV43" s="187"/>
      <c r="QB43" s="188"/>
      <c r="QC43" s="187"/>
      <c r="QI43" s="188"/>
      <c r="QJ43" s="187"/>
      <c r="QP43" s="188"/>
      <c r="QQ43" s="187"/>
      <c r="QS43" s="168"/>
      <c r="QT43" s="189"/>
      <c r="QW43" s="188"/>
      <c r="QX43" s="187"/>
      <c r="RD43" s="188"/>
      <c r="RE43" s="187"/>
      <c r="RK43" s="188"/>
      <c r="RL43" s="187"/>
      <c r="RR43" s="188"/>
      <c r="RS43" s="187"/>
      <c r="RW43" s="168"/>
      <c r="RX43" s="189"/>
      <c r="RY43" s="188"/>
      <c r="RZ43" s="187"/>
      <c r="SF43" s="188"/>
      <c r="SG43" s="187"/>
      <c r="SM43" s="188"/>
      <c r="SN43" s="187"/>
      <c r="ST43" s="188"/>
      <c r="SU43" s="187"/>
      <c r="TA43" s="188"/>
      <c r="TB43" s="190"/>
      <c r="TC43" s="189"/>
      <c r="TH43" s="188"/>
      <c r="TI43" s="187"/>
      <c r="TO43" s="188"/>
      <c r="TP43" s="187"/>
      <c r="TV43" s="188"/>
      <c r="TW43" s="187"/>
      <c r="UC43" s="188"/>
      <c r="UD43" s="187"/>
      <c r="UF43" s="168"/>
      <c r="UG43" s="189"/>
      <c r="UJ43" s="188"/>
      <c r="UK43" s="187"/>
      <c r="UQ43" s="188"/>
      <c r="UR43" s="187"/>
      <c r="UX43" s="188"/>
      <c r="UY43" s="187"/>
      <c r="VE43" s="188"/>
      <c r="VF43" s="187"/>
      <c r="VK43" s="168"/>
      <c r="VL43" s="191"/>
      <c r="VM43" s="187"/>
      <c r="VS43" s="188"/>
      <c r="VT43" s="187"/>
      <c r="VZ43" s="188"/>
      <c r="WA43" s="187"/>
      <c r="WG43" s="188"/>
      <c r="WH43" s="187"/>
      <c r="WN43" s="188"/>
      <c r="WO43" s="187"/>
      <c r="WP43" s="168"/>
      <c r="WQ43" s="189"/>
      <c r="WU43" s="188"/>
      <c r="WV43" s="187"/>
      <c r="XB43" s="188"/>
      <c r="XC43" s="187"/>
      <c r="XI43" s="188"/>
      <c r="XJ43" s="187"/>
      <c r="XP43" s="188"/>
      <c r="XQ43" s="187"/>
      <c r="XT43" s="168"/>
      <c r="XU43" s="189"/>
      <c r="XW43" s="188"/>
      <c r="XX43" s="187"/>
      <c r="YD43" s="188"/>
      <c r="YE43" s="187"/>
      <c r="YK43" s="188"/>
      <c r="YL43" s="187"/>
      <c r="YR43" s="188"/>
      <c r="YS43" s="187"/>
      <c r="YY43" s="168"/>
      <c r="YZ43" s="189"/>
      <c r="ZF43" s="188"/>
      <c r="ZG43" s="187"/>
      <c r="ZM43" s="188"/>
      <c r="ZN43" s="187"/>
      <c r="ZT43" s="188"/>
      <c r="ZU43" s="187"/>
      <c r="AAA43" s="188"/>
      <c r="AAB43" s="187"/>
      <c r="AAC43" s="168"/>
      <c r="AAD43" s="189"/>
      <c r="AAH43" s="188"/>
      <c r="AAI43" s="187"/>
      <c r="AAO43" s="188"/>
      <c r="AAP43" s="187"/>
      <c r="AAV43" s="188"/>
      <c r="AAW43" s="187"/>
      <c r="ABC43" s="188"/>
      <c r="ABD43" s="187"/>
      <c r="ABH43" s="168"/>
      <c r="ABI43" s="189"/>
      <c r="ABJ43" s="188"/>
      <c r="ABK43" s="187"/>
      <c r="ABQ43" s="188"/>
      <c r="ABR43" s="187"/>
      <c r="ABX43" s="188"/>
      <c r="ABY43" s="187"/>
      <c r="ACE43" s="188"/>
      <c r="ACF43" s="187"/>
      <c r="ACL43" s="188"/>
      <c r="ACM43" s="190"/>
      <c r="ACN43" s="189"/>
      <c r="ACS43" s="188"/>
      <c r="ACT43" s="187"/>
      <c r="ACZ43" s="188"/>
      <c r="ADA43" s="187"/>
      <c r="ADG43" s="188"/>
      <c r="ADH43" s="187"/>
      <c r="ADN43" s="188"/>
      <c r="ADO43" s="190"/>
      <c r="ADP43" s="189"/>
      <c r="ADU43" s="188"/>
      <c r="ADV43" s="187"/>
      <c r="AEB43" s="188"/>
      <c r="AEC43" s="187"/>
      <c r="AEI43" s="188"/>
      <c r="AEJ43" s="187"/>
      <c r="AEP43" s="188"/>
      <c r="AEQ43" s="187"/>
      <c r="AET43" s="168"/>
      <c r="AEU43" s="189"/>
      <c r="AEW43" s="188"/>
      <c r="AEX43" s="187"/>
      <c r="AFD43" s="188"/>
      <c r="AFE43" s="187"/>
      <c r="AFK43" s="188"/>
      <c r="AFL43" s="187"/>
      <c r="AFR43" s="188"/>
      <c r="AFS43" s="187"/>
      <c r="AFX43" s="168"/>
      <c r="AFY43" s="191"/>
      <c r="AFZ43" s="187"/>
      <c r="AGF43" s="188"/>
      <c r="AGG43" s="187"/>
      <c r="AGM43" s="188"/>
      <c r="AGN43" s="187"/>
      <c r="AGT43" s="188"/>
      <c r="AGU43" s="187"/>
      <c r="AHA43" s="188"/>
      <c r="AHB43" s="187"/>
      <c r="AHC43" s="168"/>
      <c r="AHD43" s="189"/>
      <c r="AHH43" s="188"/>
      <c r="AHI43" s="187"/>
      <c r="AHO43" s="188"/>
      <c r="AHP43" s="187"/>
      <c r="AHV43" s="188"/>
      <c r="AHW43" s="187"/>
      <c r="AIC43" s="188"/>
      <c r="AID43" s="187"/>
      <c r="AIG43" s="168"/>
      <c r="AIH43" s="189"/>
      <c r="AIJ43" s="188"/>
      <c r="AIK43" s="187"/>
      <c r="AIQ43" s="188"/>
      <c r="AIR43" s="187"/>
      <c r="AIX43" s="188"/>
      <c r="AIY43" s="187"/>
      <c r="AJE43" s="188"/>
      <c r="AJF43" s="187"/>
      <c r="AJL43" s="168"/>
      <c r="AJM43" s="189"/>
      <c r="AJS43" s="188"/>
      <c r="AJT43" s="187"/>
      <c r="AJZ43" s="188"/>
      <c r="AKA43" s="187"/>
      <c r="AKG43" s="188"/>
      <c r="AKH43" s="187"/>
      <c r="AKN43" s="188"/>
      <c r="AKO43" s="187"/>
      <c r="AKQ43" s="168"/>
      <c r="AKR43" s="189"/>
      <c r="AKU43" s="188"/>
      <c r="AKV43" s="187"/>
      <c r="ALB43" s="188"/>
      <c r="ALC43" s="187"/>
      <c r="ALI43" s="188"/>
      <c r="ALJ43" s="187"/>
      <c r="ALP43" s="188"/>
      <c r="ALQ43" s="187"/>
      <c r="ALU43" s="168"/>
      <c r="ALV43" s="189"/>
      <c r="ALW43" s="188"/>
      <c r="ALX43" s="187"/>
      <c r="AMD43" s="188"/>
      <c r="AME43" s="187"/>
      <c r="AMK43" s="188"/>
      <c r="AML43" s="187"/>
      <c r="AMR43" s="188"/>
      <c r="AMS43" s="187"/>
      <c r="AMY43" s="188"/>
      <c r="AMZ43" s="190"/>
      <c r="ANA43" s="189"/>
      <c r="ANF43" s="188"/>
      <c r="ANG43" s="187"/>
      <c r="ANM43" s="188"/>
      <c r="ANN43" s="187"/>
      <c r="ANT43" s="188"/>
      <c r="ANU43" s="187"/>
      <c r="AOA43" s="188"/>
      <c r="AOB43" s="187"/>
      <c r="AOD43" s="168"/>
      <c r="AOE43" s="189"/>
      <c r="AOH43" s="188"/>
      <c r="AOI43" s="187"/>
      <c r="AOO43" s="188"/>
      <c r="AOP43" s="187"/>
      <c r="AOV43" s="188"/>
      <c r="AOW43" s="187"/>
      <c r="APC43" s="188"/>
      <c r="APD43" s="187"/>
      <c r="API43" s="168"/>
      <c r="APJ43" s="191"/>
      <c r="APK43" s="187"/>
      <c r="APQ43" s="188"/>
      <c r="APR43" s="187"/>
      <c r="APX43" s="188"/>
      <c r="APY43" s="187"/>
      <c r="AQE43" s="188"/>
      <c r="AQF43" s="187"/>
      <c r="AQL43" s="188"/>
      <c r="AQM43" s="187"/>
      <c r="AQN43" s="168"/>
      <c r="AQO43" s="189"/>
      <c r="AQS43" s="188"/>
      <c r="AQT43" s="187"/>
      <c r="AQZ43" s="188"/>
      <c r="ARA43" s="187"/>
      <c r="ARG43" s="188"/>
      <c r="ARH43" s="187"/>
      <c r="ARN43" s="188"/>
      <c r="ARO43" s="187"/>
      <c r="ARP43" s="168"/>
      <c r="ARQ43" s="189"/>
      <c r="ARU43" s="188"/>
      <c r="ARV43" s="187"/>
      <c r="ASB43" s="188"/>
      <c r="ASC43" s="187"/>
      <c r="ASI43" s="188"/>
      <c r="ASJ43" s="187"/>
      <c r="ASP43" s="188"/>
      <c r="ASQ43" s="187"/>
      <c r="ASU43" s="168"/>
      <c r="ASV43" s="189"/>
      <c r="ASW43" s="188"/>
      <c r="ASX43" s="187"/>
      <c r="ATD43" s="188"/>
      <c r="ATE43" s="187"/>
      <c r="ATK43" s="188"/>
      <c r="ATL43" s="187"/>
      <c r="ATR43" s="188"/>
      <c r="ATS43" s="187"/>
      <c r="ATY43" s="168"/>
      <c r="ATZ43" s="189"/>
      <c r="AUF43" s="188"/>
      <c r="AUG43" s="187"/>
      <c r="AUM43" s="188"/>
      <c r="AUN43" s="187"/>
      <c r="AUT43" s="188"/>
      <c r="AUU43" s="187"/>
      <c r="AVA43" s="188"/>
      <c r="AVB43" s="187"/>
      <c r="AVD43" s="168"/>
      <c r="AVE43" s="189"/>
      <c r="AVH43" s="188"/>
      <c r="AVI43" s="187"/>
      <c r="AVO43" s="188"/>
      <c r="AVP43" s="187"/>
      <c r="AVV43" s="188"/>
      <c r="AVW43" s="187"/>
      <c r="AWC43" s="188"/>
      <c r="AWD43" s="187"/>
      <c r="AWH43" s="168"/>
      <c r="AWI43" s="189"/>
      <c r="AWJ43" s="188"/>
      <c r="AWK43" s="187"/>
      <c r="AWQ43" s="188"/>
      <c r="AWR43" s="187"/>
      <c r="AWX43" s="188"/>
      <c r="AWY43" s="187"/>
      <c r="AXE43" s="188"/>
      <c r="AXF43" s="187"/>
      <c r="AXL43" s="188"/>
      <c r="AXM43" s="190"/>
      <c r="AXN43" s="189"/>
      <c r="AXS43" s="188"/>
      <c r="AXT43" s="187"/>
      <c r="AXZ43" s="188"/>
      <c r="AYA43" s="187"/>
      <c r="AYG43" s="188"/>
      <c r="AYH43" s="187"/>
      <c r="AYN43" s="188"/>
      <c r="AYO43" s="187"/>
      <c r="AYR43" s="168"/>
      <c r="AYS43" s="189"/>
      <c r="AYU43" s="188"/>
      <c r="AYV43" s="187"/>
      <c r="AZB43" s="188"/>
      <c r="AZC43" s="187"/>
      <c r="AZI43" s="188"/>
      <c r="AZJ43" s="187"/>
      <c r="AZP43" s="188"/>
      <c r="AZQ43" s="187"/>
      <c r="AZV43" s="168"/>
      <c r="AZW43" s="191"/>
      <c r="AZX43" s="187"/>
      <c r="BAD43" s="188"/>
      <c r="BAE43" s="187"/>
      <c r="BAK43" s="188"/>
      <c r="BAL43" s="187"/>
      <c r="BAR43" s="188"/>
      <c r="BAS43" s="187"/>
      <c r="BAY43" s="188"/>
      <c r="BAZ43" s="187"/>
      <c r="BBA43" s="168"/>
      <c r="BBB43" s="189"/>
      <c r="BBF43" s="188"/>
      <c r="BBG43" s="187"/>
      <c r="BBM43" s="188"/>
      <c r="BBN43" s="187"/>
      <c r="BBT43" s="188"/>
      <c r="BBU43" s="187"/>
      <c r="BCA43" s="188"/>
      <c r="BCB43" s="187"/>
      <c r="BCE43" s="168"/>
      <c r="BCF43" s="189"/>
      <c r="BCH43" s="188"/>
      <c r="BCI43" s="187"/>
      <c r="BCO43" s="188"/>
      <c r="BCP43" s="187"/>
      <c r="BCV43" s="188"/>
      <c r="BCW43" s="187"/>
      <c r="BDC43" s="188"/>
      <c r="BDD43" s="187"/>
      <c r="BDJ43" s="168"/>
      <c r="BDK43" s="189"/>
      <c r="BDQ43" s="188"/>
      <c r="BDR43" s="187"/>
      <c r="BDX43" s="188"/>
      <c r="BDY43" s="187"/>
      <c r="BEE43" s="188"/>
      <c r="BEF43" s="187"/>
      <c r="BEL43" s="188"/>
      <c r="BEM43" s="187"/>
      <c r="BEO43" s="168"/>
      <c r="BEP43" s="189"/>
      <c r="BES43" s="188"/>
      <c r="BET43" s="187"/>
      <c r="BEZ43" s="188"/>
      <c r="BFA43" s="187"/>
      <c r="BFG43" s="188"/>
      <c r="BFH43" s="187"/>
      <c r="BFN43" s="188"/>
      <c r="BFO43" s="187"/>
      <c r="BFQ43" s="168"/>
      <c r="BFR43" s="189"/>
      <c r="BFU43" s="188"/>
      <c r="BFV43" s="187"/>
      <c r="BGB43" s="188"/>
      <c r="BGC43" s="187"/>
      <c r="BGI43" s="188"/>
      <c r="BGJ43" s="187"/>
      <c r="BGP43" s="188"/>
      <c r="BGQ43" s="187"/>
      <c r="BGV43" s="168"/>
      <c r="BGW43" s="191"/>
      <c r="BGX43" s="187"/>
      <c r="BHD43" s="188"/>
      <c r="BHE43" s="187"/>
      <c r="BHK43" s="188"/>
      <c r="BHL43" s="187"/>
      <c r="BHR43" s="188"/>
      <c r="BHS43" s="187"/>
      <c r="BHY43" s="188"/>
      <c r="BHZ43" s="190"/>
      <c r="BIA43" s="189"/>
      <c r="BIF43" s="188"/>
      <c r="BIG43" s="187"/>
      <c r="BIM43" s="188"/>
      <c r="BIN43" s="187"/>
      <c r="BIT43" s="188"/>
      <c r="BIU43" s="187"/>
      <c r="BJA43" s="188"/>
      <c r="BJB43" s="187"/>
      <c r="BJE43" s="168"/>
      <c r="BJF43" s="189"/>
      <c r="BJH43" s="188"/>
      <c r="BJI43" s="187"/>
      <c r="BJO43" s="188"/>
      <c r="BJP43" s="187"/>
      <c r="BJV43" s="188"/>
      <c r="BJW43" s="187"/>
      <c r="BKC43" s="188"/>
      <c r="BKD43" s="187"/>
      <c r="BKI43" s="168"/>
      <c r="BKJ43" s="191"/>
      <c r="BKK43" s="187"/>
      <c r="BKQ43" s="188"/>
      <c r="BKR43" s="187"/>
      <c r="BKX43" s="188"/>
      <c r="BKY43" s="187"/>
      <c r="BLE43" s="188"/>
      <c r="BLF43" s="187"/>
      <c r="BLL43" s="188"/>
      <c r="BLM43" s="187"/>
      <c r="BLN43" s="168"/>
      <c r="BLO43" s="189"/>
      <c r="BLS43" s="188"/>
      <c r="BLT43" s="187"/>
      <c r="BLZ43" s="188"/>
      <c r="BMA43" s="187"/>
      <c r="BMG43" s="188"/>
      <c r="BMH43" s="187"/>
      <c r="BMN43" s="188"/>
      <c r="BMO43" s="187"/>
      <c r="BMS43" s="168"/>
      <c r="BMT43" s="189"/>
      <c r="BMU43" s="188"/>
      <c r="BMV43" s="187"/>
      <c r="BNB43" s="188"/>
      <c r="BNC43" s="187"/>
      <c r="BNI43" s="188"/>
      <c r="BNJ43" s="187"/>
      <c r="BNP43" s="188"/>
      <c r="BNQ43" s="187"/>
      <c r="BNW43" s="168"/>
      <c r="BNX43" s="189"/>
      <c r="BOD43" s="188"/>
      <c r="BOE43" s="187"/>
      <c r="BOK43" s="188"/>
      <c r="BOL43" s="187"/>
      <c r="BOR43" s="188"/>
      <c r="BOS43" s="187"/>
      <c r="BOY43" s="188"/>
      <c r="BOZ43" s="187"/>
      <c r="BPB43" s="168"/>
      <c r="BPC43" s="189"/>
      <c r="BPF43" s="188"/>
      <c r="BPG43" s="187"/>
      <c r="BPM43" s="188"/>
      <c r="BPN43" s="187"/>
      <c r="BPT43" s="188"/>
      <c r="BPU43" s="187"/>
      <c r="BQA43" s="188"/>
      <c r="BQB43" s="187"/>
      <c r="BQF43" s="168"/>
      <c r="BQG43" s="189"/>
      <c r="BQH43" s="188"/>
      <c r="BQI43" s="187"/>
      <c r="BQO43" s="188"/>
      <c r="BQP43" s="187"/>
      <c r="BQV43" s="188"/>
      <c r="BQW43" s="187"/>
      <c r="BRC43" s="188"/>
      <c r="BRD43" s="187"/>
      <c r="BRJ43" s="188"/>
      <c r="BRK43" s="190"/>
      <c r="BRL43" s="189"/>
      <c r="BRQ43" s="188"/>
      <c r="BRR43" s="187"/>
      <c r="BRX43" s="188"/>
      <c r="BRY43" s="187"/>
      <c r="BSE43" s="188"/>
      <c r="BSF43" s="187"/>
      <c r="BSL43" s="188"/>
      <c r="BSM43" s="187"/>
      <c r="BSP43" s="168"/>
      <c r="BSQ43" s="189"/>
      <c r="BSS43" s="188"/>
      <c r="BST43" s="187"/>
      <c r="BSZ43" s="188"/>
      <c r="BTA43" s="187"/>
      <c r="BTG43" s="188"/>
      <c r="BTH43" s="187"/>
      <c r="BTN43" s="188"/>
      <c r="BTO43" s="187"/>
      <c r="BTS43" s="168"/>
      <c r="BTT43" s="189"/>
      <c r="BTU43" s="188"/>
      <c r="BTV43" s="187"/>
      <c r="BUB43" s="188"/>
      <c r="BUC43" s="187"/>
      <c r="BUI43" s="188"/>
      <c r="BUJ43" s="187"/>
      <c r="BUP43" s="188"/>
      <c r="BUQ43" s="187"/>
      <c r="BUW43" s="188"/>
      <c r="BUX43" s="190"/>
      <c r="BUY43" s="189"/>
      <c r="BVD43" s="188"/>
      <c r="BVE43" s="187"/>
      <c r="BVK43" s="188"/>
      <c r="BVL43" s="187"/>
      <c r="BVR43" s="188"/>
      <c r="BVS43" s="187"/>
      <c r="BVY43" s="188"/>
      <c r="BVZ43" s="187"/>
      <c r="BWB43" s="168"/>
      <c r="BWC43" s="189"/>
      <c r="BWF43" s="188"/>
      <c r="BWG43" s="187"/>
      <c r="BWM43" s="188"/>
      <c r="BWN43" s="187"/>
      <c r="BWT43" s="188"/>
      <c r="BWU43" s="187"/>
      <c r="BXA43" s="188"/>
      <c r="BXB43" s="187"/>
      <c r="BXG43" s="168"/>
      <c r="BXH43" s="191"/>
      <c r="BXI43" s="187"/>
      <c r="BXO43" s="188"/>
      <c r="BXP43" s="187"/>
      <c r="BXV43" s="188"/>
      <c r="BXW43" s="187"/>
      <c r="BYC43" s="188"/>
      <c r="BYD43" s="187"/>
      <c r="BYJ43" s="188"/>
      <c r="BYK43" s="190"/>
      <c r="BYL43" s="189"/>
      <c r="BYQ43" s="188"/>
      <c r="BYR43" s="187"/>
      <c r="BYX43" s="188"/>
      <c r="BYY43" s="187"/>
      <c r="BZE43" s="188"/>
      <c r="BZF43" s="187"/>
      <c r="BZL43" s="188"/>
      <c r="BZM43" s="187"/>
      <c r="BZP43" s="168"/>
      <c r="BZQ43" s="189"/>
      <c r="BZS43" s="188"/>
      <c r="BZT43" s="187"/>
      <c r="BZZ43" s="188"/>
      <c r="CAA43" s="187"/>
      <c r="CAG43" s="188"/>
      <c r="CAH43" s="187"/>
      <c r="CAN43" s="188"/>
      <c r="CAO43" s="187"/>
      <c r="CAU43" s="168"/>
      <c r="CAV43" s="189"/>
      <c r="CBB43" s="188"/>
      <c r="CBC43" s="187"/>
      <c r="CBI43" s="188"/>
      <c r="CBJ43" s="187"/>
      <c r="CBP43" s="188"/>
      <c r="CBQ43" s="187"/>
      <c r="CBW43" s="188"/>
      <c r="CBX43" s="187"/>
      <c r="CBY43" s="168"/>
      <c r="CBZ43" s="189"/>
      <c r="CCD43" s="188"/>
      <c r="CCE43" s="187"/>
      <c r="CCK43" s="188"/>
      <c r="CCL43" s="187"/>
      <c r="CCR43" s="188"/>
      <c r="CCS43" s="187"/>
      <c r="CCY43" s="188"/>
      <c r="CCZ43" s="187"/>
      <c r="CDD43" s="168"/>
      <c r="CDE43" s="189"/>
      <c r="CDF43" s="188"/>
      <c r="CDG43" s="187"/>
      <c r="CDM43" s="188"/>
      <c r="CDN43" s="187"/>
      <c r="CDT43" s="188"/>
      <c r="CDU43" s="187"/>
      <c r="CEA43" s="188"/>
      <c r="CEB43" s="187"/>
      <c r="CEH43" s="168"/>
      <c r="CEI43" s="189"/>
      <c r="CEO43" s="188"/>
      <c r="CEP43" s="187"/>
      <c r="CEV43" s="188"/>
      <c r="CEW43" s="187"/>
      <c r="CFC43" s="188"/>
      <c r="CFD43" s="187"/>
      <c r="CFJ43" s="188"/>
      <c r="CFK43" s="187"/>
    </row>
    <row r="44" spans="1:1019 1025:2048 2054:2195">
      <c r="A44" s="164" t="s">
        <v>309</v>
      </c>
      <c r="D44" s="186"/>
      <c r="E44" s="186"/>
      <c r="K44" s="187"/>
      <c r="Q44" s="188"/>
      <c r="R44" s="187"/>
      <c r="X44" s="188"/>
      <c r="Y44" s="187"/>
      <c r="AE44" s="188"/>
      <c r="AF44" s="187"/>
      <c r="AJ44" s="168"/>
      <c r="AK44" s="189"/>
      <c r="AL44" s="188"/>
      <c r="AM44" s="187"/>
      <c r="AS44" s="188"/>
      <c r="AT44" s="187"/>
      <c r="AZ44" s="188"/>
      <c r="BA44" s="187"/>
      <c r="BG44" s="188"/>
      <c r="BH44" s="187"/>
      <c r="BL44" s="168"/>
      <c r="BM44" s="189"/>
      <c r="BN44" s="188"/>
      <c r="BO44" s="187"/>
      <c r="BU44" s="188"/>
      <c r="BV44" s="187"/>
      <c r="CB44" s="188"/>
      <c r="CC44" s="187"/>
      <c r="CI44" s="188"/>
      <c r="CJ44" s="187"/>
      <c r="CP44" s="188"/>
      <c r="CQ44" s="190"/>
      <c r="CR44" s="189"/>
      <c r="CW44" s="188"/>
      <c r="CX44" s="187"/>
      <c r="DD44" s="188"/>
      <c r="DE44" s="187"/>
      <c r="DK44" s="188"/>
      <c r="DL44" s="187"/>
      <c r="DR44" s="188"/>
      <c r="DS44" s="187"/>
      <c r="DU44" s="168"/>
      <c r="DV44" s="189"/>
      <c r="DY44" s="188"/>
      <c r="DZ44" s="187"/>
      <c r="EF44" s="188"/>
      <c r="EG44" s="187"/>
      <c r="EM44" s="188"/>
      <c r="EN44" s="187"/>
      <c r="ET44" s="188"/>
      <c r="EU44" s="187"/>
      <c r="EZ44" s="168"/>
      <c r="FA44" s="191"/>
      <c r="FB44" s="187"/>
      <c r="FH44" s="188"/>
      <c r="FI44" s="187"/>
      <c r="FO44" s="188"/>
      <c r="FP44" s="187"/>
      <c r="FV44" s="188"/>
      <c r="FW44" s="187"/>
      <c r="GC44" s="188"/>
      <c r="GD44" s="190"/>
      <c r="GE44" s="189"/>
      <c r="GJ44" s="188"/>
      <c r="GK44" s="187"/>
      <c r="GQ44" s="188"/>
      <c r="GR44" s="187"/>
      <c r="GX44" s="188"/>
      <c r="GY44" s="187"/>
      <c r="HE44" s="188"/>
      <c r="HF44" s="187"/>
      <c r="HI44" s="168"/>
      <c r="HJ44" s="189"/>
      <c r="HL44" s="188"/>
      <c r="HM44" s="187"/>
      <c r="HS44" s="188"/>
      <c r="HT44" s="187"/>
      <c r="HZ44" s="188"/>
      <c r="IA44" s="187"/>
      <c r="IG44" s="188"/>
      <c r="IH44" s="187"/>
      <c r="IN44" s="168"/>
      <c r="IO44" s="189"/>
      <c r="IU44" s="188"/>
      <c r="IV44" s="187"/>
      <c r="JB44" s="188"/>
      <c r="JC44" s="187"/>
      <c r="JI44" s="188"/>
      <c r="JJ44" s="187"/>
      <c r="JP44" s="188"/>
      <c r="JQ44" s="187"/>
      <c r="JR44" s="168"/>
      <c r="JS44" s="189"/>
      <c r="JW44" s="188"/>
      <c r="JX44" s="187"/>
      <c r="KD44" s="188"/>
      <c r="KE44" s="187"/>
      <c r="KK44" s="188"/>
      <c r="KL44" s="187"/>
      <c r="KR44" s="188"/>
      <c r="KS44" s="187"/>
      <c r="KW44" s="168"/>
      <c r="KX44" s="189"/>
      <c r="KY44" s="188"/>
      <c r="KZ44" s="187"/>
      <c r="LF44" s="188"/>
      <c r="LG44" s="187"/>
      <c r="LM44" s="188"/>
      <c r="LN44" s="187"/>
      <c r="LT44" s="188"/>
      <c r="LU44" s="187"/>
      <c r="MA44" s="168"/>
      <c r="MB44" s="189"/>
      <c r="MH44" s="188"/>
      <c r="MI44" s="187"/>
      <c r="MO44" s="188"/>
      <c r="MP44" s="187"/>
      <c r="MV44" s="188"/>
      <c r="MW44" s="187"/>
      <c r="NC44" s="188"/>
      <c r="ND44" s="187"/>
      <c r="NF44" s="168"/>
      <c r="NG44" s="189"/>
      <c r="NJ44" s="188"/>
      <c r="NK44" s="187"/>
      <c r="NQ44" s="188"/>
      <c r="NR44" s="187"/>
      <c r="NX44" s="188"/>
      <c r="NY44" s="187"/>
      <c r="OE44" s="188"/>
      <c r="OF44" s="187"/>
      <c r="OK44" s="168"/>
      <c r="OL44" s="191"/>
      <c r="OM44" s="187"/>
      <c r="OS44" s="188"/>
      <c r="OT44" s="187"/>
      <c r="OZ44" s="188"/>
      <c r="PA44" s="187"/>
      <c r="PG44" s="188"/>
      <c r="PH44" s="187"/>
      <c r="PN44" s="168"/>
      <c r="PO44" s="189"/>
      <c r="PU44" s="188"/>
      <c r="PV44" s="187"/>
      <c r="QB44" s="188"/>
      <c r="QC44" s="187"/>
      <c r="QI44" s="188"/>
      <c r="QJ44" s="187"/>
      <c r="QP44" s="188"/>
      <c r="QQ44" s="187"/>
      <c r="QS44" s="168"/>
      <c r="QT44" s="189"/>
      <c r="QW44" s="188"/>
      <c r="QX44" s="187"/>
      <c r="RD44" s="188"/>
      <c r="RE44" s="187"/>
      <c r="RK44" s="188"/>
      <c r="RL44" s="187"/>
      <c r="RR44" s="188"/>
      <c r="RS44" s="187"/>
      <c r="RW44" s="168"/>
      <c r="RX44" s="189"/>
      <c r="RY44" s="188"/>
      <c r="RZ44" s="187"/>
      <c r="SF44" s="188"/>
      <c r="SG44" s="187"/>
      <c r="SM44" s="188"/>
      <c r="SN44" s="187"/>
      <c r="ST44" s="188"/>
      <c r="SU44" s="187"/>
      <c r="TA44" s="188"/>
      <c r="TB44" s="190"/>
      <c r="TC44" s="189"/>
      <c r="TH44" s="188"/>
      <c r="TI44" s="187"/>
      <c r="TO44" s="188"/>
      <c r="TP44" s="187"/>
      <c r="TV44" s="188"/>
      <c r="TW44" s="187"/>
      <c r="UC44" s="188"/>
      <c r="UD44" s="187"/>
      <c r="UF44" s="168"/>
      <c r="UG44" s="189"/>
      <c r="UJ44" s="188"/>
      <c r="UK44" s="187"/>
      <c r="UQ44" s="188"/>
      <c r="UR44" s="187"/>
      <c r="UX44" s="188"/>
      <c r="UY44" s="187"/>
      <c r="VE44" s="188"/>
      <c r="VF44" s="187"/>
      <c r="VK44" s="168"/>
      <c r="VL44" s="191"/>
      <c r="VM44" s="187"/>
      <c r="VS44" s="188"/>
      <c r="VT44" s="187"/>
      <c r="VZ44" s="188"/>
      <c r="WA44" s="187"/>
      <c r="WG44" s="188"/>
      <c r="WH44" s="187"/>
      <c r="WN44" s="188"/>
      <c r="WO44" s="187"/>
      <c r="WP44" s="168"/>
      <c r="WQ44" s="189"/>
      <c r="WU44" s="188"/>
      <c r="WV44" s="187"/>
      <c r="XB44" s="188"/>
      <c r="XC44" s="187"/>
      <c r="XI44" s="188"/>
      <c r="XJ44" s="187"/>
      <c r="XP44" s="188"/>
      <c r="XQ44" s="187"/>
      <c r="XT44" s="168"/>
      <c r="XU44" s="189"/>
      <c r="XW44" s="188"/>
      <c r="XX44" s="187"/>
      <c r="YD44" s="188"/>
      <c r="YE44" s="187"/>
      <c r="YK44" s="188"/>
      <c r="YL44" s="187"/>
      <c r="YR44" s="188"/>
      <c r="YS44" s="187"/>
      <c r="YY44" s="168"/>
      <c r="YZ44" s="189"/>
      <c r="ZF44" s="188"/>
      <c r="ZG44" s="187"/>
      <c r="ZM44" s="188"/>
      <c r="ZN44" s="187"/>
      <c r="ZT44" s="188"/>
      <c r="ZU44" s="187"/>
      <c r="AAA44" s="188"/>
      <c r="AAB44" s="187"/>
      <c r="AAC44" s="168"/>
      <c r="AAD44" s="189"/>
      <c r="AAH44" s="188"/>
      <c r="AAI44" s="187"/>
      <c r="AAO44" s="188"/>
      <c r="AAP44" s="187"/>
      <c r="AAV44" s="188"/>
      <c r="AAW44" s="187"/>
      <c r="ABC44" s="188"/>
      <c r="ABD44" s="187"/>
      <c r="ABH44" s="168"/>
      <c r="ABI44" s="189"/>
      <c r="ABJ44" s="188"/>
      <c r="ABK44" s="187"/>
      <c r="ABQ44" s="188"/>
      <c r="ABR44" s="187"/>
      <c r="ABX44" s="188"/>
      <c r="ABY44" s="187"/>
      <c r="ACE44" s="188"/>
      <c r="ACF44" s="187"/>
      <c r="ACL44" s="188"/>
      <c r="ACM44" s="190"/>
      <c r="ACN44" s="189"/>
      <c r="ACS44" s="188"/>
      <c r="ACT44" s="187"/>
      <c r="ACZ44" s="188"/>
      <c r="ADA44" s="187"/>
      <c r="ADG44" s="188"/>
      <c r="ADH44" s="187"/>
      <c r="ADN44" s="188"/>
      <c r="ADO44" s="190"/>
      <c r="ADP44" s="189"/>
      <c r="ADU44" s="188"/>
      <c r="ADV44" s="187"/>
      <c r="AEB44" s="188"/>
      <c r="AEC44" s="187"/>
      <c r="AEI44" s="188"/>
      <c r="AEJ44" s="187"/>
      <c r="AEP44" s="188"/>
      <c r="AEQ44" s="187"/>
      <c r="AET44" s="168"/>
      <c r="AEU44" s="189"/>
      <c r="AEW44" s="188"/>
      <c r="AEX44" s="187"/>
      <c r="AFD44" s="188"/>
      <c r="AFE44" s="187"/>
      <c r="AFK44" s="188"/>
      <c r="AFL44" s="187"/>
      <c r="AFR44" s="188"/>
      <c r="AFS44" s="187"/>
      <c r="AFX44" s="168"/>
      <c r="AFY44" s="191"/>
      <c r="AFZ44" s="187"/>
      <c r="AGF44" s="188"/>
      <c r="AGG44" s="187"/>
      <c r="AGM44" s="188"/>
      <c r="AGN44" s="187"/>
      <c r="AGT44" s="188"/>
      <c r="AGU44" s="187"/>
      <c r="AHA44" s="188"/>
      <c r="AHB44" s="187"/>
      <c r="AHC44" s="168"/>
      <c r="AHD44" s="189"/>
      <c r="AHH44" s="188"/>
      <c r="AHI44" s="187"/>
      <c r="AHO44" s="188"/>
      <c r="AHP44" s="187"/>
      <c r="AHV44" s="188"/>
      <c r="AHW44" s="187"/>
      <c r="AIC44" s="188"/>
      <c r="AID44" s="187"/>
      <c r="AIG44" s="168"/>
      <c r="AIH44" s="189"/>
      <c r="AIJ44" s="188"/>
      <c r="AIK44" s="187"/>
      <c r="AIQ44" s="188"/>
      <c r="AIR44" s="187"/>
      <c r="AIX44" s="188"/>
      <c r="AIY44" s="187"/>
      <c r="AJE44" s="188"/>
      <c r="AJF44" s="187"/>
      <c r="AJL44" s="168"/>
      <c r="AJM44" s="189"/>
      <c r="AJS44" s="188"/>
      <c r="AJT44" s="187"/>
      <c r="AJZ44" s="188"/>
      <c r="AKA44" s="187"/>
      <c r="AKG44" s="188"/>
      <c r="AKH44" s="187"/>
      <c r="AKN44" s="188"/>
      <c r="AKO44" s="187"/>
      <c r="AKQ44" s="168"/>
      <c r="AKR44" s="189"/>
      <c r="AKU44" s="188"/>
      <c r="AKV44" s="187"/>
      <c r="ALB44" s="188"/>
      <c r="ALC44" s="187"/>
      <c r="ALI44" s="188"/>
      <c r="ALJ44" s="187"/>
      <c r="ALP44" s="188"/>
      <c r="ALQ44" s="187"/>
      <c r="ALU44" s="168"/>
      <c r="ALV44" s="189"/>
      <c r="ALW44" s="188"/>
      <c r="ALX44" s="187"/>
      <c r="AMD44" s="188"/>
      <c r="AME44" s="187"/>
      <c r="AMK44" s="188"/>
      <c r="AML44" s="187"/>
      <c r="AMR44" s="188"/>
      <c r="AMS44" s="187"/>
      <c r="AMY44" s="188"/>
      <c r="AMZ44" s="190"/>
      <c r="ANA44" s="189"/>
      <c r="ANF44" s="188"/>
      <c r="ANG44" s="187"/>
      <c r="ANM44" s="188"/>
      <c r="ANN44" s="187"/>
      <c r="ANT44" s="188"/>
      <c r="ANU44" s="187"/>
      <c r="AOA44" s="188"/>
      <c r="AOB44" s="187"/>
      <c r="AOD44" s="168"/>
      <c r="AOE44" s="189"/>
      <c r="AOH44" s="188"/>
      <c r="AOI44" s="187"/>
      <c r="AOO44" s="188"/>
      <c r="AOP44" s="187"/>
      <c r="AOV44" s="188"/>
      <c r="AOW44" s="187"/>
      <c r="APC44" s="188"/>
      <c r="APD44" s="187"/>
      <c r="API44" s="168"/>
      <c r="APJ44" s="191"/>
      <c r="APK44" s="187"/>
      <c r="APQ44" s="188"/>
      <c r="APR44" s="187"/>
      <c r="APX44" s="188"/>
      <c r="APY44" s="187"/>
      <c r="AQE44" s="188"/>
      <c r="AQF44" s="187"/>
      <c r="AQL44" s="188"/>
      <c r="AQM44" s="187"/>
      <c r="AQN44" s="168"/>
      <c r="AQO44" s="189"/>
      <c r="AQS44" s="188"/>
      <c r="AQT44" s="187"/>
      <c r="AQZ44" s="188"/>
      <c r="ARA44" s="187"/>
      <c r="ARG44" s="188"/>
      <c r="ARH44" s="187"/>
      <c r="ARN44" s="188"/>
      <c r="ARO44" s="187"/>
      <c r="ARP44" s="168"/>
      <c r="ARQ44" s="189"/>
      <c r="ARU44" s="188"/>
      <c r="ARV44" s="187"/>
      <c r="ASB44" s="188"/>
      <c r="ASC44" s="187"/>
      <c r="ASI44" s="188"/>
      <c r="ASJ44" s="187"/>
      <c r="ASP44" s="188"/>
      <c r="ASQ44" s="187"/>
      <c r="ASU44" s="168"/>
      <c r="ASV44" s="189"/>
      <c r="ASW44" s="188"/>
      <c r="ASX44" s="187"/>
      <c r="ATD44" s="188"/>
      <c r="ATE44" s="187"/>
      <c r="ATK44" s="188"/>
      <c r="ATL44" s="187"/>
      <c r="ATR44" s="188"/>
      <c r="ATS44" s="187"/>
      <c r="ATY44" s="168"/>
      <c r="ATZ44" s="189"/>
      <c r="AUF44" s="188"/>
      <c r="AUG44" s="187"/>
      <c r="AUM44" s="188"/>
      <c r="AUN44" s="187"/>
      <c r="AUT44" s="188"/>
      <c r="AUU44" s="187"/>
      <c r="AVA44" s="188"/>
      <c r="AVB44" s="187"/>
      <c r="AVD44" s="168"/>
      <c r="AVE44" s="189"/>
      <c r="AVH44" s="188"/>
      <c r="AVI44" s="187"/>
      <c r="AVO44" s="188"/>
      <c r="AVP44" s="187"/>
      <c r="AVV44" s="188"/>
      <c r="AVW44" s="187"/>
      <c r="AWC44" s="188"/>
      <c r="AWD44" s="187"/>
      <c r="AWH44" s="168"/>
      <c r="AWI44" s="189"/>
      <c r="AWJ44" s="188"/>
      <c r="AWK44" s="187"/>
      <c r="AWQ44" s="188"/>
      <c r="AWR44" s="187"/>
      <c r="AWX44" s="188"/>
      <c r="AWY44" s="187"/>
      <c r="AXE44" s="188"/>
      <c r="AXF44" s="187"/>
      <c r="AXL44" s="188"/>
      <c r="AXM44" s="190"/>
      <c r="AXN44" s="189"/>
      <c r="AXS44" s="188"/>
      <c r="AXT44" s="187"/>
      <c r="AXZ44" s="188"/>
      <c r="AYA44" s="187"/>
      <c r="AYG44" s="188"/>
      <c r="AYH44" s="187"/>
      <c r="AYN44" s="188"/>
      <c r="AYO44" s="187"/>
      <c r="AYR44" s="168"/>
      <c r="AYS44" s="189"/>
      <c r="AYU44" s="188"/>
      <c r="AYV44" s="187"/>
      <c r="AZB44" s="188"/>
      <c r="AZC44" s="187"/>
      <c r="AZI44" s="188"/>
      <c r="AZJ44" s="187"/>
      <c r="AZP44" s="188"/>
      <c r="AZQ44" s="187"/>
      <c r="AZV44" s="168"/>
      <c r="AZW44" s="191"/>
      <c r="AZX44" s="187"/>
      <c r="BAD44" s="188"/>
      <c r="BAE44" s="187"/>
      <c r="BAK44" s="188"/>
      <c r="BAL44" s="187"/>
      <c r="BAR44" s="188"/>
      <c r="BAS44" s="187"/>
      <c r="BAY44" s="188"/>
      <c r="BAZ44" s="187"/>
      <c r="BBA44" s="168"/>
      <c r="BBB44" s="189"/>
      <c r="BBF44" s="188"/>
      <c r="BBG44" s="187"/>
      <c r="BBM44" s="188"/>
      <c r="BBN44" s="187"/>
      <c r="BBT44" s="188"/>
      <c r="BBU44" s="187"/>
      <c r="BCA44" s="188"/>
      <c r="BCB44" s="187"/>
      <c r="BCE44" s="168"/>
      <c r="BCF44" s="189"/>
      <c r="BCH44" s="188"/>
      <c r="BCI44" s="187"/>
      <c r="BCO44" s="188"/>
      <c r="BCP44" s="187"/>
      <c r="BCV44" s="188"/>
      <c r="BCW44" s="187"/>
      <c r="BDC44" s="188"/>
      <c r="BDD44" s="187"/>
      <c r="BDJ44" s="168"/>
      <c r="BDK44" s="189"/>
      <c r="BDQ44" s="188"/>
      <c r="BDR44" s="187"/>
      <c r="BDX44" s="188"/>
      <c r="BDY44" s="187"/>
      <c r="BEE44" s="188"/>
      <c r="BEF44" s="187"/>
      <c r="BEL44" s="188"/>
      <c r="BEM44" s="187"/>
      <c r="BEO44" s="168"/>
      <c r="BEP44" s="189"/>
      <c r="BES44" s="188"/>
      <c r="BET44" s="187"/>
      <c r="BEZ44" s="188"/>
      <c r="BFA44" s="187"/>
      <c r="BFG44" s="188"/>
      <c r="BFH44" s="187"/>
      <c r="BFN44" s="188"/>
      <c r="BFO44" s="187"/>
      <c r="BFQ44" s="168"/>
      <c r="BFR44" s="189"/>
      <c r="BFU44" s="188"/>
      <c r="BFV44" s="187"/>
      <c r="BGB44" s="188"/>
      <c r="BGC44" s="187"/>
      <c r="BGI44" s="188"/>
      <c r="BGJ44" s="187"/>
      <c r="BGP44" s="188"/>
      <c r="BGQ44" s="187"/>
      <c r="BGV44" s="168"/>
      <c r="BGW44" s="191"/>
      <c r="BGX44" s="187"/>
      <c r="BHD44" s="188"/>
      <c r="BHE44" s="187"/>
      <c r="BHK44" s="188"/>
      <c r="BHL44" s="187"/>
      <c r="BHR44" s="188"/>
      <c r="BHS44" s="187"/>
      <c r="BHY44" s="188"/>
      <c r="BHZ44" s="190"/>
      <c r="BIA44" s="189"/>
      <c r="BIF44" s="188"/>
      <c r="BIG44" s="187"/>
      <c r="BIM44" s="188"/>
      <c r="BIN44" s="187"/>
      <c r="BIT44" s="188"/>
      <c r="BIU44" s="187"/>
      <c r="BJA44" s="188"/>
      <c r="BJB44" s="187"/>
      <c r="BJE44" s="168"/>
      <c r="BJF44" s="189"/>
      <c r="BJH44" s="188"/>
      <c r="BJI44" s="187"/>
      <c r="BJO44" s="188"/>
      <c r="BJP44" s="187"/>
      <c r="BJV44" s="188"/>
      <c r="BJW44" s="187"/>
      <c r="BKC44" s="188"/>
      <c r="BKD44" s="187"/>
      <c r="BKI44" s="168"/>
      <c r="BKJ44" s="191"/>
      <c r="BKK44" s="187"/>
      <c r="BKQ44" s="188"/>
      <c r="BKR44" s="187"/>
      <c r="BKX44" s="188"/>
      <c r="BKY44" s="187"/>
      <c r="BLE44" s="188"/>
      <c r="BLF44" s="187"/>
      <c r="BLL44" s="188"/>
      <c r="BLM44" s="187"/>
      <c r="BLN44" s="168"/>
      <c r="BLO44" s="189"/>
      <c r="BLS44" s="188"/>
      <c r="BLT44" s="187"/>
      <c r="BLZ44" s="188"/>
      <c r="BMA44" s="187"/>
      <c r="BMG44" s="188"/>
      <c r="BMH44" s="187"/>
      <c r="BMN44" s="188"/>
      <c r="BMO44" s="187"/>
      <c r="BMS44" s="168"/>
      <c r="BMT44" s="189"/>
      <c r="BMU44" s="188"/>
      <c r="BMV44" s="187"/>
      <c r="BNB44" s="188"/>
      <c r="BNC44" s="187"/>
      <c r="BNI44" s="188"/>
      <c r="BNJ44" s="187"/>
      <c r="BNP44" s="188"/>
      <c r="BNQ44" s="187"/>
      <c r="BNW44" s="168"/>
      <c r="BNX44" s="189"/>
      <c r="BOD44" s="188"/>
      <c r="BOE44" s="187"/>
      <c r="BOK44" s="188"/>
      <c r="BOL44" s="187"/>
      <c r="BOR44" s="188"/>
      <c r="BOS44" s="187"/>
      <c r="BOY44" s="188"/>
      <c r="BOZ44" s="187"/>
      <c r="BPB44" s="168"/>
      <c r="BPC44" s="189"/>
      <c r="BPF44" s="188"/>
      <c r="BPG44" s="187"/>
      <c r="BPM44" s="188"/>
      <c r="BPN44" s="187"/>
      <c r="BPT44" s="188"/>
      <c r="BPU44" s="187"/>
      <c r="BQA44" s="188"/>
      <c r="BQB44" s="187"/>
      <c r="BQF44" s="168"/>
      <c r="BQG44" s="189"/>
      <c r="BQH44" s="188"/>
      <c r="BQI44" s="187"/>
      <c r="BQO44" s="188"/>
      <c r="BQP44" s="187"/>
      <c r="BQV44" s="188"/>
      <c r="BQW44" s="187"/>
      <c r="BRC44" s="188"/>
      <c r="BRD44" s="187"/>
      <c r="BRJ44" s="188"/>
      <c r="BRK44" s="190"/>
      <c r="BRL44" s="189"/>
      <c r="BRQ44" s="188"/>
      <c r="BRR44" s="187"/>
      <c r="BRX44" s="188"/>
      <c r="BRY44" s="187"/>
      <c r="BSE44" s="188"/>
      <c r="BSF44" s="187"/>
      <c r="BSL44" s="188"/>
      <c r="BSM44" s="187"/>
      <c r="BSP44" s="168"/>
      <c r="BSQ44" s="189"/>
      <c r="BSS44" s="188"/>
      <c r="BST44" s="187"/>
      <c r="BSZ44" s="188"/>
      <c r="BTA44" s="187"/>
      <c r="BTG44" s="188"/>
      <c r="BTH44" s="187"/>
      <c r="BTN44" s="188"/>
      <c r="BTO44" s="187"/>
      <c r="BTS44" s="168"/>
      <c r="BTT44" s="189"/>
      <c r="BTU44" s="188"/>
      <c r="BTV44" s="187"/>
      <c r="BUB44" s="188"/>
      <c r="BUC44" s="187"/>
      <c r="BUI44" s="188"/>
      <c r="BUJ44" s="187"/>
      <c r="BUP44" s="188"/>
      <c r="BUQ44" s="187"/>
      <c r="BUW44" s="188"/>
      <c r="BUX44" s="190"/>
      <c r="BUY44" s="189"/>
      <c r="BVD44" s="188"/>
      <c r="BVE44" s="187"/>
      <c r="BVK44" s="188"/>
      <c r="BVL44" s="187"/>
      <c r="BVR44" s="188"/>
      <c r="BVS44" s="187"/>
      <c r="BVY44" s="188"/>
      <c r="BVZ44" s="187"/>
      <c r="BWB44" s="168"/>
      <c r="BWC44" s="189"/>
      <c r="BWF44" s="188"/>
      <c r="BWG44" s="187"/>
      <c r="BWM44" s="188"/>
      <c r="BWN44" s="187"/>
      <c r="BWT44" s="188"/>
      <c r="BWU44" s="187"/>
      <c r="BXA44" s="188"/>
      <c r="BXB44" s="187"/>
      <c r="BXG44" s="168"/>
      <c r="BXH44" s="191"/>
      <c r="BXI44" s="187"/>
      <c r="BXO44" s="188"/>
      <c r="BXP44" s="187"/>
      <c r="BXV44" s="188"/>
      <c r="BXW44" s="187"/>
      <c r="BYC44" s="188"/>
      <c r="BYD44" s="187"/>
      <c r="BYJ44" s="188"/>
      <c r="BYK44" s="190"/>
      <c r="BYL44" s="189"/>
      <c r="BYQ44" s="188"/>
      <c r="BYR44" s="187"/>
      <c r="BYX44" s="188"/>
      <c r="BYY44" s="187"/>
      <c r="BZE44" s="188"/>
      <c r="BZF44" s="187"/>
      <c r="BZL44" s="188"/>
      <c r="BZM44" s="187"/>
      <c r="BZP44" s="168"/>
      <c r="BZQ44" s="189"/>
      <c r="BZS44" s="188"/>
      <c r="BZT44" s="187"/>
      <c r="BZZ44" s="188"/>
      <c r="CAA44" s="187"/>
      <c r="CAG44" s="188"/>
      <c r="CAH44" s="187"/>
      <c r="CAN44" s="188"/>
      <c r="CAO44" s="187"/>
      <c r="CAU44" s="168"/>
      <c r="CAV44" s="189"/>
      <c r="CBB44" s="188"/>
      <c r="CBC44" s="187"/>
      <c r="CBI44" s="188"/>
      <c r="CBJ44" s="187"/>
      <c r="CBP44" s="188"/>
      <c r="CBQ44" s="187"/>
      <c r="CBW44" s="188"/>
      <c r="CBX44" s="187"/>
      <c r="CBY44" s="168"/>
      <c r="CBZ44" s="189"/>
      <c r="CCD44" s="188"/>
      <c r="CCE44" s="187"/>
      <c r="CCK44" s="188"/>
      <c r="CCL44" s="187"/>
      <c r="CCR44" s="188"/>
      <c r="CCS44" s="187"/>
      <c r="CCY44" s="188"/>
      <c r="CCZ44" s="187"/>
      <c r="CDD44" s="168"/>
      <c r="CDE44" s="189"/>
      <c r="CDF44" s="188"/>
      <c r="CDG44" s="187"/>
      <c r="CDM44" s="188"/>
      <c r="CDN44" s="187"/>
      <c r="CDT44" s="188"/>
      <c r="CDU44" s="187"/>
      <c r="CEA44" s="188"/>
      <c r="CEB44" s="187"/>
      <c r="CEH44" s="168"/>
      <c r="CEI44" s="189"/>
      <c r="CEO44" s="188"/>
      <c r="CEP44" s="187"/>
      <c r="CEV44" s="188"/>
      <c r="CEW44" s="187"/>
      <c r="CFC44" s="188"/>
      <c r="CFD44" s="187"/>
      <c r="CFJ44" s="188"/>
      <c r="CFK44" s="187"/>
    </row>
    <row r="45" spans="1:1019 1025:2048 2054:2195">
      <c r="A45" s="164" t="s">
        <v>310</v>
      </c>
      <c r="D45" s="186"/>
      <c r="E45" s="186"/>
      <c r="K45" s="187"/>
      <c r="Q45" s="188"/>
      <c r="R45" s="187"/>
      <c r="X45" s="188"/>
      <c r="Y45" s="187"/>
      <c r="AE45" s="188"/>
      <c r="AF45" s="187"/>
      <c r="AJ45" s="168"/>
      <c r="AK45" s="189"/>
      <c r="AL45" s="188"/>
      <c r="AM45" s="187"/>
      <c r="AS45" s="188"/>
      <c r="AT45" s="187"/>
      <c r="AZ45" s="188"/>
      <c r="BA45" s="187"/>
      <c r="BG45" s="188"/>
      <c r="BH45" s="187"/>
      <c r="BL45" s="168"/>
      <c r="BM45" s="189"/>
      <c r="BN45" s="188"/>
      <c r="BO45" s="187"/>
      <c r="BU45" s="188"/>
      <c r="BV45" s="187"/>
      <c r="CB45" s="188"/>
      <c r="CC45" s="187"/>
      <c r="CI45" s="188"/>
      <c r="CJ45" s="187"/>
      <c r="CP45" s="188"/>
      <c r="CQ45" s="190"/>
      <c r="CR45" s="189"/>
      <c r="CW45" s="188"/>
      <c r="CX45" s="187"/>
      <c r="DD45" s="188"/>
      <c r="DE45" s="187"/>
      <c r="DK45" s="188"/>
      <c r="DL45" s="187"/>
      <c r="DR45" s="188"/>
      <c r="DS45" s="187"/>
      <c r="DU45" s="168"/>
      <c r="DV45" s="189"/>
      <c r="DY45" s="188"/>
      <c r="DZ45" s="187"/>
      <c r="EF45" s="188"/>
      <c r="EG45" s="187"/>
      <c r="EM45" s="188"/>
      <c r="EN45" s="187"/>
      <c r="ET45" s="188"/>
      <c r="EU45" s="187"/>
      <c r="EZ45" s="168"/>
      <c r="FA45" s="191"/>
      <c r="FB45" s="187"/>
      <c r="FH45" s="188"/>
      <c r="FI45" s="187"/>
      <c r="FO45" s="188"/>
      <c r="FP45" s="187"/>
      <c r="FV45" s="188"/>
      <c r="FW45" s="187"/>
      <c r="GC45" s="188"/>
      <c r="GD45" s="190"/>
      <c r="GE45" s="189"/>
      <c r="GJ45" s="188"/>
      <c r="GK45" s="187"/>
      <c r="GQ45" s="188"/>
      <c r="GR45" s="187"/>
      <c r="GX45" s="188"/>
      <c r="GY45" s="187"/>
      <c r="HE45" s="188"/>
      <c r="HF45" s="187"/>
      <c r="HI45" s="168"/>
      <c r="HJ45" s="189"/>
      <c r="HL45" s="188"/>
      <c r="HM45" s="187"/>
      <c r="HS45" s="188"/>
      <c r="HT45" s="187"/>
      <c r="HZ45" s="188"/>
      <c r="IA45" s="187"/>
      <c r="IG45" s="188"/>
      <c r="IH45" s="187"/>
      <c r="IN45" s="168"/>
      <c r="IO45" s="189"/>
      <c r="IU45" s="188"/>
      <c r="IV45" s="187"/>
      <c r="JB45" s="188"/>
      <c r="JC45" s="187"/>
      <c r="JI45" s="188"/>
      <c r="JJ45" s="187"/>
      <c r="JP45" s="188"/>
      <c r="JQ45" s="187"/>
      <c r="JR45" s="168"/>
      <c r="JS45" s="189"/>
      <c r="JW45" s="188"/>
      <c r="JX45" s="187"/>
      <c r="KD45" s="188"/>
      <c r="KE45" s="187"/>
      <c r="KK45" s="188"/>
      <c r="KL45" s="187"/>
      <c r="KR45" s="188"/>
      <c r="KS45" s="187"/>
      <c r="KW45" s="168"/>
      <c r="KX45" s="189"/>
      <c r="KY45" s="188"/>
      <c r="KZ45" s="187"/>
      <c r="LF45" s="188"/>
      <c r="LG45" s="187"/>
      <c r="LM45" s="188"/>
      <c r="LN45" s="187"/>
      <c r="LT45" s="188"/>
      <c r="LU45" s="187"/>
      <c r="MA45" s="168"/>
      <c r="MB45" s="189"/>
      <c r="MH45" s="188"/>
      <c r="MI45" s="187"/>
      <c r="MO45" s="188"/>
      <c r="MP45" s="187"/>
      <c r="MV45" s="188"/>
      <c r="MW45" s="187"/>
      <c r="NC45" s="188"/>
      <c r="ND45" s="187"/>
      <c r="NF45" s="168"/>
      <c r="NG45" s="189"/>
      <c r="NJ45" s="188"/>
      <c r="NK45" s="187"/>
      <c r="NQ45" s="188"/>
      <c r="NR45" s="187"/>
      <c r="NX45" s="188"/>
      <c r="NY45" s="187"/>
      <c r="OE45" s="188"/>
      <c r="OF45" s="187"/>
      <c r="OK45" s="168"/>
      <c r="OL45" s="191"/>
      <c r="OM45" s="187"/>
      <c r="OS45" s="188"/>
      <c r="OT45" s="187"/>
      <c r="OZ45" s="188"/>
      <c r="PA45" s="187"/>
      <c r="PG45" s="188"/>
      <c r="PH45" s="187"/>
      <c r="PN45" s="168"/>
      <c r="PO45" s="189"/>
      <c r="PU45" s="188"/>
      <c r="PV45" s="187"/>
      <c r="QB45" s="188"/>
      <c r="QC45" s="187"/>
      <c r="QI45" s="188"/>
      <c r="QJ45" s="187"/>
      <c r="QP45" s="188"/>
      <c r="QQ45" s="187"/>
      <c r="QS45" s="168"/>
      <c r="QT45" s="189"/>
      <c r="QW45" s="188"/>
      <c r="QX45" s="187"/>
      <c r="RD45" s="188"/>
      <c r="RE45" s="187"/>
      <c r="RK45" s="188"/>
      <c r="RL45" s="187"/>
      <c r="RR45" s="188"/>
      <c r="RS45" s="187"/>
      <c r="RW45" s="168"/>
      <c r="RX45" s="189"/>
      <c r="RY45" s="188"/>
      <c r="RZ45" s="187"/>
      <c r="SF45" s="188"/>
      <c r="SG45" s="187"/>
      <c r="SM45" s="188"/>
      <c r="SN45" s="187"/>
      <c r="ST45" s="188"/>
      <c r="SU45" s="187"/>
      <c r="TA45" s="188"/>
      <c r="TB45" s="190"/>
      <c r="TC45" s="189"/>
      <c r="TH45" s="188"/>
      <c r="TI45" s="187"/>
      <c r="TO45" s="188"/>
      <c r="TP45" s="187"/>
      <c r="TV45" s="188"/>
      <c r="TW45" s="187"/>
      <c r="UC45" s="188"/>
      <c r="UD45" s="187"/>
      <c r="UF45" s="168"/>
      <c r="UG45" s="189"/>
      <c r="UJ45" s="188"/>
      <c r="UK45" s="187"/>
      <c r="UQ45" s="188"/>
      <c r="UR45" s="187"/>
      <c r="UX45" s="188"/>
      <c r="UY45" s="187"/>
      <c r="VE45" s="188"/>
      <c r="VF45" s="187"/>
      <c r="VK45" s="168"/>
      <c r="VL45" s="191"/>
      <c r="VM45" s="187"/>
      <c r="VS45" s="188"/>
      <c r="VT45" s="187"/>
      <c r="VZ45" s="188"/>
      <c r="WA45" s="187"/>
      <c r="WG45" s="188"/>
      <c r="WH45" s="187"/>
      <c r="WN45" s="188"/>
      <c r="WO45" s="187"/>
      <c r="WP45" s="168"/>
      <c r="WQ45" s="189"/>
      <c r="WU45" s="188"/>
      <c r="WV45" s="187"/>
      <c r="XB45" s="188"/>
      <c r="XC45" s="187"/>
      <c r="XI45" s="188"/>
      <c r="XJ45" s="187"/>
      <c r="XP45" s="188"/>
      <c r="XQ45" s="187"/>
      <c r="XT45" s="168"/>
      <c r="XU45" s="189"/>
      <c r="XW45" s="188"/>
      <c r="XX45" s="187"/>
      <c r="YD45" s="188"/>
      <c r="YE45" s="187"/>
      <c r="YK45" s="188"/>
      <c r="YL45" s="187"/>
      <c r="YR45" s="188"/>
      <c r="YS45" s="187"/>
      <c r="YY45" s="168"/>
      <c r="YZ45" s="189"/>
      <c r="ZF45" s="188"/>
      <c r="ZG45" s="187"/>
      <c r="ZM45" s="188"/>
      <c r="ZN45" s="187"/>
      <c r="ZT45" s="188"/>
      <c r="ZU45" s="187"/>
      <c r="AAA45" s="188"/>
      <c r="AAB45" s="187"/>
      <c r="AAC45" s="168"/>
      <c r="AAD45" s="189"/>
      <c r="AAH45" s="188"/>
      <c r="AAI45" s="187"/>
      <c r="AAO45" s="188"/>
      <c r="AAP45" s="187"/>
      <c r="AAV45" s="188"/>
      <c r="AAW45" s="187"/>
      <c r="ABC45" s="188"/>
      <c r="ABD45" s="187"/>
      <c r="ABH45" s="168"/>
      <c r="ABI45" s="189"/>
      <c r="ABJ45" s="188"/>
      <c r="ABK45" s="187"/>
      <c r="ABQ45" s="188"/>
      <c r="ABR45" s="187"/>
      <c r="ABX45" s="188"/>
      <c r="ABY45" s="187"/>
      <c r="ACE45" s="188"/>
      <c r="ACF45" s="187"/>
      <c r="ACL45" s="188"/>
      <c r="ACM45" s="190"/>
      <c r="ACN45" s="189"/>
      <c r="ACS45" s="188"/>
      <c r="ACT45" s="187"/>
      <c r="ACZ45" s="188"/>
      <c r="ADA45" s="187"/>
      <c r="ADG45" s="188"/>
      <c r="ADH45" s="187"/>
      <c r="ADN45" s="188"/>
      <c r="ADO45" s="190"/>
      <c r="ADP45" s="189"/>
      <c r="ADU45" s="188"/>
      <c r="ADV45" s="187"/>
      <c r="AEB45" s="188"/>
      <c r="AEC45" s="187"/>
      <c r="AEI45" s="188"/>
      <c r="AEJ45" s="187"/>
      <c r="AEP45" s="188"/>
      <c r="AEQ45" s="187"/>
      <c r="AET45" s="168"/>
      <c r="AEU45" s="189"/>
      <c r="AEW45" s="188"/>
      <c r="AEX45" s="187"/>
      <c r="AFD45" s="188"/>
      <c r="AFE45" s="187"/>
      <c r="AFK45" s="188"/>
      <c r="AFL45" s="187"/>
      <c r="AFR45" s="188"/>
      <c r="AFS45" s="187"/>
      <c r="AFX45" s="168"/>
      <c r="AFY45" s="191"/>
      <c r="AFZ45" s="187"/>
      <c r="AGF45" s="188"/>
      <c r="AGG45" s="187"/>
      <c r="AGM45" s="188"/>
      <c r="AGN45" s="187"/>
      <c r="AGT45" s="188"/>
      <c r="AGU45" s="187"/>
      <c r="AHA45" s="188"/>
      <c r="AHB45" s="187"/>
      <c r="AHC45" s="168"/>
      <c r="AHD45" s="189"/>
      <c r="AHH45" s="188"/>
      <c r="AHI45" s="187"/>
      <c r="AHO45" s="188"/>
      <c r="AHP45" s="187"/>
      <c r="AHV45" s="188"/>
      <c r="AHW45" s="187"/>
      <c r="AIC45" s="188"/>
      <c r="AID45" s="187"/>
      <c r="AIG45" s="168"/>
      <c r="AIH45" s="189"/>
      <c r="AIJ45" s="188"/>
      <c r="AIK45" s="187"/>
      <c r="AIQ45" s="188"/>
      <c r="AIR45" s="187"/>
      <c r="AIX45" s="188"/>
      <c r="AIY45" s="187"/>
      <c r="AJE45" s="188"/>
      <c r="AJF45" s="187"/>
      <c r="AJL45" s="168"/>
      <c r="AJM45" s="189"/>
      <c r="AJS45" s="188"/>
      <c r="AJT45" s="187"/>
      <c r="AJZ45" s="188"/>
      <c r="AKA45" s="187"/>
      <c r="AKG45" s="188"/>
      <c r="AKH45" s="187"/>
      <c r="AKN45" s="188"/>
      <c r="AKO45" s="187"/>
      <c r="AKQ45" s="168"/>
      <c r="AKR45" s="189"/>
      <c r="AKU45" s="188"/>
      <c r="AKV45" s="187"/>
      <c r="ALB45" s="188"/>
      <c r="ALC45" s="187"/>
      <c r="ALI45" s="188"/>
      <c r="ALJ45" s="187"/>
      <c r="ALP45" s="188"/>
      <c r="ALQ45" s="187"/>
      <c r="ALU45" s="168"/>
      <c r="ALV45" s="189"/>
      <c r="ALW45" s="188"/>
      <c r="ALX45" s="187"/>
      <c r="AMD45" s="188"/>
      <c r="AME45" s="187"/>
      <c r="AMK45" s="188"/>
      <c r="AML45" s="187"/>
      <c r="AMR45" s="188"/>
      <c r="AMS45" s="187"/>
      <c r="AMY45" s="188"/>
      <c r="AMZ45" s="190"/>
      <c r="ANA45" s="189"/>
      <c r="ANF45" s="188"/>
      <c r="ANG45" s="187"/>
      <c r="ANM45" s="188"/>
      <c r="ANN45" s="187"/>
      <c r="ANT45" s="188"/>
      <c r="ANU45" s="187"/>
      <c r="AOA45" s="188"/>
      <c r="AOB45" s="187"/>
      <c r="AOD45" s="168"/>
      <c r="AOE45" s="189"/>
      <c r="AOH45" s="188"/>
      <c r="AOI45" s="187"/>
      <c r="AOO45" s="188"/>
      <c r="AOP45" s="187"/>
      <c r="AOV45" s="188"/>
      <c r="AOW45" s="187"/>
      <c r="APC45" s="188"/>
      <c r="APD45" s="187"/>
      <c r="API45" s="168"/>
      <c r="APJ45" s="191"/>
      <c r="APK45" s="187"/>
      <c r="APQ45" s="188"/>
      <c r="APR45" s="187"/>
      <c r="APX45" s="188"/>
      <c r="APY45" s="187"/>
      <c r="AQE45" s="188"/>
      <c r="AQF45" s="187"/>
      <c r="AQL45" s="188"/>
      <c r="AQM45" s="187"/>
      <c r="AQN45" s="168"/>
      <c r="AQO45" s="189"/>
      <c r="AQS45" s="188"/>
      <c r="AQT45" s="187"/>
      <c r="AQZ45" s="188"/>
      <c r="ARA45" s="187"/>
      <c r="ARG45" s="188"/>
      <c r="ARH45" s="187"/>
      <c r="ARN45" s="188"/>
      <c r="ARO45" s="187"/>
      <c r="ARP45" s="168"/>
      <c r="ARQ45" s="189"/>
      <c r="ARU45" s="188"/>
      <c r="ARV45" s="187"/>
      <c r="ASB45" s="188"/>
      <c r="ASC45" s="187"/>
      <c r="ASI45" s="188"/>
      <c r="ASJ45" s="187"/>
      <c r="ASP45" s="188"/>
      <c r="ASQ45" s="187"/>
      <c r="ASU45" s="168"/>
      <c r="ASV45" s="189"/>
      <c r="ASW45" s="188"/>
      <c r="ASX45" s="187"/>
      <c r="ATD45" s="188"/>
      <c r="ATE45" s="187"/>
      <c r="ATK45" s="188"/>
      <c r="ATL45" s="187"/>
      <c r="ATR45" s="188"/>
      <c r="ATS45" s="187"/>
      <c r="ATY45" s="168"/>
      <c r="ATZ45" s="189"/>
      <c r="AUF45" s="188"/>
      <c r="AUG45" s="187"/>
      <c r="AUM45" s="188"/>
      <c r="AUN45" s="187"/>
      <c r="AUT45" s="188"/>
      <c r="AUU45" s="187"/>
      <c r="AVA45" s="188"/>
      <c r="AVB45" s="187"/>
      <c r="AVD45" s="168"/>
      <c r="AVE45" s="189"/>
      <c r="AVH45" s="188"/>
      <c r="AVI45" s="187"/>
      <c r="AVO45" s="188"/>
      <c r="AVP45" s="187"/>
      <c r="AVV45" s="188"/>
      <c r="AVW45" s="187"/>
      <c r="AWC45" s="188"/>
      <c r="AWD45" s="187"/>
      <c r="AWH45" s="168"/>
      <c r="AWI45" s="189"/>
      <c r="AWJ45" s="188"/>
      <c r="AWK45" s="187"/>
      <c r="AWQ45" s="188"/>
      <c r="AWR45" s="187"/>
      <c r="AWX45" s="188"/>
      <c r="AWY45" s="187"/>
      <c r="AXE45" s="188"/>
      <c r="AXF45" s="187"/>
      <c r="AXL45" s="188"/>
      <c r="AXM45" s="190"/>
      <c r="AXN45" s="189"/>
      <c r="AXS45" s="188"/>
      <c r="AXT45" s="187"/>
      <c r="AXZ45" s="188"/>
      <c r="AYA45" s="187"/>
      <c r="AYG45" s="188"/>
      <c r="AYH45" s="187"/>
      <c r="AYN45" s="188"/>
      <c r="AYO45" s="187"/>
      <c r="AYR45" s="168"/>
      <c r="AYS45" s="189"/>
      <c r="AYU45" s="188"/>
      <c r="AYV45" s="187"/>
      <c r="AZB45" s="188"/>
      <c r="AZC45" s="187"/>
      <c r="AZI45" s="188"/>
      <c r="AZJ45" s="187"/>
      <c r="AZP45" s="188"/>
      <c r="AZQ45" s="187"/>
      <c r="AZV45" s="168"/>
      <c r="AZW45" s="191"/>
      <c r="AZX45" s="187"/>
      <c r="BAD45" s="188"/>
      <c r="BAE45" s="187"/>
      <c r="BAK45" s="188"/>
      <c r="BAL45" s="187"/>
      <c r="BAR45" s="188"/>
      <c r="BAS45" s="187"/>
      <c r="BAY45" s="188"/>
      <c r="BAZ45" s="187"/>
      <c r="BBA45" s="168"/>
      <c r="BBB45" s="189"/>
      <c r="BBF45" s="188"/>
      <c r="BBG45" s="187"/>
      <c r="BBM45" s="188"/>
      <c r="BBN45" s="187"/>
      <c r="BBT45" s="188"/>
      <c r="BBU45" s="187"/>
      <c r="BCA45" s="188"/>
      <c r="BCB45" s="187"/>
      <c r="BCE45" s="168"/>
      <c r="BCF45" s="189"/>
      <c r="BCH45" s="188"/>
      <c r="BCI45" s="187"/>
      <c r="BCO45" s="188"/>
      <c r="BCP45" s="187"/>
      <c r="BCV45" s="188"/>
      <c r="BCW45" s="187"/>
      <c r="BDC45" s="188"/>
      <c r="BDD45" s="187"/>
      <c r="BDJ45" s="168"/>
      <c r="BDK45" s="189"/>
      <c r="BDQ45" s="188"/>
      <c r="BDR45" s="187"/>
      <c r="BDX45" s="188"/>
      <c r="BDY45" s="187"/>
      <c r="BEE45" s="188"/>
      <c r="BEF45" s="187"/>
      <c r="BEL45" s="188"/>
      <c r="BEM45" s="187"/>
      <c r="BEO45" s="168"/>
      <c r="BEP45" s="189"/>
      <c r="BES45" s="188"/>
      <c r="BET45" s="187"/>
      <c r="BEZ45" s="188"/>
      <c r="BFA45" s="187"/>
      <c r="BFG45" s="188"/>
      <c r="BFH45" s="187"/>
      <c r="BFN45" s="188"/>
      <c r="BFO45" s="187"/>
      <c r="BFQ45" s="168"/>
      <c r="BFR45" s="189"/>
      <c r="BFU45" s="188"/>
      <c r="BFV45" s="187"/>
      <c r="BGB45" s="188"/>
      <c r="BGC45" s="187"/>
      <c r="BGI45" s="188"/>
      <c r="BGJ45" s="187"/>
      <c r="BGP45" s="188"/>
      <c r="BGQ45" s="187"/>
      <c r="BGV45" s="168"/>
      <c r="BGW45" s="191"/>
      <c r="BGX45" s="187"/>
      <c r="BHD45" s="188"/>
      <c r="BHE45" s="187"/>
      <c r="BHK45" s="188"/>
      <c r="BHL45" s="187"/>
      <c r="BHR45" s="188"/>
      <c r="BHS45" s="187"/>
      <c r="BHY45" s="188"/>
      <c r="BHZ45" s="190"/>
      <c r="BIA45" s="189"/>
      <c r="BIF45" s="188"/>
      <c r="BIG45" s="187"/>
      <c r="BIM45" s="188"/>
      <c r="BIN45" s="187"/>
      <c r="BIT45" s="188"/>
      <c r="BIU45" s="187"/>
      <c r="BJA45" s="188"/>
      <c r="BJB45" s="187"/>
      <c r="BJE45" s="168"/>
      <c r="BJF45" s="189"/>
      <c r="BJH45" s="188"/>
      <c r="BJI45" s="187"/>
      <c r="BJO45" s="188"/>
      <c r="BJP45" s="187"/>
      <c r="BJV45" s="188"/>
      <c r="BJW45" s="187"/>
      <c r="BKC45" s="188"/>
      <c r="BKD45" s="187"/>
      <c r="BKI45" s="168"/>
      <c r="BKJ45" s="191"/>
      <c r="BKK45" s="187"/>
      <c r="BKQ45" s="188"/>
      <c r="BKR45" s="187"/>
      <c r="BKX45" s="188"/>
      <c r="BKY45" s="187"/>
      <c r="BLE45" s="188"/>
      <c r="BLF45" s="187"/>
      <c r="BLL45" s="188"/>
      <c r="BLM45" s="187"/>
      <c r="BLN45" s="168"/>
      <c r="BLO45" s="189"/>
      <c r="BLS45" s="188"/>
      <c r="BLT45" s="187"/>
      <c r="BLZ45" s="188"/>
      <c r="BMA45" s="187"/>
      <c r="BMG45" s="188"/>
      <c r="BMH45" s="187"/>
      <c r="BMN45" s="188"/>
      <c r="BMO45" s="187"/>
      <c r="BMS45" s="168"/>
      <c r="BMT45" s="189"/>
      <c r="BMU45" s="188"/>
      <c r="BMV45" s="187"/>
      <c r="BNB45" s="188"/>
      <c r="BNC45" s="187"/>
      <c r="BNI45" s="188"/>
      <c r="BNJ45" s="187"/>
      <c r="BNP45" s="188"/>
      <c r="BNQ45" s="187"/>
      <c r="BNW45" s="168"/>
      <c r="BNX45" s="189"/>
      <c r="BOD45" s="188"/>
      <c r="BOE45" s="187"/>
      <c r="BOK45" s="188"/>
      <c r="BOL45" s="187"/>
      <c r="BOR45" s="188"/>
      <c r="BOS45" s="187"/>
      <c r="BOY45" s="188"/>
      <c r="BOZ45" s="187"/>
      <c r="BPB45" s="168"/>
      <c r="BPC45" s="189"/>
      <c r="BPF45" s="188"/>
      <c r="BPG45" s="187"/>
      <c r="BPM45" s="188"/>
      <c r="BPN45" s="187"/>
      <c r="BPT45" s="188"/>
      <c r="BPU45" s="187"/>
      <c r="BQA45" s="188"/>
      <c r="BQB45" s="187"/>
      <c r="BQF45" s="168"/>
      <c r="BQG45" s="189"/>
      <c r="BQH45" s="188"/>
      <c r="BQI45" s="187"/>
      <c r="BQO45" s="188"/>
      <c r="BQP45" s="187"/>
      <c r="BQV45" s="188"/>
      <c r="BQW45" s="187"/>
      <c r="BRC45" s="188"/>
      <c r="BRD45" s="187"/>
      <c r="BRJ45" s="188"/>
      <c r="BRK45" s="190"/>
      <c r="BRL45" s="189"/>
      <c r="BRQ45" s="188"/>
      <c r="BRR45" s="187"/>
      <c r="BRX45" s="188"/>
      <c r="BRY45" s="187"/>
      <c r="BSE45" s="188"/>
      <c r="BSF45" s="187"/>
      <c r="BSL45" s="188"/>
      <c r="BSM45" s="187"/>
      <c r="BSP45" s="168"/>
      <c r="BSQ45" s="189"/>
      <c r="BSS45" s="188"/>
      <c r="BST45" s="187"/>
      <c r="BSZ45" s="188"/>
      <c r="BTA45" s="187"/>
      <c r="BTG45" s="188"/>
      <c r="BTH45" s="187"/>
      <c r="BTN45" s="188"/>
      <c r="BTO45" s="187"/>
      <c r="BTS45" s="168"/>
      <c r="BTT45" s="189"/>
      <c r="BTU45" s="188"/>
      <c r="BTV45" s="187"/>
      <c r="BUB45" s="188"/>
      <c r="BUC45" s="187"/>
      <c r="BUI45" s="188"/>
      <c r="BUJ45" s="187"/>
      <c r="BUP45" s="188"/>
      <c r="BUQ45" s="187"/>
      <c r="BUW45" s="188"/>
      <c r="BUX45" s="190"/>
      <c r="BUY45" s="189"/>
      <c r="BVD45" s="188"/>
      <c r="BVE45" s="187"/>
      <c r="BVK45" s="188"/>
      <c r="BVL45" s="187"/>
      <c r="BVR45" s="188"/>
      <c r="BVS45" s="187"/>
      <c r="BVY45" s="188"/>
      <c r="BVZ45" s="187"/>
      <c r="BWB45" s="168"/>
      <c r="BWC45" s="189"/>
      <c r="BWF45" s="188"/>
      <c r="BWG45" s="187"/>
      <c r="BWM45" s="188"/>
      <c r="BWN45" s="187"/>
      <c r="BWT45" s="188"/>
      <c r="BWU45" s="187"/>
      <c r="BXA45" s="188"/>
      <c r="BXB45" s="187"/>
      <c r="BXG45" s="168"/>
      <c r="BXH45" s="191"/>
      <c r="BXI45" s="187"/>
      <c r="BXO45" s="188"/>
      <c r="BXP45" s="187"/>
      <c r="BXV45" s="188"/>
      <c r="BXW45" s="187"/>
      <c r="BYC45" s="188"/>
      <c r="BYD45" s="187"/>
      <c r="BYJ45" s="188"/>
      <c r="BYK45" s="190"/>
      <c r="BYL45" s="189"/>
      <c r="BYQ45" s="188"/>
      <c r="BYR45" s="187"/>
      <c r="BYX45" s="188"/>
      <c r="BYY45" s="187"/>
      <c r="BZE45" s="188"/>
      <c r="BZF45" s="187"/>
      <c r="BZL45" s="188"/>
      <c r="BZM45" s="187"/>
      <c r="BZP45" s="168"/>
      <c r="BZQ45" s="189"/>
      <c r="BZS45" s="188"/>
      <c r="BZT45" s="187"/>
      <c r="BZZ45" s="188"/>
      <c r="CAA45" s="187"/>
      <c r="CAG45" s="188"/>
      <c r="CAH45" s="187"/>
      <c r="CAN45" s="188"/>
      <c r="CAO45" s="187"/>
      <c r="CAU45" s="168"/>
      <c r="CAV45" s="189"/>
      <c r="CBB45" s="188"/>
      <c r="CBC45" s="187"/>
      <c r="CBI45" s="188"/>
      <c r="CBJ45" s="187"/>
      <c r="CBP45" s="188"/>
      <c r="CBQ45" s="187"/>
      <c r="CBW45" s="188"/>
      <c r="CBX45" s="187"/>
      <c r="CBY45" s="168"/>
      <c r="CBZ45" s="189"/>
      <c r="CCD45" s="188"/>
      <c r="CCE45" s="187"/>
      <c r="CCK45" s="188"/>
      <c r="CCL45" s="187"/>
      <c r="CCR45" s="188"/>
      <c r="CCS45" s="187"/>
      <c r="CCY45" s="188"/>
      <c r="CCZ45" s="187"/>
      <c r="CDD45" s="168"/>
      <c r="CDE45" s="189"/>
      <c r="CDF45" s="188"/>
      <c r="CDG45" s="187"/>
      <c r="CDM45" s="188"/>
      <c r="CDN45" s="187"/>
      <c r="CDT45" s="188"/>
      <c r="CDU45" s="187"/>
      <c r="CEA45" s="188"/>
      <c r="CEB45" s="187"/>
      <c r="CEH45" s="168"/>
      <c r="CEI45" s="189"/>
      <c r="CEO45" s="188"/>
      <c r="CEP45" s="187"/>
      <c r="CEV45" s="188"/>
      <c r="CEW45" s="187"/>
      <c r="CFC45" s="188"/>
      <c r="CFD45" s="187"/>
      <c r="CFJ45" s="188"/>
      <c r="CFK45" s="187"/>
    </row>
    <row r="46" spans="1:1019 1025:2048 2054:2195">
      <c r="A46" s="164" t="s">
        <v>311</v>
      </c>
      <c r="D46" s="186"/>
      <c r="E46" s="186"/>
      <c r="K46" s="187"/>
      <c r="Q46" s="188"/>
      <c r="R46" s="187"/>
      <c r="X46" s="188"/>
      <c r="Y46" s="187"/>
      <c r="AE46" s="188"/>
      <c r="AF46" s="187"/>
      <c r="AJ46" s="168"/>
      <c r="AK46" s="189"/>
      <c r="AL46" s="188"/>
      <c r="AM46" s="187"/>
      <c r="AS46" s="188"/>
      <c r="AT46" s="187"/>
      <c r="AZ46" s="188"/>
      <c r="BA46" s="187"/>
      <c r="BG46" s="188"/>
      <c r="BH46" s="187"/>
      <c r="BL46" s="168"/>
      <c r="BM46" s="189"/>
      <c r="BN46" s="188"/>
      <c r="BO46" s="187"/>
      <c r="BU46" s="188"/>
      <c r="BV46" s="187"/>
      <c r="CB46" s="188"/>
      <c r="CC46" s="187"/>
      <c r="CI46" s="188"/>
      <c r="CJ46" s="187"/>
      <c r="CP46" s="188"/>
      <c r="CQ46" s="190"/>
      <c r="CR46" s="189"/>
      <c r="CW46" s="188"/>
      <c r="CX46" s="187"/>
      <c r="DD46" s="188"/>
      <c r="DE46" s="187"/>
      <c r="DK46" s="188"/>
      <c r="DL46" s="187"/>
      <c r="DR46" s="188"/>
      <c r="DS46" s="187"/>
      <c r="DU46" s="168"/>
      <c r="DV46" s="189"/>
      <c r="DY46" s="188"/>
      <c r="DZ46" s="187"/>
      <c r="EF46" s="188"/>
      <c r="EG46" s="187"/>
      <c r="EM46" s="188"/>
      <c r="EN46" s="187"/>
      <c r="ET46" s="188"/>
      <c r="EU46" s="187"/>
      <c r="EZ46" s="168"/>
      <c r="FA46" s="191"/>
      <c r="FB46" s="187"/>
      <c r="FH46" s="188"/>
      <c r="FI46" s="187"/>
      <c r="FO46" s="188"/>
      <c r="FP46" s="187"/>
      <c r="FV46" s="188"/>
      <c r="FW46" s="187"/>
      <c r="GC46" s="188"/>
      <c r="GD46" s="190"/>
      <c r="GE46" s="189"/>
      <c r="GJ46" s="188"/>
      <c r="GK46" s="187"/>
      <c r="GQ46" s="188"/>
      <c r="GR46" s="187"/>
      <c r="GX46" s="188"/>
      <c r="GY46" s="187"/>
      <c r="HE46" s="188"/>
      <c r="HF46" s="187"/>
      <c r="HI46" s="168"/>
      <c r="HJ46" s="189"/>
      <c r="HL46" s="188"/>
      <c r="HM46" s="187"/>
      <c r="HS46" s="188"/>
      <c r="HT46" s="187"/>
      <c r="HZ46" s="188"/>
      <c r="IA46" s="187"/>
      <c r="IG46" s="188"/>
      <c r="IH46" s="187"/>
      <c r="IN46" s="168"/>
      <c r="IO46" s="189"/>
      <c r="IU46" s="188"/>
      <c r="IV46" s="187"/>
      <c r="JB46" s="188"/>
      <c r="JC46" s="187"/>
      <c r="JI46" s="188"/>
      <c r="JJ46" s="187"/>
      <c r="JP46" s="188"/>
      <c r="JQ46" s="187"/>
      <c r="JR46" s="168"/>
      <c r="JS46" s="189"/>
      <c r="JW46" s="188"/>
      <c r="JX46" s="187"/>
      <c r="KD46" s="188"/>
      <c r="KE46" s="187"/>
      <c r="KK46" s="188"/>
      <c r="KL46" s="187"/>
      <c r="KR46" s="188"/>
      <c r="KS46" s="187"/>
      <c r="KW46" s="168"/>
      <c r="KX46" s="189"/>
      <c r="KY46" s="188"/>
      <c r="KZ46" s="187"/>
      <c r="LF46" s="188"/>
      <c r="LG46" s="187"/>
      <c r="LM46" s="188"/>
      <c r="LN46" s="187"/>
      <c r="LT46" s="188"/>
      <c r="LU46" s="187"/>
      <c r="MA46" s="168"/>
      <c r="MB46" s="189"/>
      <c r="MH46" s="188"/>
      <c r="MI46" s="187"/>
      <c r="MO46" s="188"/>
      <c r="MP46" s="187"/>
      <c r="MV46" s="188"/>
      <c r="MW46" s="187"/>
      <c r="NC46" s="188"/>
      <c r="ND46" s="187"/>
      <c r="NF46" s="168"/>
      <c r="NG46" s="189"/>
      <c r="NJ46" s="188"/>
      <c r="NK46" s="187"/>
      <c r="NQ46" s="188"/>
      <c r="NR46" s="187"/>
      <c r="NX46" s="188"/>
      <c r="NY46" s="187"/>
      <c r="OE46" s="188"/>
      <c r="OF46" s="187"/>
      <c r="OK46" s="168"/>
      <c r="OL46" s="191"/>
      <c r="OM46" s="187"/>
      <c r="OS46" s="188"/>
      <c r="OT46" s="187"/>
      <c r="OZ46" s="188"/>
      <c r="PA46" s="187"/>
      <c r="PG46" s="188"/>
      <c r="PH46" s="187"/>
      <c r="PN46" s="168"/>
      <c r="PO46" s="189"/>
      <c r="PU46" s="188"/>
      <c r="PV46" s="187"/>
      <c r="QB46" s="188"/>
      <c r="QC46" s="187"/>
      <c r="QI46" s="188"/>
      <c r="QJ46" s="187"/>
      <c r="QP46" s="188"/>
      <c r="QQ46" s="187"/>
      <c r="QS46" s="168"/>
      <c r="QT46" s="189"/>
      <c r="QW46" s="188"/>
      <c r="QX46" s="187"/>
      <c r="RD46" s="188"/>
      <c r="RE46" s="187"/>
      <c r="RK46" s="188"/>
      <c r="RL46" s="187"/>
      <c r="RR46" s="188"/>
      <c r="RS46" s="187"/>
      <c r="RW46" s="168"/>
      <c r="RX46" s="189"/>
      <c r="RY46" s="188"/>
      <c r="RZ46" s="187"/>
      <c r="SF46" s="188"/>
      <c r="SG46" s="187"/>
      <c r="SM46" s="188"/>
      <c r="SN46" s="187"/>
      <c r="ST46" s="188"/>
      <c r="SU46" s="187"/>
      <c r="TA46" s="188"/>
      <c r="TB46" s="190"/>
      <c r="TC46" s="189"/>
      <c r="TH46" s="188"/>
      <c r="TI46" s="187"/>
      <c r="TO46" s="188"/>
      <c r="TP46" s="187"/>
      <c r="TV46" s="188"/>
      <c r="TW46" s="187"/>
      <c r="UC46" s="188"/>
      <c r="UD46" s="187"/>
      <c r="UF46" s="168"/>
      <c r="UG46" s="189"/>
      <c r="UJ46" s="188"/>
      <c r="UK46" s="187"/>
      <c r="UQ46" s="188"/>
      <c r="UR46" s="187"/>
      <c r="UX46" s="188"/>
      <c r="UY46" s="187"/>
      <c r="VE46" s="188"/>
      <c r="VF46" s="187"/>
      <c r="VK46" s="168"/>
      <c r="VL46" s="191"/>
      <c r="VM46" s="187"/>
      <c r="VS46" s="188"/>
      <c r="VT46" s="187"/>
      <c r="VZ46" s="188"/>
      <c r="WA46" s="187"/>
      <c r="WG46" s="188"/>
      <c r="WH46" s="187"/>
      <c r="WN46" s="188"/>
      <c r="WO46" s="187"/>
      <c r="WP46" s="168"/>
      <c r="WQ46" s="189"/>
      <c r="WU46" s="188"/>
      <c r="WV46" s="187"/>
      <c r="XB46" s="188"/>
      <c r="XC46" s="187"/>
      <c r="XI46" s="188"/>
      <c r="XJ46" s="187"/>
      <c r="XP46" s="188"/>
      <c r="XQ46" s="187"/>
      <c r="XT46" s="168"/>
      <c r="XU46" s="189"/>
      <c r="XW46" s="188"/>
      <c r="XX46" s="187"/>
      <c r="YD46" s="188"/>
      <c r="YE46" s="187"/>
      <c r="YK46" s="188"/>
      <c r="YL46" s="187"/>
      <c r="YR46" s="188"/>
      <c r="YS46" s="187"/>
      <c r="YY46" s="168"/>
      <c r="YZ46" s="189"/>
      <c r="ZF46" s="188"/>
      <c r="ZG46" s="187"/>
      <c r="ZM46" s="188"/>
      <c r="ZN46" s="187"/>
      <c r="ZT46" s="188"/>
      <c r="ZU46" s="187"/>
      <c r="AAA46" s="188"/>
      <c r="AAB46" s="187"/>
      <c r="AAC46" s="168"/>
      <c r="AAD46" s="189"/>
      <c r="AAH46" s="188"/>
      <c r="AAI46" s="187"/>
      <c r="AAO46" s="188"/>
      <c r="AAP46" s="187"/>
      <c r="AAV46" s="188"/>
      <c r="AAW46" s="187"/>
      <c r="ABC46" s="188"/>
      <c r="ABD46" s="187"/>
      <c r="ABH46" s="168"/>
      <c r="ABI46" s="189"/>
      <c r="ABJ46" s="188"/>
      <c r="ABK46" s="187"/>
      <c r="ABQ46" s="188"/>
      <c r="ABR46" s="187"/>
      <c r="ABX46" s="188"/>
      <c r="ABY46" s="187"/>
      <c r="ACE46" s="188"/>
      <c r="ACF46" s="187"/>
      <c r="ACL46" s="188"/>
      <c r="ACM46" s="190"/>
      <c r="ACN46" s="189"/>
      <c r="ACS46" s="188"/>
      <c r="ACT46" s="187"/>
      <c r="ACZ46" s="188"/>
      <c r="ADA46" s="187"/>
      <c r="ADG46" s="188"/>
      <c r="ADH46" s="187"/>
      <c r="ADN46" s="188"/>
      <c r="ADO46" s="190"/>
      <c r="ADP46" s="189"/>
      <c r="ADU46" s="188"/>
      <c r="ADV46" s="187"/>
      <c r="AEB46" s="188"/>
      <c r="AEC46" s="187"/>
      <c r="AEI46" s="188"/>
      <c r="AEJ46" s="187"/>
      <c r="AEP46" s="188"/>
      <c r="AEQ46" s="187"/>
      <c r="AET46" s="168"/>
      <c r="AEU46" s="189"/>
      <c r="AEW46" s="188"/>
      <c r="AEX46" s="187"/>
      <c r="AFD46" s="188"/>
      <c r="AFE46" s="187"/>
      <c r="AFK46" s="188"/>
      <c r="AFL46" s="187"/>
      <c r="AFR46" s="188"/>
      <c r="AFS46" s="187"/>
      <c r="AFX46" s="168"/>
      <c r="AFY46" s="191"/>
      <c r="AFZ46" s="187"/>
      <c r="AGF46" s="188"/>
      <c r="AGG46" s="187"/>
      <c r="AGM46" s="188"/>
      <c r="AGN46" s="187"/>
      <c r="AGT46" s="188"/>
      <c r="AGU46" s="187"/>
      <c r="AHA46" s="188"/>
      <c r="AHB46" s="187"/>
      <c r="AHC46" s="168"/>
      <c r="AHD46" s="189"/>
      <c r="AHH46" s="188"/>
      <c r="AHI46" s="187"/>
      <c r="AHO46" s="188"/>
      <c r="AHP46" s="187"/>
      <c r="AHV46" s="188"/>
      <c r="AHW46" s="187"/>
      <c r="AIC46" s="188"/>
      <c r="AID46" s="187"/>
      <c r="AIG46" s="168"/>
      <c r="AIH46" s="189"/>
      <c r="AIJ46" s="188"/>
      <c r="AIK46" s="187"/>
      <c r="AIQ46" s="188"/>
      <c r="AIR46" s="187"/>
      <c r="AIX46" s="188"/>
      <c r="AIY46" s="187"/>
      <c r="AJE46" s="188"/>
      <c r="AJF46" s="187"/>
      <c r="AJL46" s="168"/>
      <c r="AJM46" s="189"/>
      <c r="AJS46" s="188"/>
      <c r="AJT46" s="187"/>
      <c r="AJZ46" s="188"/>
      <c r="AKA46" s="187"/>
      <c r="AKG46" s="188"/>
      <c r="AKH46" s="187"/>
      <c r="AKN46" s="188"/>
      <c r="AKO46" s="187"/>
      <c r="AKQ46" s="168"/>
      <c r="AKR46" s="189"/>
      <c r="AKU46" s="188"/>
      <c r="AKV46" s="187"/>
      <c r="ALB46" s="188"/>
      <c r="ALC46" s="187"/>
      <c r="ALI46" s="188"/>
      <c r="ALJ46" s="187"/>
      <c r="ALP46" s="188"/>
      <c r="ALQ46" s="187"/>
      <c r="ALU46" s="168"/>
      <c r="ALV46" s="189"/>
      <c r="ALW46" s="188"/>
      <c r="ALX46" s="187"/>
      <c r="AMD46" s="188"/>
      <c r="AME46" s="187"/>
      <c r="AMK46" s="188"/>
      <c r="AML46" s="187"/>
      <c r="AMR46" s="188"/>
      <c r="AMS46" s="187"/>
      <c r="AMY46" s="188"/>
      <c r="AMZ46" s="190"/>
      <c r="ANA46" s="189"/>
      <c r="ANF46" s="188"/>
      <c r="ANG46" s="187"/>
      <c r="ANM46" s="188"/>
      <c r="ANN46" s="187"/>
      <c r="ANT46" s="188"/>
      <c r="ANU46" s="187"/>
      <c r="AOA46" s="188"/>
      <c r="AOB46" s="187"/>
      <c r="AOD46" s="168"/>
      <c r="AOE46" s="189"/>
      <c r="AOH46" s="188"/>
      <c r="AOI46" s="187"/>
      <c r="AOO46" s="188"/>
      <c r="AOP46" s="187"/>
      <c r="AOV46" s="188"/>
      <c r="AOW46" s="187"/>
      <c r="APC46" s="188"/>
      <c r="APD46" s="187"/>
      <c r="API46" s="168"/>
      <c r="APJ46" s="191"/>
      <c r="APK46" s="187"/>
      <c r="APQ46" s="188"/>
      <c r="APR46" s="187"/>
      <c r="APX46" s="188"/>
      <c r="APY46" s="187"/>
      <c r="AQE46" s="188"/>
      <c r="AQF46" s="187"/>
      <c r="AQL46" s="188"/>
      <c r="AQM46" s="187"/>
      <c r="AQN46" s="168"/>
      <c r="AQO46" s="189"/>
      <c r="AQS46" s="188"/>
      <c r="AQT46" s="187"/>
      <c r="AQZ46" s="188"/>
      <c r="ARA46" s="187"/>
      <c r="ARG46" s="188"/>
      <c r="ARH46" s="187"/>
      <c r="ARN46" s="188"/>
      <c r="ARO46" s="187"/>
      <c r="ARP46" s="168"/>
      <c r="ARQ46" s="189"/>
      <c r="ARU46" s="188"/>
      <c r="ARV46" s="187"/>
      <c r="ASB46" s="188"/>
      <c r="ASC46" s="187"/>
      <c r="ASI46" s="188"/>
      <c r="ASJ46" s="187"/>
      <c r="ASP46" s="188"/>
      <c r="ASQ46" s="187"/>
      <c r="ASU46" s="168"/>
      <c r="ASV46" s="189"/>
      <c r="ASW46" s="188"/>
      <c r="ASX46" s="187"/>
      <c r="ATD46" s="188"/>
      <c r="ATE46" s="187"/>
      <c r="ATK46" s="188"/>
      <c r="ATL46" s="187"/>
      <c r="ATR46" s="188"/>
      <c r="ATS46" s="187"/>
      <c r="ATY46" s="168"/>
      <c r="ATZ46" s="189"/>
      <c r="AUF46" s="188"/>
      <c r="AUG46" s="187"/>
      <c r="AUM46" s="188"/>
      <c r="AUN46" s="187"/>
      <c r="AUT46" s="188"/>
      <c r="AUU46" s="187"/>
      <c r="AVA46" s="188"/>
      <c r="AVB46" s="187"/>
      <c r="AVD46" s="168"/>
      <c r="AVE46" s="189"/>
      <c r="AVH46" s="188"/>
      <c r="AVI46" s="187"/>
      <c r="AVO46" s="188"/>
      <c r="AVP46" s="187"/>
      <c r="AVV46" s="188"/>
      <c r="AVW46" s="187"/>
      <c r="AWC46" s="188"/>
      <c r="AWD46" s="187"/>
      <c r="AWH46" s="168"/>
      <c r="AWI46" s="189"/>
      <c r="AWJ46" s="188"/>
      <c r="AWK46" s="187"/>
      <c r="AWQ46" s="188"/>
      <c r="AWR46" s="187"/>
      <c r="AWX46" s="188"/>
      <c r="AWY46" s="187"/>
      <c r="AXE46" s="188"/>
      <c r="AXF46" s="187"/>
      <c r="AXL46" s="188"/>
      <c r="AXM46" s="190"/>
      <c r="AXN46" s="189"/>
      <c r="AXS46" s="188"/>
      <c r="AXT46" s="187"/>
      <c r="AXZ46" s="188"/>
      <c r="AYA46" s="187"/>
      <c r="AYG46" s="188"/>
      <c r="AYH46" s="187"/>
      <c r="AYN46" s="188"/>
      <c r="AYO46" s="187"/>
      <c r="AYR46" s="168"/>
      <c r="AYS46" s="189"/>
      <c r="AYU46" s="188"/>
      <c r="AYV46" s="187"/>
      <c r="AZB46" s="188"/>
      <c r="AZC46" s="187"/>
      <c r="AZI46" s="188"/>
      <c r="AZJ46" s="187"/>
      <c r="AZP46" s="188"/>
      <c r="AZQ46" s="187"/>
      <c r="AZV46" s="168"/>
      <c r="AZW46" s="191"/>
      <c r="AZX46" s="187"/>
      <c r="BAD46" s="188"/>
      <c r="BAE46" s="187"/>
      <c r="BAK46" s="188"/>
      <c r="BAL46" s="187"/>
      <c r="BAR46" s="188"/>
      <c r="BAS46" s="187"/>
      <c r="BAY46" s="188"/>
      <c r="BAZ46" s="187"/>
      <c r="BBA46" s="168"/>
      <c r="BBB46" s="189"/>
      <c r="BBF46" s="188"/>
      <c r="BBG46" s="187"/>
      <c r="BBM46" s="188"/>
      <c r="BBN46" s="187"/>
      <c r="BBT46" s="188"/>
      <c r="BBU46" s="187"/>
      <c r="BCA46" s="188"/>
      <c r="BCB46" s="187"/>
      <c r="BCE46" s="168"/>
      <c r="BCF46" s="189"/>
      <c r="BCH46" s="188"/>
      <c r="BCI46" s="187"/>
      <c r="BCO46" s="188"/>
      <c r="BCP46" s="187"/>
      <c r="BCV46" s="188"/>
      <c r="BCW46" s="187"/>
      <c r="BDC46" s="188"/>
      <c r="BDD46" s="187"/>
      <c r="BDJ46" s="168"/>
      <c r="BDK46" s="189"/>
      <c r="BDQ46" s="188"/>
      <c r="BDR46" s="187"/>
      <c r="BDX46" s="188"/>
      <c r="BDY46" s="187"/>
      <c r="BEE46" s="188"/>
      <c r="BEF46" s="187"/>
      <c r="BEL46" s="188"/>
      <c r="BEM46" s="187"/>
      <c r="BEO46" s="168"/>
      <c r="BEP46" s="189"/>
      <c r="BES46" s="188"/>
      <c r="BET46" s="187"/>
      <c r="BEZ46" s="188"/>
      <c r="BFA46" s="187"/>
      <c r="BFG46" s="188"/>
      <c r="BFH46" s="187"/>
      <c r="BFN46" s="188"/>
      <c r="BFO46" s="187"/>
      <c r="BFQ46" s="168"/>
      <c r="BFR46" s="189"/>
      <c r="BFU46" s="188"/>
      <c r="BFV46" s="187"/>
      <c r="BGB46" s="188"/>
      <c r="BGC46" s="187"/>
      <c r="BGI46" s="188"/>
      <c r="BGJ46" s="187"/>
      <c r="BGP46" s="188"/>
      <c r="BGQ46" s="187"/>
      <c r="BGV46" s="168"/>
      <c r="BGW46" s="191"/>
      <c r="BGX46" s="187"/>
      <c r="BHD46" s="188"/>
      <c r="BHE46" s="187"/>
      <c r="BHK46" s="188"/>
      <c r="BHL46" s="187"/>
      <c r="BHR46" s="188"/>
      <c r="BHS46" s="187"/>
      <c r="BHY46" s="188"/>
      <c r="BHZ46" s="190"/>
      <c r="BIA46" s="189"/>
      <c r="BIF46" s="188"/>
      <c r="BIG46" s="187"/>
      <c r="BIM46" s="188"/>
      <c r="BIN46" s="187"/>
      <c r="BIT46" s="188"/>
      <c r="BIU46" s="187"/>
      <c r="BJA46" s="188"/>
      <c r="BJB46" s="187"/>
      <c r="BJE46" s="168"/>
      <c r="BJF46" s="189"/>
      <c r="BJH46" s="188"/>
      <c r="BJI46" s="187"/>
      <c r="BJO46" s="188"/>
      <c r="BJP46" s="187"/>
      <c r="BJV46" s="188"/>
      <c r="BJW46" s="187"/>
      <c r="BKC46" s="188"/>
      <c r="BKD46" s="187"/>
      <c r="BKI46" s="168"/>
      <c r="BKJ46" s="191"/>
      <c r="BKK46" s="187"/>
      <c r="BKQ46" s="188"/>
      <c r="BKR46" s="187"/>
      <c r="BKX46" s="188"/>
      <c r="BKY46" s="187"/>
      <c r="BLE46" s="188"/>
      <c r="BLF46" s="187"/>
      <c r="BLL46" s="188"/>
      <c r="BLM46" s="187"/>
      <c r="BLN46" s="168"/>
      <c r="BLO46" s="189"/>
      <c r="BLS46" s="188"/>
      <c r="BLT46" s="187"/>
      <c r="BLZ46" s="188"/>
      <c r="BMA46" s="187"/>
      <c r="BMG46" s="188"/>
      <c r="BMH46" s="187"/>
      <c r="BMN46" s="188"/>
      <c r="BMO46" s="187"/>
      <c r="BMS46" s="168"/>
      <c r="BMT46" s="189"/>
      <c r="BMU46" s="188"/>
      <c r="BMV46" s="187"/>
      <c r="BNB46" s="188"/>
      <c r="BNC46" s="187"/>
      <c r="BNI46" s="188"/>
      <c r="BNJ46" s="187"/>
      <c r="BNP46" s="188"/>
      <c r="BNQ46" s="187"/>
      <c r="BNW46" s="168"/>
      <c r="BNX46" s="189"/>
      <c r="BOD46" s="188"/>
      <c r="BOE46" s="187"/>
      <c r="BOK46" s="188"/>
      <c r="BOL46" s="187"/>
      <c r="BOR46" s="188"/>
      <c r="BOS46" s="187"/>
      <c r="BOY46" s="188"/>
      <c r="BOZ46" s="187"/>
      <c r="BPB46" s="168"/>
      <c r="BPC46" s="189"/>
      <c r="BPF46" s="188"/>
      <c r="BPG46" s="187"/>
      <c r="BPM46" s="188"/>
      <c r="BPN46" s="187"/>
      <c r="BPT46" s="188"/>
      <c r="BPU46" s="187"/>
      <c r="BQA46" s="188"/>
      <c r="BQB46" s="187"/>
      <c r="BQF46" s="168"/>
      <c r="BQG46" s="189"/>
      <c r="BQH46" s="188"/>
      <c r="BQI46" s="187"/>
      <c r="BQO46" s="188"/>
      <c r="BQP46" s="187"/>
      <c r="BQV46" s="188"/>
      <c r="BQW46" s="187"/>
      <c r="BRC46" s="188"/>
      <c r="BRD46" s="187"/>
      <c r="BRJ46" s="188"/>
      <c r="BRK46" s="190"/>
      <c r="BRL46" s="189"/>
      <c r="BRQ46" s="188"/>
      <c r="BRR46" s="187"/>
      <c r="BRX46" s="188"/>
      <c r="BRY46" s="187"/>
      <c r="BSE46" s="188"/>
      <c r="BSF46" s="187"/>
      <c r="BSL46" s="188"/>
      <c r="BSM46" s="187"/>
      <c r="BSP46" s="168"/>
      <c r="BSQ46" s="189"/>
      <c r="BSS46" s="188"/>
      <c r="BST46" s="187"/>
      <c r="BSZ46" s="188"/>
      <c r="BTA46" s="187"/>
      <c r="BTG46" s="188"/>
      <c r="BTH46" s="187"/>
      <c r="BTN46" s="188"/>
      <c r="BTO46" s="187"/>
      <c r="BTS46" s="168"/>
      <c r="BTT46" s="189"/>
      <c r="BTU46" s="188"/>
      <c r="BTV46" s="187"/>
      <c r="BUB46" s="188"/>
      <c r="BUC46" s="187"/>
      <c r="BUI46" s="188"/>
      <c r="BUJ46" s="187"/>
      <c r="BUP46" s="188"/>
      <c r="BUQ46" s="187"/>
      <c r="BUW46" s="188"/>
      <c r="BUX46" s="190"/>
      <c r="BUY46" s="189"/>
      <c r="BVD46" s="188"/>
      <c r="BVE46" s="187"/>
      <c r="BVK46" s="188"/>
      <c r="BVL46" s="187"/>
      <c r="BVR46" s="188"/>
      <c r="BVS46" s="187"/>
      <c r="BVY46" s="188"/>
      <c r="BVZ46" s="187"/>
      <c r="BWB46" s="168"/>
      <c r="BWC46" s="189"/>
      <c r="BWF46" s="188"/>
      <c r="BWG46" s="187"/>
      <c r="BWM46" s="188"/>
      <c r="BWN46" s="187"/>
      <c r="BWT46" s="188"/>
      <c r="BWU46" s="187"/>
      <c r="BXA46" s="188"/>
      <c r="BXB46" s="187"/>
      <c r="BXG46" s="168"/>
      <c r="BXH46" s="191"/>
      <c r="BXI46" s="187"/>
      <c r="BXO46" s="188"/>
      <c r="BXP46" s="187"/>
      <c r="BXV46" s="188"/>
      <c r="BXW46" s="187"/>
      <c r="BYC46" s="188"/>
      <c r="BYD46" s="187"/>
      <c r="BYJ46" s="188"/>
      <c r="BYK46" s="190"/>
      <c r="BYL46" s="189"/>
      <c r="BYQ46" s="188"/>
      <c r="BYR46" s="187"/>
      <c r="BYX46" s="188"/>
      <c r="BYY46" s="187"/>
      <c r="BZE46" s="188"/>
      <c r="BZF46" s="187"/>
      <c r="BZL46" s="188"/>
      <c r="BZM46" s="187"/>
      <c r="BZP46" s="168"/>
      <c r="BZQ46" s="189"/>
      <c r="BZS46" s="188"/>
      <c r="BZT46" s="187"/>
      <c r="BZZ46" s="188"/>
      <c r="CAA46" s="187"/>
      <c r="CAG46" s="188"/>
      <c r="CAH46" s="187"/>
      <c r="CAN46" s="188"/>
      <c r="CAO46" s="187"/>
      <c r="CAU46" s="168"/>
      <c r="CAV46" s="189"/>
      <c r="CBB46" s="188"/>
      <c r="CBC46" s="187"/>
      <c r="CBI46" s="188"/>
      <c r="CBJ46" s="187"/>
      <c r="CBP46" s="188"/>
      <c r="CBQ46" s="187"/>
      <c r="CBW46" s="188"/>
      <c r="CBX46" s="187"/>
      <c r="CBY46" s="168"/>
      <c r="CBZ46" s="189"/>
      <c r="CCD46" s="188"/>
      <c r="CCE46" s="187"/>
      <c r="CCK46" s="188"/>
      <c r="CCL46" s="187"/>
      <c r="CCR46" s="188"/>
      <c r="CCS46" s="187"/>
      <c r="CCY46" s="188"/>
      <c r="CCZ46" s="187"/>
      <c r="CDD46" s="168"/>
      <c r="CDE46" s="189"/>
      <c r="CDF46" s="188"/>
      <c r="CDG46" s="187"/>
      <c r="CDM46" s="188"/>
      <c r="CDN46" s="187"/>
      <c r="CDT46" s="188"/>
      <c r="CDU46" s="187"/>
      <c r="CEA46" s="188"/>
      <c r="CEB46" s="187"/>
      <c r="CEH46" s="168"/>
      <c r="CEI46" s="189"/>
      <c r="CEO46" s="188"/>
      <c r="CEP46" s="187"/>
      <c r="CEV46" s="188"/>
      <c r="CEW46" s="187"/>
      <c r="CFC46" s="188"/>
      <c r="CFD46" s="187"/>
      <c r="CFJ46" s="188"/>
      <c r="CFK46" s="187"/>
    </row>
    <row r="47" spans="1:1019 1025:2048 2054:2195">
      <c r="A47" s="164" t="s">
        <v>312</v>
      </c>
      <c r="D47" s="186"/>
      <c r="E47" s="186"/>
      <c r="K47" s="187"/>
      <c r="Q47" s="188"/>
      <c r="R47" s="187"/>
      <c r="X47" s="188"/>
      <c r="Y47" s="187"/>
      <c r="AE47" s="188"/>
      <c r="AF47" s="187"/>
      <c r="AJ47" s="168"/>
      <c r="AK47" s="189"/>
      <c r="AL47" s="188"/>
      <c r="AM47" s="187"/>
      <c r="AS47" s="188"/>
      <c r="AT47" s="187"/>
      <c r="AZ47" s="188"/>
      <c r="BA47" s="187"/>
      <c r="BG47" s="188"/>
      <c r="BH47" s="187"/>
      <c r="BL47" s="168"/>
      <c r="BM47" s="189"/>
      <c r="BN47" s="188"/>
      <c r="BO47" s="187"/>
      <c r="BU47" s="188"/>
      <c r="BV47" s="187"/>
      <c r="CB47" s="188"/>
      <c r="CC47" s="187"/>
      <c r="CI47" s="188"/>
      <c r="CJ47" s="187"/>
      <c r="CP47" s="188"/>
      <c r="CQ47" s="190"/>
      <c r="CR47" s="189"/>
      <c r="CW47" s="188"/>
      <c r="CX47" s="187"/>
      <c r="DD47" s="188"/>
      <c r="DE47" s="187"/>
      <c r="DK47" s="188"/>
      <c r="DL47" s="187"/>
      <c r="DR47" s="188"/>
      <c r="DS47" s="187"/>
      <c r="DU47" s="168"/>
      <c r="DV47" s="189"/>
      <c r="DY47" s="188"/>
      <c r="DZ47" s="187"/>
      <c r="EF47" s="188"/>
      <c r="EG47" s="187"/>
      <c r="EM47" s="188"/>
      <c r="EN47" s="187"/>
      <c r="ET47" s="188"/>
      <c r="EU47" s="187"/>
      <c r="EZ47" s="168"/>
      <c r="FA47" s="191"/>
      <c r="FB47" s="187"/>
      <c r="FH47" s="188"/>
      <c r="FI47" s="187"/>
      <c r="FO47" s="188"/>
      <c r="FP47" s="187"/>
      <c r="FV47" s="188"/>
      <c r="FW47" s="187"/>
      <c r="GC47" s="188"/>
      <c r="GD47" s="190"/>
      <c r="GE47" s="189"/>
      <c r="GJ47" s="188"/>
      <c r="GK47" s="187"/>
      <c r="GQ47" s="188"/>
      <c r="GR47" s="187"/>
      <c r="GX47" s="188"/>
      <c r="GY47" s="187"/>
      <c r="HE47" s="188"/>
      <c r="HF47" s="187"/>
      <c r="HI47" s="168"/>
      <c r="HJ47" s="189"/>
      <c r="HL47" s="188"/>
      <c r="HM47" s="187"/>
      <c r="HS47" s="188"/>
      <c r="HT47" s="187"/>
      <c r="HZ47" s="188"/>
      <c r="IA47" s="187"/>
      <c r="IG47" s="188"/>
      <c r="IH47" s="187"/>
      <c r="IN47" s="168"/>
      <c r="IO47" s="189"/>
      <c r="IU47" s="188"/>
      <c r="IV47" s="187"/>
      <c r="JB47" s="188"/>
      <c r="JC47" s="187"/>
      <c r="JI47" s="188"/>
      <c r="JJ47" s="187"/>
      <c r="JP47" s="188"/>
      <c r="JQ47" s="187"/>
      <c r="JR47" s="168"/>
      <c r="JS47" s="189"/>
      <c r="JW47" s="188"/>
      <c r="JX47" s="187"/>
      <c r="KD47" s="188"/>
      <c r="KE47" s="187"/>
      <c r="KK47" s="188"/>
      <c r="KL47" s="187"/>
      <c r="KR47" s="188"/>
      <c r="KS47" s="187"/>
      <c r="KW47" s="168"/>
      <c r="KX47" s="189"/>
      <c r="KY47" s="188"/>
      <c r="KZ47" s="187"/>
      <c r="LF47" s="188"/>
      <c r="LG47" s="187"/>
      <c r="LM47" s="188"/>
      <c r="LN47" s="187"/>
      <c r="LT47" s="188"/>
      <c r="LU47" s="187"/>
      <c r="MA47" s="168"/>
      <c r="MB47" s="189"/>
      <c r="MH47" s="188"/>
      <c r="MI47" s="187"/>
      <c r="MO47" s="188"/>
      <c r="MP47" s="187"/>
      <c r="MV47" s="188"/>
      <c r="MW47" s="187"/>
      <c r="NC47" s="188"/>
      <c r="ND47" s="187"/>
      <c r="NF47" s="168"/>
      <c r="NG47" s="189"/>
      <c r="NJ47" s="188"/>
      <c r="NK47" s="187"/>
      <c r="NQ47" s="188"/>
      <c r="NR47" s="187"/>
      <c r="NX47" s="188"/>
      <c r="NY47" s="187"/>
      <c r="OE47" s="188"/>
      <c r="OF47" s="187"/>
      <c r="OK47" s="168"/>
      <c r="OL47" s="191"/>
      <c r="OM47" s="187"/>
      <c r="OS47" s="188"/>
      <c r="OT47" s="187"/>
      <c r="OZ47" s="188"/>
      <c r="PA47" s="187"/>
      <c r="PG47" s="188"/>
      <c r="PH47" s="187"/>
      <c r="PN47" s="168"/>
      <c r="PO47" s="189"/>
      <c r="PU47" s="188"/>
      <c r="PV47" s="187"/>
      <c r="QB47" s="188"/>
      <c r="QC47" s="187"/>
      <c r="QI47" s="188"/>
      <c r="QJ47" s="187"/>
      <c r="QP47" s="188"/>
      <c r="QQ47" s="187"/>
      <c r="QS47" s="168"/>
      <c r="QT47" s="189"/>
      <c r="QW47" s="188"/>
      <c r="QX47" s="187"/>
      <c r="RD47" s="188"/>
      <c r="RE47" s="187"/>
      <c r="RK47" s="188"/>
      <c r="RL47" s="187"/>
      <c r="RR47" s="188"/>
      <c r="RS47" s="187"/>
      <c r="RW47" s="168"/>
      <c r="RX47" s="189"/>
      <c r="RY47" s="188"/>
      <c r="RZ47" s="187"/>
      <c r="SF47" s="188"/>
      <c r="SG47" s="187"/>
      <c r="SM47" s="188"/>
      <c r="SN47" s="187"/>
      <c r="ST47" s="188"/>
      <c r="SU47" s="187"/>
      <c r="TA47" s="188"/>
      <c r="TB47" s="190"/>
      <c r="TC47" s="189"/>
      <c r="TH47" s="188"/>
      <c r="TI47" s="187"/>
      <c r="TO47" s="188"/>
      <c r="TP47" s="187"/>
      <c r="TV47" s="188"/>
      <c r="TW47" s="187"/>
      <c r="UC47" s="188"/>
      <c r="UD47" s="187"/>
      <c r="UF47" s="168"/>
      <c r="UG47" s="189"/>
      <c r="UJ47" s="188"/>
      <c r="UK47" s="187"/>
      <c r="UQ47" s="188"/>
      <c r="UR47" s="187"/>
      <c r="UX47" s="188"/>
      <c r="UY47" s="187"/>
      <c r="VE47" s="188"/>
      <c r="VF47" s="187"/>
      <c r="VK47" s="168"/>
      <c r="VL47" s="191"/>
      <c r="VM47" s="187"/>
      <c r="VS47" s="188"/>
      <c r="VT47" s="187"/>
      <c r="VZ47" s="188"/>
      <c r="WA47" s="187"/>
      <c r="WG47" s="188"/>
      <c r="WH47" s="187"/>
      <c r="WN47" s="188"/>
      <c r="WO47" s="187"/>
      <c r="WP47" s="168"/>
      <c r="WQ47" s="189"/>
      <c r="WU47" s="188"/>
      <c r="WV47" s="187"/>
      <c r="XB47" s="188"/>
      <c r="XC47" s="187"/>
      <c r="XI47" s="188"/>
      <c r="XJ47" s="187"/>
      <c r="XP47" s="188"/>
      <c r="XQ47" s="187"/>
      <c r="XT47" s="168"/>
      <c r="XU47" s="189"/>
      <c r="XW47" s="188"/>
      <c r="XX47" s="187"/>
      <c r="YD47" s="188"/>
      <c r="YE47" s="187"/>
      <c r="YK47" s="188"/>
      <c r="YL47" s="187"/>
      <c r="YR47" s="188"/>
      <c r="YS47" s="187"/>
      <c r="YY47" s="168"/>
      <c r="YZ47" s="189"/>
      <c r="ZF47" s="188"/>
      <c r="ZG47" s="187"/>
      <c r="ZM47" s="188"/>
      <c r="ZN47" s="187"/>
      <c r="ZT47" s="188"/>
      <c r="ZU47" s="187"/>
      <c r="AAA47" s="188"/>
      <c r="AAB47" s="187"/>
      <c r="AAC47" s="168"/>
      <c r="AAD47" s="189"/>
      <c r="AAH47" s="188"/>
      <c r="AAI47" s="187"/>
      <c r="AAO47" s="188"/>
      <c r="AAP47" s="187"/>
      <c r="AAV47" s="188"/>
      <c r="AAW47" s="187"/>
      <c r="ABC47" s="188"/>
      <c r="ABD47" s="187"/>
      <c r="ABH47" s="168"/>
      <c r="ABI47" s="189"/>
      <c r="ABJ47" s="188"/>
      <c r="ABK47" s="187"/>
      <c r="ABQ47" s="188"/>
      <c r="ABR47" s="187"/>
      <c r="ABX47" s="188"/>
      <c r="ABY47" s="187"/>
      <c r="ACE47" s="188"/>
      <c r="ACF47" s="187"/>
      <c r="ACL47" s="188"/>
      <c r="ACM47" s="190"/>
      <c r="ACN47" s="189"/>
      <c r="ACS47" s="188"/>
      <c r="ACT47" s="187"/>
      <c r="ACZ47" s="188"/>
      <c r="ADA47" s="187"/>
      <c r="ADG47" s="188"/>
      <c r="ADH47" s="187"/>
      <c r="ADN47" s="188"/>
      <c r="ADO47" s="190"/>
      <c r="ADP47" s="189"/>
      <c r="ADU47" s="188"/>
      <c r="ADV47" s="187"/>
      <c r="AEB47" s="188"/>
      <c r="AEC47" s="187"/>
      <c r="AEI47" s="188"/>
      <c r="AEJ47" s="187"/>
      <c r="AEP47" s="188"/>
      <c r="AEQ47" s="187"/>
      <c r="AET47" s="168"/>
      <c r="AEU47" s="189"/>
      <c r="AEW47" s="188"/>
      <c r="AEX47" s="187"/>
      <c r="AFD47" s="188"/>
      <c r="AFE47" s="187"/>
      <c r="AFK47" s="188"/>
      <c r="AFL47" s="187"/>
      <c r="AFR47" s="188"/>
      <c r="AFS47" s="187"/>
      <c r="AFX47" s="168"/>
      <c r="AFY47" s="191"/>
      <c r="AFZ47" s="187"/>
      <c r="AGF47" s="188"/>
      <c r="AGG47" s="187"/>
      <c r="AGM47" s="188"/>
      <c r="AGN47" s="187"/>
      <c r="AGT47" s="188"/>
      <c r="AGU47" s="187"/>
      <c r="AHA47" s="188"/>
      <c r="AHB47" s="187"/>
      <c r="AHC47" s="168"/>
      <c r="AHD47" s="189"/>
      <c r="AHH47" s="188"/>
      <c r="AHI47" s="187"/>
      <c r="AHO47" s="188"/>
      <c r="AHP47" s="187"/>
      <c r="AHV47" s="188"/>
      <c r="AHW47" s="187"/>
      <c r="AIC47" s="188"/>
      <c r="AID47" s="187"/>
      <c r="AIG47" s="168"/>
      <c r="AIH47" s="189"/>
      <c r="AIJ47" s="188"/>
      <c r="AIK47" s="187"/>
      <c r="AIQ47" s="188"/>
      <c r="AIR47" s="187"/>
      <c r="AIX47" s="188"/>
      <c r="AIY47" s="187"/>
      <c r="AJE47" s="188"/>
      <c r="AJF47" s="187"/>
      <c r="AJL47" s="168"/>
      <c r="AJM47" s="189"/>
      <c r="AJS47" s="188"/>
      <c r="AJT47" s="187"/>
      <c r="AJZ47" s="188"/>
      <c r="AKA47" s="187"/>
      <c r="AKG47" s="188"/>
      <c r="AKH47" s="187"/>
      <c r="AKN47" s="188"/>
      <c r="AKO47" s="187"/>
      <c r="AKQ47" s="168"/>
      <c r="AKR47" s="189"/>
      <c r="AKU47" s="188"/>
      <c r="AKV47" s="187"/>
      <c r="ALB47" s="188"/>
      <c r="ALC47" s="187"/>
      <c r="ALI47" s="188"/>
      <c r="ALJ47" s="187"/>
      <c r="ALP47" s="188"/>
      <c r="ALQ47" s="187"/>
      <c r="ALU47" s="168"/>
      <c r="ALV47" s="189"/>
      <c r="ALW47" s="188"/>
      <c r="ALX47" s="187"/>
      <c r="AMD47" s="188"/>
      <c r="AME47" s="187"/>
      <c r="AMK47" s="188"/>
      <c r="AML47" s="187"/>
      <c r="AMR47" s="188"/>
      <c r="AMS47" s="187"/>
      <c r="AMY47" s="188"/>
      <c r="AMZ47" s="190"/>
      <c r="ANA47" s="189"/>
      <c r="ANF47" s="188"/>
      <c r="ANG47" s="187"/>
      <c r="ANM47" s="188"/>
      <c r="ANN47" s="187"/>
      <c r="ANT47" s="188"/>
      <c r="ANU47" s="187"/>
      <c r="AOA47" s="188"/>
      <c r="AOB47" s="187"/>
      <c r="AOD47" s="168"/>
      <c r="AOE47" s="189"/>
      <c r="AOH47" s="188"/>
      <c r="AOI47" s="187"/>
      <c r="AOO47" s="188"/>
      <c r="AOP47" s="187"/>
      <c r="AOV47" s="188"/>
      <c r="AOW47" s="187"/>
      <c r="APC47" s="188"/>
      <c r="APD47" s="187"/>
      <c r="API47" s="168"/>
      <c r="APJ47" s="191"/>
      <c r="APK47" s="187"/>
      <c r="APQ47" s="188"/>
      <c r="APR47" s="187"/>
      <c r="APX47" s="188"/>
      <c r="APY47" s="187"/>
      <c r="AQE47" s="188"/>
      <c r="AQF47" s="187"/>
      <c r="AQL47" s="188"/>
      <c r="AQM47" s="187"/>
      <c r="AQN47" s="168"/>
      <c r="AQO47" s="189"/>
      <c r="AQS47" s="188"/>
      <c r="AQT47" s="187"/>
      <c r="AQZ47" s="188"/>
      <c r="ARA47" s="187"/>
      <c r="ARG47" s="188"/>
      <c r="ARH47" s="187"/>
      <c r="ARN47" s="188"/>
      <c r="ARO47" s="187"/>
      <c r="ARP47" s="168"/>
      <c r="ARQ47" s="189"/>
      <c r="ARU47" s="188"/>
      <c r="ARV47" s="187"/>
      <c r="ASB47" s="188"/>
      <c r="ASC47" s="187"/>
      <c r="ASI47" s="188"/>
      <c r="ASJ47" s="187"/>
      <c r="ASP47" s="188"/>
      <c r="ASQ47" s="187"/>
      <c r="ASU47" s="168"/>
      <c r="ASV47" s="189"/>
      <c r="ASW47" s="188"/>
      <c r="ASX47" s="187"/>
      <c r="ATD47" s="188"/>
      <c r="ATE47" s="187"/>
      <c r="ATK47" s="188"/>
      <c r="ATL47" s="187"/>
      <c r="ATR47" s="188"/>
      <c r="ATS47" s="187"/>
      <c r="ATY47" s="168"/>
      <c r="ATZ47" s="189"/>
      <c r="AUF47" s="188"/>
      <c r="AUG47" s="187"/>
      <c r="AUM47" s="188"/>
      <c r="AUN47" s="187"/>
      <c r="AUT47" s="188"/>
      <c r="AUU47" s="187"/>
      <c r="AVA47" s="188"/>
      <c r="AVB47" s="187"/>
      <c r="AVD47" s="168"/>
      <c r="AVE47" s="189"/>
      <c r="AVH47" s="188"/>
      <c r="AVI47" s="187"/>
      <c r="AVO47" s="188"/>
      <c r="AVP47" s="187"/>
      <c r="AVV47" s="188"/>
      <c r="AVW47" s="187"/>
      <c r="AWC47" s="188"/>
      <c r="AWD47" s="187"/>
      <c r="AWH47" s="168"/>
      <c r="AWI47" s="189"/>
      <c r="AWJ47" s="188"/>
      <c r="AWK47" s="187"/>
      <c r="AWQ47" s="188"/>
      <c r="AWR47" s="187"/>
      <c r="AWX47" s="188"/>
      <c r="AWY47" s="187"/>
      <c r="AXE47" s="188"/>
      <c r="AXF47" s="187"/>
      <c r="AXL47" s="188"/>
      <c r="AXM47" s="190"/>
      <c r="AXN47" s="189"/>
      <c r="AXS47" s="188"/>
      <c r="AXT47" s="187"/>
      <c r="AXZ47" s="188"/>
      <c r="AYA47" s="187"/>
      <c r="AYG47" s="188"/>
      <c r="AYH47" s="187"/>
      <c r="AYN47" s="188"/>
      <c r="AYO47" s="187"/>
      <c r="AYR47" s="168"/>
      <c r="AYS47" s="189"/>
      <c r="AYU47" s="188"/>
      <c r="AYV47" s="187"/>
      <c r="AZB47" s="188"/>
      <c r="AZC47" s="187"/>
      <c r="AZI47" s="188"/>
      <c r="AZJ47" s="187"/>
      <c r="AZP47" s="188"/>
      <c r="AZQ47" s="187"/>
      <c r="AZV47" s="168"/>
      <c r="AZW47" s="191"/>
      <c r="AZX47" s="187"/>
      <c r="BAD47" s="188"/>
      <c r="BAE47" s="187"/>
      <c r="BAK47" s="188"/>
      <c r="BAL47" s="187"/>
      <c r="BAR47" s="188"/>
      <c r="BAS47" s="187"/>
      <c r="BAY47" s="188"/>
      <c r="BAZ47" s="187"/>
      <c r="BBA47" s="168"/>
      <c r="BBB47" s="189"/>
      <c r="BBF47" s="188"/>
      <c r="BBG47" s="187"/>
      <c r="BBM47" s="188"/>
      <c r="BBN47" s="187"/>
      <c r="BBT47" s="188"/>
      <c r="BBU47" s="187"/>
      <c r="BCA47" s="188"/>
      <c r="BCB47" s="187"/>
      <c r="BCE47" s="168"/>
      <c r="BCF47" s="189"/>
      <c r="BCH47" s="188"/>
      <c r="BCI47" s="187"/>
      <c r="BCO47" s="188"/>
      <c r="BCP47" s="187"/>
      <c r="BCV47" s="188"/>
      <c r="BCW47" s="187"/>
      <c r="BDC47" s="188"/>
      <c r="BDD47" s="187"/>
      <c r="BDJ47" s="168"/>
      <c r="BDK47" s="189"/>
      <c r="BDQ47" s="188"/>
      <c r="BDR47" s="187"/>
      <c r="BDX47" s="188"/>
      <c r="BDY47" s="187"/>
      <c r="BEE47" s="188"/>
      <c r="BEF47" s="187"/>
      <c r="BEL47" s="188"/>
      <c r="BEM47" s="187"/>
      <c r="BEO47" s="168"/>
      <c r="BEP47" s="189"/>
      <c r="BES47" s="188"/>
      <c r="BET47" s="187"/>
      <c r="BEZ47" s="188"/>
      <c r="BFA47" s="187"/>
      <c r="BFG47" s="188"/>
      <c r="BFH47" s="187"/>
      <c r="BFN47" s="188"/>
      <c r="BFO47" s="187"/>
      <c r="BFQ47" s="168"/>
      <c r="BFR47" s="189"/>
      <c r="BFU47" s="188"/>
      <c r="BFV47" s="187"/>
      <c r="BGB47" s="188"/>
      <c r="BGC47" s="187"/>
      <c r="BGI47" s="188"/>
      <c r="BGJ47" s="187"/>
      <c r="BGP47" s="188"/>
      <c r="BGQ47" s="187"/>
      <c r="BGV47" s="168"/>
      <c r="BGW47" s="191"/>
      <c r="BGX47" s="187"/>
      <c r="BHD47" s="188"/>
      <c r="BHE47" s="187"/>
      <c r="BHK47" s="188"/>
      <c r="BHL47" s="187"/>
      <c r="BHR47" s="188"/>
      <c r="BHS47" s="187"/>
      <c r="BHY47" s="188"/>
      <c r="BHZ47" s="190"/>
      <c r="BIA47" s="189"/>
      <c r="BIF47" s="188"/>
      <c r="BIG47" s="187"/>
      <c r="BIM47" s="188"/>
      <c r="BIN47" s="187"/>
      <c r="BIT47" s="188"/>
      <c r="BIU47" s="187"/>
      <c r="BJA47" s="188"/>
      <c r="BJB47" s="187"/>
      <c r="BJE47" s="168"/>
      <c r="BJF47" s="189"/>
      <c r="BJH47" s="188"/>
      <c r="BJI47" s="187"/>
      <c r="BJO47" s="188"/>
      <c r="BJP47" s="187"/>
      <c r="BJV47" s="188"/>
      <c r="BJW47" s="187"/>
      <c r="BKC47" s="188"/>
      <c r="BKD47" s="187"/>
      <c r="BKI47" s="168"/>
      <c r="BKJ47" s="191"/>
      <c r="BKK47" s="187"/>
      <c r="BKQ47" s="188"/>
      <c r="BKR47" s="187"/>
      <c r="BKX47" s="188"/>
      <c r="BKY47" s="187"/>
      <c r="BLE47" s="188"/>
      <c r="BLF47" s="187"/>
      <c r="BLL47" s="188"/>
      <c r="BLM47" s="187"/>
      <c r="BLN47" s="168"/>
      <c r="BLO47" s="189"/>
      <c r="BLS47" s="188"/>
      <c r="BLT47" s="187"/>
      <c r="BLZ47" s="188"/>
      <c r="BMA47" s="187"/>
      <c r="BMG47" s="188"/>
      <c r="BMH47" s="187"/>
      <c r="BMN47" s="188"/>
      <c r="BMO47" s="187"/>
      <c r="BMS47" s="168"/>
      <c r="BMT47" s="189"/>
      <c r="BMU47" s="188"/>
      <c r="BMV47" s="187"/>
      <c r="BNB47" s="188"/>
      <c r="BNC47" s="187"/>
      <c r="BNI47" s="188"/>
      <c r="BNJ47" s="187"/>
      <c r="BNP47" s="188"/>
      <c r="BNQ47" s="187"/>
      <c r="BNW47" s="168"/>
      <c r="BNX47" s="189"/>
      <c r="BOD47" s="188"/>
      <c r="BOE47" s="187"/>
      <c r="BOK47" s="188"/>
      <c r="BOL47" s="187"/>
      <c r="BOR47" s="188"/>
      <c r="BOS47" s="187"/>
      <c r="BOY47" s="188"/>
      <c r="BOZ47" s="187"/>
      <c r="BPB47" s="168"/>
      <c r="BPC47" s="189"/>
      <c r="BPF47" s="188"/>
      <c r="BPG47" s="187"/>
      <c r="BPM47" s="188"/>
      <c r="BPN47" s="187"/>
      <c r="BPT47" s="188"/>
      <c r="BPU47" s="187"/>
      <c r="BQA47" s="188"/>
      <c r="BQB47" s="187"/>
      <c r="BQF47" s="168"/>
      <c r="BQG47" s="189"/>
      <c r="BQH47" s="188"/>
      <c r="BQI47" s="187"/>
      <c r="BQO47" s="188"/>
      <c r="BQP47" s="187"/>
      <c r="BQV47" s="188"/>
      <c r="BQW47" s="187"/>
      <c r="BRC47" s="188"/>
      <c r="BRD47" s="187"/>
      <c r="BRJ47" s="188"/>
      <c r="BRK47" s="190"/>
      <c r="BRL47" s="189"/>
      <c r="BRQ47" s="188"/>
      <c r="BRR47" s="187"/>
      <c r="BRX47" s="188"/>
      <c r="BRY47" s="187"/>
      <c r="BSE47" s="188"/>
      <c r="BSF47" s="187"/>
      <c r="BSL47" s="188"/>
      <c r="BSM47" s="187"/>
      <c r="BSP47" s="168"/>
      <c r="BSQ47" s="189"/>
      <c r="BSS47" s="188"/>
      <c r="BST47" s="187"/>
      <c r="BSZ47" s="188"/>
      <c r="BTA47" s="187"/>
      <c r="BTG47" s="188"/>
      <c r="BTH47" s="187"/>
      <c r="BTN47" s="188"/>
      <c r="BTO47" s="187"/>
      <c r="BTS47" s="168"/>
      <c r="BTT47" s="189"/>
      <c r="BTU47" s="188"/>
      <c r="BTV47" s="187"/>
      <c r="BUB47" s="188"/>
      <c r="BUC47" s="187"/>
      <c r="BUI47" s="188"/>
      <c r="BUJ47" s="187"/>
      <c r="BUP47" s="188"/>
      <c r="BUQ47" s="187"/>
      <c r="BUW47" s="188"/>
      <c r="BUX47" s="190"/>
      <c r="BUY47" s="189"/>
      <c r="BVD47" s="188"/>
      <c r="BVE47" s="187"/>
      <c r="BVK47" s="188"/>
      <c r="BVL47" s="187"/>
      <c r="BVR47" s="188"/>
      <c r="BVS47" s="187"/>
      <c r="BVY47" s="188"/>
      <c r="BVZ47" s="187"/>
      <c r="BWB47" s="168"/>
      <c r="BWC47" s="189"/>
      <c r="BWF47" s="188"/>
      <c r="BWG47" s="187"/>
      <c r="BWM47" s="188"/>
      <c r="BWN47" s="187"/>
      <c r="BWT47" s="188"/>
      <c r="BWU47" s="187"/>
      <c r="BXA47" s="188"/>
      <c r="BXB47" s="187"/>
      <c r="BXG47" s="168"/>
      <c r="BXH47" s="191"/>
      <c r="BXI47" s="187"/>
      <c r="BXO47" s="188"/>
      <c r="BXP47" s="187"/>
      <c r="BXV47" s="188"/>
      <c r="BXW47" s="187"/>
      <c r="BYC47" s="188"/>
      <c r="BYD47" s="187"/>
      <c r="BYJ47" s="188"/>
      <c r="BYK47" s="190"/>
      <c r="BYL47" s="189"/>
      <c r="BYQ47" s="188"/>
      <c r="BYR47" s="187"/>
      <c r="BYX47" s="188"/>
      <c r="BYY47" s="187"/>
      <c r="BZE47" s="188"/>
      <c r="BZF47" s="187"/>
      <c r="BZL47" s="188"/>
      <c r="BZM47" s="187"/>
      <c r="BZP47" s="168"/>
      <c r="BZQ47" s="189"/>
      <c r="BZS47" s="188"/>
      <c r="BZT47" s="187"/>
      <c r="BZZ47" s="188"/>
      <c r="CAA47" s="187"/>
      <c r="CAG47" s="188"/>
      <c r="CAH47" s="187"/>
      <c r="CAN47" s="188"/>
      <c r="CAO47" s="187"/>
      <c r="CAU47" s="168"/>
      <c r="CAV47" s="189"/>
      <c r="CBB47" s="188"/>
      <c r="CBC47" s="187"/>
      <c r="CBI47" s="188"/>
      <c r="CBJ47" s="187"/>
      <c r="CBP47" s="188"/>
      <c r="CBQ47" s="187"/>
      <c r="CBW47" s="188"/>
      <c r="CBX47" s="187"/>
      <c r="CBY47" s="168"/>
      <c r="CBZ47" s="189"/>
      <c r="CCD47" s="188"/>
      <c r="CCE47" s="187"/>
      <c r="CCK47" s="188"/>
      <c r="CCL47" s="187"/>
      <c r="CCR47" s="188"/>
      <c r="CCS47" s="187"/>
      <c r="CCY47" s="188"/>
      <c r="CCZ47" s="187"/>
      <c r="CDD47" s="168"/>
      <c r="CDE47" s="189"/>
      <c r="CDF47" s="188"/>
      <c r="CDG47" s="187"/>
      <c r="CDM47" s="188"/>
      <c r="CDN47" s="187"/>
      <c r="CDT47" s="188"/>
      <c r="CDU47" s="187"/>
      <c r="CEA47" s="188"/>
      <c r="CEB47" s="187"/>
      <c r="CEH47" s="168"/>
      <c r="CEI47" s="189"/>
      <c r="CEO47" s="188"/>
      <c r="CEP47" s="187"/>
      <c r="CEV47" s="188"/>
      <c r="CEW47" s="187"/>
      <c r="CFC47" s="188"/>
      <c r="CFD47" s="187"/>
      <c r="CFJ47" s="188"/>
      <c r="CFK47" s="187"/>
    </row>
    <row r="48" spans="1:1019 1025:2048 2054:2195">
      <c r="A48" s="164" t="s">
        <v>313</v>
      </c>
      <c r="D48" s="186"/>
      <c r="E48" s="186"/>
      <c r="K48" s="187"/>
      <c r="Q48" s="188"/>
      <c r="R48" s="187"/>
      <c r="X48" s="188"/>
      <c r="Y48" s="187"/>
      <c r="AE48" s="188"/>
      <c r="AF48" s="187"/>
      <c r="AJ48" s="168"/>
      <c r="AK48" s="189"/>
      <c r="AL48" s="188"/>
      <c r="AM48" s="187"/>
      <c r="AS48" s="188"/>
      <c r="AT48" s="187"/>
      <c r="AZ48" s="188"/>
      <c r="BA48" s="187"/>
      <c r="BG48" s="188"/>
      <c r="BH48" s="187"/>
      <c r="BL48" s="168"/>
      <c r="BM48" s="189"/>
      <c r="BN48" s="188"/>
      <c r="BO48" s="187"/>
      <c r="BU48" s="188"/>
      <c r="BV48" s="187"/>
      <c r="CB48" s="188"/>
      <c r="CC48" s="187"/>
      <c r="CI48" s="188"/>
      <c r="CJ48" s="187"/>
      <c r="CP48" s="188"/>
      <c r="CQ48" s="190"/>
      <c r="CR48" s="189"/>
      <c r="CW48" s="188"/>
      <c r="CX48" s="187"/>
      <c r="DD48" s="188"/>
      <c r="DE48" s="187"/>
      <c r="DK48" s="188"/>
      <c r="DL48" s="187"/>
      <c r="DR48" s="188"/>
      <c r="DS48" s="187"/>
      <c r="DU48" s="168"/>
      <c r="DV48" s="189"/>
      <c r="DY48" s="188"/>
      <c r="DZ48" s="187"/>
      <c r="EF48" s="188"/>
      <c r="EG48" s="187"/>
      <c r="EM48" s="188"/>
      <c r="EN48" s="187"/>
      <c r="ET48" s="188"/>
      <c r="EU48" s="187"/>
      <c r="EZ48" s="168"/>
      <c r="FA48" s="191"/>
      <c r="FB48" s="187"/>
      <c r="FH48" s="188"/>
      <c r="FI48" s="187"/>
      <c r="FO48" s="188"/>
      <c r="FP48" s="187"/>
      <c r="FV48" s="188"/>
      <c r="FW48" s="187"/>
      <c r="GC48" s="188"/>
      <c r="GD48" s="190"/>
      <c r="GE48" s="189"/>
      <c r="GJ48" s="188"/>
      <c r="GK48" s="187"/>
      <c r="GQ48" s="188"/>
      <c r="GR48" s="187"/>
      <c r="GX48" s="188"/>
      <c r="GY48" s="187"/>
      <c r="HE48" s="188"/>
      <c r="HF48" s="187"/>
      <c r="HI48" s="168"/>
      <c r="HJ48" s="189"/>
      <c r="HL48" s="188"/>
      <c r="HM48" s="187"/>
      <c r="HS48" s="188"/>
      <c r="HT48" s="187"/>
      <c r="HZ48" s="188"/>
      <c r="IA48" s="187"/>
      <c r="IG48" s="188"/>
      <c r="IH48" s="187"/>
      <c r="IN48" s="168"/>
      <c r="IO48" s="189"/>
      <c r="IU48" s="188"/>
      <c r="IV48" s="187"/>
      <c r="JB48" s="188"/>
      <c r="JC48" s="187"/>
      <c r="JI48" s="188"/>
      <c r="JJ48" s="187"/>
      <c r="JP48" s="188"/>
      <c r="JQ48" s="187"/>
      <c r="JR48" s="168"/>
      <c r="JS48" s="189"/>
      <c r="JW48" s="188"/>
      <c r="JX48" s="187"/>
      <c r="KD48" s="188"/>
      <c r="KE48" s="187"/>
      <c r="KK48" s="188"/>
      <c r="KL48" s="187"/>
      <c r="KR48" s="188"/>
      <c r="KS48" s="187"/>
      <c r="KW48" s="168"/>
      <c r="KX48" s="189"/>
      <c r="KY48" s="188"/>
      <c r="KZ48" s="187"/>
      <c r="LF48" s="188"/>
      <c r="LG48" s="187"/>
      <c r="LM48" s="188"/>
      <c r="LN48" s="187"/>
      <c r="LT48" s="188"/>
      <c r="LU48" s="187"/>
      <c r="MA48" s="168"/>
      <c r="MB48" s="189"/>
      <c r="MH48" s="188"/>
      <c r="MI48" s="187"/>
      <c r="MO48" s="188"/>
      <c r="MP48" s="187"/>
      <c r="MV48" s="188"/>
      <c r="MW48" s="187"/>
      <c r="NC48" s="188"/>
      <c r="ND48" s="187"/>
      <c r="NF48" s="168"/>
      <c r="NG48" s="189"/>
      <c r="NJ48" s="188"/>
      <c r="NK48" s="187"/>
      <c r="NQ48" s="188"/>
      <c r="NR48" s="187"/>
      <c r="NX48" s="188"/>
      <c r="NY48" s="187"/>
      <c r="OE48" s="188"/>
      <c r="OF48" s="187"/>
      <c r="OK48" s="168"/>
      <c r="OL48" s="191"/>
      <c r="OM48" s="187"/>
      <c r="OS48" s="188"/>
      <c r="OT48" s="187"/>
      <c r="OZ48" s="188"/>
      <c r="PA48" s="187"/>
      <c r="PG48" s="188"/>
      <c r="PH48" s="187"/>
      <c r="PN48" s="168"/>
      <c r="PO48" s="189"/>
      <c r="PU48" s="188"/>
      <c r="PV48" s="187"/>
      <c r="QB48" s="188"/>
      <c r="QC48" s="187"/>
      <c r="QI48" s="188"/>
      <c r="QJ48" s="187"/>
      <c r="QP48" s="188"/>
      <c r="QQ48" s="187"/>
      <c r="QS48" s="168"/>
      <c r="QT48" s="189"/>
      <c r="QW48" s="188"/>
      <c r="QX48" s="187"/>
      <c r="RD48" s="188"/>
      <c r="RE48" s="187"/>
      <c r="RK48" s="188"/>
      <c r="RL48" s="187"/>
      <c r="RR48" s="188"/>
      <c r="RS48" s="187"/>
      <c r="RW48" s="168"/>
      <c r="RX48" s="189"/>
      <c r="RY48" s="188"/>
      <c r="RZ48" s="187"/>
      <c r="SF48" s="188"/>
      <c r="SG48" s="187"/>
      <c r="SM48" s="188"/>
      <c r="SN48" s="187"/>
      <c r="ST48" s="188"/>
      <c r="SU48" s="187"/>
      <c r="TA48" s="188"/>
      <c r="TB48" s="190"/>
      <c r="TC48" s="189"/>
      <c r="TH48" s="188"/>
      <c r="TI48" s="187"/>
      <c r="TO48" s="188"/>
      <c r="TP48" s="187"/>
      <c r="TV48" s="188"/>
      <c r="TW48" s="187"/>
      <c r="UC48" s="188"/>
      <c r="UD48" s="187"/>
      <c r="UF48" s="168"/>
      <c r="UG48" s="189"/>
      <c r="UJ48" s="188"/>
      <c r="UK48" s="187"/>
      <c r="UQ48" s="188"/>
      <c r="UR48" s="187"/>
      <c r="UX48" s="188"/>
      <c r="UY48" s="187"/>
      <c r="VE48" s="188"/>
      <c r="VF48" s="187"/>
      <c r="VK48" s="168"/>
      <c r="VL48" s="191"/>
      <c r="VM48" s="187"/>
      <c r="VS48" s="188"/>
      <c r="VT48" s="187"/>
      <c r="VZ48" s="188"/>
      <c r="WA48" s="187"/>
      <c r="WG48" s="188"/>
      <c r="WH48" s="187"/>
      <c r="WN48" s="188"/>
      <c r="WO48" s="187"/>
      <c r="WP48" s="168"/>
      <c r="WQ48" s="189"/>
      <c r="WU48" s="188"/>
      <c r="WV48" s="187"/>
      <c r="XB48" s="188"/>
      <c r="XC48" s="187"/>
      <c r="XI48" s="188"/>
      <c r="XJ48" s="187"/>
      <c r="XP48" s="188"/>
      <c r="XQ48" s="187"/>
      <c r="XT48" s="168"/>
      <c r="XU48" s="189"/>
      <c r="XW48" s="188"/>
      <c r="XX48" s="187"/>
      <c r="YD48" s="188"/>
      <c r="YE48" s="187"/>
      <c r="YK48" s="188"/>
      <c r="YL48" s="187"/>
      <c r="YR48" s="188"/>
      <c r="YS48" s="187"/>
      <c r="YY48" s="168"/>
      <c r="YZ48" s="189"/>
      <c r="ZF48" s="188"/>
      <c r="ZG48" s="187"/>
      <c r="ZM48" s="188"/>
      <c r="ZN48" s="187"/>
      <c r="ZT48" s="188"/>
      <c r="ZU48" s="187"/>
      <c r="AAA48" s="188"/>
      <c r="AAB48" s="187"/>
      <c r="AAC48" s="168"/>
      <c r="AAD48" s="189"/>
      <c r="AAH48" s="188"/>
      <c r="AAI48" s="187"/>
      <c r="AAO48" s="188"/>
      <c r="AAP48" s="187"/>
      <c r="AAV48" s="188"/>
      <c r="AAW48" s="187"/>
      <c r="ABC48" s="188"/>
      <c r="ABD48" s="187"/>
      <c r="ABH48" s="168"/>
      <c r="ABI48" s="189"/>
      <c r="ABJ48" s="188"/>
      <c r="ABK48" s="187"/>
      <c r="ABQ48" s="188"/>
      <c r="ABR48" s="187"/>
      <c r="ABX48" s="188"/>
      <c r="ABY48" s="187"/>
      <c r="ACE48" s="188"/>
      <c r="ACF48" s="187"/>
      <c r="ACL48" s="188"/>
      <c r="ACM48" s="190"/>
      <c r="ACN48" s="189"/>
      <c r="ACS48" s="188"/>
      <c r="ACT48" s="187"/>
      <c r="ACZ48" s="188"/>
      <c r="ADA48" s="187"/>
      <c r="ADG48" s="188"/>
      <c r="ADH48" s="187"/>
      <c r="ADN48" s="188"/>
      <c r="ADO48" s="190"/>
      <c r="ADP48" s="189"/>
      <c r="ADU48" s="188"/>
      <c r="ADV48" s="187"/>
      <c r="AEB48" s="188"/>
      <c r="AEC48" s="187"/>
      <c r="AEI48" s="188"/>
      <c r="AEJ48" s="187"/>
      <c r="AEP48" s="188"/>
      <c r="AEQ48" s="187"/>
      <c r="AET48" s="168"/>
      <c r="AEU48" s="189"/>
      <c r="AEW48" s="188"/>
      <c r="AEX48" s="187"/>
      <c r="AFD48" s="188"/>
      <c r="AFE48" s="187"/>
      <c r="AFK48" s="188"/>
      <c r="AFL48" s="187"/>
      <c r="AFR48" s="188"/>
      <c r="AFS48" s="187"/>
      <c r="AFX48" s="168"/>
      <c r="AFY48" s="191"/>
      <c r="AFZ48" s="187"/>
      <c r="AGF48" s="188"/>
      <c r="AGG48" s="187"/>
      <c r="AGM48" s="188"/>
      <c r="AGN48" s="187"/>
      <c r="AGT48" s="188"/>
      <c r="AGU48" s="187"/>
      <c r="AHA48" s="188"/>
      <c r="AHB48" s="187"/>
      <c r="AHC48" s="168"/>
      <c r="AHD48" s="189"/>
      <c r="AHH48" s="188"/>
      <c r="AHI48" s="187"/>
      <c r="AHO48" s="188"/>
      <c r="AHP48" s="187"/>
      <c r="AHV48" s="188"/>
      <c r="AHW48" s="187"/>
      <c r="AIC48" s="188"/>
      <c r="AID48" s="187"/>
      <c r="AIG48" s="168"/>
      <c r="AIH48" s="189"/>
      <c r="AIJ48" s="188"/>
      <c r="AIK48" s="187"/>
      <c r="AIQ48" s="188"/>
      <c r="AIR48" s="187"/>
      <c r="AIX48" s="188"/>
      <c r="AIY48" s="187"/>
      <c r="AJE48" s="188"/>
      <c r="AJF48" s="187"/>
      <c r="AJL48" s="168"/>
      <c r="AJM48" s="189"/>
      <c r="AJS48" s="188"/>
      <c r="AJT48" s="187"/>
      <c r="AJZ48" s="188"/>
      <c r="AKA48" s="187"/>
      <c r="AKG48" s="188"/>
      <c r="AKH48" s="187"/>
      <c r="AKN48" s="188"/>
      <c r="AKO48" s="187"/>
      <c r="AKQ48" s="168"/>
      <c r="AKR48" s="189"/>
      <c r="AKU48" s="188"/>
      <c r="AKV48" s="187"/>
      <c r="ALB48" s="188"/>
      <c r="ALC48" s="187"/>
      <c r="ALI48" s="188"/>
      <c r="ALJ48" s="187"/>
      <c r="ALP48" s="188"/>
      <c r="ALQ48" s="187"/>
      <c r="ALU48" s="168"/>
      <c r="ALV48" s="189"/>
      <c r="ALW48" s="188"/>
      <c r="ALX48" s="187"/>
      <c r="AMD48" s="188"/>
      <c r="AME48" s="187"/>
      <c r="AMK48" s="188"/>
      <c r="AML48" s="187"/>
      <c r="AMR48" s="188"/>
      <c r="AMS48" s="187"/>
      <c r="AMY48" s="188"/>
      <c r="AMZ48" s="190"/>
      <c r="ANA48" s="189"/>
      <c r="ANF48" s="188"/>
      <c r="ANG48" s="187"/>
      <c r="ANM48" s="188"/>
      <c r="ANN48" s="187"/>
      <c r="ANT48" s="188"/>
      <c r="ANU48" s="187"/>
      <c r="AOA48" s="188"/>
      <c r="AOB48" s="187"/>
      <c r="AOD48" s="168"/>
      <c r="AOE48" s="189"/>
      <c r="AOH48" s="188"/>
      <c r="AOI48" s="187"/>
      <c r="AOO48" s="188"/>
      <c r="AOP48" s="187"/>
      <c r="AOV48" s="188"/>
      <c r="AOW48" s="187"/>
      <c r="APC48" s="188"/>
      <c r="APD48" s="187"/>
      <c r="API48" s="168"/>
      <c r="APJ48" s="191"/>
      <c r="APK48" s="187"/>
      <c r="APQ48" s="188"/>
      <c r="APR48" s="187"/>
      <c r="APX48" s="188"/>
      <c r="APY48" s="187"/>
      <c r="AQE48" s="188"/>
      <c r="AQF48" s="187"/>
      <c r="AQL48" s="188"/>
      <c r="AQM48" s="187"/>
      <c r="AQN48" s="168"/>
      <c r="AQO48" s="189"/>
      <c r="AQS48" s="188"/>
      <c r="AQT48" s="187"/>
      <c r="AQZ48" s="188"/>
      <c r="ARA48" s="187"/>
      <c r="ARG48" s="188"/>
      <c r="ARH48" s="187"/>
      <c r="ARN48" s="188"/>
      <c r="ARO48" s="187"/>
      <c r="ARP48" s="168"/>
      <c r="ARQ48" s="189"/>
      <c r="ARU48" s="188"/>
      <c r="ARV48" s="187"/>
      <c r="ASB48" s="188"/>
      <c r="ASC48" s="187"/>
      <c r="ASI48" s="188"/>
      <c r="ASJ48" s="187"/>
      <c r="ASP48" s="188"/>
      <c r="ASQ48" s="187"/>
      <c r="ASU48" s="168"/>
      <c r="ASV48" s="189"/>
      <c r="ASW48" s="188"/>
      <c r="ASX48" s="187"/>
      <c r="ATD48" s="188"/>
      <c r="ATE48" s="187"/>
      <c r="ATK48" s="188"/>
      <c r="ATL48" s="187"/>
      <c r="ATR48" s="188"/>
      <c r="ATS48" s="187"/>
      <c r="ATY48" s="168"/>
      <c r="ATZ48" s="189"/>
      <c r="AUF48" s="188"/>
      <c r="AUG48" s="187"/>
      <c r="AUM48" s="188"/>
      <c r="AUN48" s="187"/>
      <c r="AUT48" s="188"/>
      <c r="AUU48" s="187"/>
      <c r="AVA48" s="188"/>
      <c r="AVB48" s="187"/>
      <c r="AVD48" s="168"/>
      <c r="AVE48" s="189"/>
      <c r="AVH48" s="188"/>
      <c r="AVI48" s="187"/>
      <c r="AVO48" s="188"/>
      <c r="AVP48" s="187"/>
      <c r="AVV48" s="188"/>
      <c r="AVW48" s="187"/>
      <c r="AWC48" s="188"/>
      <c r="AWD48" s="187"/>
      <c r="AWH48" s="168"/>
      <c r="AWI48" s="189"/>
      <c r="AWJ48" s="188"/>
      <c r="AWK48" s="187"/>
      <c r="AWQ48" s="188"/>
      <c r="AWR48" s="187"/>
      <c r="AWX48" s="188"/>
      <c r="AWY48" s="187"/>
      <c r="AXE48" s="188"/>
      <c r="AXF48" s="187"/>
      <c r="AXL48" s="188"/>
      <c r="AXM48" s="190"/>
      <c r="AXN48" s="189"/>
      <c r="AXS48" s="188"/>
      <c r="AXT48" s="187"/>
      <c r="AXZ48" s="188"/>
      <c r="AYA48" s="187"/>
      <c r="AYG48" s="188"/>
      <c r="AYH48" s="187"/>
      <c r="AYN48" s="188"/>
      <c r="AYO48" s="187"/>
      <c r="AYR48" s="168"/>
      <c r="AYS48" s="189"/>
      <c r="AYU48" s="188"/>
      <c r="AYV48" s="187"/>
      <c r="AZB48" s="188"/>
      <c r="AZC48" s="187"/>
      <c r="AZI48" s="188"/>
      <c r="AZJ48" s="187"/>
      <c r="AZP48" s="188"/>
      <c r="AZQ48" s="187"/>
      <c r="AZV48" s="168"/>
      <c r="AZW48" s="191"/>
      <c r="AZX48" s="187"/>
      <c r="BAD48" s="188"/>
      <c r="BAE48" s="187"/>
      <c r="BAK48" s="188"/>
      <c r="BAL48" s="187"/>
      <c r="BAR48" s="188"/>
      <c r="BAS48" s="187"/>
      <c r="BAY48" s="188"/>
      <c r="BAZ48" s="187"/>
      <c r="BBA48" s="168"/>
      <c r="BBB48" s="189"/>
      <c r="BBF48" s="188"/>
      <c r="BBG48" s="187"/>
      <c r="BBM48" s="188"/>
      <c r="BBN48" s="187"/>
      <c r="BBT48" s="188"/>
      <c r="BBU48" s="187"/>
      <c r="BCA48" s="188"/>
      <c r="BCB48" s="187"/>
      <c r="BCE48" s="168"/>
      <c r="BCF48" s="189"/>
      <c r="BCH48" s="188"/>
      <c r="BCI48" s="187"/>
      <c r="BCO48" s="188"/>
      <c r="BCP48" s="187"/>
      <c r="BCV48" s="188"/>
      <c r="BCW48" s="187"/>
      <c r="BDC48" s="188"/>
      <c r="BDD48" s="187"/>
      <c r="BDJ48" s="168"/>
      <c r="BDK48" s="189"/>
      <c r="BDQ48" s="188"/>
      <c r="BDR48" s="187"/>
      <c r="BDX48" s="188"/>
      <c r="BDY48" s="187"/>
      <c r="BEE48" s="188"/>
      <c r="BEF48" s="187"/>
      <c r="BEL48" s="188"/>
      <c r="BEM48" s="187"/>
      <c r="BEO48" s="168"/>
      <c r="BEP48" s="189"/>
      <c r="BES48" s="188"/>
      <c r="BET48" s="187"/>
      <c r="BEZ48" s="188"/>
      <c r="BFA48" s="187"/>
      <c r="BFG48" s="188"/>
      <c r="BFH48" s="187"/>
      <c r="BFN48" s="188"/>
      <c r="BFO48" s="187"/>
      <c r="BFQ48" s="168"/>
      <c r="BFR48" s="189"/>
      <c r="BFU48" s="188"/>
      <c r="BFV48" s="187"/>
      <c r="BGB48" s="188"/>
      <c r="BGC48" s="187"/>
      <c r="BGI48" s="188"/>
      <c r="BGJ48" s="187"/>
      <c r="BGP48" s="188"/>
      <c r="BGQ48" s="187"/>
      <c r="BGV48" s="168"/>
      <c r="BGW48" s="191"/>
      <c r="BGX48" s="187"/>
      <c r="BHD48" s="188"/>
      <c r="BHE48" s="187"/>
      <c r="BHK48" s="188"/>
      <c r="BHL48" s="187"/>
      <c r="BHR48" s="188"/>
      <c r="BHS48" s="187"/>
      <c r="BHY48" s="188"/>
      <c r="BHZ48" s="190"/>
      <c r="BIA48" s="189"/>
      <c r="BIF48" s="188"/>
      <c r="BIG48" s="187"/>
      <c r="BIM48" s="188"/>
      <c r="BIN48" s="187"/>
      <c r="BIT48" s="188"/>
      <c r="BIU48" s="187"/>
      <c r="BJA48" s="188"/>
      <c r="BJB48" s="187"/>
      <c r="BJE48" s="168"/>
      <c r="BJF48" s="189"/>
      <c r="BJH48" s="188"/>
      <c r="BJI48" s="187"/>
      <c r="BJO48" s="188"/>
      <c r="BJP48" s="187"/>
      <c r="BJV48" s="188"/>
      <c r="BJW48" s="187"/>
      <c r="BKC48" s="188"/>
      <c r="BKD48" s="187"/>
      <c r="BKI48" s="168"/>
      <c r="BKJ48" s="191"/>
      <c r="BKK48" s="187"/>
      <c r="BKQ48" s="188"/>
      <c r="BKR48" s="187"/>
      <c r="BKX48" s="188"/>
      <c r="BKY48" s="187"/>
      <c r="BLE48" s="188"/>
      <c r="BLF48" s="187"/>
      <c r="BLL48" s="188"/>
      <c r="BLM48" s="187"/>
      <c r="BLN48" s="168"/>
      <c r="BLO48" s="189"/>
      <c r="BLS48" s="188"/>
      <c r="BLT48" s="187"/>
      <c r="BLZ48" s="188"/>
      <c r="BMA48" s="187"/>
      <c r="BMG48" s="188"/>
      <c r="BMH48" s="187"/>
      <c r="BMN48" s="188"/>
      <c r="BMO48" s="187"/>
      <c r="BMS48" s="168"/>
      <c r="BMT48" s="189"/>
      <c r="BMU48" s="188"/>
      <c r="BMV48" s="187"/>
      <c r="BNB48" s="188"/>
      <c r="BNC48" s="187"/>
      <c r="BNI48" s="188"/>
      <c r="BNJ48" s="187"/>
      <c r="BNP48" s="188"/>
      <c r="BNQ48" s="187"/>
      <c r="BNW48" s="168"/>
      <c r="BNX48" s="189"/>
      <c r="BOD48" s="188"/>
      <c r="BOE48" s="187"/>
      <c r="BOK48" s="188"/>
      <c r="BOL48" s="187"/>
      <c r="BOR48" s="188"/>
      <c r="BOS48" s="187"/>
      <c r="BOY48" s="188"/>
      <c r="BOZ48" s="187"/>
      <c r="BPB48" s="168"/>
      <c r="BPC48" s="189"/>
      <c r="BPF48" s="188"/>
      <c r="BPG48" s="187"/>
      <c r="BPM48" s="188"/>
      <c r="BPN48" s="187"/>
      <c r="BPT48" s="188"/>
      <c r="BPU48" s="187"/>
      <c r="BQA48" s="188"/>
      <c r="BQB48" s="187"/>
      <c r="BQF48" s="168"/>
      <c r="BQG48" s="189"/>
      <c r="BQH48" s="188"/>
      <c r="BQI48" s="187"/>
      <c r="BQO48" s="188"/>
      <c r="BQP48" s="187"/>
      <c r="BQV48" s="188"/>
      <c r="BQW48" s="187"/>
      <c r="BRC48" s="188"/>
      <c r="BRD48" s="187"/>
      <c r="BRJ48" s="188"/>
      <c r="BRK48" s="190"/>
      <c r="BRL48" s="189"/>
      <c r="BRQ48" s="188"/>
      <c r="BRR48" s="187"/>
      <c r="BRX48" s="188"/>
      <c r="BRY48" s="187"/>
      <c r="BSE48" s="188"/>
      <c r="BSF48" s="187"/>
      <c r="BSL48" s="188"/>
      <c r="BSM48" s="187"/>
      <c r="BSP48" s="168"/>
      <c r="BSQ48" s="189"/>
      <c r="BSS48" s="188"/>
      <c r="BST48" s="187"/>
      <c r="BSZ48" s="188"/>
      <c r="BTA48" s="187"/>
      <c r="BTG48" s="188"/>
      <c r="BTH48" s="187"/>
      <c r="BTN48" s="188"/>
      <c r="BTO48" s="187"/>
      <c r="BTS48" s="168"/>
      <c r="BTT48" s="189"/>
      <c r="BTU48" s="188"/>
      <c r="BTV48" s="187"/>
      <c r="BUB48" s="188"/>
      <c r="BUC48" s="187"/>
      <c r="BUI48" s="188"/>
      <c r="BUJ48" s="187"/>
      <c r="BUP48" s="188"/>
      <c r="BUQ48" s="187"/>
      <c r="BUW48" s="188"/>
      <c r="BUX48" s="190"/>
      <c r="BUY48" s="189"/>
      <c r="BVD48" s="188"/>
      <c r="BVE48" s="187"/>
      <c r="BVK48" s="188"/>
      <c r="BVL48" s="187"/>
      <c r="BVR48" s="188"/>
      <c r="BVS48" s="187"/>
      <c r="BVY48" s="188"/>
      <c r="BVZ48" s="187"/>
      <c r="BWB48" s="168"/>
      <c r="BWC48" s="189"/>
      <c r="BWF48" s="188"/>
      <c r="BWG48" s="187"/>
      <c r="BWM48" s="188"/>
      <c r="BWN48" s="187"/>
      <c r="BWT48" s="188"/>
      <c r="BWU48" s="187"/>
      <c r="BXA48" s="188"/>
      <c r="BXB48" s="187"/>
      <c r="BXG48" s="168"/>
      <c r="BXH48" s="191"/>
      <c r="BXI48" s="187"/>
      <c r="BXO48" s="188"/>
      <c r="BXP48" s="187"/>
      <c r="BXV48" s="188"/>
      <c r="BXW48" s="187"/>
      <c r="BYC48" s="188"/>
      <c r="BYD48" s="187"/>
      <c r="BYJ48" s="188"/>
      <c r="BYK48" s="190"/>
      <c r="BYL48" s="189"/>
      <c r="BYQ48" s="188"/>
      <c r="BYR48" s="187"/>
      <c r="BYX48" s="188"/>
      <c r="BYY48" s="187"/>
      <c r="BZE48" s="188"/>
      <c r="BZF48" s="187"/>
      <c r="BZL48" s="188"/>
      <c r="BZM48" s="187"/>
      <c r="BZP48" s="168"/>
      <c r="BZQ48" s="189"/>
      <c r="BZS48" s="188"/>
      <c r="BZT48" s="187"/>
      <c r="BZZ48" s="188"/>
      <c r="CAA48" s="187"/>
      <c r="CAG48" s="188"/>
      <c r="CAH48" s="187"/>
      <c r="CAN48" s="188"/>
      <c r="CAO48" s="187"/>
      <c r="CAU48" s="168"/>
      <c r="CAV48" s="189"/>
      <c r="CBB48" s="188"/>
      <c r="CBC48" s="187"/>
      <c r="CBI48" s="188"/>
      <c r="CBJ48" s="187"/>
      <c r="CBP48" s="188"/>
      <c r="CBQ48" s="187"/>
      <c r="CBW48" s="188"/>
      <c r="CBX48" s="187"/>
      <c r="CBY48" s="168"/>
      <c r="CBZ48" s="189"/>
      <c r="CCD48" s="188"/>
      <c r="CCE48" s="187"/>
      <c r="CCK48" s="188"/>
      <c r="CCL48" s="187"/>
      <c r="CCR48" s="188"/>
      <c r="CCS48" s="187"/>
      <c r="CCY48" s="188"/>
      <c r="CCZ48" s="187"/>
      <c r="CDD48" s="168"/>
      <c r="CDE48" s="189"/>
      <c r="CDF48" s="188"/>
      <c r="CDG48" s="187"/>
      <c r="CDM48" s="188"/>
      <c r="CDN48" s="187"/>
      <c r="CDT48" s="188"/>
      <c r="CDU48" s="187"/>
      <c r="CEA48" s="188"/>
      <c r="CEB48" s="187"/>
      <c r="CEH48" s="168"/>
      <c r="CEI48" s="189"/>
      <c r="CEO48" s="188"/>
      <c r="CEP48" s="187"/>
      <c r="CEV48" s="188"/>
      <c r="CEW48" s="187"/>
      <c r="CFC48" s="188"/>
      <c r="CFD48" s="187"/>
      <c r="CFJ48" s="188"/>
      <c r="CFK48" s="187"/>
    </row>
    <row r="49" spans="1:1019 1025:2048 2054:2195">
      <c r="A49" s="164" t="s">
        <v>314</v>
      </c>
      <c r="D49" s="186"/>
      <c r="E49" s="186"/>
      <c r="K49" s="187"/>
      <c r="Q49" s="188"/>
      <c r="R49" s="187"/>
      <c r="X49" s="188"/>
      <c r="Y49" s="187"/>
      <c r="AE49" s="188"/>
      <c r="AF49" s="187"/>
      <c r="AJ49" s="168"/>
      <c r="AK49" s="189"/>
      <c r="AL49" s="188"/>
      <c r="AM49" s="187"/>
      <c r="AS49" s="188"/>
      <c r="AT49" s="187"/>
      <c r="AZ49" s="188"/>
      <c r="BA49" s="187"/>
      <c r="BG49" s="188"/>
      <c r="BH49" s="187"/>
      <c r="BL49" s="168"/>
      <c r="BM49" s="189"/>
      <c r="BN49" s="188"/>
      <c r="BO49" s="187"/>
      <c r="BU49" s="188"/>
      <c r="BV49" s="187"/>
      <c r="CB49" s="188"/>
      <c r="CC49" s="187"/>
      <c r="CI49" s="188"/>
      <c r="CJ49" s="187"/>
      <c r="CP49" s="188"/>
      <c r="CQ49" s="190"/>
      <c r="CR49" s="189"/>
      <c r="CW49" s="188"/>
      <c r="CX49" s="187"/>
      <c r="DD49" s="188"/>
      <c r="DE49" s="187"/>
      <c r="DK49" s="188"/>
      <c r="DL49" s="187"/>
      <c r="DR49" s="188"/>
      <c r="DS49" s="187"/>
      <c r="DU49" s="168"/>
      <c r="DV49" s="189"/>
      <c r="DY49" s="188"/>
      <c r="DZ49" s="187"/>
      <c r="EF49" s="188"/>
      <c r="EG49" s="187"/>
      <c r="EM49" s="188"/>
      <c r="EN49" s="187"/>
      <c r="ET49" s="188"/>
      <c r="EU49" s="187"/>
      <c r="EZ49" s="168"/>
      <c r="FA49" s="191"/>
      <c r="FB49" s="187"/>
      <c r="FH49" s="188"/>
      <c r="FI49" s="187"/>
      <c r="FO49" s="188"/>
      <c r="FP49" s="187"/>
      <c r="FV49" s="188"/>
      <c r="FW49" s="187"/>
      <c r="GC49" s="188"/>
      <c r="GD49" s="190"/>
      <c r="GE49" s="189"/>
      <c r="GJ49" s="188"/>
      <c r="GK49" s="187"/>
      <c r="GQ49" s="188"/>
      <c r="GR49" s="187"/>
      <c r="GX49" s="188"/>
      <c r="GY49" s="187"/>
      <c r="HE49" s="188"/>
      <c r="HF49" s="187"/>
      <c r="HI49" s="168"/>
      <c r="HJ49" s="189"/>
      <c r="HL49" s="188"/>
      <c r="HM49" s="187"/>
      <c r="HS49" s="188"/>
      <c r="HT49" s="187"/>
      <c r="HZ49" s="188"/>
      <c r="IA49" s="187"/>
      <c r="IG49" s="188"/>
      <c r="IH49" s="187"/>
      <c r="IN49" s="168"/>
      <c r="IO49" s="189"/>
      <c r="IU49" s="188"/>
      <c r="IV49" s="187"/>
      <c r="JB49" s="188"/>
      <c r="JC49" s="187"/>
      <c r="JI49" s="188"/>
      <c r="JJ49" s="187"/>
      <c r="JP49" s="188"/>
      <c r="JQ49" s="187"/>
      <c r="JR49" s="168"/>
      <c r="JS49" s="189"/>
      <c r="JW49" s="188"/>
      <c r="JX49" s="187"/>
      <c r="KD49" s="188"/>
      <c r="KE49" s="187"/>
      <c r="KK49" s="188"/>
      <c r="KL49" s="187"/>
      <c r="KR49" s="188"/>
      <c r="KS49" s="187"/>
      <c r="KW49" s="168"/>
      <c r="KX49" s="189"/>
      <c r="KY49" s="188"/>
      <c r="KZ49" s="187"/>
      <c r="LF49" s="188"/>
      <c r="LG49" s="187"/>
      <c r="LM49" s="188"/>
      <c r="LN49" s="187"/>
      <c r="LT49" s="188"/>
      <c r="LU49" s="187"/>
      <c r="MA49" s="168"/>
      <c r="MB49" s="189"/>
      <c r="MH49" s="188"/>
      <c r="MI49" s="187"/>
      <c r="MO49" s="188"/>
      <c r="MP49" s="187"/>
      <c r="MV49" s="188"/>
      <c r="MW49" s="187"/>
      <c r="NC49" s="188"/>
      <c r="ND49" s="187"/>
      <c r="NF49" s="168"/>
      <c r="NG49" s="189"/>
      <c r="NJ49" s="188"/>
      <c r="NK49" s="187"/>
      <c r="NQ49" s="188"/>
      <c r="NR49" s="187"/>
      <c r="NX49" s="188"/>
      <c r="NY49" s="187"/>
      <c r="OE49" s="188"/>
      <c r="OF49" s="187"/>
      <c r="OK49" s="168"/>
      <c r="OL49" s="191"/>
      <c r="OM49" s="187"/>
      <c r="OS49" s="188"/>
      <c r="OT49" s="187"/>
      <c r="OZ49" s="188"/>
      <c r="PA49" s="187"/>
      <c r="PG49" s="188"/>
      <c r="PH49" s="187"/>
      <c r="PN49" s="168"/>
      <c r="PO49" s="189"/>
      <c r="PU49" s="188"/>
      <c r="PV49" s="187"/>
      <c r="QB49" s="188"/>
      <c r="QC49" s="187"/>
      <c r="QI49" s="188"/>
      <c r="QJ49" s="187"/>
      <c r="QP49" s="188"/>
      <c r="QQ49" s="187"/>
      <c r="QS49" s="168"/>
      <c r="QT49" s="189"/>
      <c r="QW49" s="188"/>
      <c r="QX49" s="187"/>
      <c r="RD49" s="188"/>
      <c r="RE49" s="187"/>
      <c r="RK49" s="188"/>
      <c r="RL49" s="187"/>
      <c r="RR49" s="188"/>
      <c r="RS49" s="187"/>
      <c r="RW49" s="168"/>
      <c r="RX49" s="189"/>
      <c r="RY49" s="188"/>
      <c r="RZ49" s="187"/>
      <c r="SF49" s="188"/>
      <c r="SG49" s="187"/>
      <c r="SM49" s="188"/>
      <c r="SN49" s="187"/>
      <c r="ST49" s="188"/>
      <c r="SU49" s="187"/>
      <c r="TA49" s="188"/>
      <c r="TB49" s="190"/>
      <c r="TC49" s="189"/>
      <c r="TH49" s="188"/>
      <c r="TI49" s="187"/>
      <c r="TO49" s="188"/>
      <c r="TP49" s="187"/>
      <c r="TV49" s="188"/>
      <c r="TW49" s="187"/>
      <c r="UC49" s="188"/>
      <c r="UD49" s="187"/>
      <c r="UF49" s="168"/>
      <c r="UG49" s="189"/>
      <c r="UJ49" s="188"/>
      <c r="UK49" s="187"/>
      <c r="UQ49" s="188"/>
      <c r="UR49" s="187"/>
      <c r="UX49" s="188"/>
      <c r="UY49" s="187"/>
      <c r="VE49" s="188"/>
      <c r="VF49" s="187"/>
      <c r="VK49" s="168"/>
      <c r="VL49" s="191"/>
      <c r="VM49" s="187"/>
      <c r="VS49" s="188"/>
      <c r="VT49" s="187"/>
      <c r="VZ49" s="188"/>
      <c r="WA49" s="187"/>
      <c r="WG49" s="188"/>
      <c r="WH49" s="187"/>
      <c r="WN49" s="188"/>
      <c r="WO49" s="187"/>
      <c r="WP49" s="168"/>
      <c r="WQ49" s="189"/>
      <c r="WU49" s="188"/>
      <c r="WV49" s="187"/>
      <c r="XB49" s="188"/>
      <c r="XC49" s="187"/>
      <c r="XI49" s="188"/>
      <c r="XJ49" s="187"/>
      <c r="XP49" s="188"/>
      <c r="XQ49" s="187"/>
      <c r="XT49" s="168"/>
      <c r="XU49" s="189"/>
      <c r="XW49" s="188"/>
      <c r="XX49" s="187"/>
      <c r="YD49" s="188"/>
      <c r="YE49" s="187"/>
      <c r="YK49" s="188"/>
      <c r="YL49" s="187"/>
      <c r="YR49" s="188"/>
      <c r="YS49" s="187"/>
      <c r="YY49" s="168"/>
      <c r="YZ49" s="189"/>
      <c r="ZF49" s="188"/>
      <c r="ZG49" s="187"/>
      <c r="ZM49" s="188"/>
      <c r="ZN49" s="187"/>
      <c r="ZT49" s="188"/>
      <c r="ZU49" s="187"/>
      <c r="AAA49" s="188"/>
      <c r="AAB49" s="187"/>
      <c r="AAC49" s="168"/>
      <c r="AAD49" s="189"/>
      <c r="AAH49" s="188"/>
      <c r="AAI49" s="187"/>
      <c r="AAO49" s="188"/>
      <c r="AAP49" s="187"/>
      <c r="AAV49" s="188"/>
      <c r="AAW49" s="187"/>
      <c r="ABC49" s="188"/>
      <c r="ABD49" s="187"/>
      <c r="ABH49" s="168"/>
      <c r="ABI49" s="189"/>
      <c r="ABJ49" s="188"/>
      <c r="ABK49" s="187"/>
      <c r="ABQ49" s="188"/>
      <c r="ABR49" s="187"/>
      <c r="ABX49" s="188"/>
      <c r="ABY49" s="187"/>
      <c r="ACE49" s="188"/>
      <c r="ACF49" s="187"/>
      <c r="ACL49" s="188"/>
      <c r="ACM49" s="190"/>
      <c r="ACN49" s="189"/>
      <c r="ACS49" s="188"/>
      <c r="ACT49" s="187"/>
      <c r="ACZ49" s="188"/>
      <c r="ADA49" s="187"/>
      <c r="ADG49" s="188"/>
      <c r="ADH49" s="187"/>
      <c r="ADN49" s="188"/>
      <c r="ADO49" s="190"/>
      <c r="ADP49" s="189"/>
      <c r="ADU49" s="188"/>
      <c r="ADV49" s="187"/>
      <c r="AEB49" s="188"/>
      <c r="AEC49" s="187"/>
      <c r="AEI49" s="188"/>
      <c r="AEJ49" s="187"/>
      <c r="AEP49" s="188"/>
      <c r="AEQ49" s="187"/>
      <c r="AET49" s="168"/>
      <c r="AEU49" s="189"/>
      <c r="AEW49" s="188"/>
      <c r="AEX49" s="187"/>
      <c r="AFD49" s="188"/>
      <c r="AFE49" s="187"/>
      <c r="AFK49" s="188"/>
      <c r="AFL49" s="187"/>
      <c r="AFR49" s="188"/>
      <c r="AFS49" s="187"/>
      <c r="AFX49" s="168"/>
      <c r="AFY49" s="191"/>
      <c r="AFZ49" s="187"/>
      <c r="AGF49" s="188"/>
      <c r="AGG49" s="187"/>
      <c r="AGM49" s="188"/>
      <c r="AGN49" s="187"/>
      <c r="AGT49" s="188"/>
      <c r="AGU49" s="187"/>
      <c r="AHA49" s="188"/>
      <c r="AHB49" s="187"/>
      <c r="AHC49" s="168"/>
      <c r="AHD49" s="189"/>
      <c r="AHH49" s="188"/>
      <c r="AHI49" s="187"/>
      <c r="AHO49" s="188"/>
      <c r="AHP49" s="187"/>
      <c r="AHV49" s="188"/>
      <c r="AHW49" s="187"/>
      <c r="AIC49" s="188"/>
      <c r="AID49" s="187"/>
      <c r="AIG49" s="168"/>
      <c r="AIH49" s="189"/>
      <c r="AIJ49" s="188"/>
      <c r="AIK49" s="187"/>
      <c r="AIQ49" s="188"/>
      <c r="AIR49" s="187"/>
      <c r="AIX49" s="188"/>
      <c r="AIY49" s="187"/>
      <c r="AJE49" s="188"/>
      <c r="AJF49" s="187"/>
      <c r="AJL49" s="168"/>
      <c r="AJM49" s="189"/>
      <c r="AJS49" s="188"/>
      <c r="AJT49" s="187"/>
      <c r="AJZ49" s="188"/>
      <c r="AKA49" s="187"/>
      <c r="AKG49" s="188"/>
      <c r="AKH49" s="187"/>
      <c r="AKN49" s="188"/>
      <c r="AKO49" s="187"/>
      <c r="AKQ49" s="168"/>
      <c r="AKR49" s="189"/>
      <c r="AKU49" s="188"/>
      <c r="AKV49" s="187"/>
      <c r="ALB49" s="188"/>
      <c r="ALC49" s="187"/>
      <c r="ALI49" s="188"/>
      <c r="ALJ49" s="187"/>
      <c r="ALP49" s="188"/>
      <c r="ALQ49" s="187"/>
      <c r="ALU49" s="168"/>
      <c r="ALV49" s="189"/>
      <c r="ALW49" s="188"/>
      <c r="ALX49" s="187"/>
      <c r="AMD49" s="188"/>
      <c r="AME49" s="187"/>
      <c r="AMK49" s="188"/>
      <c r="AML49" s="187"/>
      <c r="AMR49" s="188"/>
      <c r="AMS49" s="187"/>
      <c r="AMY49" s="188"/>
      <c r="AMZ49" s="190"/>
      <c r="ANA49" s="189"/>
      <c r="ANF49" s="188"/>
      <c r="ANG49" s="187"/>
      <c r="ANM49" s="188"/>
      <c r="ANN49" s="187"/>
      <c r="ANT49" s="188"/>
      <c r="ANU49" s="187"/>
      <c r="AOA49" s="188"/>
      <c r="AOB49" s="187"/>
      <c r="AOD49" s="168"/>
      <c r="AOE49" s="189"/>
      <c r="AOH49" s="188"/>
      <c r="AOI49" s="187"/>
      <c r="AOO49" s="188"/>
      <c r="AOP49" s="187"/>
      <c r="AOV49" s="188"/>
      <c r="AOW49" s="187"/>
      <c r="APC49" s="188"/>
      <c r="APD49" s="187"/>
      <c r="API49" s="168"/>
      <c r="APJ49" s="191"/>
      <c r="APK49" s="187"/>
      <c r="APQ49" s="188"/>
      <c r="APR49" s="187"/>
      <c r="APX49" s="188"/>
      <c r="APY49" s="187"/>
      <c r="AQE49" s="188"/>
      <c r="AQF49" s="187"/>
      <c r="AQL49" s="188"/>
      <c r="AQM49" s="187"/>
      <c r="AQN49" s="168"/>
      <c r="AQO49" s="189"/>
      <c r="AQS49" s="188"/>
      <c r="AQT49" s="187"/>
      <c r="AQZ49" s="188"/>
      <c r="ARA49" s="187"/>
      <c r="ARG49" s="188"/>
      <c r="ARH49" s="187"/>
      <c r="ARN49" s="188"/>
      <c r="ARO49" s="187"/>
      <c r="ARP49" s="168"/>
      <c r="ARQ49" s="189"/>
      <c r="ARU49" s="188"/>
      <c r="ARV49" s="187"/>
      <c r="ASB49" s="188"/>
      <c r="ASC49" s="187"/>
      <c r="ASI49" s="188"/>
      <c r="ASJ49" s="187"/>
      <c r="ASP49" s="188"/>
      <c r="ASQ49" s="187"/>
      <c r="ASU49" s="168"/>
      <c r="ASV49" s="189"/>
      <c r="ASW49" s="188"/>
      <c r="ASX49" s="187"/>
      <c r="ATD49" s="188"/>
      <c r="ATE49" s="187"/>
      <c r="ATK49" s="188"/>
      <c r="ATL49" s="187"/>
      <c r="ATR49" s="188"/>
      <c r="ATS49" s="187"/>
      <c r="ATY49" s="168"/>
      <c r="ATZ49" s="189"/>
      <c r="AUF49" s="188"/>
      <c r="AUG49" s="187"/>
      <c r="AUM49" s="188"/>
      <c r="AUN49" s="187"/>
      <c r="AUT49" s="188"/>
      <c r="AUU49" s="187"/>
      <c r="AVA49" s="188"/>
      <c r="AVB49" s="187"/>
      <c r="AVD49" s="168"/>
      <c r="AVE49" s="189"/>
      <c r="AVH49" s="188"/>
      <c r="AVI49" s="187"/>
      <c r="AVO49" s="188"/>
      <c r="AVP49" s="187"/>
      <c r="AVV49" s="188"/>
      <c r="AVW49" s="187"/>
      <c r="AWC49" s="188"/>
      <c r="AWD49" s="187"/>
      <c r="AWH49" s="168"/>
      <c r="AWI49" s="189"/>
      <c r="AWJ49" s="188"/>
      <c r="AWK49" s="187"/>
      <c r="AWQ49" s="188"/>
      <c r="AWR49" s="187"/>
      <c r="AWX49" s="188"/>
      <c r="AWY49" s="187"/>
      <c r="AXE49" s="188"/>
      <c r="AXF49" s="187"/>
      <c r="AXL49" s="188"/>
      <c r="AXM49" s="190"/>
      <c r="AXN49" s="189"/>
      <c r="AXS49" s="188"/>
      <c r="AXT49" s="187"/>
      <c r="AXZ49" s="188"/>
      <c r="AYA49" s="187"/>
      <c r="AYG49" s="188"/>
      <c r="AYH49" s="187"/>
      <c r="AYN49" s="188"/>
      <c r="AYO49" s="187"/>
      <c r="AYR49" s="168"/>
      <c r="AYS49" s="189"/>
      <c r="AYU49" s="188"/>
      <c r="AYV49" s="187"/>
      <c r="AZB49" s="188"/>
      <c r="AZC49" s="187"/>
      <c r="AZI49" s="188"/>
      <c r="AZJ49" s="187"/>
      <c r="AZP49" s="188"/>
      <c r="AZQ49" s="187"/>
      <c r="AZV49" s="168"/>
      <c r="AZW49" s="191"/>
      <c r="AZX49" s="187"/>
      <c r="BAD49" s="188"/>
      <c r="BAE49" s="187"/>
      <c r="BAK49" s="188"/>
      <c r="BAL49" s="187"/>
      <c r="BAR49" s="188"/>
      <c r="BAS49" s="187"/>
      <c r="BAY49" s="188"/>
      <c r="BAZ49" s="187"/>
      <c r="BBA49" s="168"/>
      <c r="BBB49" s="189"/>
      <c r="BBF49" s="188"/>
      <c r="BBG49" s="187"/>
      <c r="BBM49" s="188"/>
      <c r="BBN49" s="187"/>
      <c r="BBT49" s="188"/>
      <c r="BBU49" s="187"/>
      <c r="BCA49" s="188"/>
      <c r="BCB49" s="187"/>
      <c r="BCE49" s="168"/>
      <c r="BCF49" s="189"/>
      <c r="BCH49" s="188"/>
      <c r="BCI49" s="187"/>
      <c r="BCO49" s="188"/>
      <c r="BCP49" s="187"/>
      <c r="BCV49" s="188"/>
      <c r="BCW49" s="187"/>
      <c r="BDC49" s="188"/>
      <c r="BDD49" s="187"/>
      <c r="BDJ49" s="168"/>
      <c r="BDK49" s="189"/>
      <c r="BDQ49" s="188"/>
      <c r="BDR49" s="187"/>
      <c r="BDX49" s="188"/>
      <c r="BDY49" s="187"/>
      <c r="BEE49" s="188"/>
      <c r="BEF49" s="187"/>
      <c r="BEL49" s="188"/>
      <c r="BEM49" s="187"/>
      <c r="BEO49" s="168"/>
      <c r="BEP49" s="189"/>
      <c r="BES49" s="188"/>
      <c r="BET49" s="187"/>
      <c r="BEZ49" s="188"/>
      <c r="BFA49" s="187"/>
      <c r="BFG49" s="188"/>
      <c r="BFH49" s="187"/>
      <c r="BFN49" s="188"/>
      <c r="BFO49" s="187"/>
      <c r="BFQ49" s="168"/>
      <c r="BFR49" s="189"/>
      <c r="BFU49" s="188"/>
      <c r="BFV49" s="187"/>
      <c r="BGB49" s="188"/>
      <c r="BGC49" s="187"/>
      <c r="BGI49" s="188"/>
      <c r="BGJ49" s="187"/>
      <c r="BGP49" s="188"/>
      <c r="BGQ49" s="187"/>
      <c r="BGV49" s="168"/>
      <c r="BGW49" s="191"/>
      <c r="BGX49" s="187"/>
      <c r="BHD49" s="188"/>
      <c r="BHE49" s="187"/>
      <c r="BHK49" s="188"/>
      <c r="BHL49" s="187"/>
      <c r="BHR49" s="188"/>
      <c r="BHS49" s="187"/>
      <c r="BHY49" s="188"/>
      <c r="BHZ49" s="190"/>
      <c r="BIA49" s="189"/>
      <c r="BIF49" s="188"/>
      <c r="BIG49" s="187"/>
      <c r="BIM49" s="188"/>
      <c r="BIN49" s="187"/>
      <c r="BIT49" s="188"/>
      <c r="BIU49" s="187"/>
      <c r="BJA49" s="188"/>
      <c r="BJB49" s="187"/>
      <c r="BJE49" s="168"/>
      <c r="BJF49" s="189"/>
      <c r="BJH49" s="188"/>
      <c r="BJI49" s="187"/>
      <c r="BJO49" s="188"/>
      <c r="BJP49" s="187"/>
      <c r="BJV49" s="188"/>
      <c r="BJW49" s="187"/>
      <c r="BKC49" s="188"/>
      <c r="BKD49" s="187"/>
      <c r="BKI49" s="168"/>
      <c r="BKJ49" s="191"/>
      <c r="BKK49" s="187"/>
      <c r="BKQ49" s="188"/>
      <c r="BKR49" s="187"/>
      <c r="BKX49" s="188"/>
      <c r="BKY49" s="187"/>
      <c r="BLE49" s="188"/>
      <c r="BLF49" s="187"/>
      <c r="BLL49" s="188"/>
      <c r="BLM49" s="187"/>
      <c r="BLN49" s="168"/>
      <c r="BLO49" s="189"/>
      <c r="BLS49" s="188"/>
      <c r="BLT49" s="187"/>
      <c r="BLZ49" s="188"/>
      <c r="BMA49" s="187"/>
      <c r="BMG49" s="188"/>
      <c r="BMH49" s="187"/>
      <c r="BMN49" s="188"/>
      <c r="BMO49" s="187"/>
      <c r="BMS49" s="168"/>
      <c r="BMT49" s="189"/>
      <c r="BMU49" s="188"/>
      <c r="BMV49" s="187"/>
      <c r="BNB49" s="188"/>
      <c r="BNC49" s="187"/>
      <c r="BNI49" s="188"/>
      <c r="BNJ49" s="187"/>
      <c r="BNP49" s="188"/>
      <c r="BNQ49" s="187"/>
      <c r="BNW49" s="168"/>
      <c r="BNX49" s="189"/>
      <c r="BOD49" s="188"/>
      <c r="BOE49" s="187"/>
      <c r="BOK49" s="188"/>
      <c r="BOL49" s="187"/>
      <c r="BOR49" s="188"/>
      <c r="BOS49" s="187"/>
      <c r="BOY49" s="188"/>
      <c r="BOZ49" s="187"/>
      <c r="BPB49" s="168"/>
      <c r="BPC49" s="189"/>
      <c r="BPF49" s="188"/>
      <c r="BPG49" s="187"/>
      <c r="BPM49" s="188"/>
      <c r="BPN49" s="187"/>
      <c r="BPT49" s="188"/>
      <c r="BPU49" s="187"/>
      <c r="BQA49" s="188"/>
      <c r="BQB49" s="187"/>
      <c r="BQF49" s="168"/>
      <c r="BQG49" s="189"/>
      <c r="BQH49" s="188"/>
      <c r="BQI49" s="187"/>
      <c r="BQO49" s="188"/>
      <c r="BQP49" s="187"/>
      <c r="BQV49" s="188"/>
      <c r="BQW49" s="187"/>
      <c r="BRC49" s="188"/>
      <c r="BRD49" s="187"/>
      <c r="BRJ49" s="188"/>
      <c r="BRK49" s="190"/>
      <c r="BRL49" s="189"/>
      <c r="BRQ49" s="188"/>
      <c r="BRR49" s="187"/>
      <c r="BRX49" s="188"/>
      <c r="BRY49" s="187"/>
      <c r="BSE49" s="188"/>
      <c r="BSF49" s="187"/>
      <c r="BSL49" s="188"/>
      <c r="BSM49" s="187"/>
      <c r="BSP49" s="168"/>
      <c r="BSQ49" s="189"/>
      <c r="BSS49" s="188"/>
      <c r="BST49" s="187"/>
      <c r="BSZ49" s="188"/>
      <c r="BTA49" s="187"/>
      <c r="BTG49" s="188"/>
      <c r="BTH49" s="187"/>
      <c r="BTN49" s="188"/>
      <c r="BTO49" s="187"/>
      <c r="BTS49" s="168"/>
      <c r="BTT49" s="189"/>
      <c r="BTU49" s="188"/>
      <c r="BTV49" s="187"/>
      <c r="BUB49" s="188"/>
      <c r="BUC49" s="187"/>
      <c r="BUI49" s="188"/>
      <c r="BUJ49" s="187"/>
      <c r="BUP49" s="188"/>
      <c r="BUQ49" s="187"/>
      <c r="BUW49" s="188"/>
      <c r="BUX49" s="190"/>
      <c r="BUY49" s="189"/>
      <c r="BVD49" s="188"/>
      <c r="BVE49" s="187"/>
      <c r="BVK49" s="188"/>
      <c r="BVL49" s="187"/>
      <c r="BVR49" s="188"/>
      <c r="BVS49" s="187"/>
      <c r="BVY49" s="188"/>
      <c r="BVZ49" s="187"/>
      <c r="BWB49" s="168"/>
      <c r="BWC49" s="189"/>
      <c r="BWF49" s="188"/>
      <c r="BWG49" s="187"/>
      <c r="BWM49" s="188"/>
      <c r="BWN49" s="187"/>
      <c r="BWT49" s="188"/>
      <c r="BWU49" s="187"/>
      <c r="BXA49" s="188"/>
      <c r="BXB49" s="187"/>
      <c r="BXG49" s="168"/>
      <c r="BXH49" s="191"/>
      <c r="BXI49" s="187"/>
      <c r="BXO49" s="188"/>
      <c r="BXP49" s="187"/>
      <c r="BXV49" s="188"/>
      <c r="BXW49" s="187"/>
      <c r="BYC49" s="188"/>
      <c r="BYD49" s="187"/>
      <c r="BYJ49" s="188"/>
      <c r="BYK49" s="190"/>
      <c r="BYL49" s="189"/>
      <c r="BYQ49" s="188"/>
      <c r="BYR49" s="187"/>
      <c r="BYX49" s="188"/>
      <c r="BYY49" s="187"/>
      <c r="BZE49" s="188"/>
      <c r="BZF49" s="187"/>
      <c r="BZL49" s="188"/>
      <c r="BZM49" s="187"/>
      <c r="BZP49" s="168"/>
      <c r="BZQ49" s="189"/>
      <c r="BZS49" s="188"/>
      <c r="BZT49" s="187"/>
      <c r="BZZ49" s="188"/>
      <c r="CAA49" s="187"/>
      <c r="CAG49" s="188"/>
      <c r="CAH49" s="187"/>
      <c r="CAN49" s="188"/>
      <c r="CAO49" s="187"/>
      <c r="CAU49" s="168"/>
      <c r="CAV49" s="189"/>
      <c r="CBB49" s="188"/>
      <c r="CBC49" s="187"/>
      <c r="CBI49" s="188"/>
      <c r="CBJ49" s="187"/>
      <c r="CBP49" s="188"/>
      <c r="CBQ49" s="187"/>
      <c r="CBW49" s="188"/>
      <c r="CBX49" s="187"/>
      <c r="CBY49" s="168"/>
      <c r="CBZ49" s="189"/>
      <c r="CCD49" s="188"/>
      <c r="CCE49" s="187"/>
      <c r="CCK49" s="188"/>
      <c r="CCL49" s="187"/>
      <c r="CCR49" s="188"/>
      <c r="CCS49" s="187"/>
      <c r="CCY49" s="188"/>
      <c r="CCZ49" s="187"/>
      <c r="CDD49" s="168"/>
      <c r="CDE49" s="189"/>
      <c r="CDF49" s="188"/>
      <c r="CDG49" s="187"/>
      <c r="CDM49" s="188"/>
      <c r="CDN49" s="187"/>
      <c r="CDT49" s="188"/>
      <c r="CDU49" s="187"/>
      <c r="CEA49" s="188"/>
      <c r="CEB49" s="187"/>
      <c r="CEH49" s="168"/>
      <c r="CEI49" s="189"/>
      <c r="CEO49" s="188"/>
      <c r="CEP49" s="187"/>
      <c r="CEV49" s="188"/>
      <c r="CEW49" s="187"/>
      <c r="CFC49" s="188"/>
      <c r="CFD49" s="187"/>
      <c r="CFJ49" s="188"/>
      <c r="CFK49" s="187"/>
    </row>
    <row r="50" spans="1:1019 1025:2048 2054:2195">
      <c r="D50" s="186"/>
      <c r="E50" s="186"/>
      <c r="K50" s="187"/>
      <c r="Q50" s="188"/>
      <c r="R50" s="187"/>
      <c r="X50" s="188"/>
      <c r="Y50" s="187"/>
      <c r="AE50" s="188"/>
      <c r="AF50" s="187"/>
      <c r="AJ50" s="168"/>
      <c r="AK50" s="189"/>
      <c r="AL50" s="188"/>
      <c r="AM50" s="187"/>
      <c r="AS50" s="188"/>
      <c r="AT50" s="187"/>
      <c r="AZ50" s="188"/>
      <c r="BA50" s="187"/>
      <c r="BG50" s="188"/>
      <c r="BH50" s="187"/>
      <c r="BL50" s="168"/>
      <c r="BM50" s="189"/>
      <c r="BN50" s="188"/>
      <c r="BO50" s="187"/>
      <c r="BU50" s="188"/>
      <c r="BV50" s="187"/>
      <c r="CB50" s="188"/>
      <c r="CC50" s="187"/>
      <c r="CI50" s="188"/>
      <c r="CJ50" s="187"/>
      <c r="CP50" s="188"/>
      <c r="CQ50" s="190"/>
      <c r="CR50" s="189"/>
      <c r="CW50" s="188"/>
      <c r="CX50" s="187"/>
      <c r="DD50" s="188"/>
      <c r="DE50" s="187"/>
      <c r="DK50" s="188"/>
      <c r="DL50" s="187"/>
      <c r="DR50" s="188"/>
      <c r="DS50" s="187"/>
      <c r="DU50" s="168"/>
      <c r="DV50" s="189"/>
      <c r="DY50" s="188"/>
      <c r="DZ50" s="187"/>
      <c r="EF50" s="188"/>
      <c r="EG50" s="187"/>
      <c r="EM50" s="188"/>
      <c r="EN50" s="187"/>
      <c r="ET50" s="188"/>
      <c r="EU50" s="187"/>
      <c r="EZ50" s="168"/>
      <c r="FA50" s="191"/>
      <c r="FB50" s="187"/>
      <c r="FH50" s="188"/>
      <c r="FI50" s="187"/>
      <c r="FO50" s="188"/>
      <c r="FP50" s="187"/>
      <c r="FV50" s="188"/>
      <c r="FW50" s="187"/>
      <c r="GC50" s="188"/>
      <c r="GD50" s="190"/>
      <c r="GE50" s="189"/>
      <c r="GJ50" s="188"/>
      <c r="GK50" s="187"/>
      <c r="GQ50" s="188"/>
      <c r="GR50" s="187"/>
      <c r="GX50" s="188"/>
      <c r="GY50" s="187"/>
      <c r="HE50" s="188"/>
      <c r="HF50" s="187"/>
      <c r="HI50" s="168"/>
      <c r="HJ50" s="189"/>
      <c r="HL50" s="188"/>
      <c r="HM50" s="187"/>
      <c r="HS50" s="188"/>
      <c r="HT50" s="187"/>
      <c r="HZ50" s="188"/>
      <c r="IA50" s="187"/>
      <c r="IG50" s="188"/>
      <c r="IH50" s="187"/>
      <c r="IN50" s="168"/>
      <c r="IO50" s="189"/>
      <c r="IU50" s="188"/>
      <c r="IV50" s="187"/>
      <c r="JB50" s="188"/>
      <c r="JC50" s="187"/>
      <c r="JI50" s="188"/>
      <c r="JJ50" s="187"/>
      <c r="JP50" s="188"/>
      <c r="JQ50" s="187"/>
      <c r="JR50" s="168"/>
      <c r="JS50" s="189"/>
      <c r="JW50" s="188"/>
      <c r="JX50" s="187"/>
      <c r="KD50" s="188"/>
      <c r="KE50" s="187"/>
      <c r="KK50" s="188"/>
      <c r="KL50" s="187"/>
      <c r="KR50" s="188"/>
      <c r="KS50" s="187"/>
      <c r="KW50" s="168"/>
      <c r="KX50" s="189"/>
      <c r="KY50" s="188"/>
      <c r="KZ50" s="187"/>
      <c r="LF50" s="188"/>
      <c r="LG50" s="187"/>
      <c r="LM50" s="188"/>
      <c r="LN50" s="187"/>
      <c r="LT50" s="188"/>
      <c r="LU50" s="187"/>
      <c r="MA50" s="168"/>
      <c r="MB50" s="189"/>
      <c r="MH50" s="188"/>
      <c r="MI50" s="187"/>
      <c r="MO50" s="188"/>
      <c r="MP50" s="187"/>
      <c r="MV50" s="188"/>
      <c r="MW50" s="187"/>
      <c r="NC50" s="188"/>
      <c r="ND50" s="187"/>
      <c r="NF50" s="168"/>
      <c r="NG50" s="189"/>
      <c r="NJ50" s="188"/>
      <c r="NK50" s="187"/>
      <c r="NQ50" s="188"/>
      <c r="NR50" s="187"/>
      <c r="NX50" s="188"/>
      <c r="NY50" s="187"/>
      <c r="OE50" s="188"/>
      <c r="OF50" s="187"/>
      <c r="OK50" s="168"/>
      <c r="OL50" s="191"/>
      <c r="OM50" s="187"/>
      <c r="OS50" s="188"/>
      <c r="OT50" s="187"/>
      <c r="OZ50" s="188"/>
      <c r="PA50" s="187"/>
      <c r="PG50" s="188"/>
      <c r="PH50" s="187"/>
      <c r="PN50" s="168"/>
      <c r="PO50" s="189"/>
      <c r="PU50" s="188"/>
      <c r="PV50" s="187"/>
      <c r="QB50" s="188"/>
      <c r="QC50" s="187"/>
      <c r="QI50" s="188"/>
      <c r="QJ50" s="187"/>
      <c r="QP50" s="188"/>
      <c r="QQ50" s="187"/>
      <c r="QS50" s="168"/>
      <c r="QT50" s="189"/>
      <c r="QW50" s="188"/>
      <c r="QX50" s="187"/>
      <c r="RD50" s="188"/>
      <c r="RE50" s="187"/>
      <c r="RK50" s="188"/>
      <c r="RL50" s="187"/>
      <c r="RR50" s="188"/>
      <c r="RS50" s="187"/>
      <c r="RW50" s="168"/>
      <c r="RX50" s="189"/>
      <c r="RY50" s="188"/>
      <c r="RZ50" s="187"/>
      <c r="SF50" s="188"/>
      <c r="SG50" s="187"/>
      <c r="SM50" s="188"/>
      <c r="SN50" s="187"/>
      <c r="ST50" s="188"/>
      <c r="SU50" s="187"/>
      <c r="TA50" s="188"/>
      <c r="TB50" s="190"/>
      <c r="TC50" s="189"/>
      <c r="TH50" s="188"/>
      <c r="TI50" s="187"/>
      <c r="TO50" s="188"/>
      <c r="TP50" s="187"/>
      <c r="TV50" s="188"/>
      <c r="TW50" s="187"/>
      <c r="UC50" s="188"/>
      <c r="UD50" s="187"/>
      <c r="UF50" s="168"/>
      <c r="UG50" s="189"/>
      <c r="UJ50" s="188"/>
      <c r="UK50" s="187"/>
      <c r="UQ50" s="188"/>
      <c r="UR50" s="187"/>
      <c r="UX50" s="188"/>
      <c r="UY50" s="187"/>
      <c r="VE50" s="188"/>
      <c r="VF50" s="187"/>
      <c r="VK50" s="168"/>
      <c r="VL50" s="191"/>
      <c r="VM50" s="187"/>
      <c r="VS50" s="188"/>
      <c r="VT50" s="187"/>
      <c r="VZ50" s="188"/>
      <c r="WA50" s="187"/>
      <c r="WG50" s="188"/>
      <c r="WH50" s="187"/>
      <c r="WN50" s="188"/>
      <c r="WO50" s="187"/>
      <c r="WP50" s="168"/>
      <c r="WQ50" s="189"/>
      <c r="WU50" s="188"/>
      <c r="WV50" s="187"/>
      <c r="XB50" s="188"/>
      <c r="XC50" s="187"/>
      <c r="XI50" s="188"/>
      <c r="XJ50" s="187"/>
      <c r="XP50" s="188"/>
      <c r="XQ50" s="187"/>
      <c r="XT50" s="168"/>
      <c r="XU50" s="189"/>
      <c r="XW50" s="188"/>
      <c r="XX50" s="187"/>
      <c r="YD50" s="188"/>
      <c r="YE50" s="187"/>
      <c r="YK50" s="188"/>
      <c r="YL50" s="187"/>
      <c r="YR50" s="188"/>
      <c r="YS50" s="187"/>
      <c r="YY50" s="168"/>
      <c r="YZ50" s="189"/>
      <c r="ZF50" s="188"/>
      <c r="ZG50" s="187"/>
      <c r="ZM50" s="188"/>
      <c r="ZN50" s="187"/>
      <c r="ZT50" s="188"/>
      <c r="ZU50" s="187"/>
      <c r="AAA50" s="188"/>
      <c r="AAB50" s="187"/>
      <c r="AAC50" s="168"/>
      <c r="AAD50" s="189"/>
      <c r="AAH50" s="188"/>
      <c r="AAI50" s="187"/>
      <c r="AAO50" s="188"/>
      <c r="AAP50" s="187"/>
      <c r="AAV50" s="188"/>
      <c r="AAW50" s="187"/>
      <c r="ABC50" s="188"/>
      <c r="ABD50" s="187"/>
      <c r="ABH50" s="168"/>
      <c r="ABI50" s="189"/>
      <c r="ABJ50" s="188"/>
      <c r="ABK50" s="187"/>
      <c r="ABQ50" s="188"/>
      <c r="ABR50" s="187"/>
      <c r="ABX50" s="188"/>
      <c r="ABY50" s="187"/>
      <c r="ACE50" s="188"/>
      <c r="ACF50" s="187"/>
      <c r="ACL50" s="188"/>
      <c r="ACM50" s="190"/>
      <c r="ACN50" s="189"/>
      <c r="ACS50" s="188"/>
      <c r="ACT50" s="187"/>
      <c r="ACZ50" s="188"/>
      <c r="ADA50" s="187"/>
      <c r="ADG50" s="188"/>
      <c r="ADH50" s="187"/>
      <c r="ADN50" s="188"/>
      <c r="ADO50" s="190"/>
      <c r="ADP50" s="189"/>
      <c r="ADU50" s="188"/>
      <c r="ADV50" s="187"/>
      <c r="AEB50" s="188"/>
      <c r="AEC50" s="187"/>
      <c r="AEI50" s="188"/>
      <c r="AEJ50" s="187"/>
      <c r="AEP50" s="188"/>
      <c r="AEQ50" s="187"/>
      <c r="AET50" s="168"/>
      <c r="AEU50" s="189"/>
      <c r="AEW50" s="188"/>
      <c r="AEX50" s="187"/>
      <c r="AFD50" s="188"/>
      <c r="AFE50" s="187"/>
      <c r="AFK50" s="188"/>
      <c r="AFL50" s="187"/>
      <c r="AFR50" s="188"/>
      <c r="AFS50" s="187"/>
      <c r="AFX50" s="168"/>
      <c r="AFY50" s="191"/>
      <c r="AFZ50" s="187"/>
      <c r="AGF50" s="188"/>
      <c r="AGG50" s="187"/>
      <c r="AGM50" s="188"/>
      <c r="AGN50" s="187"/>
      <c r="AGT50" s="188"/>
      <c r="AGU50" s="187"/>
      <c r="AHA50" s="188"/>
      <c r="AHB50" s="187"/>
      <c r="AHC50" s="168"/>
      <c r="AHD50" s="189"/>
      <c r="AHH50" s="188"/>
      <c r="AHI50" s="187"/>
      <c r="AHO50" s="188"/>
      <c r="AHP50" s="187"/>
      <c r="AHV50" s="188"/>
      <c r="AHW50" s="187"/>
      <c r="AIC50" s="188"/>
      <c r="AID50" s="187"/>
      <c r="AIG50" s="168"/>
      <c r="AIH50" s="189"/>
      <c r="AIJ50" s="188"/>
      <c r="AIK50" s="187"/>
      <c r="AIQ50" s="188"/>
      <c r="AIR50" s="187"/>
      <c r="AIX50" s="188"/>
      <c r="AIY50" s="187"/>
      <c r="AJE50" s="188"/>
      <c r="AJF50" s="187"/>
      <c r="AJL50" s="168"/>
      <c r="AJM50" s="189"/>
      <c r="AJS50" s="188"/>
      <c r="AJT50" s="187"/>
      <c r="AJZ50" s="188"/>
      <c r="AKA50" s="187"/>
      <c r="AKG50" s="188"/>
      <c r="AKH50" s="187"/>
      <c r="AKN50" s="188"/>
      <c r="AKO50" s="187"/>
      <c r="AKQ50" s="168"/>
      <c r="AKR50" s="189"/>
      <c r="AKU50" s="188"/>
      <c r="AKV50" s="187"/>
      <c r="ALB50" s="188"/>
      <c r="ALC50" s="187"/>
      <c r="ALI50" s="188"/>
      <c r="ALJ50" s="187"/>
      <c r="ALP50" s="188"/>
      <c r="ALQ50" s="187"/>
      <c r="ALU50" s="168"/>
      <c r="ALV50" s="189"/>
      <c r="ALW50" s="188"/>
      <c r="ALX50" s="187"/>
      <c r="AMD50" s="188"/>
      <c r="AME50" s="187"/>
      <c r="AMK50" s="188"/>
      <c r="AML50" s="187"/>
      <c r="AMR50" s="188"/>
      <c r="AMS50" s="187"/>
      <c r="AMY50" s="188"/>
      <c r="AMZ50" s="190"/>
      <c r="ANA50" s="189"/>
      <c r="ANF50" s="188"/>
      <c r="ANG50" s="187"/>
      <c r="ANM50" s="188"/>
      <c r="ANN50" s="187"/>
      <c r="ANT50" s="188"/>
      <c r="ANU50" s="187"/>
      <c r="AOA50" s="188"/>
      <c r="AOB50" s="187"/>
      <c r="AOD50" s="168"/>
      <c r="AOE50" s="189"/>
      <c r="AOH50" s="188"/>
      <c r="AOI50" s="187"/>
      <c r="AOO50" s="188"/>
      <c r="AOP50" s="187"/>
      <c r="AOV50" s="188"/>
      <c r="AOW50" s="187"/>
      <c r="APC50" s="188"/>
      <c r="APD50" s="187"/>
      <c r="API50" s="168"/>
      <c r="APJ50" s="191"/>
      <c r="APK50" s="187"/>
      <c r="APQ50" s="188"/>
      <c r="APR50" s="187"/>
      <c r="APX50" s="188"/>
      <c r="APY50" s="187"/>
      <c r="AQE50" s="188"/>
      <c r="AQF50" s="187"/>
      <c r="AQL50" s="188"/>
      <c r="AQM50" s="187"/>
      <c r="AQN50" s="168"/>
      <c r="AQO50" s="189"/>
      <c r="AQS50" s="188"/>
      <c r="AQT50" s="187"/>
      <c r="AQZ50" s="188"/>
      <c r="ARA50" s="187"/>
      <c r="ARG50" s="188"/>
      <c r="ARH50" s="187"/>
      <c r="ARN50" s="188"/>
      <c r="ARO50" s="187"/>
      <c r="ARP50" s="168"/>
      <c r="ARQ50" s="189"/>
      <c r="ARU50" s="188"/>
      <c r="ARV50" s="187"/>
      <c r="ASB50" s="188"/>
      <c r="ASC50" s="187"/>
      <c r="ASI50" s="188"/>
      <c r="ASJ50" s="187"/>
      <c r="ASP50" s="188"/>
      <c r="ASQ50" s="187"/>
      <c r="ASU50" s="168"/>
      <c r="ASV50" s="189"/>
      <c r="ASW50" s="188"/>
      <c r="ASX50" s="187"/>
      <c r="ATD50" s="188"/>
      <c r="ATE50" s="187"/>
      <c r="ATK50" s="188"/>
      <c r="ATL50" s="187"/>
      <c r="ATR50" s="188"/>
      <c r="ATS50" s="187"/>
      <c r="ATY50" s="168"/>
      <c r="ATZ50" s="189"/>
      <c r="AUF50" s="188"/>
      <c r="AUG50" s="187"/>
      <c r="AUM50" s="188"/>
      <c r="AUN50" s="187"/>
      <c r="AUT50" s="188"/>
      <c r="AUU50" s="187"/>
      <c r="AVA50" s="188"/>
      <c r="AVB50" s="187"/>
      <c r="AVD50" s="168"/>
      <c r="AVE50" s="189"/>
      <c r="AVH50" s="188"/>
      <c r="AVI50" s="187"/>
      <c r="AVO50" s="188"/>
      <c r="AVP50" s="187"/>
      <c r="AVV50" s="188"/>
      <c r="AVW50" s="187"/>
      <c r="AWC50" s="188"/>
      <c r="AWD50" s="187"/>
      <c r="AWH50" s="168"/>
      <c r="AWI50" s="189"/>
      <c r="AWJ50" s="188"/>
      <c r="AWK50" s="187"/>
      <c r="AWQ50" s="188"/>
      <c r="AWR50" s="187"/>
      <c r="AWX50" s="188"/>
      <c r="AWY50" s="187"/>
      <c r="AXE50" s="188"/>
      <c r="AXF50" s="187"/>
      <c r="AXL50" s="188"/>
      <c r="AXM50" s="190"/>
      <c r="AXN50" s="189"/>
      <c r="AXS50" s="188"/>
      <c r="AXT50" s="187"/>
      <c r="AXZ50" s="188"/>
      <c r="AYA50" s="187"/>
      <c r="AYG50" s="188"/>
      <c r="AYH50" s="187"/>
      <c r="AYN50" s="188"/>
      <c r="AYO50" s="187"/>
      <c r="AYR50" s="168"/>
      <c r="AYS50" s="189"/>
      <c r="AYU50" s="188"/>
      <c r="AYV50" s="187"/>
      <c r="AZB50" s="188"/>
      <c r="AZC50" s="187"/>
      <c r="AZI50" s="188"/>
      <c r="AZJ50" s="187"/>
      <c r="AZP50" s="188"/>
      <c r="AZQ50" s="187"/>
      <c r="AZV50" s="168"/>
      <c r="AZW50" s="191"/>
      <c r="AZX50" s="187"/>
      <c r="BAD50" s="188"/>
      <c r="BAE50" s="187"/>
      <c r="BAK50" s="188"/>
      <c r="BAL50" s="187"/>
      <c r="BAR50" s="188"/>
      <c r="BAS50" s="187"/>
      <c r="BAY50" s="188"/>
      <c r="BAZ50" s="187"/>
      <c r="BBA50" s="168"/>
      <c r="BBB50" s="189"/>
      <c r="BBF50" s="188"/>
      <c r="BBG50" s="187"/>
      <c r="BBM50" s="188"/>
      <c r="BBN50" s="187"/>
      <c r="BBT50" s="188"/>
      <c r="BBU50" s="187"/>
      <c r="BCA50" s="188"/>
      <c r="BCB50" s="187"/>
      <c r="BCE50" s="168"/>
      <c r="BCF50" s="189"/>
      <c r="BCH50" s="188"/>
      <c r="BCI50" s="187"/>
      <c r="BCO50" s="188"/>
      <c r="BCP50" s="187"/>
      <c r="BCV50" s="188"/>
      <c r="BCW50" s="187"/>
      <c r="BDC50" s="188"/>
      <c r="BDD50" s="187"/>
      <c r="BDJ50" s="168"/>
      <c r="BDK50" s="189"/>
      <c r="BDQ50" s="188"/>
      <c r="BDR50" s="187"/>
      <c r="BDX50" s="188"/>
      <c r="BDY50" s="187"/>
      <c r="BEE50" s="188"/>
      <c r="BEF50" s="187"/>
      <c r="BEL50" s="188"/>
      <c r="BEM50" s="187"/>
      <c r="BEO50" s="168"/>
      <c r="BEP50" s="189"/>
      <c r="BES50" s="188"/>
      <c r="BET50" s="187"/>
      <c r="BEZ50" s="188"/>
      <c r="BFA50" s="187"/>
      <c r="BFG50" s="188"/>
      <c r="BFH50" s="187"/>
      <c r="BFN50" s="188"/>
      <c r="BFO50" s="187"/>
      <c r="BFQ50" s="168"/>
      <c r="BFR50" s="189"/>
      <c r="BFU50" s="188"/>
      <c r="BFV50" s="187"/>
      <c r="BGB50" s="188"/>
      <c r="BGC50" s="187"/>
      <c r="BGI50" s="188"/>
      <c r="BGJ50" s="187"/>
      <c r="BGP50" s="188"/>
      <c r="BGQ50" s="187"/>
      <c r="BGV50" s="168"/>
      <c r="BGW50" s="191"/>
      <c r="BGX50" s="187"/>
      <c r="BHD50" s="188"/>
      <c r="BHE50" s="187"/>
      <c r="BHK50" s="188"/>
      <c r="BHL50" s="187"/>
      <c r="BHR50" s="188"/>
      <c r="BHS50" s="187"/>
      <c r="BHY50" s="188"/>
      <c r="BHZ50" s="190"/>
      <c r="BIA50" s="189"/>
      <c r="BIF50" s="188"/>
      <c r="BIG50" s="187"/>
      <c r="BIM50" s="188"/>
      <c r="BIN50" s="187"/>
      <c r="BIT50" s="188"/>
      <c r="BIU50" s="187"/>
      <c r="BJA50" s="188"/>
      <c r="BJB50" s="187"/>
      <c r="BJE50" s="168"/>
      <c r="BJF50" s="189"/>
      <c r="BJH50" s="188"/>
      <c r="BJI50" s="187"/>
      <c r="BJO50" s="188"/>
      <c r="BJP50" s="187"/>
      <c r="BJV50" s="188"/>
      <c r="BJW50" s="187"/>
      <c r="BKC50" s="188"/>
      <c r="BKD50" s="187"/>
      <c r="BKI50" s="168"/>
      <c r="BKJ50" s="191"/>
      <c r="BKK50" s="187"/>
      <c r="BKQ50" s="188"/>
      <c r="BKR50" s="187"/>
      <c r="BKX50" s="188"/>
      <c r="BKY50" s="187"/>
      <c r="BLE50" s="188"/>
      <c r="BLF50" s="187"/>
      <c r="BLL50" s="188"/>
      <c r="BLM50" s="187"/>
      <c r="BLN50" s="168"/>
      <c r="BLO50" s="189"/>
      <c r="BLS50" s="188"/>
      <c r="BLT50" s="187"/>
      <c r="BLZ50" s="188"/>
      <c r="BMA50" s="187"/>
      <c r="BMG50" s="188"/>
      <c r="BMH50" s="187"/>
      <c r="BMN50" s="188"/>
      <c r="BMO50" s="187"/>
      <c r="BMS50" s="168"/>
      <c r="BMT50" s="189"/>
      <c r="BMU50" s="188"/>
      <c r="BMV50" s="187"/>
      <c r="BNB50" s="188"/>
      <c r="BNC50" s="187"/>
      <c r="BNI50" s="188"/>
      <c r="BNJ50" s="187"/>
      <c r="BNP50" s="188"/>
      <c r="BNQ50" s="187"/>
      <c r="BNW50" s="168"/>
      <c r="BNX50" s="189"/>
      <c r="BOD50" s="188"/>
      <c r="BOE50" s="187"/>
      <c r="BOK50" s="188"/>
      <c r="BOL50" s="187"/>
      <c r="BOR50" s="188"/>
      <c r="BOS50" s="187"/>
      <c r="BOY50" s="188"/>
      <c r="BOZ50" s="187"/>
      <c r="BPB50" s="168"/>
      <c r="BPC50" s="189"/>
      <c r="BPF50" s="188"/>
      <c r="BPG50" s="187"/>
      <c r="BPM50" s="188"/>
      <c r="BPN50" s="187"/>
      <c r="BPT50" s="188"/>
      <c r="BPU50" s="187"/>
      <c r="BQA50" s="188"/>
      <c r="BQB50" s="187"/>
      <c r="BQF50" s="168"/>
      <c r="BQG50" s="189"/>
      <c r="BQH50" s="188"/>
      <c r="BQI50" s="187"/>
      <c r="BQO50" s="188"/>
      <c r="BQP50" s="187"/>
      <c r="BQV50" s="188"/>
      <c r="BQW50" s="187"/>
      <c r="BRC50" s="188"/>
      <c r="BRD50" s="187"/>
      <c r="BRJ50" s="188"/>
      <c r="BRK50" s="190"/>
      <c r="BRL50" s="189"/>
      <c r="BRQ50" s="188"/>
      <c r="BRR50" s="187"/>
      <c r="BRX50" s="188"/>
      <c r="BRY50" s="187"/>
      <c r="BSE50" s="188"/>
      <c r="BSF50" s="187"/>
      <c r="BSL50" s="188"/>
      <c r="BSM50" s="187"/>
      <c r="BSP50" s="168"/>
      <c r="BSQ50" s="189"/>
      <c r="BSS50" s="188"/>
      <c r="BST50" s="187"/>
      <c r="BSZ50" s="188"/>
      <c r="BTA50" s="187"/>
      <c r="BTG50" s="188"/>
      <c r="BTH50" s="187"/>
      <c r="BTN50" s="188"/>
      <c r="BTO50" s="187"/>
      <c r="BTS50" s="168"/>
      <c r="BTT50" s="189"/>
      <c r="BTU50" s="188"/>
      <c r="BTV50" s="187"/>
      <c r="BUB50" s="188"/>
      <c r="BUC50" s="187"/>
      <c r="BUI50" s="188"/>
      <c r="BUJ50" s="187"/>
      <c r="BUP50" s="188"/>
      <c r="BUQ50" s="187"/>
      <c r="BUW50" s="188"/>
      <c r="BUX50" s="190"/>
      <c r="BUY50" s="189"/>
      <c r="BVD50" s="188"/>
      <c r="BVE50" s="187"/>
      <c r="BVK50" s="188"/>
      <c r="BVL50" s="187"/>
      <c r="BVR50" s="188"/>
      <c r="BVS50" s="187"/>
      <c r="BVY50" s="188"/>
      <c r="BVZ50" s="187"/>
      <c r="BWB50" s="168"/>
      <c r="BWC50" s="189"/>
      <c r="BWF50" s="188"/>
      <c r="BWG50" s="187"/>
      <c r="BWM50" s="188"/>
      <c r="BWN50" s="187"/>
      <c r="BWT50" s="188"/>
      <c r="BWU50" s="187"/>
      <c r="BXA50" s="188"/>
      <c r="BXB50" s="187"/>
      <c r="BXG50" s="168"/>
      <c r="BXH50" s="191"/>
      <c r="BXI50" s="187"/>
      <c r="BXO50" s="188"/>
      <c r="BXP50" s="187"/>
      <c r="BXV50" s="188"/>
      <c r="BXW50" s="187"/>
      <c r="BYC50" s="188"/>
      <c r="BYD50" s="187"/>
      <c r="BYJ50" s="188"/>
      <c r="BYK50" s="190"/>
      <c r="BYL50" s="189"/>
      <c r="BYQ50" s="188"/>
      <c r="BYR50" s="187"/>
      <c r="BYX50" s="188"/>
      <c r="BYY50" s="187"/>
      <c r="BZE50" s="188"/>
      <c r="BZF50" s="187"/>
      <c r="BZL50" s="188"/>
      <c r="BZM50" s="187"/>
      <c r="BZP50" s="168"/>
      <c r="BZQ50" s="189"/>
      <c r="BZS50" s="188"/>
      <c r="BZT50" s="187"/>
      <c r="BZZ50" s="188"/>
      <c r="CAA50" s="187"/>
      <c r="CAG50" s="188"/>
      <c r="CAH50" s="187"/>
      <c r="CAN50" s="188"/>
      <c r="CAO50" s="187"/>
      <c r="CAU50" s="168"/>
      <c r="CAV50" s="189"/>
      <c r="CBB50" s="188"/>
      <c r="CBC50" s="187"/>
      <c r="CBI50" s="188"/>
      <c r="CBJ50" s="187"/>
      <c r="CBP50" s="188"/>
      <c r="CBQ50" s="187"/>
      <c r="CBW50" s="188"/>
      <c r="CBX50" s="187"/>
      <c r="CBY50" s="168"/>
      <c r="CBZ50" s="189"/>
      <c r="CCD50" s="188"/>
      <c r="CCE50" s="187"/>
      <c r="CCK50" s="188"/>
      <c r="CCL50" s="187"/>
      <c r="CCR50" s="188"/>
      <c r="CCS50" s="187"/>
      <c r="CCY50" s="188"/>
      <c r="CCZ50" s="187"/>
      <c r="CDD50" s="168"/>
      <c r="CDE50" s="189"/>
      <c r="CDF50" s="188"/>
      <c r="CDG50" s="187"/>
      <c r="CDM50" s="188"/>
      <c r="CDN50" s="187"/>
      <c r="CDT50" s="188"/>
      <c r="CDU50" s="187"/>
      <c r="CEA50" s="188"/>
      <c r="CEB50" s="187"/>
      <c r="CEH50" s="168"/>
      <c r="CEI50" s="189"/>
      <c r="CEO50" s="188"/>
      <c r="CEP50" s="187"/>
      <c r="CEV50" s="188"/>
      <c r="CEW50" s="187"/>
      <c r="CFC50" s="188"/>
      <c r="CFD50" s="187"/>
      <c r="CFJ50" s="188"/>
      <c r="CFK50" s="187"/>
    </row>
    <row r="51" spans="1:1019 1025:2048 2054:2195">
      <c r="D51" s="186"/>
      <c r="E51" s="186"/>
      <c r="K51" s="187"/>
      <c r="Q51" s="188"/>
      <c r="R51" s="187"/>
      <c r="X51" s="188"/>
      <c r="Y51" s="187"/>
      <c r="AE51" s="188"/>
      <c r="AF51" s="187"/>
      <c r="AJ51" s="168"/>
      <c r="AK51" s="189"/>
      <c r="AL51" s="188"/>
      <c r="AM51" s="187"/>
      <c r="AS51" s="188"/>
      <c r="AT51" s="187"/>
      <c r="AZ51" s="188"/>
      <c r="BA51" s="187"/>
      <c r="BG51" s="188"/>
      <c r="BH51" s="187"/>
      <c r="BL51" s="168"/>
      <c r="BM51" s="189"/>
      <c r="BN51" s="188"/>
      <c r="BO51" s="187"/>
      <c r="BU51" s="188"/>
      <c r="BV51" s="187"/>
      <c r="CB51" s="188"/>
      <c r="CC51" s="187"/>
      <c r="CI51" s="188"/>
      <c r="CJ51" s="187"/>
      <c r="CP51" s="188"/>
      <c r="CQ51" s="190"/>
      <c r="CR51" s="189"/>
      <c r="CW51" s="188"/>
      <c r="CX51" s="187"/>
      <c r="DD51" s="188"/>
      <c r="DE51" s="187"/>
      <c r="DK51" s="188"/>
      <c r="DL51" s="187"/>
      <c r="DR51" s="188"/>
      <c r="DS51" s="187"/>
      <c r="DU51" s="168"/>
      <c r="DV51" s="189"/>
      <c r="DY51" s="188"/>
      <c r="DZ51" s="187"/>
      <c r="EF51" s="188"/>
      <c r="EG51" s="187"/>
      <c r="EM51" s="188"/>
      <c r="EN51" s="187"/>
      <c r="ET51" s="188"/>
      <c r="EU51" s="187"/>
      <c r="EZ51" s="168"/>
      <c r="FA51" s="191"/>
      <c r="FB51" s="187"/>
      <c r="FH51" s="188"/>
      <c r="FI51" s="187"/>
      <c r="FO51" s="188"/>
      <c r="FP51" s="187"/>
      <c r="FV51" s="188"/>
      <c r="FW51" s="187"/>
      <c r="GC51" s="188"/>
      <c r="GD51" s="190"/>
      <c r="GE51" s="189"/>
      <c r="GJ51" s="188"/>
      <c r="GK51" s="187"/>
      <c r="GQ51" s="188"/>
      <c r="GR51" s="187"/>
      <c r="GX51" s="188"/>
      <c r="GY51" s="187"/>
      <c r="HE51" s="188"/>
      <c r="HF51" s="187"/>
      <c r="HI51" s="168"/>
      <c r="HJ51" s="189"/>
      <c r="HL51" s="188"/>
      <c r="HM51" s="187"/>
      <c r="HS51" s="188"/>
      <c r="HT51" s="187"/>
      <c r="HZ51" s="188"/>
      <c r="IA51" s="187"/>
      <c r="IG51" s="188"/>
      <c r="IH51" s="187"/>
      <c r="IN51" s="168"/>
      <c r="IO51" s="189"/>
      <c r="IU51" s="188"/>
      <c r="IV51" s="187"/>
      <c r="JB51" s="188"/>
      <c r="JC51" s="187"/>
      <c r="JI51" s="188"/>
      <c r="JJ51" s="187"/>
      <c r="JP51" s="188"/>
      <c r="JQ51" s="187"/>
      <c r="JR51" s="168"/>
      <c r="JS51" s="189"/>
      <c r="JW51" s="188"/>
      <c r="JX51" s="187"/>
      <c r="KD51" s="188"/>
      <c r="KE51" s="187"/>
      <c r="KK51" s="188"/>
      <c r="KL51" s="187"/>
      <c r="KR51" s="188"/>
      <c r="KS51" s="187"/>
      <c r="KW51" s="168"/>
      <c r="KX51" s="189"/>
      <c r="KY51" s="188"/>
      <c r="KZ51" s="187"/>
      <c r="LF51" s="188"/>
      <c r="LG51" s="187"/>
      <c r="LM51" s="188"/>
      <c r="LN51" s="187"/>
      <c r="LT51" s="188"/>
      <c r="LU51" s="187"/>
      <c r="MA51" s="168"/>
      <c r="MB51" s="189"/>
      <c r="MH51" s="188"/>
      <c r="MI51" s="187"/>
      <c r="MO51" s="188"/>
      <c r="MP51" s="187"/>
      <c r="MV51" s="188"/>
      <c r="MW51" s="187"/>
      <c r="NC51" s="188"/>
      <c r="ND51" s="187"/>
      <c r="NF51" s="168"/>
      <c r="NG51" s="189"/>
      <c r="NJ51" s="188"/>
      <c r="NK51" s="187"/>
      <c r="NQ51" s="188"/>
      <c r="NR51" s="187"/>
      <c r="NX51" s="188"/>
      <c r="NY51" s="187"/>
      <c r="OE51" s="188"/>
      <c r="OF51" s="187"/>
      <c r="OK51" s="168"/>
      <c r="OL51" s="191"/>
      <c r="OM51" s="187"/>
      <c r="OS51" s="188"/>
      <c r="OT51" s="187"/>
      <c r="OZ51" s="188"/>
      <c r="PA51" s="187"/>
      <c r="PG51" s="188"/>
      <c r="PH51" s="187"/>
      <c r="PN51" s="168"/>
      <c r="PO51" s="189"/>
      <c r="PU51" s="188"/>
      <c r="PV51" s="187"/>
      <c r="QB51" s="188"/>
      <c r="QC51" s="187"/>
      <c r="QI51" s="188"/>
      <c r="QJ51" s="187"/>
      <c r="QP51" s="188"/>
      <c r="QQ51" s="187"/>
      <c r="QS51" s="168"/>
      <c r="QT51" s="189"/>
      <c r="QW51" s="188"/>
      <c r="QX51" s="187"/>
      <c r="RD51" s="188"/>
      <c r="RE51" s="187"/>
      <c r="RK51" s="188"/>
      <c r="RL51" s="187"/>
      <c r="RR51" s="188"/>
      <c r="RS51" s="187"/>
      <c r="RW51" s="168"/>
      <c r="RX51" s="189"/>
      <c r="RY51" s="188"/>
      <c r="RZ51" s="187"/>
      <c r="SF51" s="188"/>
      <c r="SG51" s="187"/>
      <c r="SM51" s="188"/>
      <c r="SN51" s="187"/>
      <c r="ST51" s="188"/>
      <c r="SU51" s="187"/>
      <c r="TA51" s="188"/>
      <c r="TB51" s="190"/>
      <c r="TC51" s="189"/>
      <c r="TH51" s="188"/>
      <c r="TI51" s="187"/>
      <c r="TO51" s="188"/>
      <c r="TP51" s="187"/>
      <c r="TV51" s="188"/>
      <c r="TW51" s="187"/>
      <c r="UC51" s="188"/>
      <c r="UD51" s="187"/>
      <c r="UF51" s="168"/>
      <c r="UG51" s="189"/>
      <c r="UJ51" s="188"/>
      <c r="UK51" s="187"/>
      <c r="UQ51" s="188"/>
      <c r="UR51" s="187"/>
      <c r="UX51" s="188"/>
      <c r="UY51" s="187"/>
      <c r="VE51" s="188"/>
      <c r="VF51" s="187"/>
      <c r="VK51" s="168"/>
      <c r="VL51" s="191"/>
      <c r="VM51" s="187"/>
      <c r="VS51" s="188"/>
      <c r="VT51" s="187"/>
      <c r="VZ51" s="188"/>
      <c r="WA51" s="187"/>
      <c r="WG51" s="188"/>
      <c r="WH51" s="187"/>
      <c r="WN51" s="188"/>
      <c r="WO51" s="187"/>
      <c r="WP51" s="168"/>
      <c r="WQ51" s="189"/>
      <c r="WU51" s="188"/>
      <c r="WV51" s="187"/>
      <c r="XB51" s="188"/>
      <c r="XC51" s="187"/>
      <c r="XI51" s="188"/>
      <c r="XJ51" s="187"/>
      <c r="XP51" s="188"/>
      <c r="XQ51" s="187"/>
      <c r="XT51" s="168"/>
      <c r="XU51" s="189"/>
      <c r="XW51" s="188"/>
      <c r="XX51" s="187"/>
      <c r="YD51" s="188"/>
      <c r="YE51" s="187"/>
      <c r="YK51" s="188"/>
      <c r="YL51" s="187"/>
      <c r="YR51" s="188"/>
      <c r="YS51" s="187"/>
      <c r="YY51" s="168"/>
      <c r="YZ51" s="189"/>
      <c r="ZF51" s="188"/>
      <c r="ZG51" s="187"/>
      <c r="ZM51" s="188"/>
      <c r="ZN51" s="187"/>
      <c r="ZT51" s="188"/>
      <c r="ZU51" s="187"/>
      <c r="AAA51" s="188"/>
      <c r="AAB51" s="187"/>
      <c r="AAC51" s="168"/>
      <c r="AAD51" s="189"/>
      <c r="AAH51" s="188"/>
      <c r="AAI51" s="187"/>
      <c r="AAO51" s="188"/>
      <c r="AAP51" s="187"/>
      <c r="AAV51" s="188"/>
      <c r="AAW51" s="187"/>
      <c r="ABC51" s="188"/>
      <c r="ABD51" s="187"/>
      <c r="ABH51" s="168"/>
      <c r="ABI51" s="189"/>
      <c r="ABJ51" s="188"/>
      <c r="ABK51" s="187"/>
      <c r="ABQ51" s="188"/>
      <c r="ABR51" s="187"/>
      <c r="ABX51" s="188"/>
      <c r="ABY51" s="187"/>
      <c r="ACE51" s="188"/>
      <c r="ACF51" s="187"/>
      <c r="ACL51" s="188"/>
      <c r="ACM51" s="190"/>
      <c r="ACN51" s="189"/>
      <c r="ACS51" s="188"/>
      <c r="ACT51" s="187"/>
      <c r="ACZ51" s="188"/>
      <c r="ADA51" s="187"/>
      <c r="ADG51" s="188"/>
      <c r="ADH51" s="187"/>
      <c r="ADN51" s="188"/>
      <c r="ADO51" s="190"/>
      <c r="ADP51" s="189"/>
      <c r="ADU51" s="188"/>
      <c r="ADV51" s="187"/>
      <c r="AEB51" s="188"/>
      <c r="AEC51" s="187"/>
      <c r="AEI51" s="188"/>
      <c r="AEJ51" s="187"/>
      <c r="AEP51" s="188"/>
      <c r="AEQ51" s="187"/>
      <c r="AET51" s="168"/>
      <c r="AEU51" s="189"/>
      <c r="AEW51" s="188"/>
      <c r="AEX51" s="187"/>
      <c r="AFD51" s="188"/>
      <c r="AFE51" s="187"/>
      <c r="AFK51" s="188"/>
      <c r="AFL51" s="187"/>
      <c r="AFR51" s="188"/>
      <c r="AFS51" s="187"/>
      <c r="AFX51" s="168"/>
      <c r="AFY51" s="191"/>
      <c r="AFZ51" s="187"/>
      <c r="AGF51" s="188"/>
      <c r="AGG51" s="187"/>
      <c r="AGM51" s="188"/>
      <c r="AGN51" s="187"/>
      <c r="AGT51" s="188"/>
      <c r="AGU51" s="187"/>
      <c r="AHA51" s="188"/>
      <c r="AHB51" s="187"/>
      <c r="AHC51" s="168"/>
      <c r="AHD51" s="189"/>
      <c r="AHH51" s="188"/>
      <c r="AHI51" s="187"/>
      <c r="AHO51" s="188"/>
      <c r="AHP51" s="187"/>
      <c r="AHV51" s="188"/>
      <c r="AHW51" s="187"/>
      <c r="AIC51" s="188"/>
      <c r="AID51" s="187"/>
      <c r="AIG51" s="168"/>
      <c r="AIH51" s="189"/>
      <c r="AIJ51" s="188"/>
      <c r="AIK51" s="187"/>
      <c r="AIQ51" s="188"/>
      <c r="AIR51" s="187"/>
      <c r="AIX51" s="188"/>
      <c r="AIY51" s="187"/>
      <c r="AJE51" s="188"/>
      <c r="AJF51" s="187"/>
      <c r="AJL51" s="168"/>
      <c r="AJM51" s="189"/>
      <c r="AJS51" s="188"/>
      <c r="AJT51" s="187"/>
      <c r="AJZ51" s="188"/>
      <c r="AKA51" s="187"/>
      <c r="AKG51" s="188"/>
      <c r="AKH51" s="187"/>
      <c r="AKN51" s="188"/>
      <c r="AKO51" s="187"/>
      <c r="AKQ51" s="168"/>
      <c r="AKR51" s="189"/>
      <c r="AKU51" s="188"/>
      <c r="AKV51" s="187"/>
      <c r="ALB51" s="188"/>
      <c r="ALC51" s="187"/>
      <c r="ALI51" s="188"/>
      <c r="ALJ51" s="187"/>
      <c r="ALP51" s="188"/>
      <c r="ALQ51" s="187"/>
      <c r="ALU51" s="168"/>
      <c r="ALV51" s="189"/>
      <c r="ALW51" s="188"/>
      <c r="ALX51" s="187"/>
      <c r="AMD51" s="188"/>
      <c r="AME51" s="187"/>
      <c r="AMK51" s="188"/>
      <c r="AML51" s="187"/>
      <c r="AMR51" s="188"/>
      <c r="AMS51" s="187"/>
      <c r="AMY51" s="188"/>
      <c r="AMZ51" s="190"/>
      <c r="ANA51" s="189"/>
      <c r="ANF51" s="188"/>
      <c r="ANG51" s="187"/>
      <c r="ANM51" s="188"/>
      <c r="ANN51" s="187"/>
      <c r="ANT51" s="188"/>
      <c r="ANU51" s="187"/>
      <c r="AOA51" s="188"/>
      <c r="AOB51" s="187"/>
      <c r="AOD51" s="168"/>
      <c r="AOE51" s="189"/>
      <c r="AOH51" s="188"/>
      <c r="AOI51" s="187"/>
      <c r="AOO51" s="188"/>
      <c r="AOP51" s="187"/>
      <c r="AOV51" s="188"/>
      <c r="AOW51" s="187"/>
      <c r="APC51" s="188"/>
      <c r="APD51" s="187"/>
      <c r="API51" s="168"/>
      <c r="APJ51" s="191"/>
      <c r="APK51" s="187"/>
      <c r="APQ51" s="188"/>
      <c r="APR51" s="187"/>
      <c r="APX51" s="188"/>
      <c r="APY51" s="187"/>
      <c r="AQE51" s="188"/>
      <c r="AQF51" s="187"/>
      <c r="AQL51" s="188"/>
      <c r="AQM51" s="187"/>
      <c r="AQN51" s="168"/>
      <c r="AQO51" s="189"/>
      <c r="AQS51" s="188"/>
      <c r="AQT51" s="187"/>
      <c r="AQZ51" s="188"/>
      <c r="ARA51" s="187"/>
      <c r="ARG51" s="188"/>
      <c r="ARH51" s="187"/>
      <c r="ARN51" s="188"/>
      <c r="ARO51" s="187"/>
      <c r="ARP51" s="168"/>
      <c r="ARQ51" s="189"/>
      <c r="ARU51" s="188"/>
      <c r="ARV51" s="187"/>
      <c r="ASB51" s="188"/>
      <c r="ASC51" s="187"/>
      <c r="ASI51" s="188"/>
      <c r="ASJ51" s="187"/>
      <c r="ASP51" s="188"/>
      <c r="ASQ51" s="187"/>
      <c r="ASU51" s="168"/>
      <c r="ASV51" s="189"/>
      <c r="ASW51" s="188"/>
      <c r="ASX51" s="187"/>
      <c r="ATD51" s="188"/>
      <c r="ATE51" s="187"/>
      <c r="ATK51" s="188"/>
      <c r="ATL51" s="187"/>
      <c r="ATR51" s="188"/>
      <c r="ATS51" s="187"/>
      <c r="ATY51" s="168"/>
      <c r="ATZ51" s="189"/>
      <c r="AUF51" s="188"/>
      <c r="AUG51" s="187"/>
      <c r="AUM51" s="188"/>
      <c r="AUN51" s="187"/>
      <c r="AUT51" s="188"/>
      <c r="AUU51" s="187"/>
      <c r="AVA51" s="188"/>
      <c r="AVB51" s="187"/>
      <c r="AVD51" s="168"/>
      <c r="AVE51" s="189"/>
      <c r="AVH51" s="188"/>
      <c r="AVI51" s="187"/>
      <c r="AVO51" s="188"/>
      <c r="AVP51" s="187"/>
      <c r="AVV51" s="188"/>
      <c r="AVW51" s="187"/>
      <c r="AWC51" s="188"/>
      <c r="AWD51" s="187"/>
      <c r="AWH51" s="168"/>
      <c r="AWI51" s="189"/>
      <c r="AWJ51" s="188"/>
      <c r="AWK51" s="187"/>
      <c r="AWQ51" s="188"/>
      <c r="AWR51" s="187"/>
      <c r="AWX51" s="188"/>
      <c r="AWY51" s="187"/>
      <c r="AXE51" s="188"/>
      <c r="AXF51" s="187"/>
      <c r="AXL51" s="188"/>
      <c r="AXM51" s="190"/>
      <c r="AXN51" s="189"/>
      <c r="AXS51" s="188"/>
      <c r="AXT51" s="187"/>
      <c r="AXZ51" s="188"/>
      <c r="AYA51" s="187"/>
      <c r="AYG51" s="188"/>
      <c r="AYH51" s="187"/>
      <c r="AYN51" s="188"/>
      <c r="AYO51" s="187"/>
      <c r="AYR51" s="168"/>
      <c r="AYS51" s="189"/>
      <c r="AYU51" s="188"/>
      <c r="AYV51" s="187"/>
      <c r="AZB51" s="188"/>
      <c r="AZC51" s="187"/>
      <c r="AZI51" s="188"/>
      <c r="AZJ51" s="187"/>
      <c r="AZP51" s="188"/>
      <c r="AZQ51" s="187"/>
      <c r="AZV51" s="168"/>
      <c r="AZW51" s="191"/>
      <c r="AZX51" s="187"/>
      <c r="BAD51" s="188"/>
      <c r="BAE51" s="187"/>
      <c r="BAK51" s="188"/>
      <c r="BAL51" s="187"/>
      <c r="BAR51" s="188"/>
      <c r="BAS51" s="187"/>
      <c r="BAY51" s="188"/>
      <c r="BAZ51" s="187"/>
      <c r="BBA51" s="168"/>
      <c r="BBB51" s="189"/>
      <c r="BBF51" s="188"/>
      <c r="BBG51" s="187"/>
      <c r="BBM51" s="188"/>
      <c r="BBN51" s="187"/>
      <c r="BBT51" s="188"/>
      <c r="BBU51" s="187"/>
      <c r="BCA51" s="188"/>
      <c r="BCB51" s="187"/>
      <c r="BCE51" s="168"/>
      <c r="BCF51" s="189"/>
      <c r="BCH51" s="188"/>
      <c r="BCI51" s="187"/>
      <c r="BCO51" s="188"/>
      <c r="BCP51" s="187"/>
      <c r="BCV51" s="188"/>
      <c r="BCW51" s="187"/>
      <c r="BDC51" s="188"/>
      <c r="BDD51" s="187"/>
      <c r="BDJ51" s="168"/>
      <c r="BDK51" s="189"/>
      <c r="BDQ51" s="188"/>
      <c r="BDR51" s="187"/>
      <c r="BDX51" s="188"/>
      <c r="BDY51" s="187"/>
      <c r="BEE51" s="188"/>
      <c r="BEF51" s="187"/>
      <c r="BEL51" s="188"/>
      <c r="BEM51" s="187"/>
      <c r="BEO51" s="168"/>
      <c r="BEP51" s="189"/>
      <c r="BES51" s="188"/>
      <c r="BET51" s="187"/>
      <c r="BEZ51" s="188"/>
      <c r="BFA51" s="187"/>
      <c r="BFG51" s="188"/>
      <c r="BFH51" s="187"/>
      <c r="BFN51" s="188"/>
      <c r="BFO51" s="187"/>
      <c r="BFQ51" s="168"/>
      <c r="BFR51" s="189"/>
      <c r="BFU51" s="188"/>
      <c r="BFV51" s="187"/>
      <c r="BGB51" s="188"/>
      <c r="BGC51" s="187"/>
      <c r="BGI51" s="188"/>
      <c r="BGJ51" s="187"/>
      <c r="BGP51" s="188"/>
      <c r="BGQ51" s="187"/>
      <c r="BGV51" s="168"/>
      <c r="BGW51" s="191"/>
      <c r="BGX51" s="187"/>
      <c r="BHD51" s="188"/>
      <c r="BHE51" s="187"/>
      <c r="BHK51" s="188"/>
      <c r="BHL51" s="187"/>
      <c r="BHR51" s="188"/>
      <c r="BHS51" s="187"/>
      <c r="BHY51" s="188"/>
      <c r="BHZ51" s="190"/>
      <c r="BIA51" s="189"/>
      <c r="BIF51" s="188"/>
      <c r="BIG51" s="187"/>
      <c r="BIM51" s="188"/>
      <c r="BIN51" s="187"/>
      <c r="BIT51" s="188"/>
      <c r="BIU51" s="187"/>
      <c r="BJA51" s="188"/>
      <c r="BJB51" s="187"/>
      <c r="BJE51" s="168"/>
      <c r="BJF51" s="189"/>
      <c r="BJH51" s="188"/>
      <c r="BJI51" s="187"/>
      <c r="BJO51" s="188"/>
      <c r="BJP51" s="187"/>
      <c r="BJV51" s="188"/>
      <c r="BJW51" s="187"/>
      <c r="BKC51" s="188"/>
      <c r="BKD51" s="187"/>
      <c r="BKI51" s="168"/>
      <c r="BKJ51" s="191"/>
      <c r="BKK51" s="187"/>
      <c r="BKQ51" s="188"/>
      <c r="BKR51" s="187"/>
      <c r="BKX51" s="188"/>
      <c r="BKY51" s="187"/>
      <c r="BLE51" s="188"/>
      <c r="BLF51" s="187"/>
      <c r="BLL51" s="188"/>
      <c r="BLM51" s="187"/>
      <c r="BLN51" s="168"/>
      <c r="BLO51" s="189"/>
      <c r="BLS51" s="188"/>
      <c r="BLT51" s="187"/>
      <c r="BLZ51" s="188"/>
      <c r="BMA51" s="187"/>
      <c r="BMG51" s="188"/>
      <c r="BMH51" s="187"/>
      <c r="BMN51" s="188"/>
      <c r="BMO51" s="187"/>
      <c r="BMS51" s="168"/>
      <c r="BMT51" s="189"/>
      <c r="BMU51" s="188"/>
      <c r="BMV51" s="187"/>
      <c r="BNB51" s="188"/>
      <c r="BNC51" s="187"/>
      <c r="BNI51" s="188"/>
      <c r="BNJ51" s="187"/>
      <c r="BNP51" s="188"/>
      <c r="BNQ51" s="187"/>
      <c r="BNW51" s="168"/>
      <c r="BNX51" s="189"/>
      <c r="BOD51" s="188"/>
      <c r="BOE51" s="187"/>
      <c r="BOK51" s="188"/>
      <c r="BOL51" s="187"/>
      <c r="BOR51" s="188"/>
      <c r="BOS51" s="187"/>
      <c r="BOY51" s="188"/>
      <c r="BOZ51" s="187"/>
      <c r="BPB51" s="168"/>
      <c r="BPC51" s="189"/>
      <c r="BPF51" s="188"/>
      <c r="BPG51" s="187"/>
      <c r="BPM51" s="188"/>
      <c r="BPN51" s="187"/>
      <c r="BPT51" s="188"/>
      <c r="BPU51" s="187"/>
      <c r="BQA51" s="188"/>
      <c r="BQB51" s="187"/>
      <c r="BQF51" s="168"/>
      <c r="BQG51" s="189"/>
      <c r="BQH51" s="188"/>
      <c r="BQI51" s="187"/>
      <c r="BQO51" s="188"/>
      <c r="BQP51" s="187"/>
      <c r="BQV51" s="188"/>
      <c r="BQW51" s="187"/>
      <c r="BRC51" s="188"/>
      <c r="BRD51" s="187"/>
      <c r="BRJ51" s="188"/>
      <c r="BRK51" s="190"/>
      <c r="BRL51" s="189"/>
      <c r="BRQ51" s="188"/>
      <c r="BRR51" s="187"/>
      <c r="BRX51" s="188"/>
      <c r="BRY51" s="187"/>
      <c r="BSE51" s="188"/>
      <c r="BSF51" s="187"/>
      <c r="BSL51" s="188"/>
      <c r="BSM51" s="187"/>
      <c r="BSP51" s="168"/>
      <c r="BSQ51" s="189"/>
      <c r="BSS51" s="188"/>
      <c r="BST51" s="187"/>
      <c r="BSZ51" s="188"/>
      <c r="BTA51" s="187"/>
      <c r="BTG51" s="188"/>
      <c r="BTH51" s="187"/>
      <c r="BTN51" s="188"/>
      <c r="BTO51" s="187"/>
      <c r="BTS51" s="168"/>
      <c r="BTT51" s="189"/>
      <c r="BTU51" s="188"/>
      <c r="BTV51" s="187"/>
      <c r="BUB51" s="188"/>
      <c r="BUC51" s="187"/>
      <c r="BUI51" s="188"/>
      <c r="BUJ51" s="187"/>
      <c r="BUP51" s="188"/>
      <c r="BUQ51" s="187"/>
      <c r="BUW51" s="188"/>
      <c r="BUX51" s="190"/>
      <c r="BUY51" s="189"/>
      <c r="BVD51" s="188"/>
      <c r="BVE51" s="187"/>
      <c r="BVK51" s="188"/>
      <c r="BVL51" s="187"/>
      <c r="BVR51" s="188"/>
      <c r="BVS51" s="187"/>
      <c r="BVY51" s="188"/>
      <c r="BVZ51" s="187"/>
      <c r="BWB51" s="168"/>
      <c r="BWC51" s="189"/>
      <c r="BWF51" s="188"/>
      <c r="BWG51" s="187"/>
      <c r="BWM51" s="188"/>
      <c r="BWN51" s="187"/>
      <c r="BWT51" s="188"/>
      <c r="BWU51" s="187"/>
      <c r="BXA51" s="188"/>
      <c r="BXB51" s="187"/>
      <c r="BXG51" s="168"/>
      <c r="BXH51" s="191"/>
      <c r="BXI51" s="187"/>
      <c r="BXO51" s="188"/>
      <c r="BXP51" s="187"/>
      <c r="BXV51" s="188"/>
      <c r="BXW51" s="187"/>
      <c r="BYC51" s="188"/>
      <c r="BYD51" s="187"/>
      <c r="BYJ51" s="188"/>
      <c r="BYK51" s="190"/>
      <c r="BYL51" s="189"/>
      <c r="BYQ51" s="188"/>
      <c r="BYR51" s="187"/>
      <c r="BYX51" s="188"/>
      <c r="BYY51" s="187"/>
      <c r="BZE51" s="188"/>
      <c r="BZF51" s="187"/>
      <c r="BZL51" s="188"/>
      <c r="BZM51" s="187"/>
      <c r="BZP51" s="168"/>
      <c r="BZQ51" s="189"/>
      <c r="BZS51" s="188"/>
      <c r="BZT51" s="187"/>
      <c r="BZZ51" s="188"/>
      <c r="CAA51" s="187"/>
      <c r="CAG51" s="188"/>
      <c r="CAH51" s="187"/>
      <c r="CAN51" s="188"/>
      <c r="CAO51" s="187"/>
      <c r="CAU51" s="168"/>
      <c r="CAV51" s="189"/>
      <c r="CBB51" s="188"/>
      <c r="CBC51" s="187"/>
      <c r="CBI51" s="188"/>
      <c r="CBJ51" s="187"/>
      <c r="CBP51" s="188"/>
      <c r="CBQ51" s="187"/>
      <c r="CBW51" s="188"/>
      <c r="CBX51" s="187"/>
      <c r="CBY51" s="168"/>
      <c r="CBZ51" s="189"/>
      <c r="CCD51" s="188"/>
      <c r="CCE51" s="187"/>
      <c r="CCK51" s="188"/>
      <c r="CCL51" s="187"/>
      <c r="CCR51" s="188"/>
      <c r="CCS51" s="187"/>
      <c r="CCY51" s="188"/>
      <c r="CCZ51" s="187"/>
      <c r="CDD51" s="168"/>
      <c r="CDE51" s="189"/>
      <c r="CDF51" s="188"/>
      <c r="CDG51" s="187"/>
      <c r="CDM51" s="188"/>
      <c r="CDN51" s="187"/>
      <c r="CDT51" s="188"/>
      <c r="CDU51" s="187"/>
      <c r="CEA51" s="188"/>
      <c r="CEB51" s="187"/>
      <c r="CEH51" s="168"/>
      <c r="CEI51" s="189"/>
      <c r="CEO51" s="188"/>
      <c r="CEP51" s="187"/>
      <c r="CEV51" s="188"/>
      <c r="CEW51" s="187"/>
      <c r="CFC51" s="188"/>
      <c r="CFD51" s="187"/>
      <c r="CFJ51" s="188"/>
      <c r="CFK51" s="187"/>
    </row>
    <row r="52" spans="1:1019 1025:2048 2054:2195">
      <c r="A52" s="164" t="s">
        <v>315</v>
      </c>
      <c r="C52" s="164" t="s">
        <v>316</v>
      </c>
      <c r="D52" s="186">
        <v>44635</v>
      </c>
      <c r="E52" s="186">
        <v>44639</v>
      </c>
      <c r="K52" s="187"/>
      <c r="Q52" s="188"/>
      <c r="R52" s="187"/>
      <c r="X52" s="188"/>
      <c r="Y52" s="187"/>
      <c r="AE52" s="188"/>
      <c r="AF52" s="187"/>
      <c r="AJ52" s="168"/>
      <c r="AK52" s="189"/>
      <c r="AL52" s="188"/>
      <c r="AM52" s="187"/>
      <c r="AS52" s="188"/>
      <c r="AT52" s="187"/>
      <c r="AZ52" s="188"/>
      <c r="BA52" s="187"/>
      <c r="BG52" s="188"/>
      <c r="BH52" s="187"/>
      <c r="BL52" s="168"/>
      <c r="BM52" s="189"/>
      <c r="BN52" s="188"/>
      <c r="BO52" s="187"/>
      <c r="BU52" s="188"/>
      <c r="BV52" s="187"/>
      <c r="CB52" s="188"/>
      <c r="CC52" s="187"/>
      <c r="CI52" s="188"/>
      <c r="CJ52" s="187"/>
      <c r="CP52" s="188"/>
      <c r="CQ52" s="190"/>
      <c r="CR52" s="189"/>
      <c r="CW52" s="188"/>
      <c r="CX52" s="187"/>
      <c r="DD52" s="188"/>
      <c r="DE52" s="187"/>
      <c r="DK52" s="188"/>
      <c r="DL52" s="187"/>
      <c r="DR52" s="188"/>
      <c r="DS52" s="187"/>
      <c r="DU52" s="168"/>
      <c r="DV52" s="189"/>
      <c r="DY52" s="188"/>
      <c r="DZ52" s="187"/>
      <c r="EF52" s="188"/>
      <c r="EG52" s="187"/>
      <c r="EM52" s="188"/>
      <c r="EN52" s="187"/>
      <c r="ET52" s="188"/>
      <c r="EU52" s="187"/>
      <c r="EZ52" s="168"/>
      <c r="FA52" s="191"/>
      <c r="FB52" s="187"/>
      <c r="FH52" s="188"/>
      <c r="FI52" s="187"/>
      <c r="FO52" s="188"/>
      <c r="FP52" s="187"/>
      <c r="FV52" s="188"/>
      <c r="FW52" s="187"/>
      <c r="GC52" s="188"/>
      <c r="GD52" s="190"/>
      <c r="GE52" s="189"/>
      <c r="GJ52" s="188"/>
      <c r="GK52" s="187"/>
      <c r="GQ52" s="188"/>
      <c r="GR52" s="187"/>
      <c r="GX52" s="188"/>
      <c r="GY52" s="187"/>
      <c r="HE52" s="188"/>
      <c r="HF52" s="187"/>
      <c r="HI52" s="168"/>
      <c r="HJ52" s="189"/>
      <c r="HL52" s="188"/>
      <c r="HM52" s="187"/>
      <c r="HS52" s="188"/>
      <c r="HT52" s="187"/>
      <c r="HZ52" s="188"/>
      <c r="IA52" s="187"/>
      <c r="IG52" s="188"/>
      <c r="IH52" s="187"/>
      <c r="IN52" s="168"/>
      <c r="IO52" s="189"/>
      <c r="IU52" s="188"/>
      <c r="IV52" s="187"/>
      <c r="JB52" s="188"/>
      <c r="JC52" s="187"/>
      <c r="JI52" s="188"/>
      <c r="JJ52" s="187"/>
      <c r="JP52" s="188"/>
      <c r="JQ52" s="187"/>
      <c r="JR52" s="168"/>
      <c r="JS52" s="189"/>
      <c r="JW52" s="188"/>
      <c r="JX52" s="187"/>
      <c r="KD52" s="188"/>
      <c r="KE52" s="187"/>
      <c r="KK52" s="188"/>
      <c r="KL52" s="187"/>
      <c r="KR52" s="188"/>
      <c r="KS52" s="187"/>
      <c r="KW52" s="168"/>
      <c r="KX52" s="189"/>
      <c r="KY52" s="188"/>
      <c r="KZ52" s="187"/>
      <c r="LF52" s="188"/>
      <c r="LG52" s="187"/>
      <c r="LM52" s="188"/>
      <c r="LN52" s="187"/>
      <c r="LT52" s="188"/>
      <c r="LU52" s="187"/>
      <c r="MA52" s="168"/>
      <c r="MB52" s="189"/>
      <c r="MH52" s="188"/>
      <c r="MI52" s="187"/>
      <c r="MO52" s="188"/>
      <c r="MP52" s="187"/>
      <c r="MV52" s="188"/>
      <c r="MW52" s="187"/>
      <c r="NC52" s="188"/>
      <c r="ND52" s="187"/>
      <c r="NF52" s="168"/>
      <c r="NG52" s="189"/>
      <c r="NJ52" s="188"/>
      <c r="NK52" s="187"/>
      <c r="NQ52" s="188"/>
      <c r="NR52" s="187"/>
      <c r="NX52" s="188"/>
      <c r="NY52" s="187"/>
      <c r="OE52" s="188"/>
      <c r="OF52" s="187"/>
      <c r="OK52" s="168"/>
      <c r="OL52" s="191"/>
      <c r="OM52" s="187"/>
      <c r="OS52" s="188"/>
      <c r="OT52" s="187"/>
      <c r="OZ52" s="188"/>
      <c r="PA52" s="187"/>
      <c r="PG52" s="188"/>
      <c r="PH52" s="187"/>
      <c r="PN52" s="168"/>
      <c r="PO52" s="189"/>
      <c r="PU52" s="188"/>
      <c r="PV52" s="187"/>
      <c r="QB52" s="188"/>
      <c r="QC52" s="187"/>
      <c r="QI52" s="188"/>
      <c r="QJ52" s="187"/>
      <c r="QP52" s="188"/>
      <c r="QQ52" s="187"/>
      <c r="QS52" s="168"/>
      <c r="QT52" s="189"/>
      <c r="QW52" s="188"/>
      <c r="QX52" s="187"/>
      <c r="RD52" s="188"/>
      <c r="RE52" s="187"/>
      <c r="RK52" s="188"/>
      <c r="RL52" s="187"/>
      <c r="RR52" s="188"/>
      <c r="RS52" s="187"/>
      <c r="RW52" s="168"/>
      <c r="RX52" s="189"/>
      <c r="RY52" s="188"/>
      <c r="RZ52" s="187"/>
      <c r="SF52" s="188"/>
      <c r="SG52" s="187"/>
      <c r="SM52" s="188"/>
      <c r="SN52" s="187"/>
      <c r="ST52" s="188"/>
      <c r="SU52" s="187"/>
      <c r="TA52" s="188"/>
      <c r="TB52" s="190"/>
      <c r="TC52" s="189"/>
      <c r="TH52" s="188"/>
      <c r="TI52" s="187"/>
      <c r="TO52" s="188"/>
      <c r="TP52" s="187"/>
      <c r="TV52" s="188"/>
      <c r="TW52" s="187"/>
      <c r="UC52" s="188"/>
      <c r="UD52" s="187"/>
      <c r="UF52" s="168"/>
      <c r="UG52" s="189"/>
      <c r="UJ52" s="188"/>
      <c r="UK52" s="187"/>
      <c r="UQ52" s="188"/>
      <c r="UR52" s="187"/>
      <c r="UX52" s="188"/>
      <c r="UY52" s="187"/>
      <c r="VE52" s="188"/>
      <c r="VF52" s="187"/>
      <c r="VK52" s="168"/>
      <c r="VL52" s="191"/>
      <c r="VM52" s="187"/>
      <c r="VS52" s="188"/>
      <c r="VT52" s="187"/>
      <c r="VZ52" s="188"/>
      <c r="WA52" s="187"/>
      <c r="WG52" s="188"/>
      <c r="WH52" s="187"/>
      <c r="WN52" s="188"/>
      <c r="WO52" s="187"/>
      <c r="WP52" s="168"/>
      <c r="WQ52" s="189"/>
      <c r="WU52" s="188"/>
      <c r="WV52" s="187"/>
      <c r="XB52" s="188"/>
      <c r="XC52" s="187"/>
      <c r="XI52" s="188"/>
      <c r="XJ52" s="187"/>
      <c r="XP52" s="188"/>
      <c r="XQ52" s="187"/>
      <c r="XT52" s="168"/>
      <c r="XU52" s="189"/>
      <c r="XW52" s="188"/>
      <c r="XX52" s="187"/>
      <c r="YD52" s="188"/>
      <c r="YE52" s="187"/>
      <c r="YK52" s="188"/>
      <c r="YL52" s="187"/>
      <c r="YR52" s="188"/>
      <c r="YS52" s="187"/>
      <c r="YY52" s="168"/>
      <c r="YZ52" s="189"/>
      <c r="ZF52" s="188"/>
      <c r="ZG52" s="187"/>
      <c r="ZM52" s="188"/>
      <c r="ZN52" s="187"/>
      <c r="ZT52" s="188"/>
      <c r="ZU52" s="187"/>
      <c r="AAA52" s="188"/>
      <c r="AAB52" s="187"/>
      <c r="AAC52" s="168"/>
      <c r="AAD52" s="189"/>
      <c r="AAH52" s="188"/>
      <c r="AAI52" s="187"/>
      <c r="AAO52" s="188"/>
      <c r="AAP52" s="187"/>
      <c r="AAV52" s="188"/>
      <c r="AAW52" s="187"/>
      <c r="ABC52" s="188"/>
      <c r="ABD52" s="187"/>
      <c r="ABH52" s="168"/>
      <c r="ABI52" s="189"/>
      <c r="ABJ52" s="188"/>
      <c r="ABK52" s="187"/>
      <c r="ABQ52" s="188"/>
      <c r="ABR52" s="187"/>
      <c r="ABX52" s="188"/>
      <c r="ABY52" s="187"/>
      <c r="ACE52" s="188"/>
      <c r="ACF52" s="187"/>
      <c r="ACL52" s="188"/>
      <c r="ACM52" s="190"/>
      <c r="ACN52" s="189"/>
      <c r="ACS52" s="188"/>
      <c r="ACT52" s="187"/>
      <c r="ACZ52" s="188"/>
      <c r="ADA52" s="187"/>
      <c r="ADG52" s="188"/>
      <c r="ADH52" s="187"/>
      <c r="ADN52" s="188"/>
      <c r="ADO52" s="190"/>
      <c r="ADP52" s="189"/>
      <c r="ADU52" s="188"/>
      <c r="ADV52" s="187"/>
      <c r="AEB52" s="188"/>
      <c r="AEC52" s="187"/>
      <c r="AEI52" s="188"/>
      <c r="AEJ52" s="187"/>
      <c r="AEP52" s="188"/>
      <c r="AEQ52" s="187"/>
      <c r="AET52" s="168"/>
      <c r="AEU52" s="189"/>
      <c r="AEW52" s="188"/>
      <c r="AEX52" s="187"/>
      <c r="AFD52" s="188"/>
      <c r="AFE52" s="187"/>
      <c r="AFK52" s="188"/>
      <c r="AFL52" s="187"/>
      <c r="AFR52" s="188"/>
      <c r="AFS52" s="187"/>
      <c r="AFX52" s="168"/>
      <c r="AFY52" s="191"/>
      <c r="AFZ52" s="187"/>
      <c r="AGF52" s="188"/>
      <c r="AGG52" s="187"/>
      <c r="AGM52" s="188"/>
      <c r="AGN52" s="187"/>
      <c r="AGT52" s="188"/>
      <c r="AGU52" s="187"/>
      <c r="AHA52" s="188"/>
      <c r="AHB52" s="187"/>
      <c r="AHC52" s="168"/>
      <c r="AHD52" s="189"/>
      <c r="AHH52" s="188"/>
      <c r="AHI52" s="187"/>
      <c r="AHO52" s="188"/>
      <c r="AHP52" s="187"/>
      <c r="AHV52" s="188"/>
      <c r="AHW52" s="187"/>
      <c r="AIC52" s="188"/>
      <c r="AID52" s="187"/>
      <c r="AIG52" s="168"/>
      <c r="AIH52" s="189"/>
      <c r="AIJ52" s="188"/>
      <c r="AIK52" s="187"/>
      <c r="AIQ52" s="188"/>
      <c r="AIR52" s="187"/>
      <c r="AIX52" s="188"/>
      <c r="AIY52" s="187"/>
      <c r="AJE52" s="188"/>
      <c r="AJF52" s="187"/>
      <c r="AJL52" s="168"/>
      <c r="AJM52" s="189"/>
      <c r="AJS52" s="188"/>
      <c r="AJT52" s="187"/>
      <c r="AJZ52" s="188"/>
      <c r="AKA52" s="187"/>
      <c r="AKG52" s="188"/>
      <c r="AKH52" s="187"/>
      <c r="AKN52" s="188"/>
      <c r="AKO52" s="187"/>
      <c r="AKQ52" s="168"/>
      <c r="AKR52" s="189"/>
      <c r="AKU52" s="188"/>
      <c r="AKV52" s="187"/>
      <c r="ALB52" s="188"/>
      <c r="ALC52" s="187"/>
      <c r="ALI52" s="188"/>
      <c r="ALJ52" s="187"/>
      <c r="ALP52" s="188"/>
      <c r="ALQ52" s="187"/>
      <c r="ALU52" s="168"/>
      <c r="ALV52" s="189"/>
      <c r="ALW52" s="188"/>
      <c r="ALX52" s="187"/>
      <c r="AMD52" s="188"/>
      <c r="AME52" s="187"/>
      <c r="AMK52" s="188"/>
      <c r="AML52" s="187"/>
      <c r="AMR52" s="188"/>
      <c r="AMS52" s="187"/>
      <c r="AMY52" s="188"/>
      <c r="AMZ52" s="190"/>
      <c r="ANA52" s="189"/>
      <c r="ANF52" s="188"/>
      <c r="ANG52" s="187"/>
      <c r="ANM52" s="188"/>
      <c r="ANN52" s="187"/>
      <c r="ANT52" s="188"/>
      <c r="ANU52" s="187"/>
      <c r="AOA52" s="188"/>
      <c r="AOB52" s="187"/>
      <c r="AOD52" s="168"/>
      <c r="AOE52" s="189"/>
      <c r="AOH52" s="188"/>
      <c r="AOI52" s="187"/>
      <c r="AOO52" s="188"/>
      <c r="AOP52" s="187"/>
      <c r="AOV52" s="188"/>
      <c r="AOW52" s="187"/>
      <c r="APC52" s="188"/>
      <c r="APD52" s="187"/>
      <c r="API52" s="168"/>
      <c r="APJ52" s="191"/>
      <c r="APK52" s="187"/>
      <c r="APQ52" s="188"/>
      <c r="APR52" s="187"/>
      <c r="APX52" s="188"/>
      <c r="APY52" s="187"/>
      <c r="AQE52" s="188"/>
      <c r="AQF52" s="187"/>
      <c r="AQL52" s="188"/>
      <c r="AQM52" s="187"/>
      <c r="AQN52" s="168"/>
      <c r="AQO52" s="189"/>
      <c r="AQS52" s="188"/>
      <c r="AQT52" s="187"/>
      <c r="AQZ52" s="188"/>
      <c r="ARA52" s="187"/>
      <c r="ARG52" s="188"/>
      <c r="ARH52" s="187"/>
      <c r="ARN52" s="188"/>
      <c r="ARO52" s="187"/>
      <c r="ARP52" s="168"/>
      <c r="ARQ52" s="189"/>
      <c r="ARU52" s="188"/>
      <c r="ARV52" s="187"/>
      <c r="ASB52" s="188"/>
      <c r="ASC52" s="187"/>
      <c r="ASE52" s="164">
        <v>1</v>
      </c>
      <c r="ASF52" s="164">
        <v>1</v>
      </c>
      <c r="ASG52" s="164">
        <v>1</v>
      </c>
      <c r="ASH52" s="164">
        <v>1</v>
      </c>
      <c r="ASI52" s="188">
        <v>1</v>
      </c>
      <c r="ASJ52" s="187"/>
      <c r="ASP52" s="188"/>
      <c r="ASQ52" s="187"/>
      <c r="ASU52" s="168"/>
      <c r="ASV52" s="189"/>
      <c r="ASW52" s="188"/>
      <c r="ASX52" s="187"/>
      <c r="ATD52" s="188"/>
      <c r="ATE52" s="187"/>
      <c r="ATK52" s="188"/>
      <c r="ATL52" s="187"/>
      <c r="ATR52" s="188"/>
      <c r="ATS52" s="187"/>
      <c r="ATY52" s="168"/>
      <c r="ATZ52" s="189"/>
      <c r="AUF52" s="188"/>
      <c r="AUG52" s="187"/>
      <c r="AUM52" s="188"/>
      <c r="AUN52" s="187"/>
      <c r="AUT52" s="188"/>
      <c r="AUU52" s="187"/>
      <c r="AVA52" s="188"/>
      <c r="AVB52" s="187"/>
      <c r="AVD52" s="168"/>
      <c r="AVE52" s="189"/>
      <c r="AVH52" s="188"/>
      <c r="AVI52" s="187"/>
      <c r="AVO52" s="188"/>
      <c r="AVP52" s="187"/>
      <c r="AVV52" s="188"/>
      <c r="AVW52" s="187"/>
      <c r="AWC52" s="188"/>
      <c r="AWD52" s="187"/>
      <c r="AWH52" s="168"/>
      <c r="AWI52" s="189"/>
      <c r="AWJ52" s="188"/>
      <c r="AWK52" s="187"/>
      <c r="AWQ52" s="188"/>
      <c r="AWR52" s="187"/>
      <c r="AWX52" s="188"/>
      <c r="AWY52" s="187"/>
      <c r="AXE52" s="188"/>
      <c r="AXF52" s="187"/>
      <c r="AXL52" s="188"/>
      <c r="AXM52" s="190"/>
      <c r="AXN52" s="189"/>
      <c r="AXS52" s="188"/>
      <c r="AXT52" s="187"/>
      <c r="AXZ52" s="188"/>
      <c r="AYA52" s="187"/>
      <c r="AYG52" s="188"/>
      <c r="AYH52" s="187"/>
      <c r="AYN52" s="188"/>
      <c r="AYO52" s="187"/>
      <c r="AYR52" s="168"/>
      <c r="AYS52" s="189"/>
      <c r="AYU52" s="188"/>
      <c r="AYV52" s="187"/>
      <c r="AZB52" s="188"/>
      <c r="AZC52" s="187"/>
      <c r="AZI52" s="188"/>
      <c r="AZJ52" s="187"/>
      <c r="AZP52" s="188"/>
      <c r="AZQ52" s="187"/>
      <c r="AZV52" s="168"/>
      <c r="AZW52" s="191"/>
      <c r="AZX52" s="187"/>
      <c r="BAD52" s="188"/>
      <c r="BAE52" s="187"/>
      <c r="BAK52" s="188"/>
      <c r="BAL52" s="187"/>
      <c r="BAR52" s="188"/>
      <c r="BAS52" s="187"/>
      <c r="BAY52" s="188"/>
      <c r="BAZ52" s="187"/>
      <c r="BBA52" s="168"/>
      <c r="BBB52" s="189"/>
      <c r="BBF52" s="188"/>
      <c r="BBG52" s="187"/>
      <c r="BBM52" s="188"/>
      <c r="BBN52" s="187"/>
      <c r="BBT52" s="188"/>
      <c r="BBU52" s="187"/>
      <c r="BCA52" s="188"/>
      <c r="BCB52" s="187"/>
      <c r="BCE52" s="168"/>
      <c r="BCF52" s="189"/>
      <c r="BCH52" s="188"/>
      <c r="BCI52" s="187"/>
      <c r="BCO52" s="188"/>
      <c r="BCP52" s="187"/>
      <c r="BCV52" s="188"/>
      <c r="BCW52" s="187"/>
      <c r="BDC52" s="188"/>
      <c r="BDD52" s="187"/>
      <c r="BDJ52" s="168"/>
      <c r="BDK52" s="189"/>
      <c r="BDQ52" s="188"/>
      <c r="BDR52" s="187"/>
      <c r="BDX52" s="188"/>
      <c r="BDY52" s="187"/>
      <c r="BEE52" s="188"/>
      <c r="BEF52" s="187"/>
      <c r="BEL52" s="188"/>
      <c r="BEM52" s="187"/>
      <c r="BEO52" s="168"/>
      <c r="BEP52" s="189"/>
      <c r="BES52" s="188"/>
      <c r="BET52" s="187"/>
      <c r="BEZ52" s="188"/>
      <c r="BFA52" s="187"/>
      <c r="BFG52" s="188"/>
      <c r="BFH52" s="187"/>
      <c r="BFN52" s="188"/>
      <c r="BFO52" s="187"/>
      <c r="BFQ52" s="168"/>
      <c r="BFR52" s="189"/>
      <c r="BFU52" s="188"/>
      <c r="BFV52" s="187"/>
      <c r="BGB52" s="188"/>
      <c r="BGC52" s="187"/>
      <c r="BGI52" s="188"/>
      <c r="BGJ52" s="187"/>
      <c r="BGP52" s="188"/>
      <c r="BGQ52" s="187"/>
      <c r="BGV52" s="168"/>
      <c r="BGW52" s="191"/>
      <c r="BGX52" s="187"/>
      <c r="BHD52" s="188"/>
      <c r="BHE52" s="187"/>
      <c r="BHK52" s="188"/>
      <c r="BHL52" s="187"/>
      <c r="BHR52" s="188"/>
      <c r="BHS52" s="187"/>
      <c r="BHY52" s="188"/>
      <c r="BHZ52" s="190"/>
      <c r="BIA52" s="189"/>
      <c r="BIF52" s="188"/>
      <c r="BIG52" s="187"/>
      <c r="BIM52" s="188"/>
      <c r="BIN52" s="187"/>
      <c r="BIT52" s="188"/>
      <c r="BIU52" s="187"/>
      <c r="BJA52" s="188"/>
      <c r="BJB52" s="187"/>
      <c r="BJE52" s="168"/>
      <c r="BJF52" s="189"/>
      <c r="BJH52" s="188"/>
      <c r="BJI52" s="187"/>
      <c r="BJO52" s="188"/>
      <c r="BJP52" s="187"/>
      <c r="BJV52" s="188"/>
      <c r="BJW52" s="187"/>
      <c r="BKC52" s="188"/>
      <c r="BKD52" s="187"/>
      <c r="BKI52" s="168"/>
      <c r="BKJ52" s="191"/>
      <c r="BKK52" s="187"/>
      <c r="BKQ52" s="188"/>
      <c r="BKR52" s="187"/>
      <c r="BKX52" s="188"/>
      <c r="BKY52" s="187"/>
      <c r="BLE52" s="188"/>
      <c r="BLF52" s="187"/>
      <c r="BLL52" s="188"/>
      <c r="BLM52" s="187"/>
      <c r="BLN52" s="168"/>
      <c r="BLO52" s="189"/>
      <c r="BLS52" s="188"/>
      <c r="BLT52" s="187"/>
      <c r="BLZ52" s="188"/>
      <c r="BMA52" s="187"/>
      <c r="BMG52" s="188"/>
      <c r="BMH52" s="187"/>
      <c r="BMN52" s="188"/>
      <c r="BMO52" s="187"/>
      <c r="BMS52" s="168"/>
      <c r="BMT52" s="189"/>
      <c r="BMU52" s="188"/>
      <c r="BMV52" s="187"/>
      <c r="BNB52" s="188"/>
      <c r="BNC52" s="187"/>
      <c r="BNI52" s="188"/>
      <c r="BNJ52" s="187"/>
      <c r="BNP52" s="188"/>
      <c r="BNQ52" s="187"/>
      <c r="BNW52" s="168"/>
      <c r="BNX52" s="189"/>
      <c r="BOD52" s="188"/>
      <c r="BOE52" s="187"/>
      <c r="BOK52" s="188"/>
      <c r="BOL52" s="187"/>
      <c r="BOR52" s="188"/>
      <c r="BOS52" s="187"/>
      <c r="BOY52" s="188"/>
      <c r="BOZ52" s="187"/>
      <c r="BPB52" s="168"/>
      <c r="BPC52" s="189"/>
      <c r="BPF52" s="188"/>
      <c r="BPG52" s="187"/>
      <c r="BPM52" s="188"/>
      <c r="BPN52" s="187"/>
      <c r="BPT52" s="188"/>
      <c r="BPU52" s="187"/>
      <c r="BQA52" s="188"/>
      <c r="BQB52" s="187"/>
      <c r="BQF52" s="168"/>
      <c r="BQG52" s="189"/>
      <c r="BQH52" s="188"/>
      <c r="BQI52" s="187"/>
      <c r="BQO52" s="188"/>
      <c r="BQP52" s="187"/>
      <c r="BQV52" s="188"/>
      <c r="BQW52" s="187"/>
      <c r="BRC52" s="188"/>
      <c r="BRD52" s="187"/>
      <c r="BRJ52" s="188"/>
      <c r="BRK52" s="190"/>
      <c r="BRL52" s="189"/>
      <c r="BRQ52" s="188"/>
      <c r="BRR52" s="187"/>
      <c r="BRX52" s="188"/>
      <c r="BRY52" s="187"/>
      <c r="BSE52" s="188"/>
      <c r="BSF52" s="187"/>
      <c r="BSL52" s="188"/>
      <c r="BSM52" s="187"/>
      <c r="BSP52" s="168"/>
      <c r="BSQ52" s="189"/>
      <c r="BSS52" s="188"/>
      <c r="BST52" s="187"/>
      <c r="BSZ52" s="188"/>
      <c r="BTA52" s="187"/>
      <c r="BTG52" s="188"/>
      <c r="BTH52" s="187"/>
      <c r="BTN52" s="188"/>
      <c r="BTO52" s="187"/>
      <c r="BTS52" s="168"/>
      <c r="BTT52" s="189"/>
      <c r="BTU52" s="188"/>
      <c r="BTV52" s="187"/>
      <c r="BUB52" s="188"/>
      <c r="BUC52" s="187"/>
      <c r="BUI52" s="188"/>
      <c r="BUJ52" s="187"/>
      <c r="BUP52" s="188"/>
      <c r="BUQ52" s="187"/>
      <c r="BUW52" s="188"/>
      <c r="BUX52" s="190"/>
      <c r="BUY52" s="189"/>
      <c r="BVD52" s="188"/>
      <c r="BVE52" s="187"/>
      <c r="BVK52" s="188"/>
      <c r="BVL52" s="187"/>
      <c r="BVR52" s="188"/>
      <c r="BVS52" s="187"/>
      <c r="BVY52" s="188"/>
      <c r="BVZ52" s="187"/>
      <c r="BWB52" s="168"/>
      <c r="BWC52" s="189"/>
      <c r="BWF52" s="188"/>
      <c r="BWG52" s="187"/>
      <c r="BWM52" s="188"/>
      <c r="BWN52" s="187"/>
      <c r="BWT52" s="188"/>
      <c r="BWU52" s="187"/>
      <c r="BXA52" s="188"/>
      <c r="BXB52" s="187"/>
      <c r="BXG52" s="168"/>
      <c r="BXH52" s="191"/>
      <c r="BXI52" s="187"/>
      <c r="BXO52" s="188"/>
      <c r="BXP52" s="187"/>
      <c r="BXV52" s="188"/>
      <c r="BXW52" s="187"/>
      <c r="BYC52" s="188"/>
      <c r="BYD52" s="187"/>
      <c r="BYJ52" s="188"/>
      <c r="BYK52" s="190"/>
      <c r="BYL52" s="189"/>
      <c r="BYQ52" s="188"/>
      <c r="BYR52" s="187"/>
      <c r="BYX52" s="188"/>
      <c r="BYY52" s="187"/>
      <c r="BZE52" s="188"/>
      <c r="BZF52" s="187"/>
      <c r="BZL52" s="188"/>
      <c r="BZM52" s="187"/>
      <c r="BZP52" s="168"/>
      <c r="BZQ52" s="189"/>
      <c r="BZS52" s="188"/>
      <c r="BZT52" s="187"/>
      <c r="BZZ52" s="188"/>
      <c r="CAA52" s="187"/>
      <c r="CAG52" s="188"/>
      <c r="CAH52" s="187"/>
      <c r="CAN52" s="188"/>
      <c r="CAO52" s="187"/>
      <c r="CAU52" s="168"/>
      <c r="CAV52" s="189"/>
      <c r="CBB52" s="188"/>
      <c r="CBC52" s="187"/>
      <c r="CBI52" s="188"/>
      <c r="CBJ52" s="187"/>
      <c r="CBP52" s="188"/>
      <c r="CBQ52" s="187"/>
      <c r="CBW52" s="188"/>
      <c r="CBX52" s="187"/>
      <c r="CBY52" s="168"/>
      <c r="CBZ52" s="189"/>
      <c r="CCD52" s="188"/>
      <c r="CCE52" s="187"/>
      <c r="CCK52" s="188"/>
      <c r="CCL52" s="187"/>
      <c r="CCR52" s="188"/>
      <c r="CCS52" s="187"/>
      <c r="CCY52" s="188"/>
      <c r="CCZ52" s="187"/>
      <c r="CDD52" s="168"/>
      <c r="CDE52" s="189"/>
      <c r="CDF52" s="188"/>
      <c r="CDG52" s="187"/>
      <c r="CDM52" s="188"/>
      <c r="CDN52" s="187"/>
      <c r="CDT52" s="188"/>
      <c r="CDU52" s="187"/>
      <c r="CEA52" s="188"/>
      <c r="CEB52" s="187"/>
      <c r="CEH52" s="168"/>
      <c r="CEI52" s="189"/>
      <c r="CEO52" s="188"/>
      <c r="CEP52" s="187"/>
      <c r="CEV52" s="188"/>
      <c r="CEW52" s="187"/>
      <c r="CFC52" s="188"/>
      <c r="CFD52" s="187"/>
      <c r="CFJ52" s="188"/>
      <c r="CFK52" s="187"/>
    </row>
    <row r="53" spans="1:1019 1025:2048 2054:2195">
      <c r="A53" s="164" t="s">
        <v>317</v>
      </c>
      <c r="D53" s="186"/>
      <c r="E53" s="186"/>
      <c r="K53" s="187"/>
      <c r="Q53" s="188"/>
      <c r="R53" s="187"/>
      <c r="X53" s="188"/>
      <c r="Y53" s="187"/>
      <c r="AE53" s="188"/>
      <c r="AF53" s="187"/>
      <c r="AJ53" s="168"/>
      <c r="AK53" s="189"/>
      <c r="AL53" s="188"/>
      <c r="AM53" s="187"/>
      <c r="AS53" s="188"/>
      <c r="AT53" s="187"/>
      <c r="AZ53" s="188"/>
      <c r="BA53" s="187"/>
      <c r="BG53" s="188"/>
      <c r="BH53" s="187"/>
      <c r="BL53" s="168"/>
      <c r="BM53" s="189"/>
      <c r="BN53" s="188"/>
      <c r="BO53" s="187"/>
      <c r="BU53" s="188"/>
      <c r="BV53" s="187"/>
      <c r="CB53" s="188"/>
      <c r="CC53" s="187"/>
      <c r="CI53" s="188"/>
      <c r="CJ53" s="187"/>
      <c r="CP53" s="188"/>
      <c r="CQ53" s="190"/>
      <c r="CR53" s="189"/>
      <c r="CW53" s="188"/>
      <c r="CX53" s="187"/>
      <c r="DD53" s="188"/>
      <c r="DE53" s="187"/>
      <c r="DK53" s="188"/>
      <c r="DL53" s="187"/>
      <c r="DR53" s="188"/>
      <c r="DS53" s="187"/>
      <c r="DU53" s="168"/>
      <c r="DV53" s="189"/>
      <c r="DY53" s="188"/>
      <c r="DZ53" s="187"/>
      <c r="EF53" s="188"/>
      <c r="EG53" s="187"/>
      <c r="EM53" s="188"/>
      <c r="EN53" s="187"/>
      <c r="ET53" s="188"/>
      <c r="EU53" s="187"/>
      <c r="EZ53" s="168"/>
      <c r="FA53" s="191"/>
      <c r="FB53" s="187"/>
      <c r="FH53" s="188"/>
      <c r="FI53" s="187"/>
      <c r="FO53" s="188"/>
      <c r="FP53" s="187"/>
      <c r="FV53" s="188"/>
      <c r="FW53" s="187"/>
      <c r="GC53" s="188"/>
      <c r="GD53" s="190"/>
      <c r="GE53" s="189"/>
      <c r="GJ53" s="188"/>
      <c r="GK53" s="187"/>
      <c r="GQ53" s="188"/>
      <c r="GR53" s="187"/>
      <c r="GX53" s="188"/>
      <c r="GY53" s="187"/>
      <c r="HE53" s="188"/>
      <c r="HF53" s="187"/>
      <c r="HI53" s="168"/>
      <c r="HJ53" s="189"/>
      <c r="HL53" s="188"/>
      <c r="HM53" s="187"/>
      <c r="HS53" s="188"/>
      <c r="HT53" s="187"/>
      <c r="HZ53" s="188"/>
      <c r="IA53" s="187"/>
      <c r="IG53" s="188"/>
      <c r="IH53" s="187"/>
      <c r="IN53" s="168"/>
      <c r="IO53" s="189"/>
      <c r="IU53" s="188"/>
      <c r="IV53" s="187"/>
      <c r="JB53" s="188"/>
      <c r="JC53" s="187"/>
      <c r="JI53" s="188"/>
      <c r="JJ53" s="187"/>
      <c r="JP53" s="188"/>
      <c r="JQ53" s="187"/>
      <c r="JR53" s="168"/>
      <c r="JS53" s="189"/>
      <c r="JW53" s="188"/>
      <c r="JX53" s="187"/>
      <c r="KD53" s="188"/>
      <c r="KE53" s="187"/>
      <c r="KK53" s="188"/>
      <c r="KL53" s="187"/>
      <c r="KR53" s="188"/>
      <c r="KS53" s="187"/>
      <c r="KW53" s="168"/>
      <c r="KX53" s="189"/>
      <c r="KY53" s="188"/>
      <c r="KZ53" s="187"/>
      <c r="LF53" s="188"/>
      <c r="LG53" s="187"/>
      <c r="LM53" s="188"/>
      <c r="LN53" s="187"/>
      <c r="LT53" s="188"/>
      <c r="LU53" s="187"/>
      <c r="MA53" s="168"/>
      <c r="MB53" s="189"/>
      <c r="MH53" s="188"/>
      <c r="MI53" s="187"/>
      <c r="MO53" s="188"/>
      <c r="MP53" s="187"/>
      <c r="MV53" s="188"/>
      <c r="MW53" s="187"/>
      <c r="NC53" s="188"/>
      <c r="ND53" s="187"/>
      <c r="NF53" s="168"/>
      <c r="NG53" s="189"/>
      <c r="NJ53" s="188"/>
      <c r="NK53" s="187"/>
      <c r="NQ53" s="188"/>
      <c r="NR53" s="187"/>
      <c r="NX53" s="188"/>
      <c r="NY53" s="187"/>
      <c r="OE53" s="188"/>
      <c r="OF53" s="187"/>
      <c r="OK53" s="168"/>
      <c r="OL53" s="191"/>
      <c r="OM53" s="187"/>
      <c r="OS53" s="188"/>
      <c r="OT53" s="187"/>
      <c r="OZ53" s="188"/>
      <c r="PA53" s="187"/>
      <c r="PG53" s="188"/>
      <c r="PH53" s="187"/>
      <c r="PN53" s="168"/>
      <c r="PO53" s="189"/>
      <c r="PU53" s="188"/>
      <c r="PV53" s="187"/>
      <c r="QB53" s="188"/>
      <c r="QC53" s="187"/>
      <c r="QI53" s="188"/>
      <c r="QJ53" s="187"/>
      <c r="QP53" s="188"/>
      <c r="QQ53" s="187"/>
      <c r="QS53" s="168"/>
      <c r="QT53" s="189"/>
      <c r="QW53" s="188"/>
      <c r="QX53" s="187"/>
      <c r="RD53" s="188"/>
      <c r="RE53" s="187"/>
      <c r="RK53" s="188"/>
      <c r="RL53" s="187"/>
      <c r="RR53" s="188"/>
      <c r="RS53" s="187"/>
      <c r="RW53" s="168"/>
      <c r="RX53" s="189"/>
      <c r="RY53" s="188"/>
      <c r="RZ53" s="187"/>
      <c r="SF53" s="188"/>
      <c r="SG53" s="187"/>
      <c r="SM53" s="188"/>
      <c r="SN53" s="187"/>
      <c r="ST53" s="188"/>
      <c r="SU53" s="187"/>
      <c r="TA53" s="188"/>
      <c r="TB53" s="190"/>
      <c r="TC53" s="189"/>
      <c r="TH53" s="188"/>
      <c r="TI53" s="187"/>
      <c r="TO53" s="188"/>
      <c r="TP53" s="187"/>
      <c r="TV53" s="188"/>
      <c r="TW53" s="187"/>
      <c r="UC53" s="188"/>
      <c r="UD53" s="187"/>
      <c r="UF53" s="168"/>
      <c r="UG53" s="189"/>
      <c r="UJ53" s="188"/>
      <c r="UK53" s="187"/>
      <c r="UQ53" s="188"/>
      <c r="UR53" s="187"/>
      <c r="UX53" s="188"/>
      <c r="UY53" s="187"/>
      <c r="VE53" s="188"/>
      <c r="VF53" s="187"/>
      <c r="VK53" s="168"/>
      <c r="VL53" s="191"/>
      <c r="VM53" s="187"/>
      <c r="VS53" s="188"/>
      <c r="VT53" s="187"/>
      <c r="VZ53" s="188"/>
      <c r="WA53" s="187"/>
      <c r="WG53" s="188"/>
      <c r="WH53" s="187"/>
      <c r="WN53" s="188"/>
      <c r="WO53" s="187"/>
      <c r="WP53" s="168"/>
      <c r="WQ53" s="189"/>
      <c r="WU53" s="188"/>
      <c r="WV53" s="187"/>
      <c r="XB53" s="188"/>
      <c r="XC53" s="187"/>
      <c r="XI53" s="188"/>
      <c r="XJ53" s="187"/>
      <c r="XP53" s="188"/>
      <c r="XQ53" s="187"/>
      <c r="XT53" s="168"/>
      <c r="XU53" s="189"/>
      <c r="XW53" s="188"/>
      <c r="XX53" s="187"/>
      <c r="YD53" s="188"/>
      <c r="YE53" s="187"/>
      <c r="YK53" s="188"/>
      <c r="YL53" s="187"/>
      <c r="YR53" s="188"/>
      <c r="YS53" s="187"/>
      <c r="YY53" s="168"/>
      <c r="YZ53" s="189"/>
      <c r="ZF53" s="188"/>
      <c r="ZG53" s="187"/>
      <c r="ZM53" s="188"/>
      <c r="ZN53" s="187"/>
      <c r="ZT53" s="188"/>
      <c r="ZU53" s="187"/>
      <c r="AAA53" s="188"/>
      <c r="AAB53" s="187"/>
      <c r="AAC53" s="168"/>
      <c r="AAD53" s="189"/>
      <c r="AAH53" s="188"/>
      <c r="AAI53" s="187"/>
      <c r="AAO53" s="188"/>
      <c r="AAP53" s="187"/>
      <c r="AAV53" s="188"/>
      <c r="AAW53" s="187"/>
      <c r="ABC53" s="188"/>
      <c r="ABD53" s="187"/>
      <c r="ABH53" s="168"/>
      <c r="ABI53" s="189"/>
      <c r="ABJ53" s="188"/>
      <c r="ABK53" s="187"/>
      <c r="ABQ53" s="188"/>
      <c r="ABR53" s="187"/>
      <c r="ABX53" s="188"/>
      <c r="ABY53" s="187"/>
      <c r="ACE53" s="188"/>
      <c r="ACF53" s="187"/>
      <c r="ACL53" s="188"/>
      <c r="ACM53" s="190"/>
      <c r="ACN53" s="189"/>
      <c r="ACS53" s="188"/>
      <c r="ACT53" s="187"/>
      <c r="ACZ53" s="188"/>
      <c r="ADA53" s="187"/>
      <c r="ADG53" s="188"/>
      <c r="ADH53" s="187"/>
      <c r="ADN53" s="188"/>
      <c r="ADO53" s="190"/>
      <c r="ADP53" s="189"/>
      <c r="ADU53" s="188"/>
      <c r="ADV53" s="187"/>
      <c r="AEB53" s="188"/>
      <c r="AEC53" s="187"/>
      <c r="AEI53" s="188"/>
      <c r="AEJ53" s="187"/>
      <c r="AEP53" s="188"/>
      <c r="AEQ53" s="187"/>
      <c r="AET53" s="168"/>
      <c r="AEU53" s="189"/>
      <c r="AEW53" s="188"/>
      <c r="AEX53" s="187"/>
      <c r="AFD53" s="188"/>
      <c r="AFE53" s="187"/>
      <c r="AFK53" s="188"/>
      <c r="AFL53" s="187"/>
      <c r="AFR53" s="188"/>
      <c r="AFS53" s="187"/>
      <c r="AFX53" s="168"/>
      <c r="AFY53" s="191"/>
      <c r="AFZ53" s="187"/>
      <c r="AGF53" s="188"/>
      <c r="AGG53" s="187"/>
      <c r="AGM53" s="188"/>
      <c r="AGN53" s="187"/>
      <c r="AGT53" s="188"/>
      <c r="AGU53" s="187"/>
      <c r="AHA53" s="188"/>
      <c r="AHB53" s="187"/>
      <c r="AHC53" s="168"/>
      <c r="AHD53" s="189"/>
      <c r="AHH53" s="188"/>
      <c r="AHI53" s="187"/>
      <c r="AHO53" s="188"/>
      <c r="AHP53" s="187"/>
      <c r="AHV53" s="188"/>
      <c r="AHW53" s="187"/>
      <c r="AIC53" s="188"/>
      <c r="AID53" s="187"/>
      <c r="AIG53" s="168"/>
      <c r="AIH53" s="189"/>
      <c r="AIJ53" s="188"/>
      <c r="AIK53" s="187"/>
      <c r="AIQ53" s="188"/>
      <c r="AIR53" s="187"/>
      <c r="AIX53" s="188"/>
      <c r="AIY53" s="187"/>
      <c r="AJE53" s="188"/>
      <c r="AJF53" s="187"/>
      <c r="AJL53" s="168"/>
      <c r="AJM53" s="189"/>
      <c r="AJS53" s="188"/>
      <c r="AJT53" s="187"/>
      <c r="AJZ53" s="188"/>
      <c r="AKA53" s="187"/>
      <c r="AKG53" s="188"/>
      <c r="AKH53" s="187"/>
      <c r="AKN53" s="188"/>
      <c r="AKO53" s="187"/>
      <c r="AKQ53" s="168"/>
      <c r="AKR53" s="189"/>
      <c r="AKU53" s="188"/>
      <c r="AKV53" s="187"/>
      <c r="ALB53" s="188"/>
      <c r="ALC53" s="187"/>
      <c r="ALI53" s="188"/>
      <c r="ALJ53" s="187"/>
      <c r="ALP53" s="188"/>
      <c r="ALQ53" s="187"/>
      <c r="ALU53" s="168"/>
      <c r="ALV53" s="189"/>
      <c r="ALW53" s="188"/>
      <c r="ALX53" s="187"/>
      <c r="AMD53" s="188"/>
      <c r="AME53" s="187"/>
      <c r="AMK53" s="188"/>
      <c r="AML53" s="187"/>
      <c r="AMR53" s="188"/>
      <c r="AMS53" s="187"/>
      <c r="AMY53" s="188"/>
      <c r="AMZ53" s="190"/>
      <c r="ANA53" s="189"/>
      <c r="ANF53" s="188"/>
      <c r="ANG53" s="187"/>
      <c r="ANM53" s="188"/>
      <c r="ANN53" s="187"/>
      <c r="ANT53" s="188"/>
      <c r="ANU53" s="187"/>
      <c r="AOA53" s="188"/>
      <c r="AOB53" s="187"/>
      <c r="AOD53" s="168"/>
      <c r="AOE53" s="189"/>
      <c r="AOH53" s="188"/>
      <c r="AOI53" s="187"/>
      <c r="AOO53" s="188"/>
      <c r="AOP53" s="187"/>
      <c r="AOV53" s="188"/>
      <c r="AOW53" s="187"/>
      <c r="APC53" s="188"/>
      <c r="APD53" s="187"/>
      <c r="API53" s="168"/>
      <c r="APJ53" s="191"/>
      <c r="APK53" s="187"/>
      <c r="APQ53" s="188"/>
      <c r="APR53" s="187"/>
      <c r="APX53" s="188"/>
      <c r="APY53" s="187"/>
      <c r="AQE53" s="188"/>
      <c r="AQF53" s="187"/>
      <c r="AQL53" s="188"/>
      <c r="AQM53" s="187"/>
      <c r="AQN53" s="168"/>
      <c r="AQO53" s="189"/>
      <c r="AQS53" s="188"/>
      <c r="AQT53" s="187"/>
      <c r="AQZ53" s="188"/>
      <c r="ARA53" s="187"/>
      <c r="ARG53" s="188"/>
      <c r="ARH53" s="187"/>
      <c r="ARN53" s="188"/>
      <c r="ARO53" s="187"/>
      <c r="ARP53" s="168"/>
      <c r="ARQ53" s="189"/>
      <c r="ARU53" s="188"/>
      <c r="ARV53" s="187"/>
      <c r="ASB53" s="188"/>
      <c r="ASC53" s="187"/>
      <c r="ASI53" s="188"/>
      <c r="ASJ53" s="187"/>
      <c r="ASP53" s="188"/>
      <c r="ASQ53" s="187"/>
      <c r="ASU53" s="168"/>
      <c r="ASV53" s="189"/>
      <c r="ASW53" s="188"/>
      <c r="ASX53" s="187"/>
      <c r="ATD53" s="188"/>
      <c r="ATE53" s="187"/>
      <c r="ATK53" s="188"/>
      <c r="ATL53" s="187"/>
      <c r="ATR53" s="188"/>
      <c r="ATS53" s="187"/>
      <c r="ATY53" s="168"/>
      <c r="ATZ53" s="189"/>
      <c r="AUF53" s="188"/>
      <c r="AUG53" s="187"/>
      <c r="AUM53" s="188"/>
      <c r="AUN53" s="187"/>
      <c r="AUT53" s="188"/>
      <c r="AUU53" s="187"/>
      <c r="AVA53" s="188"/>
      <c r="AVB53" s="187"/>
      <c r="AVD53" s="168"/>
      <c r="AVE53" s="189"/>
      <c r="AVH53" s="188"/>
      <c r="AVI53" s="187"/>
      <c r="AVO53" s="188"/>
      <c r="AVP53" s="187"/>
      <c r="AVV53" s="188"/>
      <c r="AVW53" s="187"/>
      <c r="AWC53" s="188"/>
      <c r="AWD53" s="187"/>
      <c r="AWH53" s="168"/>
      <c r="AWI53" s="189"/>
      <c r="AWJ53" s="188"/>
      <c r="AWK53" s="187"/>
      <c r="AWQ53" s="188"/>
      <c r="AWR53" s="187"/>
      <c r="AWX53" s="188"/>
      <c r="AWY53" s="187"/>
      <c r="AXE53" s="188"/>
      <c r="AXF53" s="187"/>
      <c r="AXL53" s="188"/>
      <c r="AXM53" s="190"/>
      <c r="AXN53" s="189"/>
      <c r="AXS53" s="188"/>
      <c r="AXT53" s="187"/>
      <c r="AXZ53" s="188"/>
      <c r="AYA53" s="187"/>
      <c r="AYG53" s="188"/>
      <c r="AYH53" s="187"/>
      <c r="AYN53" s="188"/>
      <c r="AYO53" s="187"/>
      <c r="AYR53" s="168"/>
      <c r="AYS53" s="189"/>
      <c r="AYU53" s="188"/>
      <c r="AYV53" s="187"/>
      <c r="AZB53" s="188"/>
      <c r="AZC53" s="187"/>
      <c r="AZI53" s="188"/>
      <c r="AZJ53" s="187"/>
      <c r="AZP53" s="188"/>
      <c r="AZQ53" s="187"/>
      <c r="AZV53" s="168"/>
      <c r="AZW53" s="191"/>
      <c r="AZX53" s="187"/>
      <c r="BAD53" s="188"/>
      <c r="BAE53" s="187"/>
      <c r="BAK53" s="188"/>
      <c r="BAL53" s="187"/>
      <c r="BAR53" s="188"/>
      <c r="BAS53" s="187"/>
      <c r="BAY53" s="188"/>
      <c r="BAZ53" s="187"/>
      <c r="BBA53" s="168"/>
      <c r="BBB53" s="189"/>
      <c r="BBF53" s="188"/>
      <c r="BBG53" s="187"/>
      <c r="BBM53" s="188"/>
      <c r="BBN53" s="187"/>
      <c r="BBT53" s="188"/>
      <c r="BBU53" s="187"/>
      <c r="BCA53" s="188"/>
      <c r="BCB53" s="187"/>
      <c r="BCE53" s="168"/>
      <c r="BCF53" s="189"/>
      <c r="BCH53" s="188"/>
      <c r="BCI53" s="187"/>
      <c r="BCO53" s="188"/>
      <c r="BCP53" s="187"/>
      <c r="BCV53" s="188"/>
      <c r="BCW53" s="187"/>
      <c r="BDC53" s="188"/>
      <c r="BDD53" s="187"/>
      <c r="BDJ53" s="168"/>
      <c r="BDK53" s="189"/>
      <c r="BDQ53" s="188"/>
      <c r="BDR53" s="187"/>
      <c r="BDX53" s="188"/>
      <c r="BDY53" s="187"/>
      <c r="BEE53" s="188"/>
      <c r="BEF53" s="187"/>
      <c r="BEL53" s="188"/>
      <c r="BEM53" s="187"/>
      <c r="BEO53" s="168"/>
      <c r="BEP53" s="189"/>
      <c r="BES53" s="188"/>
      <c r="BET53" s="187"/>
      <c r="BEZ53" s="188"/>
      <c r="BFA53" s="187"/>
      <c r="BFG53" s="188"/>
      <c r="BFH53" s="187"/>
      <c r="BFN53" s="188"/>
      <c r="BFO53" s="187"/>
      <c r="BFQ53" s="168"/>
      <c r="BFR53" s="189"/>
      <c r="BFU53" s="188"/>
      <c r="BFV53" s="187"/>
      <c r="BGB53" s="188"/>
      <c r="BGC53" s="187"/>
      <c r="BGI53" s="188"/>
      <c r="BGJ53" s="187"/>
      <c r="BGP53" s="188"/>
      <c r="BGQ53" s="187"/>
      <c r="BGV53" s="168"/>
      <c r="BGW53" s="191"/>
      <c r="BGX53" s="187"/>
      <c r="BHD53" s="188"/>
      <c r="BHE53" s="187"/>
      <c r="BHK53" s="188"/>
      <c r="BHL53" s="187"/>
      <c r="BHR53" s="188"/>
      <c r="BHS53" s="187"/>
      <c r="BHY53" s="188"/>
      <c r="BHZ53" s="190"/>
      <c r="BIA53" s="189"/>
      <c r="BIF53" s="188"/>
      <c r="BIG53" s="187"/>
      <c r="BIM53" s="188"/>
      <c r="BIN53" s="187"/>
      <c r="BIT53" s="188"/>
      <c r="BIU53" s="187"/>
      <c r="BJA53" s="188"/>
      <c r="BJB53" s="187"/>
      <c r="BJE53" s="168"/>
      <c r="BJF53" s="189"/>
      <c r="BJH53" s="188"/>
      <c r="BJI53" s="187"/>
      <c r="BJO53" s="188"/>
      <c r="BJP53" s="187"/>
      <c r="BJV53" s="188"/>
      <c r="BJW53" s="187"/>
      <c r="BKC53" s="188"/>
      <c r="BKD53" s="187"/>
      <c r="BKI53" s="168"/>
      <c r="BKJ53" s="191"/>
      <c r="BKK53" s="187"/>
      <c r="BKQ53" s="188"/>
      <c r="BKR53" s="187"/>
      <c r="BKX53" s="188"/>
      <c r="BKY53" s="187"/>
      <c r="BLE53" s="188"/>
      <c r="BLF53" s="187"/>
      <c r="BLL53" s="188"/>
      <c r="BLM53" s="187"/>
      <c r="BLN53" s="168"/>
      <c r="BLO53" s="189"/>
      <c r="BLS53" s="188"/>
      <c r="BLT53" s="187"/>
      <c r="BLZ53" s="188"/>
      <c r="BMA53" s="187"/>
      <c r="BMG53" s="188"/>
      <c r="BMH53" s="187"/>
      <c r="BMN53" s="188"/>
      <c r="BMO53" s="187"/>
      <c r="BMS53" s="168"/>
      <c r="BMT53" s="189"/>
      <c r="BMU53" s="188"/>
      <c r="BMV53" s="187"/>
      <c r="BNB53" s="188"/>
      <c r="BNC53" s="187"/>
      <c r="BNI53" s="188"/>
      <c r="BNJ53" s="187"/>
      <c r="BNP53" s="188"/>
      <c r="BNQ53" s="187"/>
      <c r="BNW53" s="168"/>
      <c r="BNX53" s="189"/>
      <c r="BOD53" s="188"/>
      <c r="BOE53" s="187"/>
      <c r="BOK53" s="188"/>
      <c r="BOL53" s="187"/>
      <c r="BOR53" s="188"/>
      <c r="BOS53" s="187"/>
      <c r="BOY53" s="188"/>
      <c r="BOZ53" s="187"/>
      <c r="BPB53" s="168"/>
      <c r="BPC53" s="189"/>
      <c r="BPF53" s="188"/>
      <c r="BPG53" s="187"/>
      <c r="BPM53" s="188"/>
      <c r="BPN53" s="187"/>
      <c r="BPT53" s="188"/>
      <c r="BPU53" s="187"/>
      <c r="BQA53" s="188"/>
      <c r="BQB53" s="187"/>
      <c r="BQF53" s="168"/>
      <c r="BQG53" s="189"/>
      <c r="BQH53" s="188"/>
      <c r="BQI53" s="187"/>
      <c r="BQO53" s="188"/>
      <c r="BQP53" s="187"/>
      <c r="BQV53" s="188"/>
      <c r="BQW53" s="187"/>
      <c r="BRC53" s="188"/>
      <c r="BRD53" s="187"/>
      <c r="BRJ53" s="188"/>
      <c r="BRK53" s="190"/>
      <c r="BRL53" s="189"/>
      <c r="BRQ53" s="188"/>
      <c r="BRR53" s="187"/>
      <c r="BRX53" s="188"/>
      <c r="BRY53" s="187"/>
      <c r="BSE53" s="188"/>
      <c r="BSF53" s="187"/>
      <c r="BSL53" s="188"/>
      <c r="BSM53" s="187"/>
      <c r="BSP53" s="168"/>
      <c r="BSQ53" s="189"/>
      <c r="BSS53" s="188"/>
      <c r="BST53" s="187"/>
      <c r="BSZ53" s="188"/>
      <c r="BTA53" s="187"/>
      <c r="BTG53" s="188"/>
      <c r="BTH53" s="187"/>
      <c r="BTN53" s="188"/>
      <c r="BTO53" s="187"/>
      <c r="BTS53" s="168"/>
      <c r="BTT53" s="189"/>
      <c r="BTU53" s="188"/>
      <c r="BTV53" s="187"/>
      <c r="BUB53" s="188"/>
      <c r="BUC53" s="187"/>
      <c r="BUI53" s="188"/>
      <c r="BUJ53" s="187"/>
      <c r="BUP53" s="188"/>
      <c r="BUQ53" s="187"/>
      <c r="BUW53" s="188"/>
      <c r="BUX53" s="190"/>
      <c r="BUY53" s="189"/>
      <c r="BVD53" s="188"/>
      <c r="BVE53" s="187"/>
      <c r="BVK53" s="188"/>
      <c r="BVL53" s="187"/>
      <c r="BVR53" s="188"/>
      <c r="BVS53" s="187"/>
      <c r="BVY53" s="188"/>
      <c r="BVZ53" s="187"/>
      <c r="BWB53" s="168"/>
      <c r="BWC53" s="189"/>
      <c r="BWF53" s="188"/>
      <c r="BWG53" s="187"/>
      <c r="BWM53" s="188"/>
      <c r="BWN53" s="187"/>
      <c r="BWT53" s="188"/>
      <c r="BWU53" s="187"/>
      <c r="BXA53" s="188"/>
      <c r="BXB53" s="187"/>
      <c r="BXG53" s="168"/>
      <c r="BXH53" s="191"/>
      <c r="BXI53" s="187"/>
      <c r="BXO53" s="188"/>
      <c r="BXP53" s="187"/>
      <c r="BXV53" s="188"/>
      <c r="BXW53" s="187"/>
      <c r="BYC53" s="188"/>
      <c r="BYD53" s="187"/>
      <c r="BYJ53" s="188"/>
      <c r="BYK53" s="190"/>
      <c r="BYL53" s="189"/>
      <c r="BYQ53" s="188"/>
      <c r="BYR53" s="187"/>
      <c r="BYX53" s="188"/>
      <c r="BYY53" s="187"/>
      <c r="BZE53" s="188"/>
      <c r="BZF53" s="187"/>
      <c r="BZL53" s="188"/>
      <c r="BZM53" s="187"/>
      <c r="BZP53" s="168"/>
      <c r="BZQ53" s="189"/>
      <c r="BZS53" s="188"/>
      <c r="BZT53" s="187"/>
      <c r="BZZ53" s="188"/>
      <c r="CAA53" s="187"/>
      <c r="CAG53" s="188"/>
      <c r="CAH53" s="187"/>
      <c r="CAN53" s="188"/>
      <c r="CAO53" s="187"/>
      <c r="CAU53" s="168"/>
      <c r="CAV53" s="189"/>
      <c r="CBB53" s="188"/>
      <c r="CBC53" s="187"/>
      <c r="CBI53" s="188"/>
      <c r="CBJ53" s="187"/>
      <c r="CBP53" s="188"/>
      <c r="CBQ53" s="187"/>
      <c r="CBW53" s="188"/>
      <c r="CBX53" s="187"/>
      <c r="CBY53" s="168"/>
      <c r="CBZ53" s="189"/>
      <c r="CCD53" s="188"/>
      <c r="CCE53" s="187"/>
      <c r="CCK53" s="188"/>
      <c r="CCL53" s="187"/>
      <c r="CCR53" s="188"/>
      <c r="CCS53" s="187"/>
      <c r="CCY53" s="188"/>
      <c r="CCZ53" s="187"/>
      <c r="CDD53" s="168"/>
      <c r="CDE53" s="189"/>
      <c r="CDF53" s="188"/>
      <c r="CDG53" s="187"/>
      <c r="CDM53" s="188"/>
      <c r="CDN53" s="187"/>
      <c r="CDT53" s="188"/>
      <c r="CDU53" s="187"/>
      <c r="CEA53" s="188"/>
      <c r="CEB53" s="187"/>
      <c r="CEH53" s="168"/>
      <c r="CEI53" s="189"/>
      <c r="CEO53" s="188"/>
      <c r="CEP53" s="187"/>
      <c r="CEV53" s="188"/>
      <c r="CEW53" s="187"/>
      <c r="CFC53" s="188"/>
      <c r="CFD53" s="187"/>
      <c r="CFJ53" s="188"/>
      <c r="CFK53" s="187"/>
    </row>
    <row r="54" spans="1:1019 1025:2048 2054:2195">
      <c r="A54" s="164" t="s">
        <v>318</v>
      </c>
      <c r="D54" s="186"/>
      <c r="E54" s="186"/>
      <c r="K54" s="187"/>
      <c r="Q54" s="188"/>
      <c r="R54" s="187"/>
      <c r="X54" s="188"/>
      <c r="Y54" s="187"/>
      <c r="AE54" s="188"/>
      <c r="AF54" s="187"/>
      <c r="AJ54" s="168"/>
      <c r="AK54" s="189"/>
      <c r="AL54" s="188"/>
      <c r="AM54" s="187"/>
      <c r="AS54" s="188"/>
      <c r="AT54" s="187"/>
      <c r="AZ54" s="188"/>
      <c r="BA54" s="187"/>
      <c r="BG54" s="188"/>
      <c r="BH54" s="187"/>
      <c r="BL54" s="168"/>
      <c r="BM54" s="189"/>
      <c r="BN54" s="188"/>
      <c r="BO54" s="187"/>
      <c r="BU54" s="188"/>
      <c r="BV54" s="187"/>
      <c r="CB54" s="188"/>
      <c r="CC54" s="187"/>
      <c r="CI54" s="188"/>
      <c r="CJ54" s="187"/>
      <c r="CP54" s="188"/>
      <c r="CQ54" s="190"/>
      <c r="CR54" s="189"/>
      <c r="CW54" s="188"/>
      <c r="CX54" s="187"/>
      <c r="DD54" s="188"/>
      <c r="DE54" s="187"/>
      <c r="DK54" s="188"/>
      <c r="DL54" s="187"/>
      <c r="DR54" s="188"/>
      <c r="DS54" s="187"/>
      <c r="DU54" s="168"/>
      <c r="DV54" s="189"/>
      <c r="DY54" s="188"/>
      <c r="DZ54" s="187"/>
      <c r="EF54" s="188"/>
      <c r="EG54" s="187"/>
      <c r="EM54" s="188"/>
      <c r="EN54" s="187"/>
      <c r="ET54" s="188"/>
      <c r="EU54" s="187"/>
      <c r="EZ54" s="168"/>
      <c r="FA54" s="191"/>
      <c r="FB54" s="187"/>
      <c r="FH54" s="188"/>
      <c r="FI54" s="187"/>
      <c r="FO54" s="188"/>
      <c r="FP54" s="187"/>
      <c r="FV54" s="188"/>
      <c r="FW54" s="187"/>
      <c r="GC54" s="188"/>
      <c r="GD54" s="190"/>
      <c r="GE54" s="189"/>
      <c r="GJ54" s="188"/>
      <c r="GK54" s="187"/>
      <c r="GQ54" s="188"/>
      <c r="GR54" s="187"/>
      <c r="GX54" s="188"/>
      <c r="GY54" s="187"/>
      <c r="HE54" s="188"/>
      <c r="HF54" s="187"/>
      <c r="HI54" s="168"/>
      <c r="HJ54" s="189"/>
      <c r="HL54" s="188"/>
      <c r="HM54" s="187"/>
      <c r="HS54" s="188"/>
      <c r="HT54" s="187"/>
      <c r="HZ54" s="188"/>
      <c r="IA54" s="187"/>
      <c r="IG54" s="188"/>
      <c r="IH54" s="187"/>
      <c r="IN54" s="168"/>
      <c r="IO54" s="189"/>
      <c r="IU54" s="188"/>
      <c r="IV54" s="187"/>
      <c r="JB54" s="188"/>
      <c r="JC54" s="187"/>
      <c r="JI54" s="188"/>
      <c r="JJ54" s="187"/>
      <c r="JP54" s="188"/>
      <c r="JQ54" s="187"/>
      <c r="JR54" s="168"/>
      <c r="JS54" s="189"/>
      <c r="JW54" s="188"/>
      <c r="JX54" s="187"/>
      <c r="KD54" s="188"/>
      <c r="KE54" s="187"/>
      <c r="KK54" s="188"/>
      <c r="KL54" s="187"/>
      <c r="KR54" s="188"/>
      <c r="KS54" s="187"/>
      <c r="KW54" s="168"/>
      <c r="KX54" s="189"/>
      <c r="KY54" s="188"/>
      <c r="KZ54" s="187"/>
      <c r="LF54" s="188"/>
      <c r="LG54" s="187"/>
      <c r="LM54" s="188"/>
      <c r="LN54" s="187"/>
      <c r="LT54" s="188"/>
      <c r="LU54" s="187"/>
      <c r="MA54" s="168"/>
      <c r="MB54" s="189"/>
      <c r="MH54" s="188"/>
      <c r="MI54" s="187"/>
      <c r="MO54" s="188"/>
      <c r="MP54" s="187"/>
      <c r="MV54" s="188"/>
      <c r="MW54" s="187"/>
      <c r="NC54" s="188"/>
      <c r="ND54" s="187"/>
      <c r="NF54" s="168"/>
      <c r="NG54" s="189"/>
      <c r="NJ54" s="188"/>
      <c r="NK54" s="187"/>
      <c r="NQ54" s="188"/>
      <c r="NR54" s="187"/>
      <c r="NX54" s="188"/>
      <c r="NY54" s="187"/>
      <c r="OE54" s="188"/>
      <c r="OF54" s="187"/>
      <c r="OK54" s="168"/>
      <c r="OL54" s="191"/>
      <c r="OM54" s="187"/>
      <c r="OS54" s="188"/>
      <c r="OT54" s="187"/>
      <c r="OZ54" s="188"/>
      <c r="PA54" s="187"/>
      <c r="PG54" s="188"/>
      <c r="PH54" s="187"/>
      <c r="PN54" s="168"/>
      <c r="PO54" s="189"/>
      <c r="PU54" s="188"/>
      <c r="PV54" s="187"/>
      <c r="QB54" s="188"/>
      <c r="QC54" s="187"/>
      <c r="QI54" s="188"/>
      <c r="QJ54" s="187"/>
      <c r="QP54" s="188"/>
      <c r="QQ54" s="187"/>
      <c r="QS54" s="168"/>
      <c r="QT54" s="189"/>
      <c r="QW54" s="188"/>
      <c r="QX54" s="187"/>
      <c r="RD54" s="188"/>
      <c r="RE54" s="187"/>
      <c r="RK54" s="188"/>
      <c r="RL54" s="187"/>
      <c r="RR54" s="188"/>
      <c r="RS54" s="187"/>
      <c r="RW54" s="168"/>
      <c r="RX54" s="189"/>
      <c r="RY54" s="188"/>
      <c r="RZ54" s="187"/>
      <c r="SF54" s="188"/>
      <c r="SG54" s="187"/>
      <c r="SM54" s="188"/>
      <c r="SN54" s="187"/>
      <c r="ST54" s="188"/>
      <c r="SU54" s="187"/>
      <c r="TA54" s="188"/>
      <c r="TB54" s="190"/>
      <c r="TC54" s="189"/>
      <c r="TH54" s="188"/>
      <c r="TI54" s="187"/>
      <c r="TO54" s="188"/>
      <c r="TP54" s="187"/>
      <c r="TV54" s="188"/>
      <c r="TW54" s="187"/>
      <c r="UC54" s="188"/>
      <c r="UD54" s="187"/>
      <c r="UF54" s="168"/>
      <c r="UG54" s="189"/>
      <c r="UJ54" s="188"/>
      <c r="UK54" s="187"/>
      <c r="UQ54" s="188"/>
      <c r="UR54" s="187"/>
      <c r="UX54" s="188"/>
      <c r="UY54" s="187"/>
      <c r="VE54" s="188"/>
      <c r="VF54" s="187"/>
      <c r="VK54" s="168"/>
      <c r="VL54" s="191"/>
      <c r="VM54" s="187"/>
      <c r="VS54" s="188"/>
      <c r="VT54" s="187"/>
      <c r="VZ54" s="188"/>
      <c r="WA54" s="187"/>
      <c r="WG54" s="188"/>
      <c r="WH54" s="187"/>
      <c r="WN54" s="188"/>
      <c r="WO54" s="187"/>
      <c r="WP54" s="168"/>
      <c r="WQ54" s="189"/>
      <c r="WU54" s="188"/>
      <c r="WV54" s="187"/>
      <c r="XB54" s="188"/>
      <c r="XC54" s="187"/>
      <c r="XI54" s="188"/>
      <c r="XJ54" s="187"/>
      <c r="XP54" s="188"/>
      <c r="XQ54" s="187"/>
      <c r="XT54" s="168"/>
      <c r="XU54" s="189"/>
      <c r="XW54" s="188"/>
      <c r="XX54" s="187"/>
      <c r="YD54" s="188"/>
      <c r="YE54" s="187"/>
      <c r="YK54" s="188"/>
      <c r="YL54" s="187"/>
      <c r="YR54" s="188"/>
      <c r="YS54" s="187"/>
      <c r="YY54" s="168"/>
      <c r="YZ54" s="189"/>
      <c r="ZF54" s="188"/>
      <c r="ZG54" s="187"/>
      <c r="ZM54" s="188"/>
      <c r="ZN54" s="187"/>
      <c r="ZT54" s="188"/>
      <c r="ZU54" s="187"/>
      <c r="AAA54" s="188"/>
      <c r="AAB54" s="187"/>
      <c r="AAC54" s="168"/>
      <c r="AAD54" s="189"/>
      <c r="AAH54" s="188"/>
      <c r="AAI54" s="187"/>
      <c r="AAO54" s="188"/>
      <c r="AAP54" s="187"/>
      <c r="AAV54" s="188"/>
      <c r="AAW54" s="187"/>
      <c r="ABC54" s="188"/>
      <c r="ABD54" s="187"/>
      <c r="ABH54" s="168"/>
      <c r="ABI54" s="189"/>
      <c r="ABJ54" s="188"/>
      <c r="ABK54" s="187"/>
      <c r="ABQ54" s="188"/>
      <c r="ABR54" s="187"/>
      <c r="ABX54" s="188"/>
      <c r="ABY54" s="187"/>
      <c r="ACE54" s="188"/>
      <c r="ACF54" s="187"/>
      <c r="ACL54" s="188"/>
      <c r="ACM54" s="190"/>
      <c r="ACN54" s="189"/>
      <c r="ACS54" s="188"/>
      <c r="ACT54" s="187"/>
      <c r="ACZ54" s="188"/>
      <c r="ADA54" s="187"/>
      <c r="ADG54" s="188"/>
      <c r="ADH54" s="187"/>
      <c r="ADN54" s="188"/>
      <c r="ADO54" s="190"/>
      <c r="ADP54" s="189"/>
      <c r="ADU54" s="188"/>
      <c r="ADV54" s="187"/>
      <c r="AEB54" s="188"/>
      <c r="AEC54" s="187"/>
      <c r="AEI54" s="188"/>
      <c r="AEJ54" s="187"/>
      <c r="AEP54" s="188"/>
      <c r="AEQ54" s="187"/>
      <c r="AET54" s="168"/>
      <c r="AEU54" s="189"/>
      <c r="AEW54" s="188"/>
      <c r="AEX54" s="187"/>
      <c r="AFD54" s="188"/>
      <c r="AFE54" s="187"/>
      <c r="AFK54" s="188"/>
      <c r="AFL54" s="187"/>
      <c r="AFR54" s="188"/>
      <c r="AFS54" s="187"/>
      <c r="AFX54" s="168"/>
      <c r="AFY54" s="191"/>
      <c r="AFZ54" s="187"/>
      <c r="AGF54" s="188"/>
      <c r="AGG54" s="187"/>
      <c r="AGM54" s="188"/>
      <c r="AGN54" s="187"/>
      <c r="AGT54" s="188"/>
      <c r="AGU54" s="187"/>
      <c r="AHA54" s="188"/>
      <c r="AHB54" s="187"/>
      <c r="AHC54" s="168"/>
      <c r="AHD54" s="189"/>
      <c r="AHH54" s="188"/>
      <c r="AHI54" s="187"/>
      <c r="AHO54" s="188"/>
      <c r="AHP54" s="187"/>
      <c r="AHV54" s="188"/>
      <c r="AHW54" s="187"/>
      <c r="AIC54" s="188"/>
      <c r="AID54" s="187"/>
      <c r="AIG54" s="168"/>
      <c r="AIH54" s="189"/>
      <c r="AIJ54" s="188"/>
      <c r="AIK54" s="187"/>
      <c r="AIQ54" s="188"/>
      <c r="AIR54" s="187"/>
      <c r="AIX54" s="188"/>
      <c r="AIY54" s="187"/>
      <c r="AJE54" s="188"/>
      <c r="AJF54" s="187"/>
      <c r="AJL54" s="168"/>
      <c r="AJM54" s="189"/>
      <c r="AJS54" s="188"/>
      <c r="AJT54" s="187"/>
      <c r="AJZ54" s="188"/>
      <c r="AKA54" s="187"/>
      <c r="AKG54" s="188"/>
      <c r="AKH54" s="187"/>
      <c r="AKN54" s="188"/>
      <c r="AKO54" s="187"/>
      <c r="AKQ54" s="168"/>
      <c r="AKR54" s="189"/>
      <c r="AKU54" s="188"/>
      <c r="AKV54" s="187"/>
      <c r="ALB54" s="188"/>
      <c r="ALC54" s="187"/>
      <c r="ALI54" s="188"/>
      <c r="ALJ54" s="187"/>
      <c r="ALP54" s="188"/>
      <c r="ALQ54" s="187"/>
      <c r="ALU54" s="168"/>
      <c r="ALV54" s="189"/>
      <c r="ALW54" s="188"/>
      <c r="ALX54" s="187"/>
      <c r="AMD54" s="188"/>
      <c r="AME54" s="187"/>
      <c r="AMK54" s="188"/>
      <c r="AML54" s="187"/>
      <c r="AMR54" s="188"/>
      <c r="AMS54" s="187"/>
      <c r="AMY54" s="188"/>
      <c r="AMZ54" s="190"/>
      <c r="ANA54" s="189"/>
      <c r="ANF54" s="188"/>
      <c r="ANG54" s="187"/>
      <c r="ANM54" s="188"/>
      <c r="ANN54" s="187"/>
      <c r="ANT54" s="188"/>
      <c r="ANU54" s="187"/>
      <c r="AOA54" s="188"/>
      <c r="AOB54" s="187"/>
      <c r="AOD54" s="168"/>
      <c r="AOE54" s="189"/>
      <c r="AOH54" s="188"/>
      <c r="AOI54" s="187"/>
      <c r="AOO54" s="188"/>
      <c r="AOP54" s="187"/>
      <c r="AOV54" s="188"/>
      <c r="AOW54" s="187"/>
      <c r="APC54" s="188"/>
      <c r="APD54" s="187"/>
      <c r="API54" s="168"/>
      <c r="APJ54" s="191"/>
      <c r="APK54" s="187"/>
      <c r="APQ54" s="188"/>
      <c r="APR54" s="187"/>
      <c r="APX54" s="188"/>
      <c r="APY54" s="187"/>
      <c r="AQE54" s="188"/>
      <c r="AQF54" s="187"/>
      <c r="AQL54" s="188"/>
      <c r="AQM54" s="187"/>
      <c r="AQN54" s="168"/>
      <c r="AQO54" s="189"/>
      <c r="AQS54" s="188"/>
      <c r="AQT54" s="187"/>
      <c r="AQZ54" s="188"/>
      <c r="ARA54" s="187"/>
      <c r="ARG54" s="188"/>
      <c r="ARH54" s="187"/>
      <c r="ARN54" s="188"/>
      <c r="ARO54" s="187"/>
      <c r="ARP54" s="168"/>
      <c r="ARQ54" s="189"/>
      <c r="ARU54" s="188"/>
      <c r="ARV54" s="187"/>
      <c r="ASB54" s="188"/>
      <c r="ASC54" s="187"/>
      <c r="ASI54" s="188"/>
      <c r="ASJ54" s="187"/>
      <c r="ASP54" s="188"/>
      <c r="ASQ54" s="187"/>
      <c r="ASU54" s="168"/>
      <c r="ASV54" s="189"/>
      <c r="ASW54" s="188"/>
      <c r="ASX54" s="187"/>
      <c r="ATD54" s="188"/>
      <c r="ATE54" s="187"/>
      <c r="ATK54" s="188"/>
      <c r="ATL54" s="187"/>
      <c r="ATR54" s="188"/>
      <c r="ATS54" s="187"/>
      <c r="ATY54" s="168"/>
      <c r="ATZ54" s="189"/>
      <c r="AUF54" s="188"/>
      <c r="AUG54" s="187"/>
      <c r="AUM54" s="188"/>
      <c r="AUN54" s="187"/>
      <c r="AUT54" s="188"/>
      <c r="AUU54" s="187"/>
      <c r="AVA54" s="188"/>
      <c r="AVB54" s="187"/>
      <c r="AVD54" s="168"/>
      <c r="AVE54" s="189"/>
      <c r="AVH54" s="188"/>
      <c r="AVI54" s="187"/>
      <c r="AVO54" s="188"/>
      <c r="AVP54" s="187"/>
      <c r="AVV54" s="188"/>
      <c r="AVW54" s="187"/>
      <c r="AWC54" s="188"/>
      <c r="AWD54" s="187"/>
      <c r="AWH54" s="168"/>
      <c r="AWI54" s="189"/>
      <c r="AWJ54" s="188"/>
      <c r="AWK54" s="187"/>
      <c r="AWQ54" s="188"/>
      <c r="AWR54" s="187"/>
      <c r="AWX54" s="188"/>
      <c r="AWY54" s="187"/>
      <c r="AXE54" s="188"/>
      <c r="AXF54" s="187"/>
      <c r="AXL54" s="188"/>
      <c r="AXM54" s="190"/>
      <c r="AXN54" s="189"/>
      <c r="AXS54" s="188"/>
      <c r="AXT54" s="187"/>
      <c r="AXZ54" s="188"/>
      <c r="AYA54" s="187"/>
      <c r="AYG54" s="188"/>
      <c r="AYH54" s="187"/>
      <c r="AYN54" s="188"/>
      <c r="AYO54" s="187"/>
      <c r="AYR54" s="168"/>
      <c r="AYS54" s="189"/>
      <c r="AYU54" s="188"/>
      <c r="AYV54" s="187"/>
      <c r="AZB54" s="188"/>
      <c r="AZC54" s="187"/>
      <c r="AZI54" s="188"/>
      <c r="AZJ54" s="187"/>
      <c r="AZP54" s="188"/>
      <c r="AZQ54" s="187"/>
      <c r="AZV54" s="168"/>
      <c r="AZW54" s="191"/>
      <c r="AZX54" s="187"/>
      <c r="BAD54" s="188"/>
      <c r="BAE54" s="187"/>
      <c r="BAK54" s="188"/>
      <c r="BAL54" s="187"/>
      <c r="BAR54" s="188"/>
      <c r="BAS54" s="187"/>
      <c r="BAY54" s="188"/>
      <c r="BAZ54" s="187"/>
      <c r="BBA54" s="168"/>
      <c r="BBB54" s="189"/>
      <c r="BBF54" s="188"/>
      <c r="BBG54" s="187"/>
      <c r="BBM54" s="188"/>
      <c r="BBN54" s="187"/>
      <c r="BBT54" s="188"/>
      <c r="BBU54" s="187"/>
      <c r="BCA54" s="188"/>
      <c r="BCB54" s="187"/>
      <c r="BCE54" s="168"/>
      <c r="BCF54" s="189"/>
      <c r="BCH54" s="188"/>
      <c r="BCI54" s="187"/>
      <c r="BCO54" s="188"/>
      <c r="BCP54" s="187"/>
      <c r="BCV54" s="188"/>
      <c r="BCW54" s="187"/>
      <c r="BDC54" s="188"/>
      <c r="BDD54" s="187"/>
      <c r="BDJ54" s="168"/>
      <c r="BDK54" s="189"/>
      <c r="BDQ54" s="188"/>
      <c r="BDR54" s="187"/>
      <c r="BDX54" s="188"/>
      <c r="BDY54" s="187"/>
      <c r="BEE54" s="188"/>
      <c r="BEF54" s="187"/>
      <c r="BEL54" s="188"/>
      <c r="BEM54" s="187"/>
      <c r="BEO54" s="168"/>
      <c r="BEP54" s="189"/>
      <c r="BES54" s="188"/>
      <c r="BET54" s="187"/>
      <c r="BEZ54" s="188"/>
      <c r="BFA54" s="187"/>
      <c r="BFG54" s="188"/>
      <c r="BFH54" s="187"/>
      <c r="BFN54" s="188"/>
      <c r="BFO54" s="187"/>
      <c r="BFQ54" s="168"/>
      <c r="BFR54" s="189"/>
      <c r="BFU54" s="188"/>
      <c r="BFV54" s="187"/>
      <c r="BGB54" s="188"/>
      <c r="BGC54" s="187"/>
      <c r="BGI54" s="188"/>
      <c r="BGJ54" s="187"/>
      <c r="BGP54" s="188"/>
      <c r="BGQ54" s="187"/>
      <c r="BGV54" s="168"/>
      <c r="BGW54" s="191"/>
      <c r="BGX54" s="187"/>
      <c r="BHD54" s="188"/>
      <c r="BHE54" s="187"/>
      <c r="BHK54" s="188"/>
      <c r="BHL54" s="187"/>
      <c r="BHR54" s="188"/>
      <c r="BHS54" s="187"/>
      <c r="BHY54" s="188"/>
      <c r="BHZ54" s="190"/>
      <c r="BIA54" s="189"/>
      <c r="BIF54" s="188"/>
      <c r="BIG54" s="187"/>
      <c r="BIM54" s="188"/>
      <c r="BIN54" s="187"/>
      <c r="BIT54" s="188"/>
      <c r="BIU54" s="187"/>
      <c r="BJA54" s="188"/>
      <c r="BJB54" s="187"/>
      <c r="BJE54" s="168"/>
      <c r="BJF54" s="189"/>
      <c r="BJH54" s="188"/>
      <c r="BJI54" s="187"/>
      <c r="BJO54" s="188"/>
      <c r="BJP54" s="187"/>
      <c r="BJV54" s="188"/>
      <c r="BJW54" s="187"/>
      <c r="BKC54" s="188"/>
      <c r="BKD54" s="187"/>
      <c r="BKI54" s="168"/>
      <c r="BKJ54" s="191"/>
      <c r="BKK54" s="187"/>
      <c r="BKQ54" s="188"/>
      <c r="BKR54" s="187"/>
      <c r="BKX54" s="188"/>
      <c r="BKY54" s="187"/>
      <c r="BLE54" s="188"/>
      <c r="BLF54" s="187"/>
      <c r="BLL54" s="188"/>
      <c r="BLM54" s="187"/>
      <c r="BLN54" s="168"/>
      <c r="BLO54" s="189"/>
      <c r="BLS54" s="188"/>
      <c r="BLT54" s="187"/>
      <c r="BLZ54" s="188"/>
      <c r="BMA54" s="187"/>
      <c r="BMG54" s="188"/>
      <c r="BMH54" s="187"/>
      <c r="BMN54" s="188"/>
      <c r="BMO54" s="187"/>
      <c r="BMS54" s="168"/>
      <c r="BMT54" s="189"/>
      <c r="BMU54" s="188"/>
      <c r="BMV54" s="187"/>
      <c r="BNB54" s="188"/>
      <c r="BNC54" s="187"/>
      <c r="BNI54" s="188"/>
      <c r="BNJ54" s="187"/>
      <c r="BNP54" s="188"/>
      <c r="BNQ54" s="187"/>
      <c r="BNW54" s="168"/>
      <c r="BNX54" s="189"/>
      <c r="BOD54" s="188"/>
      <c r="BOE54" s="187"/>
      <c r="BOK54" s="188"/>
      <c r="BOL54" s="187"/>
      <c r="BOR54" s="188"/>
      <c r="BOS54" s="187"/>
      <c r="BOY54" s="188"/>
      <c r="BOZ54" s="187"/>
      <c r="BPB54" s="168"/>
      <c r="BPC54" s="189"/>
      <c r="BPF54" s="188"/>
      <c r="BPG54" s="187"/>
      <c r="BPM54" s="188"/>
      <c r="BPN54" s="187"/>
      <c r="BPT54" s="188"/>
      <c r="BPU54" s="187"/>
      <c r="BQA54" s="188"/>
      <c r="BQB54" s="187"/>
      <c r="BQF54" s="168"/>
      <c r="BQG54" s="189"/>
      <c r="BQH54" s="188"/>
      <c r="BQI54" s="187"/>
      <c r="BQO54" s="188"/>
      <c r="BQP54" s="187"/>
      <c r="BQV54" s="188"/>
      <c r="BQW54" s="187"/>
      <c r="BRC54" s="188"/>
      <c r="BRD54" s="187"/>
      <c r="BRJ54" s="188"/>
      <c r="BRK54" s="190"/>
      <c r="BRL54" s="189"/>
      <c r="BRQ54" s="188"/>
      <c r="BRR54" s="187"/>
      <c r="BRX54" s="188"/>
      <c r="BRY54" s="187"/>
      <c r="BSE54" s="188"/>
      <c r="BSF54" s="187"/>
      <c r="BSL54" s="188"/>
      <c r="BSM54" s="187"/>
      <c r="BSP54" s="168"/>
      <c r="BSQ54" s="189"/>
      <c r="BSS54" s="188"/>
      <c r="BST54" s="187"/>
      <c r="BSZ54" s="188"/>
      <c r="BTA54" s="187"/>
      <c r="BTG54" s="188"/>
      <c r="BTH54" s="187"/>
      <c r="BTN54" s="188"/>
      <c r="BTO54" s="187"/>
      <c r="BTS54" s="168"/>
      <c r="BTT54" s="189"/>
      <c r="BTU54" s="188"/>
      <c r="BTV54" s="187"/>
      <c r="BUB54" s="188"/>
      <c r="BUC54" s="187"/>
      <c r="BUI54" s="188"/>
      <c r="BUJ54" s="187"/>
      <c r="BUP54" s="188"/>
      <c r="BUQ54" s="187"/>
      <c r="BUW54" s="188"/>
      <c r="BUX54" s="190"/>
      <c r="BUY54" s="189"/>
      <c r="BVD54" s="188"/>
      <c r="BVE54" s="187"/>
      <c r="BVK54" s="188"/>
      <c r="BVL54" s="187"/>
      <c r="BVR54" s="188"/>
      <c r="BVS54" s="187"/>
      <c r="BVY54" s="188"/>
      <c r="BVZ54" s="187"/>
      <c r="BWB54" s="168"/>
      <c r="BWC54" s="189"/>
      <c r="BWF54" s="188"/>
      <c r="BWG54" s="187"/>
      <c r="BWM54" s="188"/>
      <c r="BWN54" s="187"/>
      <c r="BWT54" s="188"/>
      <c r="BWU54" s="187"/>
      <c r="BXA54" s="188"/>
      <c r="BXB54" s="187"/>
      <c r="BXG54" s="168"/>
      <c r="BXH54" s="191"/>
      <c r="BXI54" s="187"/>
      <c r="BXO54" s="188"/>
      <c r="BXP54" s="187"/>
      <c r="BXV54" s="188"/>
      <c r="BXW54" s="187"/>
      <c r="BYC54" s="188"/>
      <c r="BYD54" s="187"/>
      <c r="BYJ54" s="188"/>
      <c r="BYK54" s="190"/>
      <c r="BYL54" s="189"/>
      <c r="BYQ54" s="188"/>
      <c r="BYR54" s="187"/>
      <c r="BYX54" s="188"/>
      <c r="BYY54" s="187"/>
      <c r="BZE54" s="188"/>
      <c r="BZF54" s="187"/>
      <c r="BZL54" s="188"/>
      <c r="BZM54" s="187"/>
      <c r="BZP54" s="168"/>
      <c r="BZQ54" s="189"/>
      <c r="BZS54" s="188"/>
      <c r="BZT54" s="187"/>
      <c r="BZZ54" s="188"/>
      <c r="CAA54" s="187"/>
      <c r="CAG54" s="188"/>
      <c r="CAH54" s="187"/>
      <c r="CAN54" s="188"/>
      <c r="CAO54" s="187"/>
      <c r="CAU54" s="168"/>
      <c r="CAV54" s="189"/>
      <c r="CBB54" s="188"/>
      <c r="CBC54" s="187"/>
      <c r="CBI54" s="188"/>
      <c r="CBJ54" s="187"/>
      <c r="CBP54" s="188"/>
      <c r="CBQ54" s="187"/>
      <c r="CBW54" s="188"/>
      <c r="CBX54" s="187"/>
      <c r="CBY54" s="168"/>
      <c r="CBZ54" s="189"/>
      <c r="CCD54" s="188"/>
      <c r="CCE54" s="187"/>
      <c r="CCK54" s="188"/>
      <c r="CCL54" s="187"/>
      <c r="CCR54" s="188"/>
      <c r="CCS54" s="187"/>
      <c r="CCY54" s="188"/>
      <c r="CCZ54" s="187"/>
      <c r="CDD54" s="168"/>
      <c r="CDE54" s="189"/>
      <c r="CDF54" s="188"/>
      <c r="CDG54" s="187"/>
      <c r="CDM54" s="188"/>
      <c r="CDN54" s="187"/>
      <c r="CDT54" s="188"/>
      <c r="CDU54" s="187"/>
      <c r="CEA54" s="188"/>
      <c r="CEB54" s="187"/>
      <c r="CEH54" s="168"/>
      <c r="CEI54" s="189"/>
      <c r="CEO54" s="188"/>
      <c r="CEP54" s="187"/>
      <c r="CEV54" s="188"/>
      <c r="CEW54" s="187"/>
      <c r="CFC54" s="188"/>
      <c r="CFD54" s="187"/>
      <c r="CFJ54" s="188"/>
      <c r="CFK54" s="187"/>
    </row>
    <row r="55" spans="1:1019 1025:2048 2054:2195">
      <c r="A55" s="164" t="s">
        <v>319</v>
      </c>
      <c r="D55" s="186"/>
      <c r="E55" s="186"/>
      <c r="K55" s="187"/>
      <c r="Q55" s="188"/>
      <c r="R55" s="187"/>
      <c r="X55" s="188"/>
      <c r="Y55" s="187"/>
      <c r="AE55" s="188"/>
      <c r="AF55" s="187"/>
      <c r="AJ55" s="168"/>
      <c r="AK55" s="189"/>
      <c r="AL55" s="188"/>
      <c r="AM55" s="187"/>
      <c r="AS55" s="188"/>
      <c r="AT55" s="187"/>
      <c r="AZ55" s="188"/>
      <c r="BA55" s="187"/>
      <c r="BG55" s="188"/>
      <c r="BH55" s="187"/>
      <c r="BL55" s="168"/>
      <c r="BM55" s="189"/>
      <c r="BN55" s="188"/>
      <c r="BO55" s="187"/>
      <c r="BU55" s="188"/>
      <c r="BV55" s="187"/>
      <c r="CB55" s="188"/>
      <c r="CC55" s="187"/>
      <c r="CI55" s="188"/>
      <c r="CJ55" s="187"/>
      <c r="CP55" s="188"/>
      <c r="CQ55" s="190"/>
      <c r="CR55" s="189"/>
      <c r="CW55" s="188"/>
      <c r="CX55" s="187"/>
      <c r="DD55" s="188"/>
      <c r="DE55" s="187"/>
      <c r="DK55" s="188"/>
      <c r="DL55" s="187"/>
      <c r="DR55" s="188"/>
      <c r="DS55" s="187"/>
      <c r="DU55" s="168"/>
      <c r="DV55" s="189"/>
      <c r="DY55" s="188"/>
      <c r="DZ55" s="187"/>
      <c r="EF55" s="188"/>
      <c r="EG55" s="187"/>
      <c r="EM55" s="188"/>
      <c r="EN55" s="187"/>
      <c r="ET55" s="188"/>
      <c r="EU55" s="187"/>
      <c r="EZ55" s="168"/>
      <c r="FA55" s="191"/>
      <c r="FB55" s="187"/>
      <c r="FH55" s="188"/>
      <c r="FI55" s="187"/>
      <c r="FO55" s="188"/>
      <c r="FP55" s="187"/>
      <c r="FV55" s="188"/>
      <c r="FW55" s="187"/>
      <c r="GC55" s="188"/>
      <c r="GD55" s="190"/>
      <c r="GE55" s="189"/>
      <c r="GJ55" s="188"/>
      <c r="GK55" s="187"/>
      <c r="GQ55" s="188"/>
      <c r="GR55" s="187"/>
      <c r="GX55" s="188"/>
      <c r="GY55" s="187"/>
      <c r="HE55" s="188"/>
      <c r="HF55" s="187"/>
      <c r="HI55" s="168"/>
      <c r="HJ55" s="189"/>
      <c r="HL55" s="188"/>
      <c r="HM55" s="187"/>
      <c r="HS55" s="188"/>
      <c r="HT55" s="187"/>
      <c r="HZ55" s="188"/>
      <c r="IA55" s="187"/>
      <c r="IG55" s="188"/>
      <c r="IH55" s="187"/>
      <c r="IN55" s="168"/>
      <c r="IO55" s="189"/>
      <c r="IU55" s="188"/>
      <c r="IV55" s="187"/>
      <c r="JB55" s="188"/>
      <c r="JC55" s="187"/>
      <c r="JI55" s="188"/>
      <c r="JJ55" s="187"/>
      <c r="JP55" s="188"/>
      <c r="JQ55" s="187"/>
      <c r="JR55" s="168"/>
      <c r="JS55" s="189"/>
      <c r="JW55" s="188"/>
      <c r="JX55" s="187"/>
      <c r="KD55" s="188"/>
      <c r="KE55" s="187"/>
      <c r="KK55" s="188"/>
      <c r="KL55" s="187"/>
      <c r="KR55" s="188"/>
      <c r="KS55" s="187"/>
      <c r="KW55" s="168"/>
      <c r="KX55" s="189"/>
      <c r="KY55" s="188"/>
      <c r="KZ55" s="187"/>
      <c r="LF55" s="188"/>
      <c r="LG55" s="187"/>
      <c r="LM55" s="188"/>
      <c r="LN55" s="187"/>
      <c r="LT55" s="188"/>
      <c r="LU55" s="187"/>
      <c r="MA55" s="168"/>
      <c r="MB55" s="189"/>
      <c r="MH55" s="188"/>
      <c r="MI55" s="187"/>
      <c r="MO55" s="188"/>
      <c r="MP55" s="187"/>
      <c r="MV55" s="188"/>
      <c r="MW55" s="187"/>
      <c r="NC55" s="188"/>
      <c r="ND55" s="187"/>
      <c r="NF55" s="168"/>
      <c r="NG55" s="189"/>
      <c r="NJ55" s="188"/>
      <c r="NK55" s="187"/>
      <c r="NQ55" s="188"/>
      <c r="NR55" s="187"/>
      <c r="NX55" s="188"/>
      <c r="NY55" s="187"/>
      <c r="OE55" s="188"/>
      <c r="OF55" s="187"/>
      <c r="OK55" s="168"/>
      <c r="OL55" s="191"/>
      <c r="OM55" s="187"/>
      <c r="OS55" s="188"/>
      <c r="OT55" s="187"/>
      <c r="OZ55" s="188"/>
      <c r="PA55" s="187"/>
      <c r="PG55" s="188"/>
      <c r="PH55" s="187"/>
      <c r="PN55" s="168"/>
      <c r="PO55" s="189"/>
      <c r="PU55" s="188"/>
      <c r="PV55" s="187"/>
      <c r="QB55" s="188"/>
      <c r="QC55" s="187"/>
      <c r="QI55" s="188"/>
      <c r="QJ55" s="187"/>
      <c r="QP55" s="188"/>
      <c r="QQ55" s="187"/>
      <c r="QS55" s="168"/>
      <c r="QT55" s="189"/>
      <c r="QW55" s="188"/>
      <c r="QX55" s="187"/>
      <c r="RD55" s="188"/>
      <c r="RE55" s="187"/>
      <c r="RK55" s="188"/>
      <c r="RL55" s="187"/>
      <c r="RR55" s="188"/>
      <c r="RS55" s="187"/>
      <c r="RW55" s="168"/>
      <c r="RX55" s="189"/>
      <c r="RY55" s="188"/>
      <c r="RZ55" s="187"/>
      <c r="SF55" s="188"/>
      <c r="SG55" s="187"/>
      <c r="SM55" s="188"/>
      <c r="SN55" s="187"/>
      <c r="ST55" s="188"/>
      <c r="SU55" s="187"/>
      <c r="TA55" s="188"/>
      <c r="TB55" s="190"/>
      <c r="TC55" s="189"/>
      <c r="TH55" s="188"/>
      <c r="TI55" s="187"/>
      <c r="TO55" s="188"/>
      <c r="TP55" s="187"/>
      <c r="TV55" s="188"/>
      <c r="TW55" s="187"/>
      <c r="UC55" s="188"/>
      <c r="UD55" s="187"/>
      <c r="UF55" s="168"/>
      <c r="UG55" s="189"/>
      <c r="UJ55" s="188"/>
      <c r="UK55" s="187"/>
      <c r="UQ55" s="188"/>
      <c r="UR55" s="187"/>
      <c r="UX55" s="188"/>
      <c r="UY55" s="187"/>
      <c r="VE55" s="188"/>
      <c r="VF55" s="187"/>
      <c r="VK55" s="168"/>
      <c r="VL55" s="191"/>
      <c r="VM55" s="187"/>
      <c r="VS55" s="188"/>
      <c r="VT55" s="187"/>
      <c r="VZ55" s="188"/>
      <c r="WA55" s="187"/>
      <c r="WG55" s="188"/>
      <c r="WH55" s="187"/>
      <c r="WN55" s="188"/>
      <c r="WO55" s="187"/>
      <c r="WP55" s="168"/>
      <c r="WQ55" s="189"/>
      <c r="WU55" s="188"/>
      <c r="WV55" s="187"/>
      <c r="XB55" s="188"/>
      <c r="XC55" s="187"/>
      <c r="XI55" s="188"/>
      <c r="XJ55" s="187"/>
      <c r="XP55" s="188"/>
      <c r="XQ55" s="187"/>
      <c r="XT55" s="168"/>
      <c r="XU55" s="189"/>
      <c r="XW55" s="188"/>
      <c r="XX55" s="187"/>
      <c r="YD55" s="188"/>
      <c r="YE55" s="187"/>
      <c r="YK55" s="188"/>
      <c r="YL55" s="187"/>
      <c r="YR55" s="188"/>
      <c r="YS55" s="187"/>
      <c r="YY55" s="168"/>
      <c r="YZ55" s="189"/>
      <c r="ZF55" s="188"/>
      <c r="ZG55" s="187"/>
      <c r="ZM55" s="188"/>
      <c r="ZN55" s="187"/>
      <c r="ZT55" s="188"/>
      <c r="ZU55" s="187"/>
      <c r="AAA55" s="188"/>
      <c r="AAB55" s="187"/>
      <c r="AAC55" s="168"/>
      <c r="AAD55" s="189"/>
      <c r="AAH55" s="188"/>
      <c r="AAI55" s="187"/>
      <c r="AAO55" s="188"/>
      <c r="AAP55" s="187"/>
      <c r="AAV55" s="188"/>
      <c r="AAW55" s="187"/>
      <c r="ABC55" s="188"/>
      <c r="ABD55" s="187"/>
      <c r="ABH55" s="168"/>
      <c r="ABI55" s="189"/>
      <c r="ABJ55" s="188"/>
      <c r="ABK55" s="187"/>
      <c r="ABQ55" s="188"/>
      <c r="ABR55" s="187"/>
      <c r="ABX55" s="188"/>
      <c r="ABY55" s="187"/>
      <c r="ACE55" s="188"/>
      <c r="ACF55" s="187"/>
      <c r="ACL55" s="188"/>
      <c r="ACM55" s="190"/>
      <c r="ACN55" s="189"/>
      <c r="ACS55" s="188"/>
      <c r="ACT55" s="187"/>
      <c r="ACZ55" s="188"/>
      <c r="ADA55" s="187"/>
      <c r="ADG55" s="188"/>
      <c r="ADH55" s="187"/>
      <c r="ADN55" s="188"/>
      <c r="ADO55" s="190"/>
      <c r="ADP55" s="189"/>
      <c r="ADU55" s="188"/>
      <c r="ADV55" s="187"/>
      <c r="AEB55" s="188"/>
      <c r="AEC55" s="187"/>
      <c r="AEI55" s="188"/>
      <c r="AEJ55" s="187"/>
      <c r="AEP55" s="188"/>
      <c r="AEQ55" s="187"/>
      <c r="AET55" s="168"/>
      <c r="AEU55" s="189"/>
      <c r="AEW55" s="188"/>
      <c r="AEX55" s="187"/>
      <c r="AFD55" s="188"/>
      <c r="AFE55" s="187"/>
      <c r="AFK55" s="188"/>
      <c r="AFL55" s="187"/>
      <c r="AFR55" s="188"/>
      <c r="AFS55" s="187"/>
      <c r="AFX55" s="168"/>
      <c r="AFY55" s="191"/>
      <c r="AFZ55" s="187"/>
      <c r="AGF55" s="188"/>
      <c r="AGG55" s="187"/>
      <c r="AGM55" s="188"/>
      <c r="AGN55" s="187"/>
      <c r="AGT55" s="188"/>
      <c r="AGU55" s="187"/>
      <c r="AHA55" s="188"/>
      <c r="AHB55" s="187"/>
      <c r="AHC55" s="168"/>
      <c r="AHD55" s="189"/>
      <c r="AHH55" s="188"/>
      <c r="AHI55" s="187"/>
      <c r="AHO55" s="188"/>
      <c r="AHP55" s="187"/>
      <c r="AHV55" s="188"/>
      <c r="AHW55" s="187"/>
      <c r="AIC55" s="188"/>
      <c r="AID55" s="187"/>
      <c r="AIG55" s="168"/>
      <c r="AIH55" s="189"/>
      <c r="AIJ55" s="188"/>
      <c r="AIK55" s="187"/>
      <c r="AIQ55" s="188"/>
      <c r="AIR55" s="187"/>
      <c r="AIX55" s="188"/>
      <c r="AIY55" s="187"/>
      <c r="AJE55" s="188"/>
      <c r="AJF55" s="187"/>
      <c r="AJL55" s="168"/>
      <c r="AJM55" s="189"/>
      <c r="AJS55" s="188"/>
      <c r="AJT55" s="187"/>
      <c r="AJZ55" s="188"/>
      <c r="AKA55" s="187"/>
      <c r="AKG55" s="188"/>
      <c r="AKH55" s="187"/>
      <c r="AKN55" s="188"/>
      <c r="AKO55" s="187"/>
      <c r="AKQ55" s="168"/>
      <c r="AKR55" s="189"/>
      <c r="AKU55" s="188"/>
      <c r="AKV55" s="187"/>
      <c r="ALB55" s="188"/>
      <c r="ALC55" s="187"/>
      <c r="ALI55" s="188"/>
      <c r="ALJ55" s="187"/>
      <c r="ALP55" s="188"/>
      <c r="ALQ55" s="187"/>
      <c r="ALU55" s="168"/>
      <c r="ALV55" s="189"/>
      <c r="ALW55" s="188"/>
      <c r="ALX55" s="187"/>
      <c r="AMD55" s="188"/>
      <c r="AME55" s="187"/>
      <c r="AMK55" s="188"/>
      <c r="AML55" s="187"/>
      <c r="AMR55" s="188"/>
      <c r="AMS55" s="187"/>
      <c r="AMY55" s="188"/>
      <c r="AMZ55" s="190"/>
      <c r="ANA55" s="189"/>
      <c r="ANF55" s="188"/>
      <c r="ANG55" s="187"/>
      <c r="ANM55" s="188"/>
      <c r="ANN55" s="187"/>
      <c r="ANT55" s="188"/>
      <c r="ANU55" s="187"/>
      <c r="AOA55" s="188"/>
      <c r="AOB55" s="187"/>
      <c r="AOD55" s="168"/>
      <c r="AOE55" s="189"/>
      <c r="AOH55" s="188"/>
      <c r="AOI55" s="187"/>
      <c r="AOO55" s="188"/>
      <c r="AOP55" s="187"/>
      <c r="AOV55" s="188"/>
      <c r="AOW55" s="187"/>
      <c r="APC55" s="188"/>
      <c r="APD55" s="187"/>
      <c r="API55" s="168"/>
      <c r="APJ55" s="191"/>
      <c r="APK55" s="187"/>
      <c r="APQ55" s="188"/>
      <c r="APR55" s="187"/>
      <c r="APX55" s="188"/>
      <c r="APY55" s="187"/>
      <c r="AQE55" s="188"/>
      <c r="AQF55" s="187"/>
      <c r="AQL55" s="188"/>
      <c r="AQM55" s="187"/>
      <c r="AQN55" s="168"/>
      <c r="AQO55" s="189"/>
      <c r="AQS55" s="188"/>
      <c r="AQT55" s="187"/>
      <c r="AQZ55" s="188"/>
      <c r="ARA55" s="187"/>
      <c r="ARG55" s="188"/>
      <c r="ARH55" s="187"/>
      <c r="ARN55" s="188"/>
      <c r="ARO55" s="187"/>
      <c r="ARP55" s="168"/>
      <c r="ARQ55" s="189"/>
      <c r="ARU55" s="188"/>
      <c r="ARV55" s="187"/>
      <c r="ASB55" s="188"/>
      <c r="ASC55" s="187"/>
      <c r="ASI55" s="188"/>
      <c r="ASJ55" s="187"/>
      <c r="ASP55" s="188"/>
      <c r="ASQ55" s="187"/>
      <c r="ASU55" s="168"/>
      <c r="ASV55" s="189"/>
      <c r="ASW55" s="188"/>
      <c r="ASX55" s="187"/>
      <c r="ATD55" s="188"/>
      <c r="ATE55" s="187"/>
      <c r="ATK55" s="188"/>
      <c r="ATL55" s="187"/>
      <c r="ATR55" s="188"/>
      <c r="ATS55" s="187"/>
      <c r="ATY55" s="168"/>
      <c r="ATZ55" s="189"/>
      <c r="AUF55" s="188"/>
      <c r="AUG55" s="187"/>
      <c r="AUM55" s="188"/>
      <c r="AUN55" s="187"/>
      <c r="AUT55" s="188"/>
      <c r="AUU55" s="187"/>
      <c r="AVA55" s="188"/>
      <c r="AVB55" s="187"/>
      <c r="AVD55" s="168"/>
      <c r="AVE55" s="189"/>
      <c r="AVH55" s="188"/>
      <c r="AVI55" s="187"/>
      <c r="AVO55" s="188"/>
      <c r="AVP55" s="187"/>
      <c r="AVV55" s="188"/>
      <c r="AVW55" s="187"/>
      <c r="AWC55" s="188"/>
      <c r="AWD55" s="187"/>
      <c r="AWH55" s="168"/>
      <c r="AWI55" s="189"/>
      <c r="AWJ55" s="188"/>
      <c r="AWK55" s="187"/>
      <c r="AWQ55" s="188"/>
      <c r="AWR55" s="187"/>
      <c r="AWX55" s="188"/>
      <c r="AWY55" s="187"/>
      <c r="AXE55" s="188"/>
      <c r="AXF55" s="187"/>
      <c r="AXL55" s="188"/>
      <c r="AXM55" s="190"/>
      <c r="AXN55" s="189"/>
      <c r="AXS55" s="188"/>
      <c r="AXT55" s="187"/>
      <c r="AXZ55" s="188"/>
      <c r="AYA55" s="187"/>
      <c r="AYG55" s="188"/>
      <c r="AYH55" s="187"/>
      <c r="AYN55" s="188"/>
      <c r="AYO55" s="187"/>
      <c r="AYR55" s="168"/>
      <c r="AYS55" s="189"/>
      <c r="AYU55" s="188"/>
      <c r="AYV55" s="187"/>
      <c r="AZB55" s="188"/>
      <c r="AZC55" s="187"/>
      <c r="AZI55" s="188"/>
      <c r="AZJ55" s="187"/>
      <c r="AZP55" s="188"/>
      <c r="AZQ55" s="187"/>
      <c r="AZV55" s="168"/>
      <c r="AZW55" s="191"/>
      <c r="AZX55" s="187"/>
      <c r="BAD55" s="188"/>
      <c r="BAE55" s="187"/>
      <c r="BAK55" s="188"/>
      <c r="BAL55" s="187"/>
      <c r="BAR55" s="188"/>
      <c r="BAS55" s="187"/>
      <c r="BAY55" s="188"/>
      <c r="BAZ55" s="187"/>
      <c r="BBA55" s="168"/>
      <c r="BBB55" s="189"/>
      <c r="BBF55" s="188"/>
      <c r="BBG55" s="187"/>
      <c r="BBM55" s="188"/>
      <c r="BBN55" s="187"/>
      <c r="BBT55" s="188"/>
      <c r="BBU55" s="187"/>
      <c r="BCA55" s="188"/>
      <c r="BCB55" s="187"/>
      <c r="BCE55" s="168"/>
      <c r="BCF55" s="189"/>
      <c r="BCH55" s="188"/>
      <c r="BCI55" s="187"/>
      <c r="BCO55" s="188"/>
      <c r="BCP55" s="187"/>
      <c r="BCV55" s="188"/>
      <c r="BCW55" s="187"/>
      <c r="BDC55" s="188"/>
      <c r="BDD55" s="187"/>
      <c r="BDJ55" s="168"/>
      <c r="BDK55" s="189"/>
      <c r="BDQ55" s="188"/>
      <c r="BDR55" s="187"/>
      <c r="BDX55" s="188"/>
      <c r="BDY55" s="187"/>
      <c r="BEE55" s="188"/>
      <c r="BEF55" s="187"/>
      <c r="BEL55" s="188"/>
      <c r="BEM55" s="187"/>
      <c r="BEO55" s="168"/>
      <c r="BEP55" s="189"/>
      <c r="BES55" s="188"/>
      <c r="BET55" s="187"/>
      <c r="BEZ55" s="188"/>
      <c r="BFA55" s="187"/>
      <c r="BFG55" s="188"/>
      <c r="BFH55" s="187"/>
      <c r="BFN55" s="188"/>
      <c r="BFO55" s="187"/>
      <c r="BFQ55" s="168"/>
      <c r="BFR55" s="189"/>
      <c r="BFU55" s="188"/>
      <c r="BFV55" s="187"/>
      <c r="BGB55" s="188"/>
      <c r="BGC55" s="187"/>
      <c r="BGI55" s="188"/>
      <c r="BGJ55" s="187"/>
      <c r="BGP55" s="188"/>
      <c r="BGQ55" s="187"/>
      <c r="BGV55" s="168"/>
      <c r="BGW55" s="191"/>
      <c r="BGX55" s="187"/>
      <c r="BHD55" s="188"/>
      <c r="BHE55" s="187"/>
      <c r="BHK55" s="188"/>
      <c r="BHL55" s="187"/>
      <c r="BHR55" s="188"/>
      <c r="BHS55" s="187"/>
      <c r="BHY55" s="188"/>
      <c r="BHZ55" s="190"/>
      <c r="BIA55" s="189"/>
      <c r="BIF55" s="188"/>
      <c r="BIG55" s="187"/>
      <c r="BIM55" s="188"/>
      <c r="BIN55" s="187"/>
      <c r="BIT55" s="188"/>
      <c r="BIU55" s="187"/>
      <c r="BJA55" s="188"/>
      <c r="BJB55" s="187"/>
      <c r="BJE55" s="168"/>
      <c r="BJF55" s="189"/>
      <c r="BJH55" s="188"/>
      <c r="BJI55" s="187"/>
      <c r="BJO55" s="188"/>
      <c r="BJP55" s="187"/>
      <c r="BJV55" s="188"/>
      <c r="BJW55" s="187"/>
      <c r="BKC55" s="188"/>
      <c r="BKD55" s="187"/>
      <c r="BKI55" s="168"/>
      <c r="BKJ55" s="191"/>
      <c r="BKK55" s="187"/>
      <c r="BKQ55" s="188"/>
      <c r="BKR55" s="187"/>
      <c r="BKX55" s="188"/>
      <c r="BKY55" s="187"/>
      <c r="BLE55" s="188"/>
      <c r="BLF55" s="187"/>
      <c r="BLL55" s="188"/>
      <c r="BLM55" s="187"/>
      <c r="BLN55" s="168"/>
      <c r="BLO55" s="189"/>
      <c r="BLS55" s="188"/>
      <c r="BLT55" s="187"/>
      <c r="BLZ55" s="188"/>
      <c r="BMA55" s="187"/>
      <c r="BMG55" s="188"/>
      <c r="BMH55" s="187"/>
      <c r="BMN55" s="188"/>
      <c r="BMO55" s="187"/>
      <c r="BMS55" s="168"/>
      <c r="BMT55" s="189"/>
      <c r="BMU55" s="188"/>
      <c r="BMV55" s="187"/>
      <c r="BNB55" s="188"/>
      <c r="BNC55" s="187"/>
      <c r="BNI55" s="188"/>
      <c r="BNJ55" s="187"/>
      <c r="BNP55" s="188"/>
      <c r="BNQ55" s="187"/>
      <c r="BNW55" s="168"/>
      <c r="BNX55" s="189"/>
      <c r="BOD55" s="188"/>
      <c r="BOE55" s="187"/>
      <c r="BOK55" s="188"/>
      <c r="BOL55" s="187"/>
      <c r="BOR55" s="188"/>
      <c r="BOS55" s="187"/>
      <c r="BOY55" s="188"/>
      <c r="BOZ55" s="187"/>
      <c r="BPB55" s="168"/>
      <c r="BPC55" s="189"/>
      <c r="BPF55" s="188"/>
      <c r="BPG55" s="187"/>
      <c r="BPM55" s="188"/>
      <c r="BPN55" s="187"/>
      <c r="BPT55" s="188"/>
      <c r="BPU55" s="187"/>
      <c r="BQA55" s="188"/>
      <c r="BQB55" s="187"/>
      <c r="BQF55" s="168"/>
      <c r="BQG55" s="189"/>
      <c r="BQH55" s="188"/>
      <c r="BQI55" s="187"/>
      <c r="BQO55" s="188"/>
      <c r="BQP55" s="187"/>
      <c r="BQV55" s="188"/>
      <c r="BQW55" s="187"/>
      <c r="BRC55" s="188"/>
      <c r="BRD55" s="187"/>
      <c r="BRJ55" s="188"/>
      <c r="BRK55" s="190"/>
      <c r="BRL55" s="189"/>
      <c r="BRQ55" s="188"/>
      <c r="BRR55" s="187"/>
      <c r="BRX55" s="188"/>
      <c r="BRY55" s="187"/>
      <c r="BSE55" s="188"/>
      <c r="BSF55" s="187"/>
      <c r="BSL55" s="188"/>
      <c r="BSM55" s="187"/>
      <c r="BSP55" s="168"/>
      <c r="BSQ55" s="189"/>
      <c r="BSS55" s="188"/>
      <c r="BST55" s="187"/>
      <c r="BSZ55" s="188"/>
      <c r="BTA55" s="187"/>
      <c r="BTG55" s="188"/>
      <c r="BTH55" s="187"/>
      <c r="BTN55" s="188"/>
      <c r="BTO55" s="187"/>
      <c r="BTS55" s="168"/>
      <c r="BTT55" s="189"/>
      <c r="BTU55" s="188"/>
      <c r="BTV55" s="187"/>
      <c r="BUB55" s="188"/>
      <c r="BUC55" s="187"/>
      <c r="BUI55" s="188"/>
      <c r="BUJ55" s="187"/>
      <c r="BUP55" s="188"/>
      <c r="BUQ55" s="187"/>
      <c r="BUW55" s="188"/>
      <c r="BUX55" s="190"/>
      <c r="BUY55" s="189"/>
      <c r="BVD55" s="188"/>
      <c r="BVE55" s="187"/>
      <c r="BVK55" s="188"/>
      <c r="BVL55" s="187"/>
      <c r="BVR55" s="188"/>
      <c r="BVS55" s="187"/>
      <c r="BVY55" s="188"/>
      <c r="BVZ55" s="187"/>
      <c r="BWB55" s="168"/>
      <c r="BWC55" s="189"/>
      <c r="BWF55" s="188"/>
      <c r="BWG55" s="187"/>
      <c r="BWM55" s="188"/>
      <c r="BWN55" s="187"/>
      <c r="BWT55" s="188"/>
      <c r="BWU55" s="187"/>
      <c r="BXA55" s="188"/>
      <c r="BXB55" s="187"/>
      <c r="BXG55" s="168"/>
      <c r="BXH55" s="191"/>
      <c r="BXI55" s="187"/>
      <c r="BXO55" s="188"/>
      <c r="BXP55" s="187"/>
      <c r="BXV55" s="188"/>
      <c r="BXW55" s="187"/>
      <c r="BYC55" s="188"/>
      <c r="BYD55" s="187"/>
      <c r="BYJ55" s="188"/>
      <c r="BYK55" s="190"/>
      <c r="BYL55" s="189"/>
      <c r="BYQ55" s="188"/>
      <c r="BYR55" s="187"/>
      <c r="BYX55" s="188"/>
      <c r="BYY55" s="187"/>
      <c r="BZE55" s="188"/>
      <c r="BZF55" s="187"/>
      <c r="BZL55" s="188"/>
      <c r="BZM55" s="187"/>
      <c r="BZP55" s="168"/>
      <c r="BZQ55" s="189"/>
      <c r="BZS55" s="188"/>
      <c r="BZT55" s="187"/>
      <c r="BZZ55" s="188"/>
      <c r="CAA55" s="187"/>
      <c r="CAG55" s="188"/>
      <c r="CAH55" s="187"/>
      <c r="CAN55" s="188"/>
      <c r="CAO55" s="187"/>
      <c r="CAU55" s="168"/>
      <c r="CAV55" s="189"/>
      <c r="CBB55" s="188"/>
      <c r="CBC55" s="187"/>
      <c r="CBI55" s="188"/>
      <c r="CBJ55" s="187"/>
      <c r="CBP55" s="188"/>
      <c r="CBQ55" s="187"/>
      <c r="CBW55" s="188"/>
      <c r="CBX55" s="187"/>
      <c r="CBY55" s="168"/>
      <c r="CBZ55" s="189"/>
      <c r="CCD55" s="188"/>
      <c r="CCE55" s="187"/>
      <c r="CCK55" s="188"/>
      <c r="CCL55" s="187"/>
      <c r="CCR55" s="188"/>
      <c r="CCS55" s="187"/>
      <c r="CCY55" s="188"/>
      <c r="CCZ55" s="187"/>
      <c r="CDD55" s="168"/>
      <c r="CDE55" s="189"/>
      <c r="CDF55" s="188"/>
      <c r="CDG55" s="187"/>
      <c r="CDM55" s="188"/>
      <c r="CDN55" s="187"/>
      <c r="CDT55" s="188"/>
      <c r="CDU55" s="187"/>
      <c r="CEA55" s="188"/>
      <c r="CEB55" s="187"/>
      <c r="CEH55" s="168"/>
      <c r="CEI55" s="189"/>
      <c r="CEO55" s="188"/>
      <c r="CEP55" s="187"/>
      <c r="CEV55" s="188"/>
      <c r="CEW55" s="187"/>
      <c r="CFC55" s="188"/>
      <c r="CFD55" s="187"/>
      <c r="CFJ55" s="188"/>
      <c r="CFK55" s="187"/>
    </row>
    <row r="56" spans="1:1019 1025:2048 2054:2195">
      <c r="A56" s="164" t="s">
        <v>320</v>
      </c>
      <c r="D56" s="186"/>
      <c r="E56" s="186"/>
      <c r="K56" s="187"/>
      <c r="Q56" s="188"/>
      <c r="R56" s="187"/>
      <c r="X56" s="188"/>
      <c r="Y56" s="187"/>
      <c r="AE56" s="188"/>
      <c r="AF56" s="187"/>
      <c r="AJ56" s="168"/>
      <c r="AK56" s="189"/>
      <c r="AL56" s="188"/>
      <c r="AM56" s="187"/>
      <c r="AS56" s="188"/>
      <c r="AT56" s="187"/>
      <c r="AZ56" s="188"/>
      <c r="BA56" s="187"/>
      <c r="BG56" s="188"/>
      <c r="BH56" s="187"/>
      <c r="BL56" s="168"/>
      <c r="BM56" s="189"/>
      <c r="BN56" s="188"/>
      <c r="BO56" s="187"/>
      <c r="BU56" s="188"/>
      <c r="BV56" s="187"/>
      <c r="CB56" s="188"/>
      <c r="CC56" s="187"/>
      <c r="CI56" s="188"/>
      <c r="CJ56" s="187"/>
      <c r="CP56" s="188"/>
      <c r="CQ56" s="190"/>
      <c r="CR56" s="189"/>
      <c r="CW56" s="188"/>
      <c r="CX56" s="187"/>
      <c r="DD56" s="188"/>
      <c r="DE56" s="187"/>
      <c r="DK56" s="188"/>
      <c r="DL56" s="187"/>
      <c r="DR56" s="188"/>
      <c r="DS56" s="187"/>
      <c r="DU56" s="168"/>
      <c r="DV56" s="189"/>
      <c r="DY56" s="188"/>
      <c r="DZ56" s="187"/>
      <c r="EF56" s="188"/>
      <c r="EG56" s="187"/>
      <c r="EM56" s="188"/>
      <c r="EN56" s="187"/>
      <c r="ET56" s="188"/>
      <c r="EU56" s="187"/>
      <c r="EZ56" s="168"/>
      <c r="FA56" s="191"/>
      <c r="FB56" s="187"/>
      <c r="FH56" s="188"/>
      <c r="FI56" s="187"/>
      <c r="FO56" s="188"/>
      <c r="FP56" s="187"/>
      <c r="FV56" s="188"/>
      <c r="FW56" s="187"/>
      <c r="GC56" s="188"/>
      <c r="GD56" s="190"/>
      <c r="GE56" s="189"/>
      <c r="GJ56" s="188"/>
      <c r="GK56" s="187"/>
      <c r="GQ56" s="188"/>
      <c r="GR56" s="187"/>
      <c r="GX56" s="188"/>
      <c r="GY56" s="187"/>
      <c r="HE56" s="188"/>
      <c r="HF56" s="187"/>
      <c r="HI56" s="168"/>
      <c r="HJ56" s="189"/>
      <c r="HL56" s="188"/>
      <c r="HM56" s="187"/>
      <c r="HS56" s="188"/>
      <c r="HT56" s="187"/>
      <c r="HZ56" s="188"/>
      <c r="IA56" s="187"/>
      <c r="IG56" s="188"/>
      <c r="IH56" s="187"/>
      <c r="IN56" s="168"/>
      <c r="IO56" s="189"/>
      <c r="IU56" s="188"/>
      <c r="IV56" s="187"/>
      <c r="JB56" s="188"/>
      <c r="JC56" s="187"/>
      <c r="JI56" s="188"/>
      <c r="JJ56" s="187"/>
      <c r="JP56" s="188"/>
      <c r="JQ56" s="187"/>
      <c r="JR56" s="168"/>
      <c r="JS56" s="189"/>
      <c r="JW56" s="188"/>
      <c r="JX56" s="187"/>
      <c r="KD56" s="188"/>
      <c r="KE56" s="187"/>
      <c r="KK56" s="188"/>
      <c r="KL56" s="187"/>
      <c r="KR56" s="188"/>
      <c r="KS56" s="187"/>
      <c r="KW56" s="168"/>
      <c r="KX56" s="189"/>
      <c r="KY56" s="188"/>
      <c r="KZ56" s="187"/>
      <c r="LF56" s="188"/>
      <c r="LG56" s="187"/>
      <c r="LM56" s="188"/>
      <c r="LN56" s="187"/>
      <c r="LT56" s="188"/>
      <c r="LU56" s="187"/>
      <c r="MA56" s="168"/>
      <c r="MB56" s="189"/>
      <c r="MH56" s="188"/>
      <c r="MI56" s="187"/>
      <c r="MO56" s="188"/>
      <c r="MP56" s="187"/>
      <c r="MV56" s="188"/>
      <c r="MW56" s="187"/>
      <c r="NC56" s="188"/>
      <c r="ND56" s="187"/>
      <c r="NF56" s="168"/>
      <c r="NG56" s="189"/>
      <c r="NJ56" s="188"/>
      <c r="NK56" s="187"/>
      <c r="NQ56" s="188"/>
      <c r="NR56" s="187"/>
      <c r="NX56" s="188"/>
      <c r="NY56" s="187"/>
      <c r="OE56" s="188"/>
      <c r="OF56" s="187"/>
      <c r="OK56" s="168"/>
      <c r="OL56" s="191"/>
      <c r="OM56" s="187"/>
      <c r="OS56" s="188"/>
      <c r="OT56" s="187"/>
      <c r="OZ56" s="188"/>
      <c r="PA56" s="187"/>
      <c r="PG56" s="188"/>
      <c r="PH56" s="187"/>
      <c r="PN56" s="168"/>
      <c r="PO56" s="189"/>
      <c r="PU56" s="188"/>
      <c r="PV56" s="187"/>
      <c r="QB56" s="188"/>
      <c r="QC56" s="187"/>
      <c r="QI56" s="188"/>
      <c r="QJ56" s="187"/>
      <c r="QP56" s="188"/>
      <c r="QQ56" s="187"/>
      <c r="QS56" s="168"/>
      <c r="QT56" s="189"/>
      <c r="QW56" s="188"/>
      <c r="QX56" s="187"/>
      <c r="RD56" s="188"/>
      <c r="RE56" s="187"/>
      <c r="RK56" s="188"/>
      <c r="RL56" s="187"/>
      <c r="RR56" s="188"/>
      <c r="RS56" s="187"/>
      <c r="RW56" s="168"/>
      <c r="RX56" s="189"/>
      <c r="RY56" s="188"/>
      <c r="RZ56" s="187"/>
      <c r="SF56" s="188"/>
      <c r="SG56" s="187"/>
      <c r="SM56" s="188"/>
      <c r="SN56" s="187"/>
      <c r="ST56" s="188"/>
      <c r="SU56" s="187"/>
      <c r="TA56" s="188"/>
      <c r="TB56" s="190"/>
      <c r="TC56" s="189"/>
      <c r="TH56" s="188"/>
      <c r="TI56" s="187"/>
      <c r="TO56" s="188"/>
      <c r="TP56" s="187"/>
      <c r="TV56" s="188"/>
      <c r="TW56" s="187"/>
      <c r="UC56" s="188"/>
      <c r="UD56" s="187"/>
      <c r="UF56" s="168"/>
      <c r="UG56" s="189"/>
      <c r="UJ56" s="188"/>
      <c r="UK56" s="187"/>
      <c r="UQ56" s="188"/>
      <c r="UR56" s="187"/>
      <c r="UX56" s="188"/>
      <c r="UY56" s="187"/>
      <c r="VE56" s="188"/>
      <c r="VF56" s="187"/>
      <c r="VK56" s="168"/>
      <c r="VL56" s="191"/>
      <c r="VM56" s="187"/>
      <c r="VS56" s="188"/>
      <c r="VT56" s="187"/>
      <c r="VZ56" s="188"/>
      <c r="WA56" s="187"/>
      <c r="WG56" s="188"/>
      <c r="WH56" s="187"/>
      <c r="WN56" s="188"/>
      <c r="WO56" s="187"/>
      <c r="WP56" s="168"/>
      <c r="WQ56" s="189"/>
      <c r="WU56" s="188"/>
      <c r="WV56" s="187"/>
      <c r="XB56" s="188"/>
      <c r="XC56" s="187"/>
      <c r="XI56" s="188"/>
      <c r="XJ56" s="187"/>
      <c r="XP56" s="188"/>
      <c r="XQ56" s="187"/>
      <c r="XT56" s="168"/>
      <c r="XU56" s="189"/>
      <c r="XW56" s="188"/>
      <c r="XX56" s="187"/>
      <c r="YD56" s="188"/>
      <c r="YE56" s="187"/>
      <c r="YK56" s="188"/>
      <c r="YL56" s="187"/>
      <c r="YR56" s="188"/>
      <c r="YS56" s="187"/>
      <c r="YY56" s="168"/>
      <c r="YZ56" s="189"/>
      <c r="ZF56" s="188"/>
      <c r="ZG56" s="187"/>
      <c r="ZM56" s="188"/>
      <c r="ZN56" s="187"/>
      <c r="ZT56" s="188"/>
      <c r="ZU56" s="187"/>
      <c r="AAA56" s="188"/>
      <c r="AAB56" s="187"/>
      <c r="AAC56" s="168"/>
      <c r="AAD56" s="189"/>
      <c r="AAH56" s="188"/>
      <c r="AAI56" s="187"/>
      <c r="AAO56" s="188"/>
      <c r="AAP56" s="187"/>
      <c r="AAV56" s="188"/>
      <c r="AAW56" s="187"/>
      <c r="ABC56" s="188"/>
      <c r="ABD56" s="187"/>
      <c r="ABH56" s="168"/>
      <c r="ABI56" s="189"/>
      <c r="ABJ56" s="188"/>
      <c r="ABK56" s="187"/>
      <c r="ABQ56" s="188"/>
      <c r="ABR56" s="187"/>
      <c r="ABX56" s="188"/>
      <c r="ABY56" s="187"/>
      <c r="ACE56" s="188"/>
      <c r="ACF56" s="187"/>
      <c r="ACL56" s="188"/>
      <c r="ACM56" s="190"/>
      <c r="ACN56" s="189"/>
      <c r="ACS56" s="188"/>
      <c r="ACT56" s="187"/>
      <c r="ACZ56" s="188"/>
      <c r="ADA56" s="187"/>
      <c r="ADG56" s="188"/>
      <c r="ADH56" s="187"/>
      <c r="ADN56" s="188"/>
      <c r="ADO56" s="190"/>
      <c r="ADP56" s="189"/>
      <c r="ADU56" s="188"/>
      <c r="ADV56" s="187"/>
      <c r="AEB56" s="188"/>
      <c r="AEC56" s="187"/>
      <c r="AEI56" s="188"/>
      <c r="AEJ56" s="187"/>
      <c r="AEP56" s="188"/>
      <c r="AEQ56" s="187"/>
      <c r="AET56" s="168"/>
      <c r="AEU56" s="189"/>
      <c r="AEW56" s="188"/>
      <c r="AEX56" s="187"/>
      <c r="AFD56" s="188"/>
      <c r="AFE56" s="187"/>
      <c r="AFK56" s="188"/>
      <c r="AFL56" s="187"/>
      <c r="AFR56" s="188"/>
      <c r="AFS56" s="187"/>
      <c r="AFX56" s="168"/>
      <c r="AFY56" s="191"/>
      <c r="AFZ56" s="187"/>
      <c r="AGF56" s="188"/>
      <c r="AGG56" s="187"/>
      <c r="AGM56" s="188"/>
      <c r="AGN56" s="187"/>
      <c r="AGT56" s="188"/>
      <c r="AGU56" s="187"/>
      <c r="AHA56" s="188"/>
      <c r="AHB56" s="187"/>
      <c r="AHC56" s="168"/>
      <c r="AHD56" s="189"/>
      <c r="AHH56" s="188"/>
      <c r="AHI56" s="187"/>
      <c r="AHO56" s="188"/>
      <c r="AHP56" s="187"/>
      <c r="AHV56" s="188"/>
      <c r="AHW56" s="187"/>
      <c r="AIC56" s="188"/>
      <c r="AID56" s="187"/>
      <c r="AIG56" s="168"/>
      <c r="AIH56" s="189"/>
      <c r="AIJ56" s="188"/>
      <c r="AIK56" s="187"/>
      <c r="AIQ56" s="188"/>
      <c r="AIR56" s="187"/>
      <c r="AIX56" s="188"/>
      <c r="AIY56" s="187"/>
      <c r="AJE56" s="188"/>
      <c r="AJF56" s="187"/>
      <c r="AJL56" s="168"/>
      <c r="AJM56" s="189"/>
      <c r="AJS56" s="188"/>
      <c r="AJT56" s="187"/>
      <c r="AJZ56" s="188"/>
      <c r="AKA56" s="187"/>
      <c r="AKG56" s="188"/>
      <c r="AKH56" s="187"/>
      <c r="AKN56" s="188"/>
      <c r="AKO56" s="187"/>
      <c r="AKQ56" s="168"/>
      <c r="AKR56" s="189"/>
      <c r="AKU56" s="188"/>
      <c r="AKV56" s="187"/>
      <c r="ALB56" s="188"/>
      <c r="ALC56" s="187"/>
      <c r="ALI56" s="188"/>
      <c r="ALJ56" s="187"/>
      <c r="ALP56" s="188"/>
      <c r="ALQ56" s="187"/>
      <c r="ALU56" s="168"/>
      <c r="ALV56" s="189"/>
      <c r="ALW56" s="188"/>
      <c r="ALX56" s="187"/>
      <c r="AMD56" s="188"/>
      <c r="AME56" s="187"/>
      <c r="AMK56" s="188"/>
      <c r="AML56" s="187"/>
      <c r="AMR56" s="188"/>
      <c r="AMS56" s="187"/>
      <c r="AMY56" s="188"/>
      <c r="AMZ56" s="190"/>
      <c r="ANA56" s="189"/>
      <c r="ANF56" s="188"/>
      <c r="ANG56" s="187"/>
      <c r="ANM56" s="188"/>
      <c r="ANN56" s="187"/>
      <c r="ANT56" s="188"/>
      <c r="ANU56" s="187"/>
      <c r="AOA56" s="188"/>
      <c r="AOB56" s="187"/>
      <c r="AOD56" s="168"/>
      <c r="AOE56" s="189"/>
      <c r="AOH56" s="188"/>
      <c r="AOI56" s="187"/>
      <c r="AOO56" s="188"/>
      <c r="AOP56" s="187"/>
      <c r="AOV56" s="188"/>
      <c r="AOW56" s="187"/>
      <c r="APC56" s="188"/>
      <c r="APD56" s="187"/>
      <c r="API56" s="168"/>
      <c r="APJ56" s="191"/>
      <c r="APK56" s="187"/>
      <c r="APQ56" s="188"/>
      <c r="APR56" s="187"/>
      <c r="APX56" s="188"/>
      <c r="APY56" s="187"/>
      <c r="AQE56" s="188"/>
      <c r="AQF56" s="187"/>
      <c r="AQL56" s="188"/>
      <c r="AQM56" s="187"/>
      <c r="AQN56" s="168"/>
      <c r="AQO56" s="189"/>
      <c r="AQS56" s="188"/>
      <c r="AQT56" s="187"/>
      <c r="AQZ56" s="188"/>
      <c r="ARA56" s="187"/>
      <c r="ARG56" s="188"/>
      <c r="ARH56" s="187"/>
      <c r="ARN56" s="188"/>
      <c r="ARO56" s="187"/>
      <c r="ARP56" s="168"/>
      <c r="ARQ56" s="189"/>
      <c r="ARU56" s="188"/>
      <c r="ARV56" s="187"/>
      <c r="ASB56" s="188"/>
      <c r="ASC56" s="187"/>
      <c r="ASI56" s="188"/>
      <c r="ASJ56" s="187"/>
      <c r="ASP56" s="188"/>
      <c r="ASQ56" s="187"/>
      <c r="ASU56" s="168"/>
      <c r="ASV56" s="189"/>
      <c r="ASW56" s="188"/>
      <c r="ASX56" s="187"/>
      <c r="ATD56" s="188"/>
      <c r="ATE56" s="187"/>
      <c r="ATK56" s="188"/>
      <c r="ATL56" s="187"/>
      <c r="ATR56" s="188"/>
      <c r="ATS56" s="187"/>
      <c r="ATY56" s="168"/>
      <c r="ATZ56" s="189"/>
      <c r="AUF56" s="188"/>
      <c r="AUG56" s="187"/>
      <c r="AUM56" s="188"/>
      <c r="AUN56" s="187"/>
      <c r="AUT56" s="188"/>
      <c r="AUU56" s="187"/>
      <c r="AVA56" s="188"/>
      <c r="AVB56" s="187"/>
      <c r="AVD56" s="168"/>
      <c r="AVE56" s="189"/>
      <c r="AVH56" s="188"/>
      <c r="AVI56" s="187"/>
      <c r="AVO56" s="188"/>
      <c r="AVP56" s="187"/>
      <c r="AVV56" s="188"/>
      <c r="AVW56" s="187"/>
      <c r="AWC56" s="188"/>
      <c r="AWD56" s="187"/>
      <c r="AWH56" s="168"/>
      <c r="AWI56" s="189"/>
      <c r="AWJ56" s="188"/>
      <c r="AWK56" s="187"/>
      <c r="AWQ56" s="188"/>
      <c r="AWR56" s="187"/>
      <c r="AWX56" s="188"/>
      <c r="AWY56" s="187"/>
      <c r="AXE56" s="188"/>
      <c r="AXF56" s="187"/>
      <c r="AXL56" s="188"/>
      <c r="AXM56" s="190"/>
      <c r="AXN56" s="189"/>
      <c r="AXS56" s="188"/>
      <c r="AXT56" s="187"/>
      <c r="AXZ56" s="188"/>
      <c r="AYA56" s="187"/>
      <c r="AYG56" s="188"/>
      <c r="AYH56" s="187"/>
      <c r="AYN56" s="188"/>
      <c r="AYO56" s="187"/>
      <c r="AYR56" s="168"/>
      <c r="AYS56" s="189"/>
      <c r="AYU56" s="188"/>
      <c r="AYV56" s="187"/>
      <c r="AZB56" s="188"/>
      <c r="AZC56" s="187"/>
      <c r="AZI56" s="188"/>
      <c r="AZJ56" s="187"/>
      <c r="AZP56" s="188"/>
      <c r="AZQ56" s="187"/>
      <c r="AZV56" s="168"/>
      <c r="AZW56" s="191"/>
      <c r="AZX56" s="187"/>
      <c r="BAD56" s="188"/>
      <c r="BAE56" s="187"/>
      <c r="BAK56" s="188"/>
      <c r="BAL56" s="187"/>
      <c r="BAR56" s="188"/>
      <c r="BAS56" s="187"/>
      <c r="BAY56" s="188"/>
      <c r="BAZ56" s="187"/>
      <c r="BBA56" s="168"/>
      <c r="BBB56" s="189"/>
      <c r="BBF56" s="188"/>
      <c r="BBG56" s="187"/>
      <c r="BBM56" s="188"/>
      <c r="BBN56" s="187"/>
      <c r="BBT56" s="188"/>
      <c r="BBU56" s="187"/>
      <c r="BCA56" s="188"/>
      <c r="BCB56" s="187"/>
      <c r="BCE56" s="168"/>
      <c r="BCF56" s="189"/>
      <c r="BCH56" s="188"/>
      <c r="BCI56" s="187"/>
      <c r="BCO56" s="188"/>
      <c r="BCP56" s="187"/>
      <c r="BCV56" s="188"/>
      <c r="BCW56" s="187"/>
      <c r="BDC56" s="188"/>
      <c r="BDD56" s="187"/>
      <c r="BDJ56" s="168"/>
      <c r="BDK56" s="189"/>
      <c r="BDQ56" s="188"/>
      <c r="BDR56" s="187"/>
      <c r="BDX56" s="188"/>
      <c r="BDY56" s="187"/>
      <c r="BEE56" s="188"/>
      <c r="BEF56" s="187"/>
      <c r="BEL56" s="188"/>
      <c r="BEM56" s="187"/>
      <c r="BEO56" s="168"/>
      <c r="BEP56" s="189"/>
      <c r="BES56" s="188"/>
      <c r="BET56" s="187"/>
      <c r="BEZ56" s="188"/>
      <c r="BFA56" s="187"/>
      <c r="BFG56" s="188"/>
      <c r="BFH56" s="187"/>
      <c r="BFN56" s="188"/>
      <c r="BFO56" s="187"/>
      <c r="BFQ56" s="168"/>
      <c r="BFR56" s="189"/>
      <c r="BFU56" s="188"/>
      <c r="BFV56" s="187"/>
      <c r="BGB56" s="188"/>
      <c r="BGC56" s="187"/>
      <c r="BGI56" s="188"/>
      <c r="BGJ56" s="187"/>
      <c r="BGP56" s="188"/>
      <c r="BGQ56" s="187"/>
      <c r="BGV56" s="168"/>
      <c r="BGW56" s="191"/>
      <c r="BGX56" s="187"/>
      <c r="BHD56" s="188"/>
      <c r="BHE56" s="187"/>
      <c r="BHK56" s="188"/>
      <c r="BHL56" s="187"/>
      <c r="BHR56" s="188"/>
      <c r="BHS56" s="187"/>
      <c r="BHY56" s="188"/>
      <c r="BHZ56" s="190"/>
      <c r="BIA56" s="189"/>
      <c r="BIF56" s="188"/>
      <c r="BIG56" s="187"/>
      <c r="BIM56" s="188"/>
      <c r="BIN56" s="187"/>
      <c r="BIT56" s="188"/>
      <c r="BIU56" s="187"/>
      <c r="BJA56" s="188"/>
      <c r="BJB56" s="187"/>
      <c r="BJE56" s="168"/>
      <c r="BJF56" s="189"/>
      <c r="BJH56" s="188"/>
      <c r="BJI56" s="187"/>
      <c r="BJO56" s="188"/>
      <c r="BJP56" s="187"/>
      <c r="BJV56" s="188"/>
      <c r="BJW56" s="187"/>
      <c r="BKC56" s="188"/>
      <c r="BKD56" s="187"/>
      <c r="BKI56" s="168"/>
      <c r="BKJ56" s="191"/>
      <c r="BKK56" s="187"/>
      <c r="BKQ56" s="188"/>
      <c r="BKR56" s="187"/>
      <c r="BKX56" s="188"/>
      <c r="BKY56" s="187"/>
      <c r="BLE56" s="188"/>
      <c r="BLF56" s="187"/>
      <c r="BLL56" s="188"/>
      <c r="BLM56" s="187"/>
      <c r="BLN56" s="168"/>
      <c r="BLO56" s="189"/>
      <c r="BLS56" s="188"/>
      <c r="BLT56" s="187"/>
      <c r="BLZ56" s="188"/>
      <c r="BMA56" s="187"/>
      <c r="BMG56" s="188"/>
      <c r="BMH56" s="187"/>
      <c r="BMN56" s="188"/>
      <c r="BMO56" s="187"/>
      <c r="BMS56" s="168"/>
      <c r="BMT56" s="189"/>
      <c r="BMU56" s="188"/>
      <c r="BMV56" s="187"/>
      <c r="BNB56" s="188"/>
      <c r="BNC56" s="187"/>
      <c r="BNI56" s="188"/>
      <c r="BNJ56" s="187"/>
      <c r="BNP56" s="188"/>
      <c r="BNQ56" s="187"/>
      <c r="BNW56" s="168"/>
      <c r="BNX56" s="189"/>
      <c r="BOD56" s="188"/>
      <c r="BOE56" s="187"/>
      <c r="BOK56" s="188"/>
      <c r="BOL56" s="187"/>
      <c r="BOR56" s="188"/>
      <c r="BOS56" s="187"/>
      <c r="BOY56" s="188"/>
      <c r="BOZ56" s="187"/>
      <c r="BPB56" s="168"/>
      <c r="BPC56" s="189"/>
      <c r="BPF56" s="188"/>
      <c r="BPG56" s="187"/>
      <c r="BPM56" s="188"/>
      <c r="BPN56" s="187"/>
      <c r="BPT56" s="188"/>
      <c r="BPU56" s="187"/>
      <c r="BQA56" s="188"/>
      <c r="BQB56" s="187"/>
      <c r="BQF56" s="168"/>
      <c r="BQG56" s="189"/>
      <c r="BQH56" s="188"/>
      <c r="BQI56" s="187"/>
      <c r="BQO56" s="188"/>
      <c r="BQP56" s="187"/>
      <c r="BQV56" s="188"/>
      <c r="BQW56" s="187"/>
      <c r="BRC56" s="188"/>
      <c r="BRD56" s="187"/>
      <c r="BRJ56" s="188"/>
      <c r="BRK56" s="190"/>
      <c r="BRL56" s="189"/>
      <c r="BRQ56" s="188"/>
      <c r="BRR56" s="187"/>
      <c r="BRX56" s="188"/>
      <c r="BRY56" s="187"/>
      <c r="BSE56" s="188"/>
      <c r="BSF56" s="187"/>
      <c r="BSL56" s="188"/>
      <c r="BSM56" s="187"/>
      <c r="BSP56" s="168"/>
      <c r="BSQ56" s="189"/>
      <c r="BSS56" s="188"/>
      <c r="BST56" s="187"/>
      <c r="BSZ56" s="188"/>
      <c r="BTA56" s="187"/>
      <c r="BTG56" s="188"/>
      <c r="BTH56" s="187"/>
      <c r="BTN56" s="188"/>
      <c r="BTO56" s="187"/>
      <c r="BTS56" s="168"/>
      <c r="BTT56" s="189"/>
      <c r="BTU56" s="188"/>
      <c r="BTV56" s="187"/>
      <c r="BUB56" s="188"/>
      <c r="BUC56" s="187"/>
      <c r="BUI56" s="188"/>
      <c r="BUJ56" s="187"/>
      <c r="BUP56" s="188"/>
      <c r="BUQ56" s="187"/>
      <c r="BUW56" s="188"/>
      <c r="BUX56" s="190"/>
      <c r="BUY56" s="189"/>
      <c r="BVD56" s="188"/>
      <c r="BVE56" s="187"/>
      <c r="BVK56" s="188"/>
      <c r="BVL56" s="187"/>
      <c r="BVR56" s="188"/>
      <c r="BVS56" s="187"/>
      <c r="BVY56" s="188"/>
      <c r="BVZ56" s="187"/>
      <c r="BWB56" s="168"/>
      <c r="BWC56" s="189"/>
      <c r="BWF56" s="188"/>
      <c r="BWG56" s="187"/>
      <c r="BWM56" s="188"/>
      <c r="BWN56" s="187"/>
      <c r="BWT56" s="188"/>
      <c r="BWU56" s="187"/>
      <c r="BXA56" s="188"/>
      <c r="BXB56" s="187"/>
      <c r="BXG56" s="168"/>
      <c r="BXH56" s="191"/>
      <c r="BXI56" s="187"/>
      <c r="BXO56" s="188"/>
      <c r="BXP56" s="187"/>
      <c r="BXV56" s="188"/>
      <c r="BXW56" s="187"/>
      <c r="BYC56" s="188"/>
      <c r="BYD56" s="187"/>
      <c r="BYJ56" s="188"/>
      <c r="BYK56" s="190"/>
      <c r="BYL56" s="189"/>
      <c r="BYQ56" s="188"/>
      <c r="BYR56" s="187"/>
      <c r="BYX56" s="188"/>
      <c r="BYY56" s="187"/>
      <c r="BZE56" s="188"/>
      <c r="BZF56" s="187"/>
      <c r="BZL56" s="188"/>
      <c r="BZM56" s="187"/>
      <c r="BZP56" s="168"/>
      <c r="BZQ56" s="189"/>
      <c r="BZS56" s="188"/>
      <c r="BZT56" s="187"/>
      <c r="BZZ56" s="188"/>
      <c r="CAA56" s="187"/>
      <c r="CAG56" s="188"/>
      <c r="CAH56" s="187"/>
      <c r="CAN56" s="188"/>
      <c r="CAO56" s="187"/>
      <c r="CAU56" s="168"/>
      <c r="CAV56" s="189"/>
      <c r="CBB56" s="188"/>
      <c r="CBC56" s="187"/>
      <c r="CBI56" s="188"/>
      <c r="CBJ56" s="187"/>
      <c r="CBP56" s="188"/>
      <c r="CBQ56" s="187"/>
      <c r="CBW56" s="188"/>
      <c r="CBX56" s="187"/>
      <c r="CBY56" s="168"/>
      <c r="CBZ56" s="189"/>
      <c r="CCD56" s="188"/>
      <c r="CCE56" s="187"/>
      <c r="CCK56" s="188"/>
      <c r="CCL56" s="187"/>
      <c r="CCR56" s="188"/>
      <c r="CCS56" s="187"/>
      <c r="CCY56" s="188"/>
      <c r="CCZ56" s="187"/>
      <c r="CDD56" s="168"/>
      <c r="CDE56" s="189"/>
      <c r="CDF56" s="188"/>
      <c r="CDG56" s="187"/>
      <c r="CDM56" s="188"/>
      <c r="CDN56" s="187"/>
      <c r="CDT56" s="188"/>
      <c r="CDU56" s="187"/>
      <c r="CEA56" s="188"/>
      <c r="CEB56" s="187"/>
      <c r="CEH56" s="168"/>
      <c r="CEI56" s="189"/>
      <c r="CEO56" s="188"/>
      <c r="CEP56" s="187"/>
      <c r="CEV56" s="188"/>
      <c r="CEW56" s="187"/>
      <c r="CFC56" s="188"/>
      <c r="CFD56" s="187"/>
      <c r="CFJ56" s="188"/>
      <c r="CFK56" s="187"/>
    </row>
    <row r="57" spans="1:1019 1025:2048 2054:2195">
      <c r="A57" s="164" t="s">
        <v>321</v>
      </c>
      <c r="D57" s="186"/>
      <c r="E57" s="186"/>
      <c r="K57" s="187"/>
      <c r="Q57" s="188"/>
      <c r="R57" s="187"/>
      <c r="X57" s="188"/>
      <c r="Y57" s="187"/>
      <c r="AE57" s="188"/>
      <c r="AF57" s="187"/>
      <c r="AJ57" s="168"/>
      <c r="AK57" s="189"/>
      <c r="AL57" s="188"/>
      <c r="AM57" s="187"/>
      <c r="AS57" s="188"/>
      <c r="AT57" s="187"/>
      <c r="AZ57" s="188"/>
      <c r="BA57" s="187"/>
      <c r="BG57" s="188"/>
      <c r="BH57" s="187"/>
      <c r="BL57" s="168"/>
      <c r="BM57" s="189"/>
      <c r="BN57" s="188"/>
      <c r="BO57" s="187"/>
      <c r="BU57" s="188"/>
      <c r="BV57" s="187"/>
      <c r="CB57" s="188"/>
      <c r="CC57" s="187"/>
      <c r="CI57" s="188"/>
      <c r="CJ57" s="187"/>
      <c r="CP57" s="188"/>
      <c r="CQ57" s="190"/>
      <c r="CR57" s="189"/>
      <c r="CW57" s="188"/>
      <c r="CX57" s="187"/>
      <c r="DD57" s="188"/>
      <c r="DE57" s="187"/>
      <c r="DK57" s="188"/>
      <c r="DL57" s="187"/>
      <c r="DR57" s="188"/>
      <c r="DS57" s="187"/>
      <c r="DU57" s="168"/>
      <c r="DV57" s="189"/>
      <c r="DY57" s="188"/>
      <c r="DZ57" s="187"/>
      <c r="EF57" s="188"/>
      <c r="EG57" s="187"/>
      <c r="EM57" s="188"/>
      <c r="EN57" s="187"/>
      <c r="ET57" s="188"/>
      <c r="EU57" s="187"/>
      <c r="EZ57" s="168"/>
      <c r="FA57" s="191"/>
      <c r="FB57" s="187"/>
      <c r="FH57" s="188"/>
      <c r="FI57" s="187"/>
      <c r="FO57" s="188"/>
      <c r="FP57" s="187"/>
      <c r="FV57" s="188"/>
      <c r="FW57" s="187"/>
      <c r="GC57" s="188"/>
      <c r="GD57" s="190"/>
      <c r="GE57" s="189"/>
      <c r="GJ57" s="188"/>
      <c r="GK57" s="187"/>
      <c r="GQ57" s="188"/>
      <c r="GR57" s="187"/>
      <c r="GX57" s="188"/>
      <c r="GY57" s="187"/>
      <c r="HE57" s="188"/>
      <c r="HF57" s="187"/>
      <c r="HI57" s="168"/>
      <c r="HJ57" s="189"/>
      <c r="HL57" s="188"/>
      <c r="HM57" s="187"/>
      <c r="HS57" s="188"/>
      <c r="HT57" s="187"/>
      <c r="HZ57" s="188"/>
      <c r="IA57" s="187"/>
      <c r="IG57" s="188"/>
      <c r="IH57" s="187"/>
      <c r="IN57" s="168"/>
      <c r="IO57" s="189"/>
      <c r="IU57" s="188"/>
      <c r="IV57" s="187"/>
      <c r="JB57" s="188"/>
      <c r="JC57" s="187"/>
      <c r="JI57" s="188"/>
      <c r="JJ57" s="187"/>
      <c r="JP57" s="188"/>
      <c r="JQ57" s="187"/>
      <c r="JR57" s="168"/>
      <c r="JS57" s="189"/>
      <c r="JW57" s="188"/>
      <c r="JX57" s="187"/>
      <c r="KD57" s="188"/>
      <c r="KE57" s="187"/>
      <c r="KK57" s="188"/>
      <c r="KL57" s="187"/>
      <c r="KR57" s="188"/>
      <c r="KS57" s="187"/>
      <c r="KW57" s="168"/>
      <c r="KX57" s="189"/>
      <c r="KY57" s="188"/>
      <c r="KZ57" s="187"/>
      <c r="LF57" s="188"/>
      <c r="LG57" s="187"/>
      <c r="LM57" s="188"/>
      <c r="LN57" s="187"/>
      <c r="LT57" s="188"/>
      <c r="LU57" s="187"/>
      <c r="MA57" s="168"/>
      <c r="MB57" s="189"/>
      <c r="MH57" s="188"/>
      <c r="MI57" s="187"/>
      <c r="MO57" s="188"/>
      <c r="MP57" s="187"/>
      <c r="MV57" s="188"/>
      <c r="MW57" s="187"/>
      <c r="NC57" s="188"/>
      <c r="ND57" s="187"/>
      <c r="NF57" s="168"/>
      <c r="NG57" s="189"/>
      <c r="NJ57" s="188"/>
      <c r="NK57" s="187"/>
      <c r="NQ57" s="188"/>
      <c r="NR57" s="187"/>
      <c r="NX57" s="188"/>
      <c r="NY57" s="187"/>
      <c r="OE57" s="188"/>
      <c r="OF57" s="187"/>
      <c r="OK57" s="168"/>
      <c r="OL57" s="191"/>
      <c r="OM57" s="187"/>
      <c r="OS57" s="188"/>
      <c r="OT57" s="187"/>
      <c r="OZ57" s="188"/>
      <c r="PA57" s="187"/>
      <c r="PG57" s="188"/>
      <c r="PH57" s="187"/>
      <c r="PN57" s="168"/>
      <c r="PO57" s="189"/>
      <c r="PU57" s="188"/>
      <c r="PV57" s="187"/>
      <c r="QB57" s="188"/>
      <c r="QC57" s="187"/>
      <c r="QI57" s="188"/>
      <c r="QJ57" s="187"/>
      <c r="QP57" s="188"/>
      <c r="QQ57" s="187"/>
      <c r="QS57" s="168"/>
      <c r="QT57" s="189"/>
      <c r="QW57" s="188"/>
      <c r="QX57" s="187"/>
      <c r="RD57" s="188"/>
      <c r="RE57" s="187"/>
      <c r="RK57" s="188"/>
      <c r="RL57" s="187"/>
      <c r="RR57" s="188"/>
      <c r="RS57" s="187"/>
      <c r="RW57" s="168"/>
      <c r="RX57" s="189"/>
      <c r="RY57" s="188"/>
      <c r="RZ57" s="187"/>
      <c r="SF57" s="188"/>
      <c r="SG57" s="187"/>
      <c r="SM57" s="188"/>
      <c r="SN57" s="187"/>
      <c r="ST57" s="188"/>
      <c r="SU57" s="187"/>
      <c r="TA57" s="188"/>
      <c r="TB57" s="190"/>
      <c r="TC57" s="189"/>
      <c r="TH57" s="188"/>
      <c r="TI57" s="187"/>
      <c r="TO57" s="188"/>
      <c r="TP57" s="187"/>
      <c r="TV57" s="188"/>
      <c r="TW57" s="187"/>
      <c r="UC57" s="188"/>
      <c r="UD57" s="187"/>
      <c r="UF57" s="168"/>
      <c r="UG57" s="189"/>
      <c r="UJ57" s="188"/>
      <c r="UK57" s="187"/>
      <c r="UQ57" s="188"/>
      <c r="UR57" s="187"/>
      <c r="UX57" s="188"/>
      <c r="UY57" s="187"/>
      <c r="VE57" s="188"/>
      <c r="VF57" s="187"/>
      <c r="VK57" s="168"/>
      <c r="VL57" s="191"/>
      <c r="VM57" s="187"/>
      <c r="VS57" s="188"/>
      <c r="VT57" s="187"/>
      <c r="VZ57" s="188"/>
      <c r="WA57" s="187"/>
      <c r="WG57" s="188"/>
      <c r="WH57" s="187"/>
      <c r="WN57" s="188"/>
      <c r="WO57" s="187"/>
      <c r="WP57" s="168"/>
      <c r="WQ57" s="189"/>
      <c r="WU57" s="188"/>
      <c r="WV57" s="187"/>
      <c r="XB57" s="188"/>
      <c r="XC57" s="187"/>
      <c r="XI57" s="188"/>
      <c r="XJ57" s="187"/>
      <c r="XP57" s="188"/>
      <c r="XQ57" s="187"/>
      <c r="XT57" s="168"/>
      <c r="XU57" s="189"/>
      <c r="XW57" s="188"/>
      <c r="XX57" s="187"/>
      <c r="YD57" s="188"/>
      <c r="YE57" s="187"/>
      <c r="YK57" s="188"/>
      <c r="YL57" s="187"/>
      <c r="YR57" s="188"/>
      <c r="YS57" s="187"/>
      <c r="YY57" s="168"/>
      <c r="YZ57" s="189"/>
      <c r="ZF57" s="188"/>
      <c r="ZG57" s="187"/>
      <c r="ZM57" s="188"/>
      <c r="ZN57" s="187"/>
      <c r="ZT57" s="188"/>
      <c r="ZU57" s="187"/>
      <c r="AAA57" s="188"/>
      <c r="AAB57" s="187"/>
      <c r="AAC57" s="168"/>
      <c r="AAD57" s="189"/>
      <c r="AAH57" s="188"/>
      <c r="AAI57" s="187"/>
      <c r="AAO57" s="188"/>
      <c r="AAP57" s="187"/>
      <c r="AAV57" s="188"/>
      <c r="AAW57" s="187"/>
      <c r="ABC57" s="188"/>
      <c r="ABD57" s="187"/>
      <c r="ABH57" s="168"/>
      <c r="ABI57" s="189"/>
      <c r="ABJ57" s="188"/>
      <c r="ABK57" s="187"/>
      <c r="ABQ57" s="188"/>
      <c r="ABR57" s="187"/>
      <c r="ABX57" s="188"/>
      <c r="ABY57" s="187"/>
      <c r="ACE57" s="188"/>
      <c r="ACF57" s="187"/>
      <c r="ACL57" s="188"/>
      <c r="ACM57" s="190"/>
      <c r="ACN57" s="189"/>
      <c r="ACS57" s="188"/>
      <c r="ACT57" s="187"/>
      <c r="ACZ57" s="188"/>
      <c r="ADA57" s="187"/>
      <c r="ADG57" s="188"/>
      <c r="ADH57" s="187"/>
      <c r="ADN57" s="188"/>
      <c r="ADO57" s="190"/>
      <c r="ADP57" s="189"/>
      <c r="ADU57" s="188"/>
      <c r="ADV57" s="187"/>
      <c r="AEB57" s="188"/>
      <c r="AEC57" s="187"/>
      <c r="AEI57" s="188"/>
      <c r="AEJ57" s="187"/>
      <c r="AEP57" s="188"/>
      <c r="AEQ57" s="187"/>
      <c r="AET57" s="168"/>
      <c r="AEU57" s="189"/>
      <c r="AEW57" s="188"/>
      <c r="AEX57" s="187"/>
      <c r="AFD57" s="188"/>
      <c r="AFE57" s="187"/>
      <c r="AFK57" s="188"/>
      <c r="AFL57" s="187"/>
      <c r="AFR57" s="188"/>
      <c r="AFS57" s="187"/>
      <c r="AFX57" s="168"/>
      <c r="AFY57" s="191"/>
      <c r="AFZ57" s="187"/>
      <c r="AGF57" s="188"/>
      <c r="AGG57" s="187"/>
      <c r="AGM57" s="188"/>
      <c r="AGN57" s="187"/>
      <c r="AGT57" s="188"/>
      <c r="AGU57" s="187"/>
      <c r="AHA57" s="188"/>
      <c r="AHB57" s="187"/>
      <c r="AHC57" s="168"/>
      <c r="AHD57" s="189"/>
      <c r="AHH57" s="188"/>
      <c r="AHI57" s="187"/>
      <c r="AHO57" s="188"/>
      <c r="AHP57" s="187"/>
      <c r="AHV57" s="188"/>
      <c r="AHW57" s="187"/>
      <c r="AIC57" s="188"/>
      <c r="AID57" s="187"/>
      <c r="AIG57" s="168"/>
      <c r="AIH57" s="189"/>
      <c r="AIJ57" s="188"/>
      <c r="AIK57" s="187"/>
      <c r="AIQ57" s="188"/>
      <c r="AIR57" s="187"/>
      <c r="AIX57" s="188"/>
      <c r="AIY57" s="187"/>
      <c r="AJE57" s="188"/>
      <c r="AJF57" s="187"/>
      <c r="AJL57" s="168"/>
      <c r="AJM57" s="189"/>
      <c r="AJS57" s="188"/>
      <c r="AJT57" s="187"/>
      <c r="AJZ57" s="188"/>
      <c r="AKA57" s="187"/>
      <c r="AKG57" s="188"/>
      <c r="AKH57" s="187"/>
      <c r="AKN57" s="188"/>
      <c r="AKO57" s="187"/>
      <c r="AKQ57" s="168"/>
      <c r="AKR57" s="189"/>
      <c r="AKU57" s="188"/>
      <c r="AKV57" s="187"/>
      <c r="ALB57" s="188"/>
      <c r="ALC57" s="187"/>
      <c r="ALI57" s="188"/>
      <c r="ALJ57" s="187"/>
      <c r="ALP57" s="188"/>
      <c r="ALQ57" s="187"/>
      <c r="ALU57" s="168"/>
      <c r="ALV57" s="189"/>
      <c r="ALW57" s="188"/>
      <c r="ALX57" s="187"/>
      <c r="AMD57" s="188"/>
      <c r="AME57" s="187"/>
      <c r="AMK57" s="188"/>
      <c r="AML57" s="187"/>
      <c r="AMR57" s="188"/>
      <c r="AMS57" s="187"/>
      <c r="AMY57" s="188"/>
      <c r="AMZ57" s="190"/>
      <c r="ANA57" s="189"/>
      <c r="ANF57" s="188"/>
      <c r="ANG57" s="187"/>
      <c r="ANM57" s="188"/>
      <c r="ANN57" s="187"/>
      <c r="ANT57" s="188"/>
      <c r="ANU57" s="187"/>
      <c r="AOA57" s="188"/>
      <c r="AOB57" s="187"/>
      <c r="AOD57" s="168"/>
      <c r="AOE57" s="189"/>
      <c r="AOH57" s="188"/>
      <c r="AOI57" s="187"/>
      <c r="AOO57" s="188"/>
      <c r="AOP57" s="187"/>
      <c r="AOV57" s="188"/>
      <c r="AOW57" s="187"/>
      <c r="APC57" s="188"/>
      <c r="APD57" s="187"/>
      <c r="API57" s="168"/>
      <c r="APJ57" s="191"/>
      <c r="APK57" s="187"/>
      <c r="APQ57" s="188"/>
      <c r="APR57" s="187"/>
      <c r="APX57" s="188"/>
      <c r="APY57" s="187"/>
      <c r="AQE57" s="188"/>
      <c r="AQF57" s="187"/>
      <c r="AQL57" s="188"/>
      <c r="AQM57" s="187"/>
      <c r="AQN57" s="168"/>
      <c r="AQO57" s="189"/>
      <c r="AQS57" s="188"/>
      <c r="AQT57" s="187"/>
      <c r="AQZ57" s="188"/>
      <c r="ARA57" s="187"/>
      <c r="ARG57" s="188"/>
      <c r="ARH57" s="187"/>
      <c r="ARN57" s="188"/>
      <c r="ARO57" s="187"/>
      <c r="ARP57" s="168"/>
      <c r="ARQ57" s="189"/>
      <c r="ARU57" s="188"/>
      <c r="ARV57" s="187"/>
      <c r="ASB57" s="188"/>
      <c r="ASC57" s="187"/>
      <c r="ASI57" s="188"/>
      <c r="ASJ57" s="187"/>
      <c r="ASP57" s="188"/>
      <c r="ASQ57" s="187"/>
      <c r="ASU57" s="168"/>
      <c r="ASV57" s="189"/>
      <c r="ASW57" s="188"/>
      <c r="ASX57" s="187"/>
      <c r="ATD57" s="188"/>
      <c r="ATE57" s="187"/>
      <c r="ATK57" s="188"/>
      <c r="ATL57" s="187"/>
      <c r="ATR57" s="188"/>
      <c r="ATS57" s="187"/>
      <c r="ATY57" s="168"/>
      <c r="ATZ57" s="189"/>
      <c r="AUF57" s="188"/>
      <c r="AUG57" s="187"/>
      <c r="AUM57" s="188"/>
      <c r="AUN57" s="187"/>
      <c r="AUT57" s="188"/>
      <c r="AUU57" s="187"/>
      <c r="AVA57" s="188"/>
      <c r="AVB57" s="187"/>
      <c r="AVD57" s="168"/>
      <c r="AVE57" s="189"/>
      <c r="AVH57" s="188"/>
      <c r="AVI57" s="187"/>
      <c r="AVO57" s="188"/>
      <c r="AVP57" s="187"/>
      <c r="AVV57" s="188"/>
      <c r="AVW57" s="187"/>
      <c r="AWC57" s="188"/>
      <c r="AWD57" s="187"/>
      <c r="AWH57" s="168"/>
      <c r="AWI57" s="189"/>
      <c r="AWJ57" s="188"/>
      <c r="AWK57" s="187"/>
      <c r="AWQ57" s="188"/>
      <c r="AWR57" s="187"/>
      <c r="AWX57" s="188"/>
      <c r="AWY57" s="187"/>
      <c r="AXE57" s="188"/>
      <c r="AXF57" s="187"/>
      <c r="AXL57" s="188"/>
      <c r="AXM57" s="190"/>
      <c r="AXN57" s="189"/>
      <c r="AXS57" s="188"/>
      <c r="AXT57" s="187"/>
      <c r="AXZ57" s="188"/>
      <c r="AYA57" s="187"/>
      <c r="AYG57" s="188"/>
      <c r="AYH57" s="187"/>
      <c r="AYN57" s="188"/>
      <c r="AYO57" s="187"/>
      <c r="AYR57" s="168"/>
      <c r="AYS57" s="189"/>
      <c r="AYU57" s="188"/>
      <c r="AYV57" s="187"/>
      <c r="AZB57" s="188"/>
      <c r="AZC57" s="187"/>
      <c r="AZI57" s="188"/>
      <c r="AZJ57" s="187"/>
      <c r="AZP57" s="188"/>
      <c r="AZQ57" s="187"/>
      <c r="AZV57" s="168"/>
      <c r="AZW57" s="191"/>
      <c r="AZX57" s="187"/>
      <c r="BAD57" s="188"/>
      <c r="BAE57" s="187"/>
      <c r="BAK57" s="188"/>
      <c r="BAL57" s="187"/>
      <c r="BAR57" s="188"/>
      <c r="BAS57" s="187"/>
      <c r="BAY57" s="188"/>
      <c r="BAZ57" s="187"/>
      <c r="BBA57" s="168"/>
      <c r="BBB57" s="189"/>
      <c r="BBF57" s="188"/>
      <c r="BBG57" s="187"/>
      <c r="BBM57" s="188"/>
      <c r="BBN57" s="187"/>
      <c r="BBT57" s="188"/>
      <c r="BBU57" s="187"/>
      <c r="BCA57" s="188"/>
      <c r="BCB57" s="187"/>
      <c r="BCE57" s="168"/>
      <c r="BCF57" s="189"/>
      <c r="BCH57" s="188"/>
      <c r="BCI57" s="187"/>
      <c r="BCO57" s="188"/>
      <c r="BCP57" s="187"/>
      <c r="BCV57" s="188"/>
      <c r="BCW57" s="187"/>
      <c r="BDC57" s="188"/>
      <c r="BDD57" s="187"/>
      <c r="BDJ57" s="168"/>
      <c r="BDK57" s="189"/>
      <c r="BDQ57" s="188"/>
      <c r="BDR57" s="187"/>
      <c r="BDX57" s="188"/>
      <c r="BDY57" s="187"/>
      <c r="BEE57" s="188"/>
      <c r="BEF57" s="187"/>
      <c r="BEL57" s="188"/>
      <c r="BEM57" s="187"/>
      <c r="BEO57" s="168"/>
      <c r="BEP57" s="189"/>
      <c r="BES57" s="188"/>
      <c r="BET57" s="187"/>
      <c r="BEZ57" s="188"/>
      <c r="BFA57" s="187"/>
      <c r="BFG57" s="188"/>
      <c r="BFH57" s="187"/>
      <c r="BFN57" s="188"/>
      <c r="BFO57" s="187"/>
      <c r="BFQ57" s="168"/>
      <c r="BFR57" s="189"/>
      <c r="BFU57" s="188"/>
      <c r="BFV57" s="187"/>
      <c r="BGB57" s="188"/>
      <c r="BGC57" s="187"/>
      <c r="BGI57" s="188"/>
      <c r="BGJ57" s="187"/>
      <c r="BGP57" s="188"/>
      <c r="BGQ57" s="187"/>
      <c r="BGV57" s="168"/>
      <c r="BGW57" s="191"/>
      <c r="BGX57" s="187"/>
      <c r="BHD57" s="188"/>
      <c r="BHE57" s="187"/>
      <c r="BHK57" s="188"/>
      <c r="BHL57" s="187"/>
      <c r="BHR57" s="188"/>
      <c r="BHS57" s="187"/>
      <c r="BHY57" s="188"/>
      <c r="BHZ57" s="190"/>
      <c r="BIA57" s="189"/>
      <c r="BIF57" s="188"/>
      <c r="BIG57" s="187"/>
      <c r="BIM57" s="188"/>
      <c r="BIN57" s="187"/>
      <c r="BIT57" s="188"/>
      <c r="BIU57" s="187"/>
      <c r="BJA57" s="188"/>
      <c r="BJB57" s="187"/>
      <c r="BJE57" s="168"/>
      <c r="BJF57" s="189"/>
      <c r="BJH57" s="188"/>
      <c r="BJI57" s="187"/>
      <c r="BJO57" s="188"/>
      <c r="BJP57" s="187"/>
      <c r="BJV57" s="188"/>
      <c r="BJW57" s="187"/>
      <c r="BKC57" s="188"/>
      <c r="BKD57" s="187"/>
      <c r="BKI57" s="168"/>
      <c r="BKJ57" s="191"/>
      <c r="BKK57" s="187"/>
      <c r="BKQ57" s="188"/>
      <c r="BKR57" s="187"/>
      <c r="BKX57" s="188"/>
      <c r="BKY57" s="187"/>
      <c r="BLE57" s="188"/>
      <c r="BLF57" s="187"/>
      <c r="BLL57" s="188"/>
      <c r="BLM57" s="187"/>
      <c r="BLN57" s="168"/>
      <c r="BLO57" s="189"/>
      <c r="BLS57" s="188"/>
      <c r="BLT57" s="187"/>
      <c r="BLZ57" s="188"/>
      <c r="BMA57" s="187"/>
      <c r="BMG57" s="188"/>
      <c r="BMH57" s="187"/>
      <c r="BMN57" s="188"/>
      <c r="BMO57" s="187"/>
      <c r="BMS57" s="168"/>
      <c r="BMT57" s="189"/>
      <c r="BMU57" s="188"/>
      <c r="BMV57" s="187"/>
      <c r="BNB57" s="188"/>
      <c r="BNC57" s="187"/>
      <c r="BNI57" s="188"/>
      <c r="BNJ57" s="187"/>
      <c r="BNP57" s="188"/>
      <c r="BNQ57" s="187"/>
      <c r="BNW57" s="168"/>
      <c r="BNX57" s="189"/>
      <c r="BOD57" s="188"/>
      <c r="BOE57" s="187"/>
      <c r="BOK57" s="188"/>
      <c r="BOL57" s="187"/>
      <c r="BOR57" s="188"/>
      <c r="BOS57" s="187"/>
      <c r="BOY57" s="188"/>
      <c r="BOZ57" s="187"/>
      <c r="BPB57" s="168"/>
      <c r="BPC57" s="189"/>
      <c r="BPF57" s="188"/>
      <c r="BPG57" s="187"/>
      <c r="BPM57" s="188"/>
      <c r="BPN57" s="187"/>
      <c r="BPT57" s="188"/>
      <c r="BPU57" s="187"/>
      <c r="BQA57" s="188"/>
      <c r="BQB57" s="187"/>
      <c r="BQF57" s="168"/>
      <c r="BQG57" s="189"/>
      <c r="BQH57" s="188"/>
      <c r="BQI57" s="187"/>
      <c r="BQO57" s="188"/>
      <c r="BQP57" s="187"/>
      <c r="BQV57" s="188"/>
      <c r="BQW57" s="187"/>
      <c r="BRC57" s="188"/>
      <c r="BRD57" s="187"/>
      <c r="BRJ57" s="188"/>
      <c r="BRK57" s="190"/>
      <c r="BRL57" s="189"/>
      <c r="BRQ57" s="188"/>
      <c r="BRR57" s="187"/>
      <c r="BRX57" s="188"/>
      <c r="BRY57" s="187"/>
      <c r="BSE57" s="188"/>
      <c r="BSF57" s="187"/>
      <c r="BSL57" s="188"/>
      <c r="BSM57" s="187"/>
      <c r="BSP57" s="168"/>
      <c r="BSQ57" s="189"/>
      <c r="BSS57" s="188"/>
      <c r="BST57" s="187"/>
      <c r="BSZ57" s="188"/>
      <c r="BTA57" s="187"/>
      <c r="BTG57" s="188"/>
      <c r="BTH57" s="187"/>
      <c r="BTN57" s="188"/>
      <c r="BTO57" s="187"/>
      <c r="BTS57" s="168"/>
      <c r="BTT57" s="189"/>
      <c r="BTU57" s="188"/>
      <c r="BTV57" s="187"/>
      <c r="BUB57" s="188"/>
      <c r="BUC57" s="187"/>
      <c r="BUI57" s="188"/>
      <c r="BUJ57" s="187"/>
      <c r="BUP57" s="188"/>
      <c r="BUQ57" s="187"/>
      <c r="BUW57" s="188"/>
      <c r="BUX57" s="190"/>
      <c r="BUY57" s="189"/>
      <c r="BVD57" s="188"/>
      <c r="BVE57" s="187"/>
      <c r="BVK57" s="188"/>
      <c r="BVL57" s="187"/>
      <c r="BVR57" s="188"/>
      <c r="BVS57" s="187"/>
      <c r="BVY57" s="188"/>
      <c r="BVZ57" s="187"/>
      <c r="BWB57" s="168"/>
      <c r="BWC57" s="189"/>
      <c r="BWF57" s="188"/>
      <c r="BWG57" s="187"/>
      <c r="BWM57" s="188"/>
      <c r="BWN57" s="187"/>
      <c r="BWT57" s="188"/>
      <c r="BWU57" s="187"/>
      <c r="BXA57" s="188"/>
      <c r="BXB57" s="187"/>
      <c r="BXG57" s="168"/>
      <c r="BXH57" s="191"/>
      <c r="BXI57" s="187"/>
      <c r="BXO57" s="188"/>
      <c r="BXP57" s="187"/>
      <c r="BXV57" s="188"/>
      <c r="BXW57" s="187"/>
      <c r="BYC57" s="188"/>
      <c r="BYD57" s="187"/>
      <c r="BYJ57" s="188"/>
      <c r="BYK57" s="190"/>
      <c r="BYL57" s="189"/>
      <c r="BYQ57" s="188"/>
      <c r="BYR57" s="187"/>
      <c r="BYX57" s="188"/>
      <c r="BYY57" s="187"/>
      <c r="BZE57" s="188"/>
      <c r="BZF57" s="187"/>
      <c r="BZL57" s="188"/>
      <c r="BZM57" s="187"/>
      <c r="BZP57" s="168"/>
      <c r="BZQ57" s="189"/>
      <c r="BZS57" s="188"/>
      <c r="BZT57" s="187"/>
      <c r="BZZ57" s="188"/>
      <c r="CAA57" s="187"/>
      <c r="CAG57" s="188"/>
      <c r="CAH57" s="187"/>
      <c r="CAN57" s="188"/>
      <c r="CAO57" s="187"/>
      <c r="CAU57" s="168"/>
      <c r="CAV57" s="189"/>
      <c r="CBB57" s="188"/>
      <c r="CBC57" s="187"/>
      <c r="CBI57" s="188"/>
      <c r="CBJ57" s="187"/>
      <c r="CBP57" s="188"/>
      <c r="CBQ57" s="187"/>
      <c r="CBW57" s="188"/>
      <c r="CBX57" s="187"/>
      <c r="CBY57" s="168"/>
      <c r="CBZ57" s="189"/>
      <c r="CCD57" s="188"/>
      <c r="CCE57" s="187"/>
      <c r="CCK57" s="188"/>
      <c r="CCL57" s="187"/>
      <c r="CCR57" s="188"/>
      <c r="CCS57" s="187"/>
      <c r="CCY57" s="188"/>
      <c r="CCZ57" s="187"/>
      <c r="CDD57" s="168"/>
      <c r="CDE57" s="189"/>
      <c r="CDF57" s="188"/>
      <c r="CDG57" s="187"/>
      <c r="CDM57" s="188"/>
      <c r="CDN57" s="187"/>
      <c r="CDT57" s="188"/>
      <c r="CDU57" s="187"/>
      <c r="CEA57" s="188"/>
      <c r="CEB57" s="187"/>
      <c r="CEH57" s="168"/>
      <c r="CEI57" s="189"/>
      <c r="CEO57" s="188"/>
      <c r="CEP57" s="187"/>
      <c r="CEV57" s="188"/>
      <c r="CEW57" s="187"/>
      <c r="CFC57" s="188"/>
      <c r="CFD57" s="187"/>
      <c r="CFJ57" s="188"/>
      <c r="CFK57" s="187"/>
    </row>
    <row r="58" spans="1:1019 1025:2048 2054:2195">
      <c r="D58" s="186"/>
      <c r="E58" s="186"/>
      <c r="K58" s="187"/>
      <c r="Q58" s="188"/>
      <c r="R58" s="187"/>
      <c r="X58" s="188"/>
      <c r="Y58" s="187"/>
      <c r="AE58" s="188"/>
      <c r="AF58" s="187"/>
      <c r="AJ58" s="168"/>
      <c r="AK58" s="189"/>
      <c r="AL58" s="188"/>
      <c r="AM58" s="187"/>
      <c r="AS58" s="188"/>
      <c r="AT58" s="187"/>
      <c r="AZ58" s="188"/>
      <c r="BA58" s="187"/>
      <c r="BG58" s="188"/>
      <c r="BH58" s="187"/>
      <c r="BL58" s="168"/>
      <c r="BM58" s="189"/>
      <c r="BN58" s="188"/>
      <c r="BO58" s="187"/>
      <c r="BU58" s="188"/>
      <c r="BV58" s="187"/>
      <c r="CB58" s="188"/>
      <c r="CC58" s="187"/>
      <c r="CI58" s="188"/>
      <c r="CJ58" s="187"/>
      <c r="CP58" s="188"/>
      <c r="CQ58" s="190"/>
      <c r="CR58" s="189"/>
      <c r="CW58" s="188"/>
      <c r="CX58" s="187"/>
      <c r="DD58" s="188"/>
      <c r="DE58" s="187"/>
      <c r="DK58" s="188"/>
      <c r="DL58" s="187"/>
      <c r="DR58" s="188"/>
      <c r="DS58" s="187"/>
      <c r="DU58" s="168"/>
      <c r="DV58" s="189"/>
      <c r="DY58" s="188"/>
      <c r="DZ58" s="187"/>
      <c r="EF58" s="188"/>
      <c r="EG58" s="187"/>
      <c r="EM58" s="188"/>
      <c r="EN58" s="187"/>
      <c r="ET58" s="188"/>
      <c r="EU58" s="187"/>
      <c r="EZ58" s="168"/>
      <c r="FA58" s="191"/>
      <c r="FB58" s="187"/>
      <c r="FH58" s="188"/>
      <c r="FI58" s="187"/>
      <c r="FO58" s="188"/>
      <c r="FP58" s="187"/>
      <c r="FV58" s="188"/>
      <c r="FW58" s="187"/>
      <c r="GC58" s="188"/>
      <c r="GD58" s="190"/>
      <c r="GE58" s="189"/>
      <c r="GJ58" s="188"/>
      <c r="GK58" s="187"/>
      <c r="GQ58" s="188"/>
      <c r="GR58" s="187"/>
      <c r="GX58" s="188"/>
      <c r="GY58" s="187"/>
      <c r="HE58" s="188"/>
      <c r="HF58" s="187"/>
      <c r="HI58" s="168"/>
      <c r="HJ58" s="189"/>
      <c r="HL58" s="188"/>
      <c r="HM58" s="187"/>
      <c r="HS58" s="188"/>
      <c r="HT58" s="187"/>
      <c r="HZ58" s="188"/>
      <c r="IA58" s="187"/>
      <c r="IG58" s="188"/>
      <c r="IH58" s="187"/>
      <c r="IN58" s="168"/>
      <c r="IO58" s="189"/>
      <c r="IU58" s="188"/>
      <c r="IV58" s="187"/>
      <c r="JB58" s="188"/>
      <c r="JC58" s="187"/>
      <c r="JI58" s="188"/>
      <c r="JJ58" s="187"/>
      <c r="JP58" s="188"/>
      <c r="JQ58" s="187"/>
      <c r="JR58" s="168"/>
      <c r="JS58" s="189"/>
      <c r="JW58" s="188"/>
      <c r="JX58" s="187"/>
      <c r="KD58" s="188"/>
      <c r="KE58" s="187"/>
      <c r="KK58" s="188"/>
      <c r="KL58" s="187"/>
      <c r="KR58" s="188"/>
      <c r="KS58" s="187"/>
      <c r="KW58" s="168"/>
      <c r="KX58" s="189"/>
      <c r="KY58" s="188"/>
      <c r="KZ58" s="187"/>
      <c r="LF58" s="188"/>
      <c r="LG58" s="187"/>
      <c r="LM58" s="188"/>
      <c r="LN58" s="187"/>
      <c r="LT58" s="188"/>
      <c r="LU58" s="187"/>
      <c r="MA58" s="168"/>
      <c r="MB58" s="189"/>
      <c r="MH58" s="188"/>
      <c r="MI58" s="187"/>
      <c r="MO58" s="188"/>
      <c r="MP58" s="187"/>
      <c r="MV58" s="188"/>
      <c r="MW58" s="187"/>
      <c r="NC58" s="188"/>
      <c r="ND58" s="187"/>
      <c r="NF58" s="168"/>
      <c r="NG58" s="189"/>
      <c r="NJ58" s="188"/>
      <c r="NK58" s="187"/>
      <c r="NQ58" s="188"/>
      <c r="NR58" s="187"/>
      <c r="NX58" s="188"/>
      <c r="NY58" s="187"/>
      <c r="OE58" s="188"/>
      <c r="OF58" s="187"/>
      <c r="OK58" s="168"/>
      <c r="OL58" s="191"/>
      <c r="OM58" s="187"/>
      <c r="OS58" s="188"/>
      <c r="OT58" s="187"/>
      <c r="OZ58" s="188"/>
      <c r="PA58" s="187"/>
      <c r="PG58" s="188"/>
      <c r="PH58" s="187"/>
      <c r="PN58" s="168"/>
      <c r="PO58" s="189"/>
      <c r="PU58" s="188"/>
      <c r="PV58" s="187"/>
      <c r="QB58" s="188"/>
      <c r="QC58" s="187"/>
      <c r="QI58" s="188"/>
      <c r="QJ58" s="187"/>
      <c r="QP58" s="188"/>
      <c r="QQ58" s="187"/>
      <c r="QS58" s="168"/>
      <c r="QT58" s="189"/>
      <c r="QW58" s="188"/>
      <c r="QX58" s="187"/>
      <c r="RD58" s="188"/>
      <c r="RE58" s="187"/>
      <c r="RK58" s="188"/>
      <c r="RL58" s="187"/>
      <c r="RR58" s="188"/>
      <c r="RS58" s="187"/>
      <c r="RW58" s="168"/>
      <c r="RX58" s="189"/>
      <c r="RY58" s="188"/>
      <c r="RZ58" s="187"/>
      <c r="SF58" s="188"/>
      <c r="SG58" s="187"/>
      <c r="SM58" s="188"/>
      <c r="SN58" s="187"/>
      <c r="ST58" s="188"/>
      <c r="SU58" s="187"/>
      <c r="TA58" s="188"/>
      <c r="TB58" s="190"/>
      <c r="TC58" s="189"/>
      <c r="TH58" s="188"/>
      <c r="TI58" s="187"/>
      <c r="TO58" s="188"/>
      <c r="TP58" s="187"/>
      <c r="TV58" s="188"/>
      <c r="TW58" s="187"/>
      <c r="UC58" s="188"/>
      <c r="UD58" s="187"/>
      <c r="UF58" s="168"/>
      <c r="UG58" s="189"/>
      <c r="UJ58" s="188"/>
      <c r="UK58" s="187"/>
      <c r="UQ58" s="188"/>
      <c r="UR58" s="187"/>
      <c r="UX58" s="188"/>
      <c r="UY58" s="187"/>
      <c r="VE58" s="188"/>
      <c r="VF58" s="187"/>
      <c r="VK58" s="168"/>
      <c r="VL58" s="191"/>
      <c r="VM58" s="187"/>
      <c r="VS58" s="188"/>
      <c r="VT58" s="187"/>
      <c r="VZ58" s="188"/>
      <c r="WA58" s="187"/>
      <c r="WG58" s="188"/>
      <c r="WH58" s="187"/>
      <c r="WN58" s="188"/>
      <c r="WO58" s="187"/>
      <c r="WP58" s="168"/>
      <c r="WQ58" s="189"/>
      <c r="WU58" s="188"/>
      <c r="WV58" s="187"/>
      <c r="XB58" s="188"/>
      <c r="XC58" s="187"/>
      <c r="XI58" s="188"/>
      <c r="XJ58" s="187"/>
      <c r="XP58" s="188"/>
      <c r="XQ58" s="187"/>
      <c r="XT58" s="168"/>
      <c r="XU58" s="189"/>
      <c r="XW58" s="188"/>
      <c r="XX58" s="187"/>
      <c r="YD58" s="188"/>
      <c r="YE58" s="187"/>
      <c r="YK58" s="188"/>
      <c r="YL58" s="187"/>
      <c r="YR58" s="188"/>
      <c r="YS58" s="187"/>
      <c r="YY58" s="168"/>
      <c r="YZ58" s="189"/>
      <c r="ZF58" s="188"/>
      <c r="ZG58" s="187"/>
      <c r="ZM58" s="188"/>
      <c r="ZN58" s="187"/>
      <c r="ZT58" s="188"/>
      <c r="ZU58" s="187"/>
      <c r="AAA58" s="188"/>
      <c r="AAB58" s="187"/>
      <c r="AAC58" s="168"/>
      <c r="AAD58" s="189"/>
      <c r="AAH58" s="188"/>
      <c r="AAI58" s="187"/>
      <c r="AAO58" s="188"/>
      <c r="AAP58" s="187"/>
      <c r="AAV58" s="188"/>
      <c r="AAW58" s="187"/>
      <c r="ABC58" s="188"/>
      <c r="ABD58" s="187"/>
      <c r="ABH58" s="168"/>
      <c r="ABI58" s="189"/>
      <c r="ABJ58" s="188"/>
      <c r="ABK58" s="187"/>
      <c r="ABQ58" s="188"/>
      <c r="ABR58" s="187"/>
      <c r="ABX58" s="188"/>
      <c r="ABY58" s="187"/>
      <c r="ACE58" s="188"/>
      <c r="ACF58" s="187"/>
      <c r="ACL58" s="188"/>
      <c r="ACM58" s="190"/>
      <c r="ACN58" s="189"/>
      <c r="ACS58" s="188"/>
      <c r="ACT58" s="187"/>
      <c r="ACZ58" s="188"/>
      <c r="ADA58" s="187"/>
      <c r="ADG58" s="188"/>
      <c r="ADH58" s="187"/>
      <c r="ADN58" s="188"/>
      <c r="ADO58" s="190"/>
      <c r="ADP58" s="189"/>
      <c r="ADU58" s="188"/>
      <c r="ADV58" s="187"/>
      <c r="AEB58" s="188"/>
      <c r="AEC58" s="187"/>
      <c r="AEI58" s="188"/>
      <c r="AEJ58" s="187"/>
      <c r="AEP58" s="188"/>
      <c r="AEQ58" s="187"/>
      <c r="AET58" s="168"/>
      <c r="AEU58" s="189"/>
      <c r="AEW58" s="188"/>
      <c r="AEX58" s="187"/>
      <c r="AFD58" s="188"/>
      <c r="AFE58" s="187"/>
      <c r="AFK58" s="188"/>
      <c r="AFL58" s="187"/>
      <c r="AFR58" s="188"/>
      <c r="AFS58" s="187"/>
      <c r="AFX58" s="168"/>
      <c r="AFY58" s="191"/>
      <c r="AFZ58" s="187"/>
      <c r="AGF58" s="188"/>
      <c r="AGG58" s="187"/>
      <c r="AGM58" s="188"/>
      <c r="AGN58" s="187"/>
      <c r="AGT58" s="188"/>
      <c r="AGU58" s="187"/>
      <c r="AHA58" s="188"/>
      <c r="AHB58" s="187"/>
      <c r="AHC58" s="168"/>
      <c r="AHD58" s="189"/>
      <c r="AHH58" s="188"/>
      <c r="AHI58" s="187"/>
      <c r="AHO58" s="188"/>
      <c r="AHP58" s="187"/>
      <c r="AHV58" s="188"/>
      <c r="AHW58" s="187"/>
      <c r="AIC58" s="188"/>
      <c r="AID58" s="187"/>
      <c r="AIG58" s="168"/>
      <c r="AIH58" s="189"/>
      <c r="AIJ58" s="188"/>
      <c r="AIK58" s="187"/>
      <c r="AIQ58" s="188"/>
      <c r="AIR58" s="187"/>
      <c r="AIX58" s="188"/>
      <c r="AIY58" s="187"/>
      <c r="AJE58" s="188"/>
      <c r="AJF58" s="187"/>
      <c r="AJL58" s="168"/>
      <c r="AJM58" s="189"/>
      <c r="AJS58" s="188"/>
      <c r="AJT58" s="187"/>
      <c r="AJZ58" s="188"/>
      <c r="AKA58" s="187"/>
      <c r="AKG58" s="188"/>
      <c r="AKH58" s="187"/>
      <c r="AKN58" s="188"/>
      <c r="AKO58" s="187"/>
      <c r="AKQ58" s="168"/>
      <c r="AKR58" s="189"/>
      <c r="AKU58" s="188"/>
      <c r="AKV58" s="187"/>
      <c r="ALB58" s="188"/>
      <c r="ALC58" s="187"/>
      <c r="ALI58" s="188"/>
      <c r="ALJ58" s="187"/>
      <c r="ALP58" s="188"/>
      <c r="ALQ58" s="187"/>
      <c r="ALU58" s="168"/>
      <c r="ALV58" s="189"/>
      <c r="ALW58" s="188"/>
      <c r="ALX58" s="187"/>
      <c r="AMD58" s="188"/>
      <c r="AME58" s="187"/>
      <c r="AMK58" s="188"/>
      <c r="AML58" s="187"/>
      <c r="AMR58" s="188"/>
      <c r="AMS58" s="187"/>
      <c r="AMY58" s="188"/>
      <c r="AMZ58" s="190"/>
      <c r="ANA58" s="189"/>
      <c r="ANF58" s="188"/>
      <c r="ANG58" s="187"/>
      <c r="ANM58" s="188"/>
      <c r="ANN58" s="187"/>
      <c r="ANT58" s="188"/>
      <c r="ANU58" s="187"/>
      <c r="AOA58" s="188"/>
      <c r="AOB58" s="187"/>
      <c r="AOD58" s="168"/>
      <c r="AOE58" s="189"/>
      <c r="AOH58" s="188"/>
      <c r="AOI58" s="187"/>
      <c r="AOO58" s="188"/>
      <c r="AOP58" s="187"/>
      <c r="AOV58" s="188"/>
      <c r="AOW58" s="187"/>
      <c r="APC58" s="188"/>
      <c r="APD58" s="187"/>
      <c r="API58" s="168"/>
      <c r="APJ58" s="191"/>
      <c r="APK58" s="187"/>
      <c r="APQ58" s="188"/>
      <c r="APR58" s="187"/>
      <c r="APX58" s="188"/>
      <c r="APY58" s="187"/>
      <c r="AQE58" s="188"/>
      <c r="AQF58" s="187"/>
      <c r="AQL58" s="188"/>
      <c r="AQM58" s="187"/>
      <c r="AQN58" s="168"/>
      <c r="AQO58" s="189"/>
      <c r="AQS58" s="188"/>
      <c r="AQT58" s="187"/>
      <c r="AQZ58" s="188"/>
      <c r="ARA58" s="187"/>
      <c r="ARG58" s="188"/>
      <c r="ARH58" s="187"/>
      <c r="ARN58" s="188"/>
      <c r="ARO58" s="187"/>
      <c r="ARP58" s="168"/>
      <c r="ARQ58" s="189"/>
      <c r="ARU58" s="188"/>
      <c r="ARV58" s="187"/>
      <c r="ASB58" s="188"/>
      <c r="ASC58" s="187"/>
      <c r="ASI58" s="188"/>
      <c r="ASJ58" s="187"/>
      <c r="ASP58" s="188"/>
      <c r="ASQ58" s="187"/>
      <c r="ASU58" s="168"/>
      <c r="ASV58" s="189"/>
      <c r="ASW58" s="188"/>
      <c r="ASX58" s="187"/>
      <c r="ATD58" s="188"/>
      <c r="ATE58" s="187"/>
      <c r="ATK58" s="188"/>
      <c r="ATL58" s="187"/>
      <c r="ATR58" s="188"/>
      <c r="ATS58" s="187"/>
      <c r="ATY58" s="168"/>
      <c r="ATZ58" s="189"/>
      <c r="AUF58" s="188"/>
      <c r="AUG58" s="187"/>
      <c r="AUM58" s="188"/>
      <c r="AUN58" s="187"/>
      <c r="AUT58" s="188"/>
      <c r="AUU58" s="187"/>
      <c r="AVA58" s="188"/>
      <c r="AVB58" s="187"/>
      <c r="AVD58" s="168"/>
      <c r="AVE58" s="189"/>
      <c r="AVH58" s="188"/>
      <c r="AVI58" s="187"/>
      <c r="AVO58" s="188"/>
      <c r="AVP58" s="187"/>
      <c r="AVV58" s="188"/>
      <c r="AVW58" s="187"/>
      <c r="AWC58" s="188"/>
      <c r="AWD58" s="187"/>
      <c r="AWH58" s="168"/>
      <c r="AWI58" s="189"/>
      <c r="AWJ58" s="188"/>
      <c r="AWK58" s="187"/>
      <c r="AWQ58" s="188"/>
      <c r="AWR58" s="187"/>
      <c r="AWX58" s="188"/>
      <c r="AWY58" s="187"/>
      <c r="AXE58" s="188"/>
      <c r="AXF58" s="187"/>
      <c r="AXL58" s="188"/>
      <c r="AXM58" s="190"/>
      <c r="AXN58" s="189"/>
      <c r="AXS58" s="188"/>
      <c r="AXT58" s="187"/>
      <c r="AXZ58" s="188"/>
      <c r="AYA58" s="187"/>
      <c r="AYG58" s="188"/>
      <c r="AYH58" s="187"/>
      <c r="AYN58" s="188"/>
      <c r="AYO58" s="187"/>
      <c r="AYR58" s="168"/>
      <c r="AYS58" s="189"/>
      <c r="AYU58" s="188"/>
      <c r="AYV58" s="187"/>
      <c r="AZB58" s="188"/>
      <c r="AZC58" s="187"/>
      <c r="AZI58" s="188"/>
      <c r="AZJ58" s="187"/>
      <c r="AZP58" s="188"/>
      <c r="AZQ58" s="187"/>
      <c r="AZV58" s="168"/>
      <c r="AZW58" s="191"/>
      <c r="AZX58" s="187"/>
      <c r="BAD58" s="188"/>
      <c r="BAE58" s="187"/>
      <c r="BAK58" s="188"/>
      <c r="BAL58" s="187"/>
      <c r="BAR58" s="188"/>
      <c r="BAS58" s="187"/>
      <c r="BAY58" s="188"/>
      <c r="BAZ58" s="187"/>
      <c r="BBA58" s="168"/>
      <c r="BBB58" s="189"/>
      <c r="BBF58" s="188"/>
      <c r="BBG58" s="187"/>
      <c r="BBM58" s="188"/>
      <c r="BBN58" s="187"/>
      <c r="BBT58" s="188"/>
      <c r="BBU58" s="187"/>
      <c r="BCA58" s="188"/>
      <c r="BCB58" s="187"/>
      <c r="BCE58" s="168"/>
      <c r="BCF58" s="189"/>
      <c r="BCH58" s="188"/>
      <c r="BCI58" s="187"/>
      <c r="BCO58" s="188"/>
      <c r="BCP58" s="187"/>
      <c r="BCV58" s="188"/>
      <c r="BCW58" s="187"/>
      <c r="BDC58" s="188"/>
      <c r="BDD58" s="187"/>
      <c r="BDJ58" s="168"/>
      <c r="BDK58" s="189"/>
      <c r="BDQ58" s="188"/>
      <c r="BDR58" s="187"/>
      <c r="BDX58" s="188"/>
      <c r="BDY58" s="187"/>
      <c r="BEE58" s="188"/>
      <c r="BEF58" s="187"/>
      <c r="BEL58" s="188"/>
      <c r="BEM58" s="187"/>
      <c r="BEO58" s="168"/>
      <c r="BEP58" s="189"/>
      <c r="BES58" s="188"/>
      <c r="BET58" s="187"/>
      <c r="BEZ58" s="188"/>
      <c r="BFA58" s="187"/>
      <c r="BFG58" s="188"/>
      <c r="BFH58" s="187"/>
      <c r="BFN58" s="188"/>
      <c r="BFO58" s="187"/>
      <c r="BFQ58" s="168"/>
      <c r="BFR58" s="189"/>
      <c r="BFU58" s="188"/>
      <c r="BFV58" s="187"/>
      <c r="BGB58" s="188"/>
      <c r="BGC58" s="187"/>
      <c r="BGI58" s="188"/>
      <c r="BGJ58" s="187"/>
      <c r="BGP58" s="188"/>
      <c r="BGQ58" s="187"/>
      <c r="BGV58" s="168"/>
      <c r="BGW58" s="191"/>
      <c r="BGX58" s="187"/>
      <c r="BHD58" s="188"/>
      <c r="BHE58" s="187"/>
      <c r="BHK58" s="188"/>
      <c r="BHL58" s="187"/>
      <c r="BHR58" s="188"/>
      <c r="BHS58" s="187"/>
      <c r="BHY58" s="188"/>
      <c r="BHZ58" s="190"/>
      <c r="BIA58" s="189"/>
      <c r="BIF58" s="188"/>
      <c r="BIG58" s="187"/>
      <c r="BIM58" s="188"/>
      <c r="BIN58" s="187"/>
      <c r="BIT58" s="188"/>
      <c r="BIU58" s="187"/>
      <c r="BJA58" s="188"/>
      <c r="BJB58" s="187"/>
      <c r="BJE58" s="168"/>
      <c r="BJF58" s="189"/>
      <c r="BJH58" s="188"/>
      <c r="BJI58" s="187"/>
      <c r="BJO58" s="188"/>
      <c r="BJP58" s="187"/>
      <c r="BJV58" s="188"/>
      <c r="BJW58" s="187"/>
      <c r="BKC58" s="188"/>
      <c r="BKD58" s="187"/>
      <c r="BKI58" s="168"/>
      <c r="BKJ58" s="191"/>
      <c r="BKK58" s="187"/>
      <c r="BKQ58" s="188"/>
      <c r="BKR58" s="187"/>
      <c r="BKX58" s="188"/>
      <c r="BKY58" s="187"/>
      <c r="BLE58" s="188"/>
      <c r="BLF58" s="187"/>
      <c r="BLL58" s="188"/>
      <c r="BLM58" s="187"/>
      <c r="BLN58" s="168"/>
      <c r="BLO58" s="189"/>
      <c r="BLS58" s="188"/>
      <c r="BLT58" s="187"/>
      <c r="BLZ58" s="188"/>
      <c r="BMA58" s="187"/>
      <c r="BMG58" s="188"/>
      <c r="BMH58" s="187"/>
      <c r="BMN58" s="188"/>
      <c r="BMO58" s="187"/>
      <c r="BMS58" s="168"/>
      <c r="BMT58" s="189"/>
      <c r="BMU58" s="188"/>
      <c r="BMV58" s="187"/>
      <c r="BNB58" s="188"/>
      <c r="BNC58" s="187"/>
      <c r="BNI58" s="188"/>
      <c r="BNJ58" s="187"/>
      <c r="BNP58" s="188"/>
      <c r="BNQ58" s="187"/>
      <c r="BNW58" s="168"/>
      <c r="BNX58" s="189"/>
      <c r="BOD58" s="188"/>
      <c r="BOE58" s="187"/>
      <c r="BOK58" s="188"/>
      <c r="BOL58" s="187"/>
      <c r="BOR58" s="188"/>
      <c r="BOS58" s="187"/>
      <c r="BOY58" s="188"/>
      <c r="BOZ58" s="187"/>
      <c r="BPB58" s="168"/>
      <c r="BPC58" s="189"/>
      <c r="BPF58" s="188"/>
      <c r="BPG58" s="187"/>
      <c r="BPM58" s="188"/>
      <c r="BPN58" s="187"/>
      <c r="BPT58" s="188"/>
      <c r="BPU58" s="187"/>
      <c r="BQA58" s="188"/>
      <c r="BQB58" s="187"/>
      <c r="BQF58" s="168"/>
      <c r="BQG58" s="189"/>
      <c r="BQH58" s="188"/>
      <c r="BQI58" s="187"/>
      <c r="BQO58" s="188"/>
      <c r="BQP58" s="187"/>
      <c r="BQV58" s="188"/>
      <c r="BQW58" s="187"/>
      <c r="BRC58" s="188"/>
      <c r="BRD58" s="187"/>
      <c r="BRJ58" s="188"/>
      <c r="BRK58" s="190"/>
      <c r="BRL58" s="189"/>
      <c r="BRQ58" s="188"/>
      <c r="BRR58" s="187"/>
      <c r="BRX58" s="188"/>
      <c r="BRY58" s="187"/>
      <c r="BSE58" s="188"/>
      <c r="BSF58" s="187"/>
      <c r="BSL58" s="188"/>
      <c r="BSM58" s="187"/>
      <c r="BSP58" s="168"/>
      <c r="BSQ58" s="189"/>
      <c r="BSS58" s="188"/>
      <c r="BST58" s="187"/>
      <c r="BSZ58" s="188"/>
      <c r="BTA58" s="187"/>
      <c r="BTG58" s="188"/>
      <c r="BTH58" s="187"/>
      <c r="BTN58" s="188"/>
      <c r="BTO58" s="187"/>
      <c r="BTS58" s="168"/>
      <c r="BTT58" s="189"/>
      <c r="BTU58" s="188"/>
      <c r="BTV58" s="187"/>
      <c r="BUB58" s="188"/>
      <c r="BUC58" s="187"/>
      <c r="BUI58" s="188"/>
      <c r="BUJ58" s="187"/>
      <c r="BUP58" s="188"/>
      <c r="BUQ58" s="187"/>
      <c r="BUW58" s="188"/>
      <c r="BUX58" s="190"/>
      <c r="BUY58" s="189"/>
      <c r="BVD58" s="188"/>
      <c r="BVE58" s="187"/>
      <c r="BVK58" s="188"/>
      <c r="BVL58" s="187"/>
      <c r="BVR58" s="188"/>
      <c r="BVS58" s="187"/>
      <c r="BVY58" s="188"/>
      <c r="BVZ58" s="187"/>
      <c r="BWB58" s="168"/>
      <c r="BWC58" s="189"/>
      <c r="BWF58" s="188"/>
      <c r="BWG58" s="187"/>
      <c r="BWM58" s="188"/>
      <c r="BWN58" s="187"/>
      <c r="BWT58" s="188"/>
      <c r="BWU58" s="187"/>
      <c r="BXA58" s="188"/>
      <c r="BXB58" s="187"/>
      <c r="BXG58" s="168"/>
      <c r="BXH58" s="191"/>
      <c r="BXI58" s="187"/>
      <c r="BXO58" s="188"/>
      <c r="BXP58" s="187"/>
      <c r="BXV58" s="188"/>
      <c r="BXW58" s="187"/>
      <c r="BYC58" s="188"/>
      <c r="BYD58" s="187"/>
      <c r="BYJ58" s="188"/>
      <c r="BYK58" s="190"/>
      <c r="BYL58" s="189"/>
      <c r="BYQ58" s="188"/>
      <c r="BYR58" s="187"/>
      <c r="BYX58" s="188"/>
      <c r="BYY58" s="187"/>
      <c r="BZE58" s="188"/>
      <c r="BZF58" s="187"/>
      <c r="BZL58" s="188"/>
      <c r="BZM58" s="187"/>
      <c r="BZP58" s="168"/>
      <c r="BZQ58" s="189"/>
      <c r="BZS58" s="188"/>
      <c r="BZT58" s="187"/>
      <c r="BZZ58" s="188"/>
      <c r="CAA58" s="187"/>
      <c r="CAG58" s="188"/>
      <c r="CAH58" s="187"/>
      <c r="CAN58" s="188"/>
      <c r="CAO58" s="187"/>
      <c r="CAU58" s="168"/>
      <c r="CAV58" s="189"/>
      <c r="CBB58" s="188"/>
      <c r="CBC58" s="187"/>
      <c r="CBI58" s="188"/>
      <c r="CBJ58" s="187"/>
      <c r="CBP58" s="188"/>
      <c r="CBQ58" s="187"/>
      <c r="CBW58" s="188"/>
      <c r="CBX58" s="187"/>
      <c r="CBY58" s="168"/>
      <c r="CBZ58" s="189"/>
      <c r="CCD58" s="188"/>
      <c r="CCE58" s="187"/>
      <c r="CCK58" s="188"/>
      <c r="CCL58" s="187"/>
      <c r="CCR58" s="188"/>
      <c r="CCS58" s="187"/>
      <c r="CCY58" s="188"/>
      <c r="CCZ58" s="187"/>
      <c r="CDD58" s="168"/>
      <c r="CDE58" s="189"/>
      <c r="CDF58" s="188"/>
      <c r="CDG58" s="187"/>
      <c r="CDM58" s="188"/>
      <c r="CDN58" s="187"/>
      <c r="CDT58" s="188"/>
      <c r="CDU58" s="187"/>
      <c r="CEA58" s="188"/>
      <c r="CEB58" s="187"/>
      <c r="CEH58" s="168"/>
      <c r="CEI58" s="189"/>
      <c r="CEO58" s="188"/>
      <c r="CEP58" s="187"/>
      <c r="CEV58" s="188"/>
      <c r="CEW58" s="187"/>
      <c r="CFC58" s="188"/>
      <c r="CFD58" s="187"/>
      <c r="CFJ58" s="188"/>
      <c r="CFK58" s="187"/>
    </row>
    <row r="59" spans="1:1019 1025:2048 2054:2195">
      <c r="D59" s="186"/>
      <c r="E59" s="186"/>
      <c r="K59" s="187"/>
      <c r="Q59" s="188"/>
      <c r="R59" s="187"/>
      <c r="X59" s="188"/>
      <c r="Y59" s="187"/>
      <c r="AE59" s="188"/>
      <c r="AF59" s="187"/>
      <c r="AJ59" s="168"/>
      <c r="AK59" s="189"/>
      <c r="AL59" s="188"/>
      <c r="AM59" s="187"/>
      <c r="AS59" s="188"/>
      <c r="AT59" s="187"/>
      <c r="AZ59" s="188"/>
      <c r="BA59" s="187"/>
      <c r="BG59" s="188"/>
      <c r="BH59" s="187"/>
      <c r="BL59" s="168"/>
      <c r="BM59" s="189"/>
      <c r="BN59" s="188"/>
      <c r="BO59" s="187"/>
      <c r="BU59" s="188"/>
      <c r="BV59" s="187"/>
      <c r="CB59" s="188"/>
      <c r="CC59" s="187"/>
      <c r="CI59" s="188"/>
      <c r="CJ59" s="187"/>
      <c r="CP59" s="188"/>
      <c r="CQ59" s="190"/>
      <c r="CR59" s="189"/>
      <c r="CW59" s="188"/>
      <c r="CX59" s="187"/>
      <c r="DD59" s="188"/>
      <c r="DE59" s="187"/>
      <c r="DK59" s="188"/>
      <c r="DL59" s="187"/>
      <c r="DR59" s="188"/>
      <c r="DS59" s="187"/>
      <c r="DU59" s="168"/>
      <c r="DV59" s="189"/>
      <c r="DY59" s="188"/>
      <c r="DZ59" s="187"/>
      <c r="EF59" s="188"/>
      <c r="EG59" s="187"/>
      <c r="EM59" s="188"/>
      <c r="EN59" s="187"/>
      <c r="ET59" s="188"/>
      <c r="EU59" s="187"/>
      <c r="EZ59" s="168"/>
      <c r="FA59" s="191"/>
      <c r="FB59" s="187"/>
      <c r="FH59" s="188"/>
      <c r="FI59" s="187"/>
      <c r="FO59" s="188"/>
      <c r="FP59" s="187"/>
      <c r="FV59" s="188"/>
      <c r="FW59" s="187"/>
      <c r="GC59" s="188"/>
      <c r="GD59" s="190"/>
      <c r="GE59" s="189"/>
      <c r="GJ59" s="188"/>
      <c r="GK59" s="187"/>
      <c r="GQ59" s="188"/>
      <c r="GR59" s="187"/>
      <c r="GX59" s="188"/>
      <c r="GY59" s="187"/>
      <c r="HE59" s="188"/>
      <c r="HF59" s="187"/>
      <c r="HI59" s="168"/>
      <c r="HJ59" s="189"/>
      <c r="HL59" s="188"/>
      <c r="HM59" s="187"/>
      <c r="HS59" s="188"/>
      <c r="HT59" s="187"/>
      <c r="HZ59" s="188"/>
      <c r="IA59" s="187"/>
      <c r="IG59" s="188"/>
      <c r="IH59" s="187"/>
      <c r="IN59" s="168"/>
      <c r="IO59" s="189"/>
      <c r="IU59" s="188"/>
      <c r="IV59" s="187"/>
      <c r="JB59" s="188"/>
      <c r="JC59" s="187"/>
      <c r="JI59" s="188"/>
      <c r="JJ59" s="187"/>
      <c r="JP59" s="188"/>
      <c r="JQ59" s="187"/>
      <c r="JR59" s="168"/>
      <c r="JS59" s="189"/>
      <c r="JW59" s="188"/>
      <c r="JX59" s="187"/>
      <c r="KD59" s="188"/>
      <c r="KE59" s="187"/>
      <c r="KK59" s="188"/>
      <c r="KL59" s="187"/>
      <c r="KR59" s="188"/>
      <c r="KS59" s="187"/>
      <c r="KW59" s="168"/>
      <c r="KX59" s="189"/>
      <c r="KY59" s="188"/>
      <c r="KZ59" s="187"/>
      <c r="LF59" s="188"/>
      <c r="LG59" s="187"/>
      <c r="LM59" s="188"/>
      <c r="LN59" s="187"/>
      <c r="LT59" s="188"/>
      <c r="LU59" s="187"/>
      <c r="MA59" s="168"/>
      <c r="MB59" s="189"/>
      <c r="MH59" s="188"/>
      <c r="MI59" s="187"/>
      <c r="MO59" s="188"/>
      <c r="MP59" s="187"/>
      <c r="MV59" s="188"/>
      <c r="MW59" s="187"/>
      <c r="NC59" s="188"/>
      <c r="ND59" s="187"/>
      <c r="NF59" s="168"/>
      <c r="NG59" s="189"/>
      <c r="NJ59" s="188"/>
      <c r="NK59" s="187"/>
      <c r="NQ59" s="188"/>
      <c r="NR59" s="187"/>
      <c r="NX59" s="188"/>
      <c r="NY59" s="187"/>
      <c r="OE59" s="188"/>
      <c r="OF59" s="187"/>
      <c r="OK59" s="168"/>
      <c r="OL59" s="191"/>
      <c r="OM59" s="187"/>
      <c r="OS59" s="188"/>
      <c r="OT59" s="187"/>
      <c r="OZ59" s="188"/>
      <c r="PA59" s="187"/>
      <c r="PG59" s="188"/>
      <c r="PH59" s="187"/>
      <c r="PN59" s="168"/>
      <c r="PO59" s="189"/>
      <c r="PU59" s="188"/>
      <c r="PV59" s="187"/>
      <c r="QB59" s="188"/>
      <c r="QC59" s="187"/>
      <c r="QI59" s="188"/>
      <c r="QJ59" s="187"/>
      <c r="QP59" s="188"/>
      <c r="QQ59" s="187"/>
      <c r="QS59" s="168"/>
      <c r="QT59" s="189"/>
      <c r="QW59" s="188"/>
      <c r="QX59" s="187"/>
      <c r="RD59" s="188"/>
      <c r="RE59" s="187"/>
      <c r="RK59" s="188"/>
      <c r="RL59" s="187"/>
      <c r="RR59" s="188"/>
      <c r="RS59" s="187"/>
      <c r="RW59" s="168"/>
      <c r="RX59" s="189"/>
      <c r="RY59" s="188"/>
      <c r="RZ59" s="187"/>
      <c r="SF59" s="188"/>
      <c r="SG59" s="187"/>
      <c r="SM59" s="188"/>
      <c r="SN59" s="187"/>
      <c r="ST59" s="188"/>
      <c r="SU59" s="187"/>
      <c r="TA59" s="188"/>
      <c r="TB59" s="190"/>
      <c r="TC59" s="189"/>
      <c r="TH59" s="188"/>
      <c r="TI59" s="187"/>
      <c r="TO59" s="188"/>
      <c r="TP59" s="187"/>
      <c r="TV59" s="188"/>
      <c r="TW59" s="187"/>
      <c r="UC59" s="188"/>
      <c r="UD59" s="187"/>
      <c r="UF59" s="168"/>
      <c r="UG59" s="189"/>
      <c r="UJ59" s="188"/>
      <c r="UK59" s="187"/>
      <c r="UQ59" s="188"/>
      <c r="UR59" s="187"/>
      <c r="UX59" s="188"/>
      <c r="UY59" s="187"/>
      <c r="VE59" s="188"/>
      <c r="VF59" s="187"/>
      <c r="VK59" s="168"/>
      <c r="VL59" s="191"/>
      <c r="VM59" s="187"/>
      <c r="VS59" s="188"/>
      <c r="VT59" s="187"/>
      <c r="VZ59" s="188"/>
      <c r="WA59" s="187"/>
      <c r="WG59" s="188"/>
      <c r="WH59" s="187"/>
      <c r="WN59" s="188"/>
      <c r="WO59" s="187"/>
      <c r="WP59" s="168"/>
      <c r="WQ59" s="189"/>
      <c r="WU59" s="188"/>
      <c r="WV59" s="187"/>
      <c r="XB59" s="188"/>
      <c r="XC59" s="187"/>
      <c r="XI59" s="188"/>
      <c r="XJ59" s="187"/>
      <c r="XP59" s="188"/>
      <c r="XQ59" s="187"/>
      <c r="XT59" s="168"/>
      <c r="XU59" s="189"/>
      <c r="XW59" s="188"/>
      <c r="XX59" s="187"/>
      <c r="YD59" s="188"/>
      <c r="YE59" s="187"/>
      <c r="YK59" s="188"/>
      <c r="YL59" s="187"/>
      <c r="YR59" s="188"/>
      <c r="YS59" s="187"/>
      <c r="YY59" s="168"/>
      <c r="YZ59" s="189"/>
      <c r="ZF59" s="188"/>
      <c r="ZG59" s="187"/>
      <c r="ZM59" s="188"/>
      <c r="ZN59" s="187"/>
      <c r="ZT59" s="188"/>
      <c r="ZU59" s="187"/>
      <c r="AAA59" s="188"/>
      <c r="AAB59" s="187"/>
      <c r="AAC59" s="168"/>
      <c r="AAD59" s="189"/>
      <c r="AAH59" s="188"/>
      <c r="AAI59" s="187"/>
      <c r="AAO59" s="188"/>
      <c r="AAP59" s="187"/>
      <c r="AAV59" s="188"/>
      <c r="AAW59" s="187"/>
      <c r="ABC59" s="188"/>
      <c r="ABD59" s="187"/>
      <c r="ABH59" s="168"/>
      <c r="ABI59" s="189"/>
      <c r="ABJ59" s="188"/>
      <c r="ABK59" s="187"/>
      <c r="ABQ59" s="188"/>
      <c r="ABR59" s="187"/>
      <c r="ABX59" s="188"/>
      <c r="ABY59" s="187"/>
      <c r="ACE59" s="188"/>
      <c r="ACF59" s="187"/>
      <c r="ACL59" s="188"/>
      <c r="ACM59" s="190"/>
      <c r="ACN59" s="189"/>
      <c r="ACS59" s="188"/>
      <c r="ACT59" s="187"/>
      <c r="ACZ59" s="188"/>
      <c r="ADA59" s="187"/>
      <c r="ADG59" s="188"/>
      <c r="ADH59" s="187"/>
      <c r="ADN59" s="188"/>
      <c r="ADO59" s="190"/>
      <c r="ADP59" s="189"/>
      <c r="ADU59" s="188"/>
      <c r="ADV59" s="187"/>
      <c r="AEB59" s="188"/>
      <c r="AEC59" s="187"/>
      <c r="AEI59" s="188"/>
      <c r="AEJ59" s="187"/>
      <c r="AEP59" s="188"/>
      <c r="AEQ59" s="187"/>
      <c r="AET59" s="168"/>
      <c r="AEU59" s="189"/>
      <c r="AEW59" s="188"/>
      <c r="AEX59" s="187"/>
      <c r="AFD59" s="188"/>
      <c r="AFE59" s="187"/>
      <c r="AFK59" s="188"/>
      <c r="AFL59" s="187"/>
      <c r="AFR59" s="188"/>
      <c r="AFS59" s="187"/>
      <c r="AFX59" s="168"/>
      <c r="AFY59" s="191"/>
      <c r="AFZ59" s="187"/>
      <c r="AGF59" s="188"/>
      <c r="AGG59" s="187"/>
      <c r="AGM59" s="188"/>
      <c r="AGN59" s="187"/>
      <c r="AGT59" s="188"/>
      <c r="AGU59" s="187"/>
      <c r="AHA59" s="188"/>
      <c r="AHB59" s="187"/>
      <c r="AHC59" s="168"/>
      <c r="AHD59" s="189"/>
      <c r="AHH59" s="188"/>
      <c r="AHI59" s="187"/>
      <c r="AHO59" s="188"/>
      <c r="AHP59" s="187"/>
      <c r="AHV59" s="188"/>
      <c r="AHW59" s="187"/>
      <c r="AIC59" s="188"/>
      <c r="AID59" s="187"/>
      <c r="AIG59" s="168"/>
      <c r="AIH59" s="189"/>
      <c r="AIJ59" s="188"/>
      <c r="AIK59" s="187"/>
      <c r="AIQ59" s="188"/>
      <c r="AIR59" s="187"/>
      <c r="AIX59" s="188"/>
      <c r="AIY59" s="187"/>
      <c r="AJE59" s="188"/>
      <c r="AJF59" s="187"/>
      <c r="AJL59" s="168"/>
      <c r="AJM59" s="189"/>
      <c r="AJS59" s="188"/>
      <c r="AJT59" s="187"/>
      <c r="AJZ59" s="188"/>
      <c r="AKA59" s="187"/>
      <c r="AKG59" s="188"/>
      <c r="AKH59" s="187"/>
      <c r="AKN59" s="188"/>
      <c r="AKO59" s="187"/>
      <c r="AKQ59" s="168"/>
      <c r="AKR59" s="189"/>
      <c r="AKU59" s="188"/>
      <c r="AKV59" s="187"/>
      <c r="ALB59" s="188"/>
      <c r="ALC59" s="187"/>
      <c r="ALI59" s="188"/>
      <c r="ALJ59" s="187"/>
      <c r="ALP59" s="188"/>
      <c r="ALQ59" s="187"/>
      <c r="ALU59" s="168"/>
      <c r="ALV59" s="189"/>
      <c r="ALW59" s="188"/>
      <c r="ALX59" s="187"/>
      <c r="AMD59" s="188"/>
      <c r="AME59" s="187"/>
      <c r="AMK59" s="188"/>
      <c r="AML59" s="187"/>
      <c r="AMR59" s="188"/>
      <c r="AMS59" s="187"/>
      <c r="AMY59" s="188"/>
      <c r="AMZ59" s="190"/>
      <c r="ANA59" s="189"/>
      <c r="ANF59" s="188"/>
      <c r="ANG59" s="187"/>
      <c r="ANM59" s="188"/>
      <c r="ANN59" s="187"/>
      <c r="ANT59" s="188"/>
      <c r="ANU59" s="187"/>
      <c r="AOA59" s="188"/>
      <c r="AOB59" s="187"/>
      <c r="AOD59" s="168"/>
      <c r="AOE59" s="189"/>
      <c r="AOH59" s="188"/>
      <c r="AOI59" s="187"/>
      <c r="AOO59" s="188"/>
      <c r="AOP59" s="187"/>
      <c r="AOV59" s="188"/>
      <c r="AOW59" s="187"/>
      <c r="APC59" s="188"/>
      <c r="APD59" s="187"/>
      <c r="API59" s="168"/>
      <c r="APJ59" s="191"/>
      <c r="APK59" s="187"/>
      <c r="APQ59" s="188"/>
      <c r="APR59" s="187"/>
      <c r="APX59" s="188"/>
      <c r="APY59" s="187"/>
      <c r="AQE59" s="188"/>
      <c r="AQF59" s="187"/>
      <c r="AQL59" s="188"/>
      <c r="AQM59" s="187"/>
      <c r="AQN59" s="168"/>
      <c r="AQO59" s="189"/>
      <c r="AQS59" s="188"/>
      <c r="AQT59" s="187"/>
      <c r="AQZ59" s="188"/>
      <c r="ARA59" s="187"/>
      <c r="ARG59" s="188"/>
      <c r="ARH59" s="187"/>
      <c r="ARN59" s="188"/>
      <c r="ARO59" s="187"/>
      <c r="ARP59" s="168"/>
      <c r="ARQ59" s="189"/>
      <c r="ARU59" s="188"/>
      <c r="ARV59" s="187"/>
      <c r="ASB59" s="188"/>
      <c r="ASC59" s="187"/>
      <c r="ASI59" s="188"/>
      <c r="ASJ59" s="187"/>
      <c r="ASP59" s="188"/>
      <c r="ASQ59" s="187"/>
      <c r="ASU59" s="168"/>
      <c r="ASV59" s="189"/>
      <c r="ASW59" s="188"/>
      <c r="ASX59" s="187"/>
      <c r="ATD59" s="188"/>
      <c r="ATE59" s="187"/>
      <c r="ATK59" s="188"/>
      <c r="ATL59" s="187"/>
      <c r="ATR59" s="188"/>
      <c r="ATS59" s="187"/>
      <c r="ATY59" s="168"/>
      <c r="ATZ59" s="189"/>
      <c r="AUF59" s="188"/>
      <c r="AUG59" s="187"/>
      <c r="AUM59" s="188"/>
      <c r="AUN59" s="187"/>
      <c r="AUT59" s="188"/>
      <c r="AUU59" s="187"/>
      <c r="AVA59" s="188"/>
      <c r="AVB59" s="187"/>
      <c r="AVD59" s="168"/>
      <c r="AVE59" s="189"/>
      <c r="AVH59" s="188"/>
      <c r="AVI59" s="187"/>
      <c r="AVO59" s="188"/>
      <c r="AVP59" s="187"/>
      <c r="AVV59" s="188"/>
      <c r="AVW59" s="187"/>
      <c r="AWC59" s="188"/>
      <c r="AWD59" s="187"/>
      <c r="AWH59" s="168"/>
      <c r="AWI59" s="189"/>
      <c r="AWJ59" s="188"/>
      <c r="AWK59" s="187"/>
      <c r="AWQ59" s="188"/>
      <c r="AWR59" s="187"/>
      <c r="AWX59" s="188"/>
      <c r="AWY59" s="187"/>
      <c r="AXE59" s="188"/>
      <c r="AXF59" s="187"/>
      <c r="AXL59" s="188"/>
      <c r="AXM59" s="190"/>
      <c r="AXN59" s="189"/>
      <c r="AXS59" s="188"/>
      <c r="AXT59" s="187"/>
      <c r="AXZ59" s="188"/>
      <c r="AYA59" s="187"/>
      <c r="AYG59" s="188"/>
      <c r="AYH59" s="187"/>
      <c r="AYN59" s="188"/>
      <c r="AYO59" s="187"/>
      <c r="AYR59" s="168"/>
      <c r="AYS59" s="189"/>
      <c r="AYU59" s="188"/>
      <c r="AYV59" s="187"/>
      <c r="AZB59" s="188"/>
      <c r="AZC59" s="187"/>
      <c r="AZI59" s="188"/>
      <c r="AZJ59" s="187"/>
      <c r="AZP59" s="188"/>
      <c r="AZQ59" s="187"/>
      <c r="AZV59" s="168"/>
      <c r="AZW59" s="191"/>
      <c r="AZX59" s="187"/>
      <c r="BAD59" s="188"/>
      <c r="BAE59" s="187"/>
      <c r="BAK59" s="188"/>
      <c r="BAL59" s="187"/>
      <c r="BAR59" s="188"/>
      <c r="BAS59" s="187"/>
      <c r="BAY59" s="188"/>
      <c r="BAZ59" s="187"/>
      <c r="BBA59" s="168"/>
      <c r="BBB59" s="189"/>
      <c r="BBF59" s="188"/>
      <c r="BBG59" s="187"/>
      <c r="BBM59" s="188"/>
      <c r="BBN59" s="187"/>
      <c r="BBT59" s="188"/>
      <c r="BBU59" s="187"/>
      <c r="BCA59" s="188"/>
      <c r="BCB59" s="187"/>
      <c r="BCE59" s="168"/>
      <c r="BCF59" s="189"/>
      <c r="BCH59" s="188"/>
      <c r="BCI59" s="187"/>
      <c r="BCO59" s="188"/>
      <c r="BCP59" s="187"/>
      <c r="BCV59" s="188"/>
      <c r="BCW59" s="187"/>
      <c r="BDC59" s="188"/>
      <c r="BDD59" s="187"/>
      <c r="BDJ59" s="168"/>
      <c r="BDK59" s="189"/>
      <c r="BDQ59" s="188"/>
      <c r="BDR59" s="187"/>
      <c r="BDX59" s="188"/>
      <c r="BDY59" s="187"/>
      <c r="BEE59" s="188"/>
      <c r="BEF59" s="187"/>
      <c r="BEL59" s="188"/>
      <c r="BEM59" s="187"/>
      <c r="BEO59" s="168"/>
      <c r="BEP59" s="189"/>
      <c r="BES59" s="188"/>
      <c r="BET59" s="187"/>
      <c r="BEZ59" s="188"/>
      <c r="BFA59" s="187"/>
      <c r="BFG59" s="188"/>
      <c r="BFH59" s="187"/>
      <c r="BFN59" s="188"/>
      <c r="BFO59" s="187"/>
      <c r="BFQ59" s="168"/>
      <c r="BFR59" s="189"/>
      <c r="BFU59" s="188"/>
      <c r="BFV59" s="187"/>
      <c r="BGB59" s="188"/>
      <c r="BGC59" s="187"/>
      <c r="BGI59" s="188"/>
      <c r="BGJ59" s="187"/>
      <c r="BGP59" s="188"/>
      <c r="BGQ59" s="187"/>
      <c r="BGV59" s="168"/>
      <c r="BGW59" s="191"/>
      <c r="BGX59" s="187"/>
      <c r="BHD59" s="188"/>
      <c r="BHE59" s="187"/>
      <c r="BHK59" s="188"/>
      <c r="BHL59" s="187"/>
      <c r="BHR59" s="188"/>
      <c r="BHS59" s="187"/>
      <c r="BHY59" s="188"/>
      <c r="BHZ59" s="190"/>
      <c r="BIA59" s="189"/>
      <c r="BIF59" s="188"/>
      <c r="BIG59" s="187"/>
      <c r="BIM59" s="188"/>
      <c r="BIN59" s="187"/>
      <c r="BIT59" s="188"/>
      <c r="BIU59" s="187"/>
      <c r="BJA59" s="188"/>
      <c r="BJB59" s="187"/>
      <c r="BJE59" s="168"/>
      <c r="BJF59" s="189"/>
      <c r="BJH59" s="188"/>
      <c r="BJI59" s="187"/>
      <c r="BJO59" s="188"/>
      <c r="BJP59" s="187"/>
      <c r="BJV59" s="188"/>
      <c r="BJW59" s="187"/>
      <c r="BKC59" s="188"/>
      <c r="BKD59" s="187"/>
      <c r="BKI59" s="168"/>
      <c r="BKJ59" s="191"/>
      <c r="BKK59" s="187"/>
      <c r="BKQ59" s="188"/>
      <c r="BKR59" s="187"/>
      <c r="BKX59" s="188"/>
      <c r="BKY59" s="187"/>
      <c r="BLE59" s="188"/>
      <c r="BLF59" s="187"/>
      <c r="BLL59" s="188"/>
      <c r="BLM59" s="187"/>
      <c r="BLN59" s="168"/>
      <c r="BLO59" s="189"/>
      <c r="BLS59" s="188"/>
      <c r="BLT59" s="187"/>
      <c r="BLZ59" s="188"/>
      <c r="BMA59" s="187"/>
      <c r="BMG59" s="188"/>
      <c r="BMH59" s="187"/>
      <c r="BMN59" s="188"/>
      <c r="BMO59" s="187"/>
      <c r="BMS59" s="168"/>
      <c r="BMT59" s="189"/>
      <c r="BMU59" s="188"/>
      <c r="BMV59" s="187"/>
      <c r="BNB59" s="188"/>
      <c r="BNC59" s="187"/>
      <c r="BNI59" s="188"/>
      <c r="BNJ59" s="187"/>
      <c r="BNP59" s="188"/>
      <c r="BNQ59" s="187"/>
      <c r="BNW59" s="168"/>
      <c r="BNX59" s="189"/>
      <c r="BOD59" s="188"/>
      <c r="BOE59" s="187"/>
      <c r="BOK59" s="188"/>
      <c r="BOL59" s="187"/>
      <c r="BOR59" s="188"/>
      <c r="BOS59" s="187"/>
      <c r="BOY59" s="188"/>
      <c r="BOZ59" s="187"/>
      <c r="BPB59" s="168"/>
      <c r="BPC59" s="189"/>
      <c r="BPF59" s="188"/>
      <c r="BPG59" s="187"/>
      <c r="BPM59" s="188"/>
      <c r="BPN59" s="187"/>
      <c r="BPT59" s="188"/>
      <c r="BPU59" s="187"/>
      <c r="BQA59" s="188"/>
      <c r="BQB59" s="187"/>
      <c r="BQF59" s="168"/>
      <c r="BQG59" s="189"/>
      <c r="BQH59" s="188"/>
      <c r="BQI59" s="187"/>
      <c r="BQO59" s="188"/>
      <c r="BQP59" s="187"/>
      <c r="BQV59" s="188"/>
      <c r="BQW59" s="187"/>
      <c r="BRC59" s="188"/>
      <c r="BRD59" s="187"/>
      <c r="BRJ59" s="188"/>
      <c r="BRK59" s="190"/>
      <c r="BRL59" s="189"/>
      <c r="BRQ59" s="188"/>
      <c r="BRR59" s="187"/>
      <c r="BRX59" s="188"/>
      <c r="BRY59" s="187"/>
      <c r="BSE59" s="188"/>
      <c r="BSF59" s="187"/>
      <c r="BSL59" s="188"/>
      <c r="BSM59" s="187"/>
      <c r="BSP59" s="168"/>
      <c r="BSQ59" s="189"/>
      <c r="BSS59" s="188"/>
      <c r="BST59" s="187"/>
      <c r="BSZ59" s="188"/>
      <c r="BTA59" s="187"/>
      <c r="BTG59" s="188"/>
      <c r="BTH59" s="187"/>
      <c r="BTN59" s="188"/>
      <c r="BTO59" s="187"/>
      <c r="BTS59" s="168"/>
      <c r="BTT59" s="189"/>
      <c r="BTU59" s="188"/>
      <c r="BTV59" s="187"/>
      <c r="BUB59" s="188"/>
      <c r="BUC59" s="187"/>
      <c r="BUI59" s="188"/>
      <c r="BUJ59" s="187"/>
      <c r="BUP59" s="188"/>
      <c r="BUQ59" s="187"/>
      <c r="BUW59" s="188"/>
      <c r="BUX59" s="190"/>
      <c r="BUY59" s="189"/>
      <c r="BVD59" s="188"/>
      <c r="BVE59" s="187"/>
      <c r="BVK59" s="188"/>
      <c r="BVL59" s="187"/>
      <c r="BVR59" s="188"/>
      <c r="BVS59" s="187"/>
      <c r="BVY59" s="188"/>
      <c r="BVZ59" s="187"/>
      <c r="BWB59" s="168"/>
      <c r="BWC59" s="189"/>
      <c r="BWF59" s="188"/>
      <c r="BWG59" s="187"/>
      <c r="BWM59" s="188"/>
      <c r="BWN59" s="187"/>
      <c r="BWT59" s="188"/>
      <c r="BWU59" s="187"/>
      <c r="BXA59" s="188"/>
      <c r="BXB59" s="187"/>
      <c r="BXG59" s="168"/>
      <c r="BXH59" s="191"/>
      <c r="BXI59" s="187"/>
      <c r="BXO59" s="188"/>
      <c r="BXP59" s="187"/>
      <c r="BXV59" s="188"/>
      <c r="BXW59" s="187"/>
      <c r="BYC59" s="188"/>
      <c r="BYD59" s="187"/>
      <c r="BYJ59" s="188"/>
      <c r="BYK59" s="190"/>
      <c r="BYL59" s="189"/>
      <c r="BYQ59" s="188"/>
      <c r="BYR59" s="187"/>
      <c r="BYX59" s="188"/>
      <c r="BYY59" s="187"/>
      <c r="BZE59" s="188"/>
      <c r="BZF59" s="187"/>
      <c r="BZL59" s="188"/>
      <c r="BZM59" s="187"/>
      <c r="BZP59" s="168"/>
      <c r="BZQ59" s="189"/>
      <c r="BZS59" s="188"/>
      <c r="BZT59" s="187"/>
      <c r="BZZ59" s="188"/>
      <c r="CAA59" s="187"/>
      <c r="CAG59" s="188"/>
      <c r="CAH59" s="187"/>
      <c r="CAN59" s="188"/>
      <c r="CAO59" s="187"/>
      <c r="CAU59" s="168"/>
      <c r="CAV59" s="189"/>
      <c r="CBB59" s="188"/>
      <c r="CBC59" s="187"/>
      <c r="CBI59" s="188"/>
      <c r="CBJ59" s="187"/>
      <c r="CBP59" s="188"/>
      <c r="CBQ59" s="187"/>
      <c r="CBW59" s="188"/>
      <c r="CBX59" s="187"/>
      <c r="CBY59" s="168"/>
      <c r="CBZ59" s="189"/>
      <c r="CCD59" s="188"/>
      <c r="CCE59" s="187"/>
      <c r="CCK59" s="188"/>
      <c r="CCL59" s="187"/>
      <c r="CCR59" s="188"/>
      <c r="CCS59" s="187"/>
      <c r="CCY59" s="188"/>
      <c r="CCZ59" s="187"/>
      <c r="CDD59" s="168"/>
      <c r="CDE59" s="189"/>
      <c r="CDF59" s="188"/>
      <c r="CDG59" s="187"/>
      <c r="CDM59" s="188"/>
      <c r="CDN59" s="187"/>
      <c r="CDT59" s="188"/>
      <c r="CDU59" s="187"/>
      <c r="CEA59" s="188"/>
      <c r="CEB59" s="187"/>
      <c r="CEH59" s="168"/>
      <c r="CEI59" s="189"/>
      <c r="CEO59" s="188"/>
      <c r="CEP59" s="187"/>
      <c r="CEV59" s="188"/>
      <c r="CEW59" s="187"/>
      <c r="CFC59" s="188"/>
      <c r="CFD59" s="187"/>
      <c r="CFJ59" s="188"/>
      <c r="CFK59" s="187"/>
    </row>
    <row r="60" spans="1:1019 1025:2048 2054:2195">
      <c r="A60" s="164" t="s">
        <v>322</v>
      </c>
      <c r="C60" s="164" t="s">
        <v>323</v>
      </c>
      <c r="D60" s="186">
        <v>44641</v>
      </c>
      <c r="E60" s="186">
        <v>44646</v>
      </c>
      <c r="K60" s="187"/>
      <c r="Q60" s="188"/>
      <c r="R60" s="187"/>
      <c r="X60" s="188"/>
      <c r="Y60" s="187"/>
      <c r="AE60" s="188"/>
      <c r="AF60" s="187"/>
      <c r="AJ60" s="168"/>
      <c r="AK60" s="189"/>
      <c r="AL60" s="188"/>
      <c r="AM60" s="187"/>
      <c r="AS60" s="188"/>
      <c r="AT60" s="187"/>
      <c r="AZ60" s="188"/>
      <c r="BA60" s="187"/>
      <c r="BG60" s="188"/>
      <c r="BH60" s="187"/>
      <c r="BL60" s="168"/>
      <c r="BM60" s="189"/>
      <c r="BN60" s="188"/>
      <c r="BO60" s="187"/>
      <c r="BU60" s="188"/>
      <c r="BV60" s="187"/>
      <c r="CB60" s="188"/>
      <c r="CC60" s="187"/>
      <c r="CI60" s="188"/>
      <c r="CJ60" s="187"/>
      <c r="CP60" s="188"/>
      <c r="CQ60" s="190"/>
      <c r="CR60" s="189"/>
      <c r="CW60" s="188"/>
      <c r="CX60" s="187"/>
      <c r="DD60" s="188"/>
      <c r="DE60" s="187"/>
      <c r="DK60" s="188"/>
      <c r="DL60" s="187"/>
      <c r="DR60" s="188"/>
      <c r="DS60" s="187"/>
      <c r="DU60" s="168"/>
      <c r="DV60" s="189"/>
      <c r="DY60" s="188"/>
      <c r="DZ60" s="187"/>
      <c r="EF60" s="188"/>
      <c r="EG60" s="187"/>
      <c r="EM60" s="188"/>
      <c r="EN60" s="187"/>
      <c r="ET60" s="188"/>
      <c r="EU60" s="187"/>
      <c r="EZ60" s="168"/>
      <c r="FA60" s="191"/>
      <c r="FB60" s="187"/>
      <c r="FH60" s="188"/>
      <c r="FI60" s="187"/>
      <c r="FO60" s="188"/>
      <c r="FP60" s="187"/>
      <c r="FV60" s="188"/>
      <c r="FW60" s="187"/>
      <c r="GC60" s="188"/>
      <c r="GD60" s="190"/>
      <c r="GE60" s="189"/>
      <c r="GJ60" s="188"/>
      <c r="GK60" s="187"/>
      <c r="GQ60" s="188"/>
      <c r="GR60" s="187"/>
      <c r="GX60" s="188"/>
      <c r="GY60" s="187"/>
      <c r="HE60" s="188"/>
      <c r="HF60" s="187"/>
      <c r="HI60" s="168"/>
      <c r="HJ60" s="189"/>
      <c r="HL60" s="188"/>
      <c r="HM60" s="187"/>
      <c r="HS60" s="188"/>
      <c r="HT60" s="187"/>
      <c r="HZ60" s="188"/>
      <c r="IA60" s="187"/>
      <c r="IG60" s="188"/>
      <c r="IH60" s="187"/>
      <c r="IN60" s="168"/>
      <c r="IO60" s="189"/>
      <c r="IU60" s="188"/>
      <c r="IV60" s="187"/>
      <c r="JB60" s="188"/>
      <c r="JC60" s="187"/>
      <c r="JI60" s="188"/>
      <c r="JJ60" s="187"/>
      <c r="JP60" s="188"/>
      <c r="JQ60" s="187"/>
      <c r="JR60" s="168"/>
      <c r="JS60" s="189"/>
      <c r="JW60" s="188"/>
      <c r="JX60" s="187"/>
      <c r="KD60" s="188"/>
      <c r="KE60" s="187"/>
      <c r="KK60" s="188"/>
      <c r="KL60" s="187"/>
      <c r="KR60" s="188"/>
      <c r="KS60" s="187"/>
      <c r="KW60" s="168"/>
      <c r="KX60" s="189"/>
      <c r="KY60" s="188"/>
      <c r="KZ60" s="187"/>
      <c r="LF60" s="188"/>
      <c r="LG60" s="187"/>
      <c r="LM60" s="188"/>
      <c r="LN60" s="187"/>
      <c r="LT60" s="188"/>
      <c r="LU60" s="187"/>
      <c r="MA60" s="168"/>
      <c r="MB60" s="189"/>
      <c r="MH60" s="188"/>
      <c r="MI60" s="187"/>
      <c r="MO60" s="188"/>
      <c r="MP60" s="187"/>
      <c r="MV60" s="188"/>
      <c r="MW60" s="187"/>
      <c r="NC60" s="188"/>
      <c r="ND60" s="187"/>
      <c r="NF60" s="168"/>
      <c r="NG60" s="189"/>
      <c r="NJ60" s="188"/>
      <c r="NK60" s="187"/>
      <c r="NQ60" s="188"/>
      <c r="NR60" s="187"/>
      <c r="NX60" s="188"/>
      <c r="NY60" s="187"/>
      <c r="OE60" s="188"/>
      <c r="OF60" s="187"/>
      <c r="OK60" s="168"/>
      <c r="OL60" s="191"/>
      <c r="OM60" s="187"/>
      <c r="OS60" s="188"/>
      <c r="OT60" s="187"/>
      <c r="OZ60" s="188"/>
      <c r="PA60" s="187"/>
      <c r="PG60" s="188"/>
      <c r="PH60" s="187"/>
      <c r="PN60" s="168"/>
      <c r="PO60" s="189"/>
      <c r="PU60" s="188"/>
      <c r="PV60" s="187"/>
      <c r="QB60" s="188"/>
      <c r="QC60" s="187"/>
      <c r="QI60" s="188"/>
      <c r="QJ60" s="187"/>
      <c r="QP60" s="188"/>
      <c r="QQ60" s="187"/>
      <c r="QS60" s="168"/>
      <c r="QT60" s="189"/>
      <c r="QW60" s="188"/>
      <c r="QX60" s="187"/>
      <c r="RD60" s="188"/>
      <c r="RE60" s="187"/>
      <c r="RK60" s="188"/>
      <c r="RL60" s="187"/>
      <c r="RR60" s="188"/>
      <c r="RS60" s="187"/>
      <c r="RW60" s="168"/>
      <c r="RX60" s="189"/>
      <c r="RY60" s="188"/>
      <c r="RZ60" s="187"/>
      <c r="SF60" s="188"/>
      <c r="SG60" s="187"/>
      <c r="SM60" s="188"/>
      <c r="SN60" s="187"/>
      <c r="ST60" s="188"/>
      <c r="SU60" s="187"/>
      <c r="TA60" s="188"/>
      <c r="TB60" s="190"/>
      <c r="TC60" s="189"/>
      <c r="TH60" s="188"/>
      <c r="TI60" s="187"/>
      <c r="TO60" s="188"/>
      <c r="TP60" s="187"/>
      <c r="TV60" s="188"/>
      <c r="TW60" s="187"/>
      <c r="UC60" s="188"/>
      <c r="UD60" s="187"/>
      <c r="UF60" s="168"/>
      <c r="UG60" s="189"/>
      <c r="UJ60" s="188"/>
      <c r="UK60" s="187"/>
      <c r="UQ60" s="188"/>
      <c r="UR60" s="187"/>
      <c r="UX60" s="188"/>
      <c r="UY60" s="187"/>
      <c r="VE60" s="188"/>
      <c r="VF60" s="187"/>
      <c r="VK60" s="168"/>
      <c r="VL60" s="191"/>
      <c r="VM60" s="187"/>
      <c r="VS60" s="188"/>
      <c r="VT60" s="187"/>
      <c r="VZ60" s="188"/>
      <c r="WA60" s="187"/>
      <c r="WG60" s="188"/>
      <c r="WH60" s="187"/>
      <c r="WN60" s="188"/>
      <c r="WO60" s="187"/>
      <c r="WP60" s="168"/>
      <c r="WQ60" s="189"/>
      <c r="WU60" s="188"/>
      <c r="WV60" s="187"/>
      <c r="XB60" s="188"/>
      <c r="XC60" s="187"/>
      <c r="XI60" s="188"/>
      <c r="XJ60" s="187"/>
      <c r="XP60" s="188"/>
      <c r="XQ60" s="187"/>
      <c r="XT60" s="168"/>
      <c r="XU60" s="189"/>
      <c r="XW60" s="188"/>
      <c r="XX60" s="187"/>
      <c r="YD60" s="188"/>
      <c r="YE60" s="187"/>
      <c r="YK60" s="188"/>
      <c r="YL60" s="187"/>
      <c r="YR60" s="188"/>
      <c r="YS60" s="187"/>
      <c r="YY60" s="168"/>
      <c r="YZ60" s="189"/>
      <c r="ZF60" s="188"/>
      <c r="ZG60" s="187"/>
      <c r="ZM60" s="188"/>
      <c r="ZN60" s="187"/>
      <c r="ZT60" s="188"/>
      <c r="ZU60" s="187"/>
      <c r="AAA60" s="188"/>
      <c r="AAB60" s="187"/>
      <c r="AAC60" s="168"/>
      <c r="AAD60" s="189"/>
      <c r="AAH60" s="188"/>
      <c r="AAI60" s="187"/>
      <c r="AAO60" s="188"/>
      <c r="AAP60" s="187"/>
      <c r="AAV60" s="188"/>
      <c r="AAW60" s="187"/>
      <c r="ABC60" s="188"/>
      <c r="ABD60" s="187"/>
      <c r="ABH60" s="168"/>
      <c r="ABI60" s="189"/>
      <c r="ABJ60" s="188"/>
      <c r="ABK60" s="187"/>
      <c r="ABQ60" s="188"/>
      <c r="ABR60" s="187"/>
      <c r="ABX60" s="188"/>
      <c r="ABY60" s="187"/>
      <c r="ACE60" s="188"/>
      <c r="ACF60" s="187"/>
      <c r="ACL60" s="188"/>
      <c r="ACM60" s="190"/>
      <c r="ACN60" s="189"/>
      <c r="ACS60" s="188"/>
      <c r="ACT60" s="187"/>
      <c r="ACZ60" s="188"/>
      <c r="ADA60" s="187"/>
      <c r="ADG60" s="188"/>
      <c r="ADH60" s="187"/>
      <c r="ADN60" s="188"/>
      <c r="ADO60" s="190"/>
      <c r="ADP60" s="189"/>
      <c r="ADU60" s="188"/>
      <c r="ADV60" s="187"/>
      <c r="AEB60" s="188"/>
      <c r="AEC60" s="187"/>
      <c r="AEI60" s="188"/>
      <c r="AEJ60" s="187"/>
      <c r="AEP60" s="188"/>
      <c r="AEQ60" s="187"/>
      <c r="AET60" s="168"/>
      <c r="AEU60" s="189"/>
      <c r="AEW60" s="188"/>
      <c r="AEX60" s="187"/>
      <c r="AFD60" s="188"/>
      <c r="AFE60" s="187"/>
      <c r="AFK60" s="188"/>
      <c r="AFL60" s="187"/>
      <c r="AFR60" s="188"/>
      <c r="AFS60" s="187"/>
      <c r="AFX60" s="168"/>
      <c r="AFY60" s="191"/>
      <c r="AFZ60" s="187"/>
      <c r="AGF60" s="188"/>
      <c r="AGG60" s="187"/>
      <c r="AGM60" s="188"/>
      <c r="AGN60" s="187"/>
      <c r="AGT60" s="188"/>
      <c r="AGU60" s="187"/>
      <c r="AHA60" s="188"/>
      <c r="AHB60" s="187"/>
      <c r="AHC60" s="168"/>
      <c r="AHD60" s="189"/>
      <c r="AHH60" s="188"/>
      <c r="AHI60" s="187"/>
      <c r="AHO60" s="188"/>
      <c r="AHP60" s="187"/>
      <c r="AHV60" s="188"/>
      <c r="AHW60" s="187"/>
      <c r="AIC60" s="188"/>
      <c r="AID60" s="187"/>
      <c r="AIG60" s="168"/>
      <c r="AIH60" s="189"/>
      <c r="AIJ60" s="188"/>
      <c r="AIK60" s="187"/>
      <c r="AIQ60" s="188"/>
      <c r="AIR60" s="187"/>
      <c r="AIX60" s="188"/>
      <c r="AIY60" s="187"/>
      <c r="AJE60" s="188"/>
      <c r="AJF60" s="187"/>
      <c r="AJL60" s="168"/>
      <c r="AJM60" s="189"/>
      <c r="AJS60" s="188"/>
      <c r="AJT60" s="187"/>
      <c r="AJZ60" s="188"/>
      <c r="AKA60" s="187"/>
      <c r="AKG60" s="188"/>
      <c r="AKH60" s="187"/>
      <c r="AKN60" s="188"/>
      <c r="AKO60" s="187"/>
      <c r="AKQ60" s="168"/>
      <c r="AKR60" s="189"/>
      <c r="AKU60" s="188"/>
      <c r="AKV60" s="187"/>
      <c r="ALB60" s="188"/>
      <c r="ALC60" s="187"/>
      <c r="ALI60" s="188"/>
      <c r="ALJ60" s="187"/>
      <c r="ALP60" s="188"/>
      <c r="ALQ60" s="187"/>
      <c r="ALU60" s="168"/>
      <c r="ALV60" s="189"/>
      <c r="ALW60" s="188"/>
      <c r="ALX60" s="187"/>
      <c r="AMD60" s="188"/>
      <c r="AME60" s="187"/>
      <c r="AMK60" s="188"/>
      <c r="AML60" s="187"/>
      <c r="AMR60" s="188"/>
      <c r="AMS60" s="187"/>
      <c r="AMY60" s="188"/>
      <c r="AMZ60" s="190"/>
      <c r="ANA60" s="189"/>
      <c r="ANF60" s="188"/>
      <c r="ANG60" s="187"/>
      <c r="ANM60" s="188"/>
      <c r="ANN60" s="187"/>
      <c r="ANT60" s="188"/>
      <c r="ANU60" s="187"/>
      <c r="AOA60" s="188"/>
      <c r="AOB60" s="187"/>
      <c r="AOD60" s="168"/>
      <c r="AOE60" s="189"/>
      <c r="AOH60" s="188"/>
      <c r="AOI60" s="187"/>
      <c r="AOO60" s="188"/>
      <c r="AOP60" s="187"/>
      <c r="AOV60" s="188"/>
      <c r="AOW60" s="187"/>
      <c r="APC60" s="188"/>
      <c r="APD60" s="187"/>
      <c r="API60" s="168"/>
      <c r="APJ60" s="191"/>
      <c r="APK60" s="187"/>
      <c r="APQ60" s="188"/>
      <c r="APR60" s="187"/>
      <c r="APX60" s="188"/>
      <c r="APY60" s="187"/>
      <c r="AQE60" s="188"/>
      <c r="AQF60" s="187"/>
      <c r="AQL60" s="188"/>
      <c r="AQM60" s="187"/>
      <c r="AQN60" s="168"/>
      <c r="AQO60" s="189"/>
      <c r="AQS60" s="188"/>
      <c r="AQT60" s="187"/>
      <c r="AQZ60" s="188"/>
      <c r="ARA60" s="187"/>
      <c r="ARG60" s="188"/>
      <c r="ARH60" s="187"/>
      <c r="ARN60" s="188"/>
      <c r="ARO60" s="187"/>
      <c r="ARP60" s="168"/>
      <c r="ARQ60" s="189"/>
      <c r="ARU60" s="188"/>
      <c r="ARV60" s="187"/>
      <c r="ASB60" s="188"/>
      <c r="ASC60" s="187"/>
      <c r="ASI60" s="188"/>
      <c r="ASJ60" s="187"/>
      <c r="ASL60" s="164">
        <v>1</v>
      </c>
      <c r="ASM60" s="164">
        <v>1</v>
      </c>
      <c r="ASN60" s="164">
        <v>1</v>
      </c>
      <c r="ASO60" s="164">
        <v>1</v>
      </c>
      <c r="ASP60" s="188">
        <v>1</v>
      </c>
      <c r="ASQ60" s="187"/>
      <c r="ASU60" s="168"/>
      <c r="ASV60" s="189"/>
      <c r="ASW60" s="188"/>
      <c r="ASX60" s="187"/>
      <c r="ATD60" s="188"/>
      <c r="ATE60" s="187"/>
      <c r="ATK60" s="188"/>
      <c r="ATL60" s="187"/>
      <c r="ATR60" s="188"/>
      <c r="ATS60" s="187"/>
      <c r="ATY60" s="168"/>
      <c r="ATZ60" s="189"/>
      <c r="AUF60" s="188"/>
      <c r="AUG60" s="187"/>
      <c r="AUM60" s="188"/>
      <c r="AUN60" s="187"/>
      <c r="AUT60" s="188"/>
      <c r="AUU60" s="187"/>
      <c r="AVA60" s="188"/>
      <c r="AVB60" s="187"/>
      <c r="AVD60" s="168"/>
      <c r="AVE60" s="189"/>
      <c r="AVH60" s="188"/>
      <c r="AVI60" s="187"/>
      <c r="AVO60" s="188"/>
      <c r="AVP60" s="187"/>
      <c r="AVV60" s="188"/>
      <c r="AVW60" s="187"/>
      <c r="AWC60" s="188"/>
      <c r="AWD60" s="187"/>
      <c r="AWH60" s="168"/>
      <c r="AWI60" s="189"/>
      <c r="AWJ60" s="188"/>
      <c r="AWK60" s="187"/>
      <c r="AWQ60" s="188"/>
      <c r="AWR60" s="187"/>
      <c r="AWX60" s="188"/>
      <c r="AWY60" s="187"/>
      <c r="AXE60" s="188"/>
      <c r="AXF60" s="187"/>
      <c r="AXL60" s="188"/>
      <c r="AXM60" s="190"/>
      <c r="AXN60" s="189"/>
      <c r="AXS60" s="188"/>
      <c r="AXT60" s="187"/>
      <c r="AXZ60" s="188"/>
      <c r="AYA60" s="187"/>
      <c r="AYG60" s="188"/>
      <c r="AYH60" s="187"/>
      <c r="AYN60" s="188"/>
      <c r="AYO60" s="187"/>
      <c r="AYR60" s="168"/>
      <c r="AYS60" s="189"/>
      <c r="AYU60" s="188"/>
      <c r="AYV60" s="187"/>
      <c r="AZB60" s="188"/>
      <c r="AZC60" s="187"/>
      <c r="AZI60" s="188"/>
      <c r="AZJ60" s="187"/>
      <c r="AZP60" s="188"/>
      <c r="AZQ60" s="187"/>
      <c r="AZV60" s="168"/>
      <c r="AZW60" s="191"/>
      <c r="AZX60" s="187"/>
      <c r="BAD60" s="188"/>
      <c r="BAE60" s="187"/>
      <c r="BAK60" s="188"/>
      <c r="BAL60" s="187"/>
      <c r="BAR60" s="188"/>
      <c r="BAS60" s="187"/>
      <c r="BAY60" s="188"/>
      <c r="BAZ60" s="187"/>
      <c r="BBA60" s="168"/>
      <c r="BBB60" s="189"/>
      <c r="BBF60" s="188"/>
      <c r="BBG60" s="187"/>
      <c r="BBM60" s="188"/>
      <c r="BBN60" s="187"/>
      <c r="BBT60" s="188"/>
      <c r="BBU60" s="187"/>
      <c r="BCA60" s="188"/>
      <c r="BCB60" s="187"/>
      <c r="BCE60" s="168"/>
      <c r="BCF60" s="189"/>
      <c r="BCH60" s="188"/>
      <c r="BCI60" s="187"/>
      <c r="BCO60" s="188"/>
      <c r="BCP60" s="187"/>
      <c r="BCV60" s="188"/>
      <c r="BCW60" s="187"/>
      <c r="BDC60" s="188"/>
      <c r="BDD60" s="187"/>
      <c r="BDJ60" s="168"/>
      <c r="BDK60" s="189"/>
      <c r="BDQ60" s="188"/>
      <c r="BDR60" s="187"/>
      <c r="BDX60" s="188"/>
      <c r="BDY60" s="187"/>
      <c r="BEE60" s="188"/>
      <c r="BEF60" s="187"/>
      <c r="BEL60" s="188"/>
      <c r="BEM60" s="187"/>
      <c r="BEO60" s="168"/>
      <c r="BEP60" s="189"/>
      <c r="BES60" s="188"/>
      <c r="BET60" s="187"/>
      <c r="BEZ60" s="188"/>
      <c r="BFA60" s="187"/>
      <c r="BFG60" s="188"/>
      <c r="BFH60" s="187"/>
      <c r="BFN60" s="188"/>
      <c r="BFO60" s="187"/>
      <c r="BFQ60" s="168"/>
      <c r="BFR60" s="189"/>
      <c r="BFU60" s="188"/>
      <c r="BFV60" s="187"/>
      <c r="BGB60" s="188"/>
      <c r="BGC60" s="187"/>
      <c r="BGI60" s="188"/>
      <c r="BGJ60" s="187"/>
      <c r="BGP60" s="188"/>
      <c r="BGQ60" s="187"/>
      <c r="BGV60" s="168"/>
      <c r="BGW60" s="191"/>
      <c r="BGX60" s="187"/>
      <c r="BHD60" s="188"/>
      <c r="BHE60" s="187"/>
      <c r="BHK60" s="188"/>
      <c r="BHL60" s="187"/>
      <c r="BHR60" s="188"/>
      <c r="BHS60" s="187"/>
      <c r="BHY60" s="188"/>
      <c r="BHZ60" s="190"/>
      <c r="BIA60" s="189"/>
      <c r="BIF60" s="188"/>
      <c r="BIG60" s="187"/>
      <c r="BIM60" s="188"/>
      <c r="BIN60" s="187"/>
      <c r="BIT60" s="188"/>
      <c r="BIU60" s="187"/>
      <c r="BJA60" s="188"/>
      <c r="BJB60" s="187"/>
      <c r="BJE60" s="168"/>
      <c r="BJF60" s="189"/>
      <c r="BJH60" s="188"/>
      <c r="BJI60" s="187"/>
      <c r="BJO60" s="188"/>
      <c r="BJP60" s="187"/>
      <c r="BJV60" s="188"/>
      <c r="BJW60" s="187"/>
      <c r="BKC60" s="188"/>
      <c r="BKD60" s="187"/>
      <c r="BKI60" s="168"/>
      <c r="BKJ60" s="191"/>
      <c r="BKK60" s="187"/>
      <c r="BKQ60" s="188"/>
      <c r="BKR60" s="187"/>
      <c r="BKX60" s="188"/>
      <c r="BKY60" s="187"/>
      <c r="BLE60" s="188"/>
      <c r="BLF60" s="187"/>
      <c r="BLL60" s="188"/>
      <c r="BLM60" s="187"/>
      <c r="BLN60" s="168"/>
      <c r="BLO60" s="189"/>
      <c r="BLS60" s="188"/>
      <c r="BLT60" s="187"/>
      <c r="BLZ60" s="188"/>
      <c r="BMA60" s="187"/>
      <c r="BMG60" s="188"/>
      <c r="BMH60" s="187"/>
      <c r="BMN60" s="188"/>
      <c r="BMO60" s="187"/>
      <c r="BMS60" s="168"/>
      <c r="BMT60" s="189"/>
      <c r="BMU60" s="188"/>
      <c r="BMV60" s="187"/>
      <c r="BNB60" s="188"/>
      <c r="BNC60" s="187"/>
      <c r="BNI60" s="188"/>
      <c r="BNJ60" s="187"/>
      <c r="BNP60" s="188"/>
      <c r="BNQ60" s="187"/>
      <c r="BNW60" s="168"/>
      <c r="BNX60" s="189"/>
      <c r="BOD60" s="188"/>
      <c r="BOE60" s="187"/>
      <c r="BOK60" s="188"/>
      <c r="BOL60" s="187"/>
      <c r="BOR60" s="188"/>
      <c r="BOS60" s="187"/>
      <c r="BOY60" s="188"/>
      <c r="BOZ60" s="187"/>
      <c r="BPB60" s="168"/>
      <c r="BPC60" s="189"/>
      <c r="BPF60" s="188"/>
      <c r="BPG60" s="187"/>
      <c r="BPM60" s="188"/>
      <c r="BPN60" s="187"/>
      <c r="BPT60" s="188"/>
      <c r="BPU60" s="187"/>
      <c r="BQA60" s="188"/>
      <c r="BQB60" s="187"/>
      <c r="BQF60" s="168"/>
      <c r="BQG60" s="189"/>
      <c r="BQH60" s="188"/>
      <c r="BQI60" s="187"/>
      <c r="BQO60" s="188"/>
      <c r="BQP60" s="187"/>
      <c r="BQV60" s="188"/>
      <c r="BQW60" s="187"/>
      <c r="BRC60" s="188"/>
      <c r="BRD60" s="187"/>
      <c r="BRJ60" s="188"/>
      <c r="BRK60" s="190"/>
      <c r="BRL60" s="189"/>
      <c r="BRQ60" s="188"/>
      <c r="BRR60" s="187"/>
      <c r="BRX60" s="188"/>
      <c r="BRY60" s="187"/>
      <c r="BSE60" s="188"/>
      <c r="BSF60" s="187"/>
      <c r="BSL60" s="188"/>
      <c r="BSM60" s="187"/>
      <c r="BSP60" s="168"/>
      <c r="BSQ60" s="189"/>
      <c r="BSS60" s="188"/>
      <c r="BST60" s="187"/>
      <c r="BSZ60" s="188"/>
      <c r="BTA60" s="187"/>
      <c r="BTG60" s="188"/>
      <c r="BTH60" s="187"/>
      <c r="BTN60" s="188"/>
      <c r="BTO60" s="187"/>
      <c r="BTS60" s="168"/>
      <c r="BTT60" s="189"/>
      <c r="BTU60" s="188"/>
      <c r="BTV60" s="187"/>
      <c r="BUB60" s="188"/>
      <c r="BUC60" s="187"/>
      <c r="BUI60" s="188"/>
      <c r="BUJ60" s="187"/>
      <c r="BUP60" s="188"/>
      <c r="BUQ60" s="187"/>
      <c r="BUW60" s="188"/>
      <c r="BUX60" s="190"/>
      <c r="BUY60" s="189"/>
      <c r="BVD60" s="188"/>
      <c r="BVE60" s="187"/>
      <c r="BVK60" s="188"/>
      <c r="BVL60" s="187"/>
      <c r="BVR60" s="188"/>
      <c r="BVS60" s="187"/>
      <c r="BVY60" s="188"/>
      <c r="BVZ60" s="187"/>
      <c r="BWB60" s="168"/>
      <c r="BWC60" s="189"/>
      <c r="BWF60" s="188"/>
      <c r="BWG60" s="187"/>
      <c r="BWM60" s="188"/>
      <c r="BWN60" s="187"/>
      <c r="BWT60" s="188"/>
      <c r="BWU60" s="187"/>
      <c r="BXA60" s="188"/>
      <c r="BXB60" s="187"/>
      <c r="BXG60" s="168"/>
      <c r="BXH60" s="191"/>
      <c r="BXI60" s="187"/>
      <c r="BXO60" s="188"/>
      <c r="BXP60" s="187"/>
      <c r="BXV60" s="188"/>
      <c r="BXW60" s="187"/>
      <c r="BYC60" s="188"/>
      <c r="BYD60" s="187"/>
      <c r="BYJ60" s="188"/>
      <c r="BYK60" s="190"/>
      <c r="BYL60" s="189"/>
      <c r="BYQ60" s="188"/>
      <c r="BYR60" s="187"/>
      <c r="BYX60" s="188"/>
      <c r="BYY60" s="187"/>
      <c r="BZE60" s="188"/>
      <c r="BZF60" s="187"/>
      <c r="BZL60" s="188"/>
      <c r="BZM60" s="187"/>
      <c r="BZP60" s="168"/>
      <c r="BZQ60" s="189"/>
      <c r="BZS60" s="188"/>
      <c r="BZT60" s="187"/>
      <c r="BZZ60" s="188"/>
      <c r="CAA60" s="187"/>
      <c r="CAG60" s="188"/>
      <c r="CAH60" s="187"/>
      <c r="CAN60" s="188"/>
      <c r="CAO60" s="187"/>
      <c r="CAU60" s="168"/>
      <c r="CAV60" s="189"/>
      <c r="CBB60" s="188"/>
      <c r="CBC60" s="187"/>
      <c r="CBI60" s="188"/>
      <c r="CBJ60" s="187"/>
      <c r="CBP60" s="188"/>
      <c r="CBQ60" s="187"/>
      <c r="CBW60" s="188"/>
      <c r="CBX60" s="187"/>
      <c r="CBY60" s="168"/>
      <c r="CBZ60" s="189"/>
      <c r="CCD60" s="188"/>
      <c r="CCE60" s="187"/>
      <c r="CCK60" s="188"/>
      <c r="CCL60" s="187"/>
      <c r="CCR60" s="188"/>
      <c r="CCS60" s="187"/>
      <c r="CCY60" s="188"/>
      <c r="CCZ60" s="187"/>
      <c r="CDD60" s="168"/>
      <c r="CDE60" s="189"/>
      <c r="CDF60" s="188"/>
      <c r="CDG60" s="187"/>
      <c r="CDM60" s="188"/>
      <c r="CDN60" s="187"/>
      <c r="CDT60" s="188"/>
      <c r="CDU60" s="187"/>
      <c r="CEA60" s="188"/>
      <c r="CEB60" s="187"/>
      <c r="CEH60" s="168"/>
      <c r="CEI60" s="189"/>
      <c r="CEO60" s="188"/>
      <c r="CEP60" s="187"/>
      <c r="CEV60" s="188"/>
      <c r="CEW60" s="187"/>
      <c r="CFC60" s="188"/>
      <c r="CFD60" s="187"/>
      <c r="CFJ60" s="188"/>
      <c r="CFK60" s="187"/>
    </row>
    <row r="61" spans="1:1019 1025:2048 2054:2195">
      <c r="A61" s="164" t="s">
        <v>324</v>
      </c>
      <c r="C61" s="164" t="s">
        <v>325</v>
      </c>
      <c r="D61" s="186"/>
      <c r="E61" s="186"/>
      <c r="K61" s="187"/>
      <c r="Q61" s="188"/>
      <c r="R61" s="187"/>
      <c r="X61" s="188"/>
      <c r="Y61" s="187"/>
      <c r="AE61" s="188"/>
      <c r="AF61" s="187"/>
      <c r="AJ61" s="168"/>
      <c r="AK61" s="189"/>
      <c r="AL61" s="188"/>
      <c r="AM61" s="187"/>
      <c r="AS61" s="188"/>
      <c r="AT61" s="187"/>
      <c r="AZ61" s="188"/>
      <c r="BA61" s="187"/>
      <c r="BG61" s="188"/>
      <c r="BH61" s="187"/>
      <c r="BL61" s="168"/>
      <c r="BM61" s="189"/>
      <c r="BN61" s="188"/>
      <c r="BO61" s="187"/>
      <c r="BU61" s="188"/>
      <c r="BV61" s="187"/>
      <c r="CB61" s="188"/>
      <c r="CC61" s="187"/>
      <c r="CI61" s="188"/>
      <c r="CJ61" s="187"/>
      <c r="CP61" s="188"/>
      <c r="CQ61" s="190"/>
      <c r="CR61" s="189"/>
      <c r="CW61" s="188"/>
      <c r="CX61" s="187"/>
      <c r="DD61" s="188"/>
      <c r="DE61" s="187"/>
      <c r="DK61" s="188"/>
      <c r="DL61" s="187"/>
      <c r="DR61" s="188"/>
      <c r="DS61" s="187"/>
      <c r="DU61" s="168"/>
      <c r="DV61" s="189"/>
      <c r="DY61" s="188"/>
      <c r="DZ61" s="187"/>
      <c r="EF61" s="188"/>
      <c r="EG61" s="187"/>
      <c r="EM61" s="188"/>
      <c r="EN61" s="187"/>
      <c r="ET61" s="188"/>
      <c r="EU61" s="187"/>
      <c r="EZ61" s="168"/>
      <c r="FA61" s="191"/>
      <c r="FB61" s="187"/>
      <c r="FH61" s="188"/>
      <c r="FI61" s="187"/>
      <c r="FO61" s="188"/>
      <c r="FP61" s="187"/>
      <c r="FV61" s="188"/>
      <c r="FW61" s="187"/>
      <c r="GC61" s="188"/>
      <c r="GD61" s="190"/>
      <c r="GE61" s="189"/>
      <c r="GJ61" s="188"/>
      <c r="GK61" s="187"/>
      <c r="GQ61" s="188"/>
      <c r="GR61" s="187"/>
      <c r="GX61" s="188"/>
      <c r="GY61" s="187"/>
      <c r="HE61" s="188"/>
      <c r="HF61" s="187"/>
      <c r="HI61" s="168"/>
      <c r="HJ61" s="189"/>
      <c r="HL61" s="188"/>
      <c r="HM61" s="187"/>
      <c r="HS61" s="188"/>
      <c r="HT61" s="187"/>
      <c r="HZ61" s="188"/>
      <c r="IA61" s="187"/>
      <c r="IG61" s="188"/>
      <c r="IH61" s="187"/>
      <c r="IN61" s="168"/>
      <c r="IO61" s="189"/>
      <c r="IU61" s="188"/>
      <c r="IV61" s="187"/>
      <c r="JB61" s="188"/>
      <c r="JC61" s="187"/>
      <c r="JI61" s="188"/>
      <c r="JJ61" s="187"/>
      <c r="JP61" s="188"/>
      <c r="JQ61" s="187"/>
      <c r="JR61" s="168"/>
      <c r="JS61" s="189"/>
      <c r="JW61" s="188"/>
      <c r="JX61" s="187"/>
      <c r="KD61" s="188"/>
      <c r="KE61" s="187"/>
      <c r="KK61" s="188"/>
      <c r="KL61" s="187"/>
      <c r="KR61" s="188"/>
      <c r="KS61" s="187"/>
      <c r="KW61" s="168"/>
      <c r="KX61" s="189"/>
      <c r="KY61" s="188"/>
      <c r="KZ61" s="187"/>
      <c r="LF61" s="188"/>
      <c r="LG61" s="187"/>
      <c r="LM61" s="188"/>
      <c r="LN61" s="187"/>
      <c r="LT61" s="188"/>
      <c r="LU61" s="187"/>
      <c r="MA61" s="168"/>
      <c r="MB61" s="189"/>
      <c r="MH61" s="188"/>
      <c r="MI61" s="187"/>
      <c r="MO61" s="188"/>
      <c r="MP61" s="187"/>
      <c r="MV61" s="188"/>
      <c r="MW61" s="187"/>
      <c r="NC61" s="188"/>
      <c r="ND61" s="187"/>
      <c r="NF61" s="168"/>
      <c r="NG61" s="189"/>
      <c r="NJ61" s="188"/>
      <c r="NK61" s="187"/>
      <c r="NQ61" s="188"/>
      <c r="NR61" s="187"/>
      <c r="NX61" s="188"/>
      <c r="NY61" s="187"/>
      <c r="OE61" s="188"/>
      <c r="OF61" s="187"/>
      <c r="OK61" s="168"/>
      <c r="OL61" s="191"/>
      <c r="OM61" s="187"/>
      <c r="OS61" s="188"/>
      <c r="OT61" s="187"/>
      <c r="OZ61" s="188"/>
      <c r="PA61" s="187"/>
      <c r="PG61" s="188"/>
      <c r="PH61" s="187"/>
      <c r="PN61" s="168"/>
      <c r="PO61" s="189"/>
      <c r="PU61" s="188"/>
      <c r="PV61" s="187"/>
      <c r="QB61" s="188"/>
      <c r="QC61" s="187"/>
      <c r="QI61" s="188"/>
      <c r="QJ61" s="187"/>
      <c r="QP61" s="188"/>
      <c r="QQ61" s="187"/>
      <c r="QS61" s="168"/>
      <c r="QT61" s="189"/>
      <c r="QW61" s="188"/>
      <c r="QX61" s="187"/>
      <c r="RD61" s="188"/>
      <c r="RE61" s="187"/>
      <c r="RK61" s="188"/>
      <c r="RL61" s="187"/>
      <c r="RR61" s="188"/>
      <c r="RS61" s="187"/>
      <c r="RW61" s="168"/>
      <c r="RX61" s="189"/>
      <c r="RY61" s="188"/>
      <c r="RZ61" s="187"/>
      <c r="SF61" s="188"/>
      <c r="SG61" s="187"/>
      <c r="SM61" s="188"/>
      <c r="SN61" s="187"/>
      <c r="ST61" s="188"/>
      <c r="SU61" s="187"/>
      <c r="TA61" s="188"/>
      <c r="TB61" s="190"/>
      <c r="TC61" s="189"/>
      <c r="TH61" s="188"/>
      <c r="TI61" s="187"/>
      <c r="TO61" s="188"/>
      <c r="TP61" s="187"/>
      <c r="TV61" s="188"/>
      <c r="TW61" s="187"/>
      <c r="UC61" s="188"/>
      <c r="UD61" s="187"/>
      <c r="UF61" s="168"/>
      <c r="UG61" s="189"/>
      <c r="UJ61" s="188"/>
      <c r="UK61" s="187"/>
      <c r="UQ61" s="188"/>
      <c r="UR61" s="187"/>
      <c r="UX61" s="188"/>
      <c r="UY61" s="187"/>
      <c r="VE61" s="188"/>
      <c r="VF61" s="187"/>
      <c r="VK61" s="168"/>
      <c r="VL61" s="191"/>
      <c r="VM61" s="187"/>
      <c r="VS61" s="188"/>
      <c r="VT61" s="187"/>
      <c r="VZ61" s="188"/>
      <c r="WA61" s="187"/>
      <c r="WG61" s="188"/>
      <c r="WH61" s="187"/>
      <c r="WN61" s="188"/>
      <c r="WO61" s="187"/>
      <c r="WP61" s="168"/>
      <c r="WQ61" s="189"/>
      <c r="WU61" s="188"/>
      <c r="WV61" s="187"/>
      <c r="XB61" s="188"/>
      <c r="XC61" s="187"/>
      <c r="XI61" s="188"/>
      <c r="XJ61" s="187"/>
      <c r="XP61" s="188"/>
      <c r="XQ61" s="187"/>
      <c r="XT61" s="168"/>
      <c r="XU61" s="189"/>
      <c r="XW61" s="188"/>
      <c r="XX61" s="187"/>
      <c r="YD61" s="188"/>
      <c r="YE61" s="187"/>
      <c r="YK61" s="188"/>
      <c r="YL61" s="187"/>
      <c r="YR61" s="188"/>
      <c r="YS61" s="187"/>
      <c r="YY61" s="168"/>
      <c r="YZ61" s="189"/>
      <c r="ZF61" s="188"/>
      <c r="ZG61" s="187"/>
      <c r="ZM61" s="188"/>
      <c r="ZN61" s="187"/>
      <c r="ZT61" s="188"/>
      <c r="ZU61" s="187"/>
      <c r="AAA61" s="188"/>
      <c r="AAB61" s="187"/>
      <c r="AAC61" s="168"/>
      <c r="AAD61" s="189"/>
      <c r="AAH61" s="188"/>
      <c r="AAI61" s="187"/>
      <c r="AAO61" s="188"/>
      <c r="AAP61" s="187"/>
      <c r="AAV61" s="188"/>
      <c r="AAW61" s="187"/>
      <c r="ABC61" s="188"/>
      <c r="ABD61" s="187"/>
      <c r="ABH61" s="168"/>
      <c r="ABI61" s="189"/>
      <c r="ABJ61" s="188"/>
      <c r="ABK61" s="187"/>
      <c r="ABQ61" s="188"/>
      <c r="ABR61" s="187"/>
      <c r="ABX61" s="188"/>
      <c r="ABY61" s="187"/>
      <c r="ACE61" s="188"/>
      <c r="ACF61" s="187"/>
      <c r="ACL61" s="188"/>
      <c r="ACM61" s="190"/>
      <c r="ACN61" s="189"/>
      <c r="ACS61" s="188"/>
      <c r="ACT61" s="187"/>
      <c r="ACZ61" s="188"/>
      <c r="ADA61" s="187"/>
      <c r="ADG61" s="188"/>
      <c r="ADH61" s="187"/>
      <c r="ADN61" s="188"/>
      <c r="ADO61" s="190"/>
      <c r="ADP61" s="189"/>
      <c r="ADU61" s="188"/>
      <c r="ADV61" s="187"/>
      <c r="AEB61" s="188"/>
      <c r="AEC61" s="187"/>
      <c r="AEI61" s="188"/>
      <c r="AEJ61" s="187"/>
      <c r="AEP61" s="188"/>
      <c r="AEQ61" s="187"/>
      <c r="AET61" s="168"/>
      <c r="AEU61" s="189"/>
      <c r="AEW61" s="188"/>
      <c r="AEX61" s="187"/>
      <c r="AFD61" s="188"/>
      <c r="AFE61" s="187"/>
      <c r="AFK61" s="188"/>
      <c r="AFL61" s="187"/>
      <c r="AFR61" s="188"/>
      <c r="AFS61" s="187"/>
      <c r="AFX61" s="168"/>
      <c r="AFY61" s="191"/>
      <c r="AFZ61" s="187"/>
      <c r="AGF61" s="188"/>
      <c r="AGG61" s="187"/>
      <c r="AGM61" s="188"/>
      <c r="AGN61" s="187"/>
      <c r="AGT61" s="188"/>
      <c r="AGU61" s="187"/>
      <c r="AHA61" s="188"/>
      <c r="AHB61" s="187"/>
      <c r="AHC61" s="168"/>
      <c r="AHD61" s="189"/>
      <c r="AHH61" s="188"/>
      <c r="AHI61" s="187"/>
      <c r="AHO61" s="188"/>
      <c r="AHP61" s="187"/>
      <c r="AHV61" s="188"/>
      <c r="AHW61" s="187"/>
      <c r="AIC61" s="188"/>
      <c r="AID61" s="187"/>
      <c r="AIG61" s="168"/>
      <c r="AIH61" s="189"/>
      <c r="AIJ61" s="188"/>
      <c r="AIK61" s="187"/>
      <c r="AIQ61" s="188"/>
      <c r="AIR61" s="187"/>
      <c r="AIX61" s="188"/>
      <c r="AIY61" s="187"/>
      <c r="AJE61" s="188"/>
      <c r="AJF61" s="187"/>
      <c r="AJL61" s="168"/>
      <c r="AJM61" s="189"/>
      <c r="AJS61" s="188"/>
      <c r="AJT61" s="187"/>
      <c r="AJZ61" s="188"/>
      <c r="AKA61" s="187"/>
      <c r="AKG61" s="188"/>
      <c r="AKH61" s="187"/>
      <c r="AKN61" s="188"/>
      <c r="AKO61" s="187"/>
      <c r="AKQ61" s="168"/>
      <c r="AKR61" s="189"/>
      <c r="AKU61" s="188"/>
      <c r="AKV61" s="187"/>
      <c r="ALB61" s="188"/>
      <c r="ALC61" s="187"/>
      <c r="ALI61" s="188"/>
      <c r="ALJ61" s="187"/>
      <c r="ALP61" s="188"/>
      <c r="ALQ61" s="187"/>
      <c r="ALU61" s="168"/>
      <c r="ALV61" s="189"/>
      <c r="ALW61" s="188"/>
      <c r="ALX61" s="187"/>
      <c r="AMD61" s="188"/>
      <c r="AME61" s="187"/>
      <c r="AMK61" s="188"/>
      <c r="AML61" s="187"/>
      <c r="AMR61" s="188"/>
      <c r="AMS61" s="187"/>
      <c r="AMY61" s="188"/>
      <c r="AMZ61" s="190"/>
      <c r="ANA61" s="189"/>
      <c r="ANF61" s="188"/>
      <c r="ANG61" s="187"/>
      <c r="ANM61" s="188"/>
      <c r="ANN61" s="187"/>
      <c r="ANT61" s="188"/>
      <c r="ANU61" s="187"/>
      <c r="AOA61" s="188"/>
      <c r="AOB61" s="187"/>
      <c r="AOD61" s="168"/>
      <c r="AOE61" s="189"/>
      <c r="AOH61" s="188"/>
      <c r="AOI61" s="187"/>
      <c r="AOO61" s="188"/>
      <c r="AOP61" s="187"/>
      <c r="AOV61" s="188"/>
      <c r="AOW61" s="187"/>
      <c r="APC61" s="188"/>
      <c r="APD61" s="187"/>
      <c r="API61" s="168"/>
      <c r="APJ61" s="191"/>
      <c r="APK61" s="187"/>
      <c r="APQ61" s="188"/>
      <c r="APR61" s="187"/>
      <c r="APX61" s="188"/>
      <c r="APY61" s="187"/>
      <c r="AQE61" s="188"/>
      <c r="AQF61" s="187"/>
      <c r="AQL61" s="188"/>
      <c r="AQM61" s="187"/>
      <c r="AQN61" s="168"/>
      <c r="AQO61" s="189"/>
      <c r="AQS61" s="188"/>
      <c r="AQT61" s="187"/>
      <c r="AQZ61" s="188"/>
      <c r="ARA61" s="187"/>
      <c r="ARG61" s="188"/>
      <c r="ARH61" s="187"/>
      <c r="ARN61" s="188"/>
      <c r="ARO61" s="187"/>
      <c r="ARP61" s="168"/>
      <c r="ARQ61" s="189"/>
      <c r="ARU61" s="188"/>
      <c r="ARV61" s="187"/>
      <c r="ASB61" s="188"/>
      <c r="ASC61" s="187"/>
      <c r="ASI61" s="188"/>
      <c r="ASJ61" s="187"/>
      <c r="ASP61" s="188"/>
      <c r="ASQ61" s="187"/>
      <c r="ASU61" s="168"/>
      <c r="ASV61" s="189"/>
      <c r="ASW61" s="188"/>
      <c r="ASX61" s="187"/>
      <c r="ATD61" s="188"/>
      <c r="ATE61" s="187"/>
      <c r="ATK61" s="188"/>
      <c r="ATL61" s="187"/>
      <c r="ATR61" s="188"/>
      <c r="ATS61" s="187"/>
      <c r="ATY61" s="168"/>
      <c r="ATZ61" s="189"/>
      <c r="AUF61" s="188"/>
      <c r="AUG61" s="187"/>
      <c r="AUM61" s="188"/>
      <c r="AUN61" s="187"/>
      <c r="AUT61" s="188"/>
      <c r="AUU61" s="187"/>
      <c r="AVA61" s="188"/>
      <c r="AVB61" s="187"/>
      <c r="AVD61" s="168"/>
      <c r="AVE61" s="189"/>
      <c r="AVH61" s="188"/>
      <c r="AVI61" s="187"/>
      <c r="AVO61" s="188"/>
      <c r="AVP61" s="187"/>
      <c r="AVV61" s="188"/>
      <c r="AVW61" s="187"/>
      <c r="AWC61" s="188"/>
      <c r="AWD61" s="187"/>
      <c r="AWH61" s="168"/>
      <c r="AWI61" s="189"/>
      <c r="AWJ61" s="188"/>
      <c r="AWK61" s="187"/>
      <c r="AWQ61" s="188"/>
      <c r="AWR61" s="187"/>
      <c r="AWX61" s="188"/>
      <c r="AWY61" s="187"/>
      <c r="AXE61" s="188"/>
      <c r="AXF61" s="187"/>
      <c r="AXL61" s="188"/>
      <c r="AXM61" s="190"/>
      <c r="AXN61" s="189"/>
      <c r="AXS61" s="188"/>
      <c r="AXT61" s="187"/>
      <c r="AXZ61" s="188"/>
      <c r="AYA61" s="187"/>
      <c r="AYG61" s="188"/>
      <c r="AYH61" s="187"/>
      <c r="AYN61" s="188"/>
      <c r="AYO61" s="187"/>
      <c r="AYR61" s="168"/>
      <c r="AYS61" s="189"/>
      <c r="AYU61" s="188"/>
      <c r="AYV61" s="187"/>
      <c r="AZB61" s="188"/>
      <c r="AZC61" s="187"/>
      <c r="AZI61" s="188"/>
      <c r="AZJ61" s="187"/>
      <c r="AZP61" s="188"/>
      <c r="AZQ61" s="187"/>
      <c r="AZV61" s="168"/>
      <c r="AZW61" s="191"/>
      <c r="AZX61" s="187"/>
      <c r="BAD61" s="188"/>
      <c r="BAE61" s="187"/>
      <c r="BAK61" s="188"/>
      <c r="BAL61" s="187"/>
      <c r="BAR61" s="188"/>
      <c r="BAS61" s="187"/>
      <c r="BAY61" s="188"/>
      <c r="BAZ61" s="187"/>
      <c r="BBA61" s="168"/>
      <c r="BBB61" s="189"/>
      <c r="BBF61" s="188"/>
      <c r="BBG61" s="187"/>
      <c r="BBM61" s="188"/>
      <c r="BBN61" s="187"/>
      <c r="BBT61" s="188"/>
      <c r="BBU61" s="187"/>
      <c r="BCA61" s="188"/>
      <c r="BCB61" s="187"/>
      <c r="BCE61" s="168"/>
      <c r="BCF61" s="189"/>
      <c r="BCH61" s="188"/>
      <c r="BCI61" s="187"/>
      <c r="BCO61" s="188"/>
      <c r="BCP61" s="187"/>
      <c r="BCV61" s="188"/>
      <c r="BCW61" s="187"/>
      <c r="BDC61" s="188"/>
      <c r="BDD61" s="187"/>
      <c r="BDJ61" s="168"/>
      <c r="BDK61" s="189"/>
      <c r="BDQ61" s="188"/>
      <c r="BDR61" s="187"/>
      <c r="BDX61" s="188"/>
      <c r="BDY61" s="187"/>
      <c r="BEE61" s="188"/>
      <c r="BEF61" s="187"/>
      <c r="BEL61" s="188"/>
      <c r="BEM61" s="187"/>
      <c r="BEO61" s="168"/>
      <c r="BEP61" s="189"/>
      <c r="BES61" s="188"/>
      <c r="BET61" s="187"/>
      <c r="BEZ61" s="188"/>
      <c r="BFA61" s="187"/>
      <c r="BFG61" s="188"/>
      <c r="BFH61" s="187"/>
      <c r="BFN61" s="188"/>
      <c r="BFO61" s="187"/>
      <c r="BFQ61" s="168"/>
      <c r="BFR61" s="189"/>
      <c r="BFU61" s="188"/>
      <c r="BFV61" s="187"/>
      <c r="BGB61" s="188"/>
      <c r="BGC61" s="187"/>
      <c r="BGI61" s="188"/>
      <c r="BGJ61" s="187"/>
      <c r="BGP61" s="188"/>
      <c r="BGQ61" s="187"/>
      <c r="BGV61" s="168"/>
      <c r="BGW61" s="191"/>
      <c r="BGX61" s="187"/>
      <c r="BHD61" s="188"/>
      <c r="BHE61" s="187"/>
      <c r="BHK61" s="188"/>
      <c r="BHL61" s="187"/>
      <c r="BHR61" s="188"/>
      <c r="BHS61" s="187"/>
      <c r="BHY61" s="188"/>
      <c r="BHZ61" s="190"/>
      <c r="BIA61" s="189"/>
      <c r="BIF61" s="188"/>
      <c r="BIG61" s="187"/>
      <c r="BIM61" s="188"/>
      <c r="BIN61" s="187"/>
      <c r="BIT61" s="188"/>
      <c r="BIU61" s="187"/>
      <c r="BJA61" s="188"/>
      <c r="BJB61" s="187"/>
      <c r="BJE61" s="168"/>
      <c r="BJF61" s="189"/>
      <c r="BJH61" s="188"/>
      <c r="BJI61" s="187"/>
      <c r="BJO61" s="188"/>
      <c r="BJP61" s="187"/>
      <c r="BJV61" s="188"/>
      <c r="BJW61" s="187"/>
      <c r="BKC61" s="188"/>
      <c r="BKD61" s="187"/>
      <c r="BKI61" s="168"/>
      <c r="BKJ61" s="191"/>
      <c r="BKK61" s="187"/>
      <c r="BKQ61" s="188"/>
      <c r="BKR61" s="187"/>
      <c r="BKX61" s="188"/>
      <c r="BKY61" s="187"/>
      <c r="BLE61" s="188"/>
      <c r="BLF61" s="187"/>
      <c r="BLL61" s="188"/>
      <c r="BLM61" s="187"/>
      <c r="BLN61" s="168"/>
      <c r="BLO61" s="189"/>
      <c r="BLS61" s="188"/>
      <c r="BLT61" s="187"/>
      <c r="BLZ61" s="188"/>
      <c r="BMA61" s="187"/>
      <c r="BMG61" s="188"/>
      <c r="BMH61" s="187"/>
      <c r="BMN61" s="188"/>
      <c r="BMO61" s="187"/>
      <c r="BMS61" s="168"/>
      <c r="BMT61" s="189"/>
      <c r="BMU61" s="188"/>
      <c r="BMV61" s="187"/>
      <c r="BNB61" s="188"/>
      <c r="BNC61" s="187"/>
      <c r="BNI61" s="188"/>
      <c r="BNJ61" s="187"/>
      <c r="BNP61" s="188"/>
      <c r="BNQ61" s="187"/>
      <c r="BNW61" s="168"/>
      <c r="BNX61" s="189"/>
      <c r="BOD61" s="188"/>
      <c r="BOE61" s="187"/>
      <c r="BOK61" s="188"/>
      <c r="BOL61" s="187"/>
      <c r="BOR61" s="188"/>
      <c r="BOS61" s="187"/>
      <c r="BOY61" s="188"/>
      <c r="BOZ61" s="187"/>
      <c r="BPB61" s="168"/>
      <c r="BPC61" s="189"/>
      <c r="BPF61" s="188"/>
      <c r="BPG61" s="187"/>
      <c r="BPM61" s="188"/>
      <c r="BPN61" s="187"/>
      <c r="BPT61" s="188"/>
      <c r="BPU61" s="187"/>
      <c r="BQA61" s="188"/>
      <c r="BQB61" s="187"/>
      <c r="BQF61" s="168"/>
      <c r="BQG61" s="189"/>
      <c r="BQH61" s="188"/>
      <c r="BQI61" s="187"/>
      <c r="BQO61" s="188"/>
      <c r="BQP61" s="187"/>
      <c r="BQV61" s="188"/>
      <c r="BQW61" s="187"/>
      <c r="BRC61" s="188"/>
      <c r="BRD61" s="187"/>
      <c r="BRJ61" s="188"/>
      <c r="BRK61" s="190"/>
      <c r="BRL61" s="189"/>
      <c r="BRQ61" s="188"/>
      <c r="BRR61" s="187"/>
      <c r="BRX61" s="188"/>
      <c r="BRY61" s="187"/>
      <c r="BSE61" s="188"/>
      <c r="BSF61" s="187"/>
      <c r="BSL61" s="188"/>
      <c r="BSM61" s="187"/>
      <c r="BSP61" s="168"/>
      <c r="BSQ61" s="189"/>
      <c r="BSS61" s="188"/>
      <c r="BST61" s="187"/>
      <c r="BSZ61" s="188"/>
      <c r="BTA61" s="187"/>
      <c r="BTG61" s="188"/>
      <c r="BTH61" s="187"/>
      <c r="BTN61" s="188"/>
      <c r="BTO61" s="187"/>
      <c r="BTS61" s="168"/>
      <c r="BTT61" s="189"/>
      <c r="BTU61" s="188"/>
      <c r="BTV61" s="187"/>
      <c r="BUB61" s="188"/>
      <c r="BUC61" s="187"/>
      <c r="BUI61" s="188"/>
      <c r="BUJ61" s="187"/>
      <c r="BUP61" s="188"/>
      <c r="BUQ61" s="187"/>
      <c r="BUW61" s="188"/>
      <c r="BUX61" s="190"/>
      <c r="BUY61" s="189"/>
      <c r="BVD61" s="188"/>
      <c r="BVE61" s="187"/>
      <c r="BVK61" s="188"/>
      <c r="BVL61" s="187"/>
      <c r="BVR61" s="188"/>
      <c r="BVS61" s="187"/>
      <c r="BVY61" s="188"/>
      <c r="BVZ61" s="187"/>
      <c r="BWB61" s="168"/>
      <c r="BWC61" s="189"/>
      <c r="BWF61" s="188"/>
      <c r="BWG61" s="187"/>
      <c r="BWM61" s="188"/>
      <c r="BWN61" s="187"/>
      <c r="BWT61" s="188"/>
      <c r="BWU61" s="187"/>
      <c r="BXA61" s="188"/>
      <c r="BXB61" s="187"/>
      <c r="BXG61" s="168"/>
      <c r="BXH61" s="191"/>
      <c r="BXI61" s="187"/>
      <c r="BXO61" s="188"/>
      <c r="BXP61" s="187"/>
      <c r="BXV61" s="188"/>
      <c r="BXW61" s="187"/>
      <c r="BYC61" s="188"/>
      <c r="BYD61" s="187"/>
      <c r="BYJ61" s="188"/>
      <c r="BYK61" s="190"/>
      <c r="BYL61" s="189"/>
      <c r="BYQ61" s="188"/>
      <c r="BYR61" s="187"/>
      <c r="BYX61" s="188"/>
      <c r="BYY61" s="187"/>
      <c r="BZE61" s="188"/>
      <c r="BZF61" s="187"/>
      <c r="BZL61" s="188"/>
      <c r="BZM61" s="187"/>
      <c r="BZP61" s="168"/>
      <c r="BZQ61" s="189"/>
      <c r="BZS61" s="188"/>
      <c r="BZT61" s="187"/>
      <c r="BZZ61" s="188"/>
      <c r="CAA61" s="187"/>
      <c r="CAG61" s="188"/>
      <c r="CAH61" s="187"/>
      <c r="CAN61" s="188"/>
      <c r="CAO61" s="187"/>
      <c r="CAU61" s="168"/>
      <c r="CAV61" s="189"/>
      <c r="CBB61" s="188"/>
      <c r="CBC61" s="187"/>
      <c r="CBI61" s="188"/>
      <c r="CBJ61" s="187"/>
      <c r="CBP61" s="188"/>
      <c r="CBQ61" s="187"/>
      <c r="CBW61" s="188"/>
      <c r="CBX61" s="187"/>
      <c r="CBY61" s="168"/>
      <c r="CBZ61" s="189"/>
      <c r="CCD61" s="188"/>
      <c r="CCE61" s="187"/>
      <c r="CCK61" s="188"/>
      <c r="CCL61" s="187"/>
      <c r="CCR61" s="188"/>
      <c r="CCS61" s="187"/>
      <c r="CCY61" s="188"/>
      <c r="CCZ61" s="187"/>
      <c r="CDD61" s="168"/>
      <c r="CDE61" s="189"/>
      <c r="CDF61" s="188"/>
      <c r="CDG61" s="187"/>
      <c r="CDM61" s="188"/>
      <c r="CDN61" s="187"/>
      <c r="CDT61" s="188"/>
      <c r="CDU61" s="187"/>
      <c r="CEA61" s="188"/>
      <c r="CEB61" s="187"/>
      <c r="CEH61" s="168"/>
      <c r="CEI61" s="189"/>
      <c r="CEO61" s="188"/>
      <c r="CEP61" s="187"/>
      <c r="CEV61" s="188"/>
      <c r="CEW61" s="187"/>
      <c r="CFC61" s="188"/>
      <c r="CFD61" s="187"/>
      <c r="CFJ61" s="188"/>
      <c r="CFK61" s="187"/>
    </row>
    <row r="62" spans="1:1019 1025:2048 2054:2195">
      <c r="A62" s="164" t="s">
        <v>326</v>
      </c>
      <c r="C62" s="164" t="s">
        <v>327</v>
      </c>
      <c r="D62" s="186"/>
      <c r="E62" s="186"/>
      <c r="K62" s="187"/>
      <c r="Q62" s="188"/>
      <c r="R62" s="187"/>
      <c r="X62" s="188"/>
      <c r="Y62" s="187"/>
      <c r="AE62" s="188"/>
      <c r="AF62" s="187"/>
      <c r="AJ62" s="168"/>
      <c r="AK62" s="189"/>
      <c r="AL62" s="188"/>
      <c r="AM62" s="187"/>
      <c r="AS62" s="188"/>
      <c r="AT62" s="187"/>
      <c r="AZ62" s="188"/>
      <c r="BA62" s="187"/>
      <c r="BG62" s="188"/>
      <c r="BH62" s="187"/>
      <c r="BL62" s="168"/>
      <c r="BM62" s="189"/>
      <c r="BN62" s="188"/>
      <c r="BO62" s="187"/>
      <c r="BU62" s="188"/>
      <c r="BV62" s="187"/>
      <c r="CB62" s="188"/>
      <c r="CC62" s="187"/>
      <c r="CI62" s="188"/>
      <c r="CJ62" s="187"/>
      <c r="CP62" s="188"/>
      <c r="CQ62" s="190"/>
      <c r="CR62" s="189"/>
      <c r="CW62" s="188"/>
      <c r="CX62" s="187"/>
      <c r="DD62" s="188"/>
      <c r="DE62" s="187"/>
      <c r="DK62" s="188"/>
      <c r="DL62" s="187"/>
      <c r="DR62" s="188"/>
      <c r="DS62" s="187"/>
      <c r="DU62" s="168"/>
      <c r="DV62" s="189"/>
      <c r="DY62" s="188"/>
      <c r="DZ62" s="187"/>
      <c r="EF62" s="188"/>
      <c r="EG62" s="187"/>
      <c r="EM62" s="188"/>
      <c r="EN62" s="187"/>
      <c r="ET62" s="188"/>
      <c r="EU62" s="187"/>
      <c r="EZ62" s="168"/>
      <c r="FA62" s="191"/>
      <c r="FB62" s="187"/>
      <c r="FH62" s="188"/>
      <c r="FI62" s="187"/>
      <c r="FO62" s="188"/>
      <c r="FP62" s="187"/>
      <c r="FV62" s="188"/>
      <c r="FW62" s="187"/>
      <c r="GC62" s="188"/>
      <c r="GD62" s="190"/>
      <c r="GE62" s="189"/>
      <c r="GJ62" s="188"/>
      <c r="GK62" s="187"/>
      <c r="GQ62" s="188"/>
      <c r="GR62" s="187"/>
      <c r="GX62" s="188"/>
      <c r="GY62" s="187"/>
      <c r="HE62" s="188"/>
      <c r="HF62" s="187"/>
      <c r="HI62" s="168"/>
      <c r="HJ62" s="189"/>
      <c r="HL62" s="188"/>
      <c r="HM62" s="187"/>
      <c r="HS62" s="188"/>
      <c r="HT62" s="187"/>
      <c r="HZ62" s="188"/>
      <c r="IA62" s="187"/>
      <c r="IG62" s="188"/>
      <c r="IH62" s="187"/>
      <c r="IN62" s="168"/>
      <c r="IO62" s="189"/>
      <c r="IU62" s="188"/>
      <c r="IV62" s="187"/>
      <c r="JB62" s="188"/>
      <c r="JC62" s="187"/>
      <c r="JI62" s="188"/>
      <c r="JJ62" s="187"/>
      <c r="JP62" s="188"/>
      <c r="JQ62" s="187"/>
      <c r="JR62" s="168"/>
      <c r="JS62" s="189"/>
      <c r="JW62" s="188"/>
      <c r="JX62" s="187"/>
      <c r="KD62" s="188"/>
      <c r="KE62" s="187"/>
      <c r="KK62" s="188"/>
      <c r="KL62" s="187"/>
      <c r="KR62" s="188"/>
      <c r="KS62" s="187"/>
      <c r="KW62" s="168"/>
      <c r="KX62" s="189"/>
      <c r="KY62" s="188"/>
      <c r="KZ62" s="187"/>
      <c r="LF62" s="188"/>
      <c r="LG62" s="187"/>
      <c r="LM62" s="188"/>
      <c r="LN62" s="187"/>
      <c r="LT62" s="188"/>
      <c r="LU62" s="187"/>
      <c r="MA62" s="168"/>
      <c r="MB62" s="189"/>
      <c r="MH62" s="188"/>
      <c r="MI62" s="187"/>
      <c r="MO62" s="188"/>
      <c r="MP62" s="187"/>
      <c r="MV62" s="188"/>
      <c r="MW62" s="187"/>
      <c r="NC62" s="188"/>
      <c r="ND62" s="187"/>
      <c r="NF62" s="168"/>
      <c r="NG62" s="189"/>
      <c r="NJ62" s="188"/>
      <c r="NK62" s="187"/>
      <c r="NQ62" s="188"/>
      <c r="NR62" s="187"/>
      <c r="NX62" s="188"/>
      <c r="NY62" s="187"/>
      <c r="OE62" s="188"/>
      <c r="OF62" s="187"/>
      <c r="OK62" s="168"/>
      <c r="OL62" s="191"/>
      <c r="OM62" s="187"/>
      <c r="OS62" s="188"/>
      <c r="OT62" s="187"/>
      <c r="OZ62" s="188"/>
      <c r="PA62" s="187"/>
      <c r="PG62" s="188"/>
      <c r="PH62" s="187"/>
      <c r="PN62" s="168"/>
      <c r="PO62" s="189"/>
      <c r="PU62" s="188"/>
      <c r="PV62" s="187"/>
      <c r="QB62" s="188"/>
      <c r="QC62" s="187"/>
      <c r="QI62" s="188"/>
      <c r="QJ62" s="187"/>
      <c r="QP62" s="188"/>
      <c r="QQ62" s="187"/>
      <c r="QS62" s="168"/>
      <c r="QT62" s="189"/>
      <c r="QW62" s="188"/>
      <c r="QX62" s="187"/>
      <c r="RD62" s="188"/>
      <c r="RE62" s="187"/>
      <c r="RK62" s="188"/>
      <c r="RL62" s="187"/>
      <c r="RR62" s="188"/>
      <c r="RS62" s="187"/>
      <c r="RW62" s="168"/>
      <c r="RX62" s="189"/>
      <c r="RY62" s="188"/>
      <c r="RZ62" s="187"/>
      <c r="SF62" s="188"/>
      <c r="SG62" s="187"/>
      <c r="SM62" s="188"/>
      <c r="SN62" s="187"/>
      <c r="ST62" s="188"/>
      <c r="SU62" s="187"/>
      <c r="TA62" s="188"/>
      <c r="TB62" s="190"/>
      <c r="TC62" s="189"/>
      <c r="TH62" s="188"/>
      <c r="TI62" s="187"/>
      <c r="TO62" s="188"/>
      <c r="TP62" s="187"/>
      <c r="TV62" s="188"/>
      <c r="TW62" s="187"/>
      <c r="UC62" s="188"/>
      <c r="UD62" s="187"/>
      <c r="UF62" s="168"/>
      <c r="UG62" s="189"/>
      <c r="UJ62" s="188"/>
      <c r="UK62" s="187"/>
      <c r="UQ62" s="188"/>
      <c r="UR62" s="187"/>
      <c r="UX62" s="188"/>
      <c r="UY62" s="187"/>
      <c r="VE62" s="188"/>
      <c r="VF62" s="187"/>
      <c r="VK62" s="168"/>
      <c r="VL62" s="191"/>
      <c r="VM62" s="187"/>
      <c r="VS62" s="188"/>
      <c r="VT62" s="187"/>
      <c r="VZ62" s="188"/>
      <c r="WA62" s="187"/>
      <c r="WG62" s="188"/>
      <c r="WH62" s="187"/>
      <c r="WN62" s="188"/>
      <c r="WO62" s="187"/>
      <c r="WP62" s="168"/>
      <c r="WQ62" s="189"/>
      <c r="WU62" s="188"/>
      <c r="WV62" s="187"/>
      <c r="XB62" s="188"/>
      <c r="XC62" s="187"/>
      <c r="XI62" s="188"/>
      <c r="XJ62" s="187"/>
      <c r="XP62" s="188"/>
      <c r="XQ62" s="187"/>
      <c r="XT62" s="168"/>
      <c r="XU62" s="189"/>
      <c r="XW62" s="188"/>
      <c r="XX62" s="187"/>
      <c r="YD62" s="188"/>
      <c r="YE62" s="187"/>
      <c r="YK62" s="188"/>
      <c r="YL62" s="187"/>
      <c r="YR62" s="188"/>
      <c r="YS62" s="187"/>
      <c r="YY62" s="168"/>
      <c r="YZ62" s="189"/>
      <c r="ZF62" s="188"/>
      <c r="ZG62" s="187"/>
      <c r="ZM62" s="188"/>
      <c r="ZN62" s="187"/>
      <c r="ZT62" s="188"/>
      <c r="ZU62" s="187"/>
      <c r="AAA62" s="188"/>
      <c r="AAB62" s="187"/>
      <c r="AAC62" s="168"/>
      <c r="AAD62" s="189"/>
      <c r="AAH62" s="188"/>
      <c r="AAI62" s="187"/>
      <c r="AAO62" s="188"/>
      <c r="AAP62" s="187"/>
      <c r="AAV62" s="188"/>
      <c r="AAW62" s="187"/>
      <c r="ABC62" s="188"/>
      <c r="ABD62" s="187"/>
      <c r="ABH62" s="168"/>
      <c r="ABI62" s="189"/>
      <c r="ABJ62" s="188"/>
      <c r="ABK62" s="187"/>
      <c r="ABQ62" s="188"/>
      <c r="ABR62" s="187"/>
      <c r="ABX62" s="188"/>
      <c r="ABY62" s="187"/>
      <c r="ACE62" s="188"/>
      <c r="ACF62" s="187"/>
      <c r="ACL62" s="188"/>
      <c r="ACM62" s="190"/>
      <c r="ACN62" s="189"/>
      <c r="ACS62" s="188"/>
      <c r="ACT62" s="187"/>
      <c r="ACZ62" s="188"/>
      <c r="ADA62" s="187"/>
      <c r="ADG62" s="188"/>
      <c r="ADH62" s="187"/>
      <c r="ADN62" s="188"/>
      <c r="ADO62" s="190"/>
      <c r="ADP62" s="189"/>
      <c r="ADU62" s="188"/>
      <c r="ADV62" s="187"/>
      <c r="AEB62" s="188"/>
      <c r="AEC62" s="187"/>
      <c r="AEI62" s="188"/>
      <c r="AEJ62" s="187"/>
      <c r="AEP62" s="188"/>
      <c r="AEQ62" s="187"/>
      <c r="AET62" s="168"/>
      <c r="AEU62" s="189"/>
      <c r="AEW62" s="188"/>
      <c r="AEX62" s="187"/>
      <c r="AFD62" s="188"/>
      <c r="AFE62" s="187"/>
      <c r="AFK62" s="188"/>
      <c r="AFL62" s="187"/>
      <c r="AFR62" s="188"/>
      <c r="AFS62" s="187"/>
      <c r="AFX62" s="168"/>
      <c r="AFY62" s="191"/>
      <c r="AFZ62" s="187"/>
      <c r="AGF62" s="188"/>
      <c r="AGG62" s="187"/>
      <c r="AGM62" s="188"/>
      <c r="AGN62" s="187"/>
      <c r="AGT62" s="188"/>
      <c r="AGU62" s="187"/>
      <c r="AHA62" s="188"/>
      <c r="AHB62" s="187"/>
      <c r="AHC62" s="168"/>
      <c r="AHD62" s="189"/>
      <c r="AHH62" s="188"/>
      <c r="AHI62" s="187"/>
      <c r="AHO62" s="188"/>
      <c r="AHP62" s="187"/>
      <c r="AHV62" s="188"/>
      <c r="AHW62" s="187"/>
      <c r="AIC62" s="188"/>
      <c r="AID62" s="187"/>
      <c r="AIG62" s="168"/>
      <c r="AIH62" s="189"/>
      <c r="AIJ62" s="188"/>
      <c r="AIK62" s="187"/>
      <c r="AIQ62" s="188"/>
      <c r="AIR62" s="187"/>
      <c r="AIX62" s="188"/>
      <c r="AIY62" s="187"/>
      <c r="AJE62" s="188"/>
      <c r="AJF62" s="187"/>
      <c r="AJL62" s="168"/>
      <c r="AJM62" s="189"/>
      <c r="AJS62" s="188"/>
      <c r="AJT62" s="187"/>
      <c r="AJZ62" s="188"/>
      <c r="AKA62" s="187"/>
      <c r="AKG62" s="188"/>
      <c r="AKH62" s="187"/>
      <c r="AKN62" s="188"/>
      <c r="AKO62" s="187"/>
      <c r="AKQ62" s="168"/>
      <c r="AKR62" s="189"/>
      <c r="AKU62" s="188"/>
      <c r="AKV62" s="187"/>
      <c r="ALB62" s="188"/>
      <c r="ALC62" s="187"/>
      <c r="ALI62" s="188"/>
      <c r="ALJ62" s="187"/>
      <c r="ALP62" s="188"/>
      <c r="ALQ62" s="187"/>
      <c r="ALU62" s="168"/>
      <c r="ALV62" s="189"/>
      <c r="ALW62" s="188"/>
      <c r="ALX62" s="187"/>
      <c r="AMD62" s="188"/>
      <c r="AME62" s="187"/>
      <c r="AMK62" s="188"/>
      <c r="AML62" s="187"/>
      <c r="AMR62" s="188"/>
      <c r="AMS62" s="187"/>
      <c r="AMY62" s="188"/>
      <c r="AMZ62" s="190"/>
      <c r="ANA62" s="189"/>
      <c r="ANF62" s="188"/>
      <c r="ANG62" s="187"/>
      <c r="ANM62" s="188"/>
      <c r="ANN62" s="187"/>
      <c r="ANT62" s="188"/>
      <c r="ANU62" s="187"/>
      <c r="AOA62" s="188"/>
      <c r="AOB62" s="187"/>
      <c r="AOD62" s="168"/>
      <c r="AOE62" s="189"/>
      <c r="AOH62" s="188"/>
      <c r="AOI62" s="187"/>
      <c r="AOO62" s="188"/>
      <c r="AOP62" s="187"/>
      <c r="AOV62" s="188"/>
      <c r="AOW62" s="187"/>
      <c r="APC62" s="188"/>
      <c r="APD62" s="187"/>
      <c r="API62" s="168"/>
      <c r="APJ62" s="191"/>
      <c r="APK62" s="187"/>
      <c r="APQ62" s="188"/>
      <c r="APR62" s="187"/>
      <c r="APX62" s="188"/>
      <c r="APY62" s="187"/>
      <c r="AQE62" s="188"/>
      <c r="AQF62" s="187"/>
      <c r="AQL62" s="188"/>
      <c r="AQM62" s="187"/>
      <c r="AQN62" s="168"/>
      <c r="AQO62" s="189"/>
      <c r="AQS62" s="188"/>
      <c r="AQT62" s="187"/>
      <c r="AQZ62" s="188"/>
      <c r="ARA62" s="187"/>
      <c r="ARG62" s="188"/>
      <c r="ARH62" s="187"/>
      <c r="ARN62" s="188"/>
      <c r="ARO62" s="187"/>
      <c r="ARP62" s="168"/>
      <c r="ARQ62" s="189"/>
      <c r="ARU62" s="188"/>
      <c r="ARV62" s="187"/>
      <c r="ASB62" s="188"/>
      <c r="ASC62" s="187"/>
      <c r="ASI62" s="188"/>
      <c r="ASJ62" s="187"/>
      <c r="ASP62" s="188"/>
      <c r="ASQ62" s="187"/>
      <c r="ASU62" s="168"/>
      <c r="ASV62" s="189"/>
      <c r="ASW62" s="188"/>
      <c r="ASX62" s="187"/>
      <c r="ATD62" s="188"/>
      <c r="ATE62" s="187"/>
      <c r="ATK62" s="188"/>
      <c r="ATL62" s="187"/>
      <c r="ATR62" s="188"/>
      <c r="ATS62" s="187"/>
      <c r="ATY62" s="168"/>
      <c r="ATZ62" s="189"/>
      <c r="AUF62" s="188"/>
      <c r="AUG62" s="187"/>
      <c r="AUM62" s="188"/>
      <c r="AUN62" s="187"/>
      <c r="AUT62" s="188"/>
      <c r="AUU62" s="187"/>
      <c r="AVA62" s="188"/>
      <c r="AVB62" s="187"/>
      <c r="AVD62" s="168"/>
      <c r="AVE62" s="189"/>
      <c r="AVH62" s="188"/>
      <c r="AVI62" s="187"/>
      <c r="AVO62" s="188"/>
      <c r="AVP62" s="187"/>
      <c r="AVV62" s="188"/>
      <c r="AVW62" s="187"/>
      <c r="AWC62" s="188"/>
      <c r="AWD62" s="187"/>
      <c r="AWH62" s="168"/>
      <c r="AWI62" s="189"/>
      <c r="AWJ62" s="188"/>
      <c r="AWK62" s="187"/>
      <c r="AWQ62" s="188"/>
      <c r="AWR62" s="187"/>
      <c r="AWX62" s="188"/>
      <c r="AWY62" s="187"/>
      <c r="AXE62" s="188"/>
      <c r="AXF62" s="187"/>
      <c r="AXL62" s="188"/>
      <c r="AXM62" s="190"/>
      <c r="AXN62" s="189"/>
      <c r="AXS62" s="188"/>
      <c r="AXT62" s="187"/>
      <c r="AXZ62" s="188"/>
      <c r="AYA62" s="187"/>
      <c r="AYG62" s="188"/>
      <c r="AYH62" s="187"/>
      <c r="AYN62" s="188"/>
      <c r="AYO62" s="187"/>
      <c r="AYR62" s="168"/>
      <c r="AYS62" s="189"/>
      <c r="AYU62" s="188"/>
      <c r="AYV62" s="187"/>
      <c r="AZB62" s="188"/>
      <c r="AZC62" s="187"/>
      <c r="AZI62" s="188"/>
      <c r="AZJ62" s="187"/>
      <c r="AZP62" s="188"/>
      <c r="AZQ62" s="187"/>
      <c r="AZV62" s="168"/>
      <c r="AZW62" s="191"/>
      <c r="AZX62" s="187"/>
      <c r="BAD62" s="188"/>
      <c r="BAE62" s="187"/>
      <c r="BAK62" s="188"/>
      <c r="BAL62" s="187"/>
      <c r="BAR62" s="188"/>
      <c r="BAS62" s="187"/>
      <c r="BAY62" s="188"/>
      <c r="BAZ62" s="187"/>
      <c r="BBA62" s="168"/>
      <c r="BBB62" s="189"/>
      <c r="BBF62" s="188"/>
      <c r="BBG62" s="187"/>
      <c r="BBM62" s="188"/>
      <c r="BBN62" s="187"/>
      <c r="BBT62" s="188"/>
      <c r="BBU62" s="187"/>
      <c r="BCA62" s="188"/>
      <c r="BCB62" s="187"/>
      <c r="BCE62" s="168"/>
      <c r="BCF62" s="189"/>
      <c r="BCH62" s="188"/>
      <c r="BCI62" s="187"/>
      <c r="BCO62" s="188"/>
      <c r="BCP62" s="187"/>
      <c r="BCV62" s="188"/>
      <c r="BCW62" s="187"/>
      <c r="BDC62" s="188"/>
      <c r="BDD62" s="187"/>
      <c r="BDJ62" s="168"/>
      <c r="BDK62" s="189"/>
      <c r="BDQ62" s="188"/>
      <c r="BDR62" s="187"/>
      <c r="BDX62" s="188"/>
      <c r="BDY62" s="187"/>
      <c r="BEE62" s="188"/>
      <c r="BEF62" s="187"/>
      <c r="BEL62" s="188"/>
      <c r="BEM62" s="187"/>
      <c r="BEO62" s="168"/>
      <c r="BEP62" s="189"/>
      <c r="BES62" s="188"/>
      <c r="BET62" s="187"/>
      <c r="BEZ62" s="188"/>
      <c r="BFA62" s="187"/>
      <c r="BFG62" s="188"/>
      <c r="BFH62" s="187"/>
      <c r="BFN62" s="188"/>
      <c r="BFO62" s="187"/>
      <c r="BFQ62" s="168"/>
      <c r="BFR62" s="189"/>
      <c r="BFU62" s="188"/>
      <c r="BFV62" s="187"/>
      <c r="BGB62" s="188"/>
      <c r="BGC62" s="187"/>
      <c r="BGI62" s="188"/>
      <c r="BGJ62" s="187"/>
      <c r="BGP62" s="188"/>
      <c r="BGQ62" s="187"/>
      <c r="BGV62" s="168"/>
      <c r="BGW62" s="191"/>
      <c r="BGX62" s="187"/>
      <c r="BHD62" s="188"/>
      <c r="BHE62" s="187"/>
      <c r="BHK62" s="188"/>
      <c r="BHL62" s="187"/>
      <c r="BHR62" s="188"/>
      <c r="BHS62" s="187"/>
      <c r="BHY62" s="188"/>
      <c r="BHZ62" s="190"/>
      <c r="BIA62" s="189"/>
      <c r="BIF62" s="188"/>
      <c r="BIG62" s="187"/>
      <c r="BIM62" s="188"/>
      <c r="BIN62" s="187"/>
      <c r="BIT62" s="188"/>
      <c r="BIU62" s="187"/>
      <c r="BJA62" s="188"/>
      <c r="BJB62" s="187"/>
      <c r="BJE62" s="168"/>
      <c r="BJF62" s="189"/>
      <c r="BJH62" s="188"/>
      <c r="BJI62" s="187"/>
      <c r="BJO62" s="188"/>
      <c r="BJP62" s="187"/>
      <c r="BJV62" s="188"/>
      <c r="BJW62" s="187"/>
      <c r="BKC62" s="188"/>
      <c r="BKD62" s="187"/>
      <c r="BKI62" s="168"/>
      <c r="BKJ62" s="191"/>
      <c r="BKK62" s="187"/>
      <c r="BKQ62" s="188"/>
      <c r="BKR62" s="187"/>
      <c r="BKX62" s="188"/>
      <c r="BKY62" s="187"/>
      <c r="BLE62" s="188"/>
      <c r="BLF62" s="187"/>
      <c r="BLL62" s="188"/>
      <c r="BLM62" s="187"/>
      <c r="BLN62" s="168"/>
      <c r="BLO62" s="189"/>
      <c r="BLS62" s="188"/>
      <c r="BLT62" s="187"/>
      <c r="BLZ62" s="188"/>
      <c r="BMA62" s="187"/>
      <c r="BMG62" s="188"/>
      <c r="BMH62" s="187"/>
      <c r="BMN62" s="188"/>
      <c r="BMO62" s="187"/>
      <c r="BMS62" s="168"/>
      <c r="BMT62" s="189"/>
      <c r="BMU62" s="188"/>
      <c r="BMV62" s="187"/>
      <c r="BNB62" s="188"/>
      <c r="BNC62" s="187"/>
      <c r="BNI62" s="188"/>
      <c r="BNJ62" s="187"/>
      <c r="BNP62" s="188"/>
      <c r="BNQ62" s="187"/>
      <c r="BNW62" s="168"/>
      <c r="BNX62" s="189"/>
      <c r="BOD62" s="188"/>
      <c r="BOE62" s="187"/>
      <c r="BOK62" s="188"/>
      <c r="BOL62" s="187"/>
      <c r="BOR62" s="188"/>
      <c r="BOS62" s="187"/>
      <c r="BOY62" s="188"/>
      <c r="BOZ62" s="187"/>
      <c r="BPB62" s="168"/>
      <c r="BPC62" s="189"/>
      <c r="BPF62" s="188"/>
      <c r="BPG62" s="187"/>
      <c r="BPM62" s="188"/>
      <c r="BPN62" s="187"/>
      <c r="BPT62" s="188"/>
      <c r="BPU62" s="187"/>
      <c r="BQA62" s="188"/>
      <c r="BQB62" s="187"/>
      <c r="BQF62" s="168"/>
      <c r="BQG62" s="189"/>
      <c r="BQH62" s="188"/>
      <c r="BQI62" s="187"/>
      <c r="BQO62" s="188"/>
      <c r="BQP62" s="187"/>
      <c r="BQV62" s="188"/>
      <c r="BQW62" s="187"/>
      <c r="BRC62" s="188"/>
      <c r="BRD62" s="187"/>
      <c r="BRJ62" s="188"/>
      <c r="BRK62" s="190"/>
      <c r="BRL62" s="189"/>
      <c r="BRQ62" s="188"/>
      <c r="BRR62" s="187"/>
      <c r="BRX62" s="188"/>
      <c r="BRY62" s="187"/>
      <c r="BSE62" s="188"/>
      <c r="BSF62" s="187"/>
      <c r="BSL62" s="188"/>
      <c r="BSM62" s="187"/>
      <c r="BSP62" s="168"/>
      <c r="BSQ62" s="189"/>
      <c r="BSS62" s="188"/>
      <c r="BST62" s="187"/>
      <c r="BSZ62" s="188"/>
      <c r="BTA62" s="187"/>
      <c r="BTG62" s="188"/>
      <c r="BTH62" s="187"/>
      <c r="BTN62" s="188"/>
      <c r="BTO62" s="187"/>
      <c r="BTS62" s="168"/>
      <c r="BTT62" s="189"/>
      <c r="BTU62" s="188"/>
      <c r="BTV62" s="187"/>
      <c r="BUB62" s="188"/>
      <c r="BUC62" s="187"/>
      <c r="BUI62" s="188"/>
      <c r="BUJ62" s="187"/>
      <c r="BUP62" s="188"/>
      <c r="BUQ62" s="187"/>
      <c r="BUW62" s="188"/>
      <c r="BUX62" s="190"/>
      <c r="BUY62" s="189"/>
      <c r="BVD62" s="188"/>
      <c r="BVE62" s="187"/>
      <c r="BVK62" s="188"/>
      <c r="BVL62" s="187"/>
      <c r="BVR62" s="188"/>
      <c r="BVS62" s="187"/>
      <c r="BVY62" s="188"/>
      <c r="BVZ62" s="187"/>
      <c r="BWB62" s="168"/>
      <c r="BWC62" s="189"/>
      <c r="BWF62" s="188"/>
      <c r="BWG62" s="187"/>
      <c r="BWM62" s="188"/>
      <c r="BWN62" s="187"/>
      <c r="BWT62" s="188"/>
      <c r="BWU62" s="187"/>
      <c r="BXA62" s="188"/>
      <c r="BXB62" s="187"/>
      <c r="BXG62" s="168"/>
      <c r="BXH62" s="191"/>
      <c r="BXI62" s="187"/>
      <c r="BXO62" s="188"/>
      <c r="BXP62" s="187"/>
      <c r="BXV62" s="188"/>
      <c r="BXW62" s="187"/>
      <c r="BYC62" s="188"/>
      <c r="BYD62" s="187"/>
      <c r="BYJ62" s="188"/>
      <c r="BYK62" s="190"/>
      <c r="BYL62" s="189"/>
      <c r="BYQ62" s="188"/>
      <c r="BYR62" s="187"/>
      <c r="BYX62" s="188"/>
      <c r="BYY62" s="187"/>
      <c r="BZE62" s="188"/>
      <c r="BZF62" s="187"/>
      <c r="BZL62" s="188"/>
      <c r="BZM62" s="187"/>
      <c r="BZP62" s="168"/>
      <c r="BZQ62" s="189"/>
      <c r="BZS62" s="188"/>
      <c r="BZT62" s="187"/>
      <c r="BZZ62" s="188"/>
      <c r="CAA62" s="187"/>
      <c r="CAG62" s="188"/>
      <c r="CAH62" s="187"/>
      <c r="CAN62" s="188"/>
      <c r="CAO62" s="187"/>
      <c r="CAU62" s="168"/>
      <c r="CAV62" s="189"/>
      <c r="CBB62" s="188"/>
      <c r="CBC62" s="187"/>
      <c r="CBI62" s="188"/>
      <c r="CBJ62" s="187"/>
      <c r="CBP62" s="188"/>
      <c r="CBQ62" s="187"/>
      <c r="CBW62" s="188"/>
      <c r="CBX62" s="187"/>
      <c r="CBY62" s="168"/>
      <c r="CBZ62" s="189"/>
      <c r="CCD62" s="188"/>
      <c r="CCE62" s="187"/>
      <c r="CCK62" s="188"/>
      <c r="CCL62" s="187"/>
      <c r="CCR62" s="188"/>
      <c r="CCS62" s="187"/>
      <c r="CCY62" s="188"/>
      <c r="CCZ62" s="187"/>
      <c r="CDD62" s="168"/>
      <c r="CDE62" s="189"/>
      <c r="CDF62" s="188"/>
      <c r="CDG62" s="187"/>
      <c r="CDM62" s="188"/>
      <c r="CDN62" s="187"/>
      <c r="CDT62" s="188"/>
      <c r="CDU62" s="187"/>
      <c r="CEA62" s="188"/>
      <c r="CEB62" s="187"/>
      <c r="CEH62" s="168"/>
      <c r="CEI62" s="189"/>
      <c r="CEO62" s="188"/>
      <c r="CEP62" s="187"/>
      <c r="CEV62" s="188"/>
      <c r="CEW62" s="187"/>
      <c r="CFC62" s="188"/>
      <c r="CFD62" s="187"/>
      <c r="CFJ62" s="188"/>
      <c r="CFK62" s="187"/>
    </row>
    <row r="63" spans="1:1019 1025:2048 2054:2195">
      <c r="A63" s="164" t="s">
        <v>328</v>
      </c>
      <c r="C63" s="164" t="s">
        <v>329</v>
      </c>
      <c r="D63" s="186"/>
      <c r="E63" s="186"/>
      <c r="K63" s="187"/>
      <c r="Q63" s="188"/>
      <c r="R63" s="187"/>
      <c r="X63" s="188"/>
      <c r="Y63" s="187"/>
      <c r="AE63" s="188"/>
      <c r="AF63" s="187"/>
      <c r="AJ63" s="168"/>
      <c r="AK63" s="189"/>
      <c r="AL63" s="188"/>
      <c r="AM63" s="187"/>
      <c r="AS63" s="188"/>
      <c r="AT63" s="187"/>
      <c r="AZ63" s="188"/>
      <c r="BA63" s="187"/>
      <c r="BG63" s="188"/>
      <c r="BH63" s="187"/>
      <c r="BL63" s="168"/>
      <c r="BM63" s="189"/>
      <c r="BN63" s="188"/>
      <c r="BO63" s="187"/>
      <c r="BU63" s="188"/>
      <c r="BV63" s="187"/>
      <c r="CB63" s="188"/>
      <c r="CC63" s="187"/>
      <c r="CI63" s="188"/>
      <c r="CJ63" s="187"/>
      <c r="CP63" s="188"/>
      <c r="CQ63" s="190"/>
      <c r="CR63" s="189"/>
      <c r="CW63" s="188"/>
      <c r="CX63" s="187"/>
      <c r="DD63" s="188"/>
      <c r="DE63" s="187"/>
      <c r="DK63" s="188"/>
      <c r="DL63" s="187"/>
      <c r="DR63" s="188"/>
      <c r="DS63" s="187"/>
      <c r="DU63" s="168"/>
      <c r="DV63" s="189"/>
      <c r="DY63" s="188"/>
      <c r="DZ63" s="187"/>
      <c r="EF63" s="188"/>
      <c r="EG63" s="187"/>
      <c r="EM63" s="188"/>
      <c r="EN63" s="187"/>
      <c r="ET63" s="188"/>
      <c r="EU63" s="187"/>
      <c r="EZ63" s="168"/>
      <c r="FA63" s="191"/>
      <c r="FB63" s="187"/>
      <c r="FH63" s="188"/>
      <c r="FI63" s="187"/>
      <c r="FO63" s="188"/>
      <c r="FP63" s="187"/>
      <c r="FV63" s="188"/>
      <c r="FW63" s="187"/>
      <c r="GC63" s="188"/>
      <c r="GD63" s="190"/>
      <c r="GE63" s="189"/>
      <c r="GJ63" s="188"/>
      <c r="GK63" s="187"/>
      <c r="GQ63" s="188"/>
      <c r="GR63" s="187"/>
      <c r="GX63" s="188"/>
      <c r="GY63" s="187"/>
      <c r="HE63" s="188"/>
      <c r="HF63" s="187"/>
      <c r="HI63" s="168"/>
      <c r="HJ63" s="189"/>
      <c r="HL63" s="188"/>
      <c r="HM63" s="187"/>
      <c r="HS63" s="188"/>
      <c r="HT63" s="187"/>
      <c r="HZ63" s="188"/>
      <c r="IA63" s="187"/>
      <c r="IG63" s="188"/>
      <c r="IH63" s="187"/>
      <c r="IN63" s="168"/>
      <c r="IO63" s="189"/>
      <c r="IU63" s="188"/>
      <c r="IV63" s="187"/>
      <c r="JB63" s="188"/>
      <c r="JC63" s="187"/>
      <c r="JI63" s="188"/>
      <c r="JJ63" s="187"/>
      <c r="JP63" s="188"/>
      <c r="JQ63" s="187"/>
      <c r="JR63" s="168"/>
      <c r="JS63" s="189"/>
      <c r="JW63" s="188"/>
      <c r="JX63" s="187"/>
      <c r="KD63" s="188"/>
      <c r="KE63" s="187"/>
      <c r="KK63" s="188"/>
      <c r="KL63" s="187"/>
      <c r="KR63" s="188"/>
      <c r="KS63" s="187"/>
      <c r="KW63" s="168"/>
      <c r="KX63" s="189"/>
      <c r="KY63" s="188"/>
      <c r="KZ63" s="187"/>
      <c r="LF63" s="188"/>
      <c r="LG63" s="187"/>
      <c r="LM63" s="188"/>
      <c r="LN63" s="187"/>
      <c r="LT63" s="188"/>
      <c r="LU63" s="187"/>
      <c r="MA63" s="168"/>
      <c r="MB63" s="189"/>
      <c r="MH63" s="188"/>
      <c r="MI63" s="187"/>
      <c r="MO63" s="188"/>
      <c r="MP63" s="187"/>
      <c r="MV63" s="188"/>
      <c r="MW63" s="187"/>
      <c r="NC63" s="188"/>
      <c r="ND63" s="187"/>
      <c r="NF63" s="168"/>
      <c r="NG63" s="189"/>
      <c r="NJ63" s="188"/>
      <c r="NK63" s="187"/>
      <c r="NQ63" s="188"/>
      <c r="NR63" s="187"/>
      <c r="NX63" s="188"/>
      <c r="NY63" s="187"/>
      <c r="OE63" s="188"/>
      <c r="OF63" s="187"/>
      <c r="OK63" s="168"/>
      <c r="OL63" s="191"/>
      <c r="OM63" s="187"/>
      <c r="OS63" s="188"/>
      <c r="OT63" s="187"/>
      <c r="OZ63" s="188"/>
      <c r="PA63" s="187"/>
      <c r="PG63" s="188"/>
      <c r="PH63" s="187"/>
      <c r="PN63" s="168"/>
      <c r="PO63" s="189"/>
      <c r="PU63" s="188"/>
      <c r="PV63" s="187"/>
      <c r="QB63" s="188"/>
      <c r="QC63" s="187"/>
      <c r="QI63" s="188"/>
      <c r="QJ63" s="187"/>
      <c r="QP63" s="188"/>
      <c r="QQ63" s="187"/>
      <c r="QS63" s="168"/>
      <c r="QT63" s="189"/>
      <c r="QW63" s="188"/>
      <c r="QX63" s="187"/>
      <c r="RD63" s="188"/>
      <c r="RE63" s="187"/>
      <c r="RK63" s="188"/>
      <c r="RL63" s="187"/>
      <c r="RR63" s="188"/>
      <c r="RS63" s="187"/>
      <c r="RW63" s="168"/>
      <c r="RX63" s="189"/>
      <c r="RY63" s="188"/>
      <c r="RZ63" s="187"/>
      <c r="SF63" s="188"/>
      <c r="SG63" s="187"/>
      <c r="SM63" s="188"/>
      <c r="SN63" s="187"/>
      <c r="ST63" s="188"/>
      <c r="SU63" s="187"/>
      <c r="TA63" s="188"/>
      <c r="TB63" s="190"/>
      <c r="TC63" s="189"/>
      <c r="TH63" s="188"/>
      <c r="TI63" s="187"/>
      <c r="TO63" s="188"/>
      <c r="TP63" s="187"/>
      <c r="TV63" s="188"/>
      <c r="TW63" s="187"/>
      <c r="UC63" s="188"/>
      <c r="UD63" s="187"/>
      <c r="UF63" s="168"/>
      <c r="UG63" s="189"/>
      <c r="UJ63" s="188"/>
      <c r="UK63" s="187"/>
      <c r="UQ63" s="188"/>
      <c r="UR63" s="187"/>
      <c r="UX63" s="188"/>
      <c r="UY63" s="187"/>
      <c r="VE63" s="188"/>
      <c r="VF63" s="187"/>
      <c r="VK63" s="168"/>
      <c r="VL63" s="191"/>
      <c r="VM63" s="187"/>
      <c r="VS63" s="188"/>
      <c r="VT63" s="187"/>
      <c r="VZ63" s="188"/>
      <c r="WA63" s="187"/>
      <c r="WG63" s="188"/>
      <c r="WH63" s="187"/>
      <c r="WN63" s="188"/>
      <c r="WO63" s="187"/>
      <c r="WP63" s="168"/>
      <c r="WQ63" s="189"/>
      <c r="WU63" s="188"/>
      <c r="WV63" s="187"/>
      <c r="XB63" s="188"/>
      <c r="XC63" s="187"/>
      <c r="XI63" s="188"/>
      <c r="XJ63" s="187"/>
      <c r="XP63" s="188"/>
      <c r="XQ63" s="187"/>
      <c r="XT63" s="168"/>
      <c r="XU63" s="189"/>
      <c r="XW63" s="188"/>
      <c r="XX63" s="187"/>
      <c r="YD63" s="188"/>
      <c r="YE63" s="187"/>
      <c r="YK63" s="188"/>
      <c r="YL63" s="187"/>
      <c r="YR63" s="188"/>
      <c r="YS63" s="187"/>
      <c r="YY63" s="168"/>
      <c r="YZ63" s="189"/>
      <c r="ZF63" s="188"/>
      <c r="ZG63" s="187"/>
      <c r="ZM63" s="188"/>
      <c r="ZN63" s="187"/>
      <c r="ZT63" s="188"/>
      <c r="ZU63" s="187"/>
      <c r="AAA63" s="188"/>
      <c r="AAB63" s="187"/>
      <c r="AAC63" s="168"/>
      <c r="AAD63" s="189"/>
      <c r="AAH63" s="188"/>
      <c r="AAI63" s="187"/>
      <c r="AAO63" s="188"/>
      <c r="AAP63" s="187"/>
      <c r="AAV63" s="188"/>
      <c r="AAW63" s="187"/>
      <c r="ABC63" s="188"/>
      <c r="ABD63" s="187"/>
      <c r="ABH63" s="168"/>
      <c r="ABI63" s="189"/>
      <c r="ABJ63" s="188"/>
      <c r="ABK63" s="187"/>
      <c r="ABQ63" s="188"/>
      <c r="ABR63" s="187"/>
      <c r="ABX63" s="188"/>
      <c r="ABY63" s="187"/>
      <c r="ACE63" s="188"/>
      <c r="ACF63" s="187"/>
      <c r="ACL63" s="188"/>
      <c r="ACM63" s="190"/>
      <c r="ACN63" s="189"/>
      <c r="ACS63" s="188"/>
      <c r="ACT63" s="187"/>
      <c r="ACZ63" s="188"/>
      <c r="ADA63" s="187"/>
      <c r="ADG63" s="188"/>
      <c r="ADH63" s="187"/>
      <c r="ADN63" s="188"/>
      <c r="ADO63" s="190"/>
      <c r="ADP63" s="189"/>
      <c r="ADU63" s="188"/>
      <c r="ADV63" s="187"/>
      <c r="AEB63" s="188"/>
      <c r="AEC63" s="187"/>
      <c r="AEI63" s="188"/>
      <c r="AEJ63" s="187"/>
      <c r="AEP63" s="188"/>
      <c r="AEQ63" s="187"/>
      <c r="AET63" s="168"/>
      <c r="AEU63" s="189"/>
      <c r="AEW63" s="188"/>
      <c r="AEX63" s="187"/>
      <c r="AFD63" s="188"/>
      <c r="AFE63" s="187"/>
      <c r="AFK63" s="188"/>
      <c r="AFL63" s="187"/>
      <c r="AFR63" s="188"/>
      <c r="AFS63" s="187"/>
      <c r="AFX63" s="168"/>
      <c r="AFY63" s="191"/>
      <c r="AFZ63" s="187"/>
      <c r="AGF63" s="188"/>
      <c r="AGG63" s="187"/>
      <c r="AGM63" s="188"/>
      <c r="AGN63" s="187"/>
      <c r="AGT63" s="188"/>
      <c r="AGU63" s="187"/>
      <c r="AHA63" s="188"/>
      <c r="AHB63" s="187"/>
      <c r="AHC63" s="168"/>
      <c r="AHD63" s="189"/>
      <c r="AHH63" s="188"/>
      <c r="AHI63" s="187"/>
      <c r="AHO63" s="188"/>
      <c r="AHP63" s="187"/>
      <c r="AHV63" s="188"/>
      <c r="AHW63" s="187"/>
      <c r="AIC63" s="188"/>
      <c r="AID63" s="187"/>
      <c r="AIG63" s="168"/>
      <c r="AIH63" s="189"/>
      <c r="AIJ63" s="188"/>
      <c r="AIK63" s="187"/>
      <c r="AIQ63" s="188"/>
      <c r="AIR63" s="187"/>
      <c r="AIX63" s="188"/>
      <c r="AIY63" s="187"/>
      <c r="AJE63" s="188"/>
      <c r="AJF63" s="187"/>
      <c r="AJL63" s="168"/>
      <c r="AJM63" s="189"/>
      <c r="AJS63" s="188"/>
      <c r="AJT63" s="187"/>
      <c r="AJZ63" s="188"/>
      <c r="AKA63" s="187"/>
      <c r="AKG63" s="188"/>
      <c r="AKH63" s="187"/>
      <c r="AKN63" s="188"/>
      <c r="AKO63" s="187"/>
      <c r="AKQ63" s="168"/>
      <c r="AKR63" s="189"/>
      <c r="AKU63" s="188"/>
      <c r="AKV63" s="187"/>
      <c r="ALB63" s="188"/>
      <c r="ALC63" s="187"/>
      <c r="ALI63" s="188"/>
      <c r="ALJ63" s="187"/>
      <c r="ALP63" s="188"/>
      <c r="ALQ63" s="187"/>
      <c r="ALU63" s="168"/>
      <c r="ALV63" s="189"/>
      <c r="ALW63" s="188"/>
      <c r="ALX63" s="187"/>
      <c r="AMD63" s="188"/>
      <c r="AME63" s="187"/>
      <c r="AMK63" s="188"/>
      <c r="AML63" s="187"/>
      <c r="AMR63" s="188"/>
      <c r="AMS63" s="187"/>
      <c r="AMY63" s="188"/>
      <c r="AMZ63" s="190"/>
      <c r="ANA63" s="189"/>
      <c r="ANF63" s="188"/>
      <c r="ANG63" s="187"/>
      <c r="ANM63" s="188"/>
      <c r="ANN63" s="187"/>
      <c r="ANT63" s="188"/>
      <c r="ANU63" s="187"/>
      <c r="AOA63" s="188"/>
      <c r="AOB63" s="187"/>
      <c r="AOD63" s="168"/>
      <c r="AOE63" s="189"/>
      <c r="AOH63" s="188"/>
      <c r="AOI63" s="187"/>
      <c r="AOO63" s="188"/>
      <c r="AOP63" s="187"/>
      <c r="AOV63" s="188"/>
      <c r="AOW63" s="187"/>
      <c r="APC63" s="188"/>
      <c r="APD63" s="187"/>
      <c r="API63" s="168"/>
      <c r="APJ63" s="191"/>
      <c r="APK63" s="187"/>
      <c r="APQ63" s="188"/>
      <c r="APR63" s="187"/>
      <c r="APX63" s="188"/>
      <c r="APY63" s="187"/>
      <c r="AQE63" s="188"/>
      <c r="AQF63" s="187"/>
      <c r="AQL63" s="188"/>
      <c r="AQM63" s="187"/>
      <c r="AQN63" s="168"/>
      <c r="AQO63" s="189"/>
      <c r="AQS63" s="188"/>
      <c r="AQT63" s="187"/>
      <c r="AQZ63" s="188"/>
      <c r="ARA63" s="187"/>
      <c r="ARG63" s="188"/>
      <c r="ARH63" s="187"/>
      <c r="ARN63" s="188"/>
      <c r="ARO63" s="187"/>
      <c r="ARP63" s="168"/>
      <c r="ARQ63" s="189"/>
      <c r="ARU63" s="188"/>
      <c r="ARV63" s="187"/>
      <c r="ASB63" s="188"/>
      <c r="ASC63" s="187"/>
      <c r="ASI63" s="188"/>
      <c r="ASJ63" s="187"/>
      <c r="ASP63" s="188"/>
      <c r="ASQ63" s="187"/>
      <c r="ASU63" s="168"/>
      <c r="ASV63" s="189"/>
      <c r="ASW63" s="188"/>
      <c r="ASX63" s="187"/>
      <c r="ATD63" s="188"/>
      <c r="ATE63" s="187"/>
      <c r="ATK63" s="188"/>
      <c r="ATL63" s="187"/>
      <c r="ATR63" s="188"/>
      <c r="ATS63" s="187"/>
      <c r="ATY63" s="168"/>
      <c r="ATZ63" s="189"/>
      <c r="AUF63" s="188"/>
      <c r="AUG63" s="187"/>
      <c r="AUM63" s="188"/>
      <c r="AUN63" s="187"/>
      <c r="AUT63" s="188"/>
      <c r="AUU63" s="187"/>
      <c r="AVA63" s="188"/>
      <c r="AVB63" s="187"/>
      <c r="AVD63" s="168"/>
      <c r="AVE63" s="189"/>
      <c r="AVH63" s="188"/>
      <c r="AVI63" s="187"/>
      <c r="AVO63" s="188"/>
      <c r="AVP63" s="187"/>
      <c r="AVV63" s="188"/>
      <c r="AVW63" s="187"/>
      <c r="AWC63" s="188"/>
      <c r="AWD63" s="187"/>
      <c r="AWH63" s="168"/>
      <c r="AWI63" s="189"/>
      <c r="AWJ63" s="188"/>
      <c r="AWK63" s="187"/>
      <c r="AWQ63" s="188"/>
      <c r="AWR63" s="187"/>
      <c r="AWX63" s="188"/>
      <c r="AWY63" s="187"/>
      <c r="AXE63" s="188"/>
      <c r="AXF63" s="187"/>
      <c r="AXL63" s="188"/>
      <c r="AXM63" s="190"/>
      <c r="AXN63" s="189"/>
      <c r="AXS63" s="188"/>
      <c r="AXT63" s="187"/>
      <c r="AXZ63" s="188"/>
      <c r="AYA63" s="187"/>
      <c r="AYG63" s="188"/>
      <c r="AYH63" s="187"/>
      <c r="AYN63" s="188"/>
      <c r="AYO63" s="187"/>
      <c r="AYR63" s="168"/>
      <c r="AYS63" s="189"/>
      <c r="AYU63" s="188"/>
      <c r="AYV63" s="187"/>
      <c r="AZB63" s="188"/>
      <c r="AZC63" s="187"/>
      <c r="AZI63" s="188"/>
      <c r="AZJ63" s="187"/>
      <c r="AZP63" s="188"/>
      <c r="AZQ63" s="187"/>
      <c r="AZV63" s="168"/>
      <c r="AZW63" s="191"/>
      <c r="AZX63" s="187"/>
      <c r="BAD63" s="188"/>
      <c r="BAE63" s="187"/>
      <c r="BAK63" s="188"/>
      <c r="BAL63" s="187"/>
      <c r="BAR63" s="188"/>
      <c r="BAS63" s="187"/>
      <c r="BAY63" s="188"/>
      <c r="BAZ63" s="187"/>
      <c r="BBA63" s="168"/>
      <c r="BBB63" s="189"/>
      <c r="BBF63" s="188"/>
      <c r="BBG63" s="187"/>
      <c r="BBM63" s="188"/>
      <c r="BBN63" s="187"/>
      <c r="BBT63" s="188"/>
      <c r="BBU63" s="187"/>
      <c r="BCA63" s="188"/>
      <c r="BCB63" s="187"/>
      <c r="BCE63" s="168"/>
      <c r="BCF63" s="189"/>
      <c r="BCH63" s="188"/>
      <c r="BCI63" s="187"/>
      <c r="BCO63" s="188"/>
      <c r="BCP63" s="187"/>
      <c r="BCV63" s="188"/>
      <c r="BCW63" s="187"/>
      <c r="BDC63" s="188"/>
      <c r="BDD63" s="187"/>
      <c r="BDJ63" s="168"/>
      <c r="BDK63" s="189"/>
      <c r="BDQ63" s="188"/>
      <c r="BDR63" s="187"/>
      <c r="BDX63" s="188"/>
      <c r="BDY63" s="187"/>
      <c r="BEE63" s="188"/>
      <c r="BEF63" s="187"/>
      <c r="BEL63" s="188"/>
      <c r="BEM63" s="187"/>
      <c r="BEO63" s="168"/>
      <c r="BEP63" s="189"/>
      <c r="BES63" s="188"/>
      <c r="BET63" s="187"/>
      <c r="BEZ63" s="188"/>
      <c r="BFA63" s="187"/>
      <c r="BFG63" s="188"/>
      <c r="BFH63" s="187"/>
      <c r="BFN63" s="188"/>
      <c r="BFO63" s="187"/>
      <c r="BFQ63" s="168"/>
      <c r="BFR63" s="189"/>
      <c r="BFU63" s="188"/>
      <c r="BFV63" s="187"/>
      <c r="BGB63" s="188"/>
      <c r="BGC63" s="187"/>
      <c r="BGI63" s="188"/>
      <c r="BGJ63" s="187"/>
      <c r="BGP63" s="188"/>
      <c r="BGQ63" s="187"/>
      <c r="BGV63" s="168"/>
      <c r="BGW63" s="191"/>
      <c r="BGX63" s="187"/>
      <c r="BHD63" s="188"/>
      <c r="BHE63" s="187"/>
      <c r="BHK63" s="188"/>
      <c r="BHL63" s="187"/>
      <c r="BHR63" s="188"/>
      <c r="BHS63" s="187"/>
      <c r="BHY63" s="188"/>
      <c r="BHZ63" s="190"/>
      <c r="BIA63" s="189"/>
      <c r="BIF63" s="188"/>
      <c r="BIG63" s="187"/>
      <c r="BIM63" s="188"/>
      <c r="BIN63" s="187"/>
      <c r="BIT63" s="188"/>
      <c r="BIU63" s="187"/>
      <c r="BJA63" s="188"/>
      <c r="BJB63" s="187"/>
      <c r="BJE63" s="168"/>
      <c r="BJF63" s="189"/>
      <c r="BJH63" s="188"/>
      <c r="BJI63" s="187"/>
      <c r="BJO63" s="188"/>
      <c r="BJP63" s="187"/>
      <c r="BJV63" s="188"/>
      <c r="BJW63" s="187"/>
      <c r="BKC63" s="188"/>
      <c r="BKD63" s="187"/>
      <c r="BKI63" s="168"/>
      <c r="BKJ63" s="191"/>
      <c r="BKK63" s="187"/>
      <c r="BKQ63" s="188"/>
      <c r="BKR63" s="187"/>
      <c r="BKX63" s="188"/>
      <c r="BKY63" s="187"/>
      <c r="BLE63" s="188"/>
      <c r="BLF63" s="187"/>
      <c r="BLL63" s="188"/>
      <c r="BLM63" s="187"/>
      <c r="BLN63" s="168"/>
      <c r="BLO63" s="189"/>
      <c r="BLS63" s="188"/>
      <c r="BLT63" s="187"/>
      <c r="BLZ63" s="188"/>
      <c r="BMA63" s="187"/>
      <c r="BMG63" s="188"/>
      <c r="BMH63" s="187"/>
      <c r="BMN63" s="188"/>
      <c r="BMO63" s="187"/>
      <c r="BMS63" s="168"/>
      <c r="BMT63" s="189"/>
      <c r="BMU63" s="188"/>
      <c r="BMV63" s="187"/>
      <c r="BNB63" s="188"/>
      <c r="BNC63" s="187"/>
      <c r="BNI63" s="188"/>
      <c r="BNJ63" s="187"/>
      <c r="BNP63" s="188"/>
      <c r="BNQ63" s="187"/>
      <c r="BNW63" s="168"/>
      <c r="BNX63" s="189"/>
      <c r="BOD63" s="188"/>
      <c r="BOE63" s="187"/>
      <c r="BOK63" s="188"/>
      <c r="BOL63" s="187"/>
      <c r="BOR63" s="188"/>
      <c r="BOS63" s="187"/>
      <c r="BOY63" s="188"/>
      <c r="BOZ63" s="187"/>
      <c r="BPB63" s="168"/>
      <c r="BPC63" s="189"/>
      <c r="BPF63" s="188"/>
      <c r="BPG63" s="187"/>
      <c r="BPM63" s="188"/>
      <c r="BPN63" s="187"/>
      <c r="BPT63" s="188"/>
      <c r="BPU63" s="187"/>
      <c r="BQA63" s="188"/>
      <c r="BQB63" s="187"/>
      <c r="BQF63" s="168"/>
      <c r="BQG63" s="189"/>
      <c r="BQH63" s="188"/>
      <c r="BQI63" s="187"/>
      <c r="BQO63" s="188"/>
      <c r="BQP63" s="187"/>
      <c r="BQV63" s="188"/>
      <c r="BQW63" s="187"/>
      <c r="BRC63" s="188"/>
      <c r="BRD63" s="187"/>
      <c r="BRJ63" s="188"/>
      <c r="BRK63" s="190"/>
      <c r="BRL63" s="189"/>
      <c r="BRQ63" s="188"/>
      <c r="BRR63" s="187"/>
      <c r="BRX63" s="188"/>
      <c r="BRY63" s="187"/>
      <c r="BSE63" s="188"/>
      <c r="BSF63" s="187"/>
      <c r="BSL63" s="188"/>
      <c r="BSM63" s="187"/>
      <c r="BSP63" s="168"/>
      <c r="BSQ63" s="189"/>
      <c r="BSS63" s="188"/>
      <c r="BST63" s="187"/>
      <c r="BSZ63" s="188"/>
      <c r="BTA63" s="187"/>
      <c r="BTG63" s="188"/>
      <c r="BTH63" s="187"/>
      <c r="BTN63" s="188"/>
      <c r="BTO63" s="187"/>
      <c r="BTS63" s="168"/>
      <c r="BTT63" s="189"/>
      <c r="BTU63" s="188"/>
      <c r="BTV63" s="187"/>
      <c r="BUB63" s="188"/>
      <c r="BUC63" s="187"/>
      <c r="BUI63" s="188"/>
      <c r="BUJ63" s="187"/>
      <c r="BUP63" s="188"/>
      <c r="BUQ63" s="187"/>
      <c r="BUW63" s="188"/>
      <c r="BUX63" s="190"/>
      <c r="BUY63" s="189"/>
      <c r="BVD63" s="188"/>
      <c r="BVE63" s="187"/>
      <c r="BVK63" s="188"/>
      <c r="BVL63" s="187"/>
      <c r="BVR63" s="188"/>
      <c r="BVS63" s="187"/>
      <c r="BVY63" s="188"/>
      <c r="BVZ63" s="187"/>
      <c r="BWB63" s="168"/>
      <c r="BWC63" s="189"/>
      <c r="BWF63" s="188"/>
      <c r="BWG63" s="187"/>
      <c r="BWM63" s="188"/>
      <c r="BWN63" s="187"/>
      <c r="BWT63" s="188"/>
      <c r="BWU63" s="187"/>
      <c r="BXA63" s="188"/>
      <c r="BXB63" s="187"/>
      <c r="BXG63" s="168"/>
      <c r="BXH63" s="191"/>
      <c r="BXI63" s="187"/>
      <c r="BXO63" s="188"/>
      <c r="BXP63" s="187"/>
      <c r="BXV63" s="188"/>
      <c r="BXW63" s="187"/>
      <c r="BYC63" s="188"/>
      <c r="BYD63" s="187"/>
      <c r="BYJ63" s="188"/>
      <c r="BYK63" s="190"/>
      <c r="BYL63" s="189"/>
      <c r="BYQ63" s="188"/>
      <c r="BYR63" s="187"/>
      <c r="BYX63" s="188"/>
      <c r="BYY63" s="187"/>
      <c r="BZE63" s="188"/>
      <c r="BZF63" s="187"/>
      <c r="BZL63" s="188"/>
      <c r="BZM63" s="187"/>
      <c r="BZP63" s="168"/>
      <c r="BZQ63" s="189"/>
      <c r="BZS63" s="188"/>
      <c r="BZT63" s="187"/>
      <c r="BZZ63" s="188"/>
      <c r="CAA63" s="187"/>
      <c r="CAG63" s="188"/>
      <c r="CAH63" s="187"/>
      <c r="CAN63" s="188"/>
      <c r="CAO63" s="187"/>
      <c r="CAU63" s="168"/>
      <c r="CAV63" s="189"/>
      <c r="CBB63" s="188"/>
      <c r="CBC63" s="187"/>
      <c r="CBI63" s="188"/>
      <c r="CBJ63" s="187"/>
      <c r="CBP63" s="188"/>
      <c r="CBQ63" s="187"/>
      <c r="CBW63" s="188"/>
      <c r="CBX63" s="187"/>
      <c r="CBY63" s="168"/>
      <c r="CBZ63" s="189"/>
      <c r="CCD63" s="188"/>
      <c r="CCE63" s="187"/>
      <c r="CCK63" s="188"/>
      <c r="CCL63" s="187"/>
      <c r="CCR63" s="188"/>
      <c r="CCS63" s="187"/>
      <c r="CCY63" s="188"/>
      <c r="CCZ63" s="187"/>
      <c r="CDD63" s="168"/>
      <c r="CDE63" s="189"/>
      <c r="CDF63" s="188"/>
      <c r="CDG63" s="187"/>
      <c r="CDM63" s="188"/>
      <c r="CDN63" s="187"/>
      <c r="CDT63" s="188"/>
      <c r="CDU63" s="187"/>
      <c r="CEA63" s="188"/>
      <c r="CEB63" s="187"/>
      <c r="CEH63" s="168"/>
      <c r="CEI63" s="189"/>
      <c r="CEO63" s="188"/>
      <c r="CEP63" s="187"/>
      <c r="CEV63" s="188"/>
      <c r="CEW63" s="187"/>
      <c r="CFC63" s="188"/>
      <c r="CFD63" s="187"/>
      <c r="CFJ63" s="188"/>
      <c r="CFK63" s="187"/>
    </row>
    <row r="64" spans="1:1019 1025:2048 2054:2195">
      <c r="A64" s="164" t="s">
        <v>330</v>
      </c>
      <c r="C64" s="164" t="s">
        <v>331</v>
      </c>
      <c r="D64" s="186"/>
      <c r="E64" s="186"/>
      <c r="K64" s="187"/>
      <c r="Q64" s="188"/>
      <c r="R64" s="187"/>
      <c r="X64" s="188"/>
      <c r="Y64" s="187"/>
      <c r="AE64" s="188"/>
      <c r="AF64" s="187"/>
      <c r="AJ64" s="168"/>
      <c r="AK64" s="189"/>
      <c r="AL64" s="188"/>
      <c r="AM64" s="187"/>
      <c r="AS64" s="188"/>
      <c r="AT64" s="187"/>
      <c r="AZ64" s="188"/>
      <c r="BA64" s="187"/>
      <c r="BG64" s="188"/>
      <c r="BH64" s="187"/>
      <c r="BL64" s="168"/>
      <c r="BM64" s="189"/>
      <c r="BN64" s="188"/>
      <c r="BO64" s="187"/>
      <c r="BU64" s="188"/>
      <c r="BV64" s="187"/>
      <c r="CB64" s="188"/>
      <c r="CC64" s="187"/>
      <c r="CI64" s="188"/>
      <c r="CJ64" s="187"/>
      <c r="CP64" s="188"/>
      <c r="CQ64" s="190"/>
      <c r="CR64" s="189"/>
      <c r="CW64" s="188"/>
      <c r="CX64" s="187"/>
      <c r="DD64" s="188"/>
      <c r="DE64" s="187"/>
      <c r="DK64" s="188"/>
      <c r="DL64" s="187"/>
      <c r="DR64" s="188"/>
      <c r="DS64" s="187"/>
      <c r="DU64" s="168"/>
      <c r="DV64" s="189"/>
      <c r="DY64" s="188"/>
      <c r="DZ64" s="187"/>
      <c r="EF64" s="188"/>
      <c r="EG64" s="187"/>
      <c r="EM64" s="188"/>
      <c r="EN64" s="187"/>
      <c r="ET64" s="188"/>
      <c r="EU64" s="187"/>
      <c r="EZ64" s="168"/>
      <c r="FA64" s="191"/>
      <c r="FB64" s="187"/>
      <c r="FH64" s="188"/>
      <c r="FI64" s="187"/>
      <c r="FO64" s="188"/>
      <c r="FP64" s="187"/>
      <c r="FV64" s="188"/>
      <c r="FW64" s="187"/>
      <c r="GC64" s="188"/>
      <c r="GD64" s="190"/>
      <c r="GE64" s="189"/>
      <c r="GJ64" s="188"/>
      <c r="GK64" s="187"/>
      <c r="GQ64" s="188"/>
      <c r="GR64" s="187"/>
      <c r="GX64" s="188"/>
      <c r="GY64" s="187"/>
      <c r="HE64" s="188"/>
      <c r="HF64" s="187"/>
      <c r="HI64" s="168"/>
      <c r="HJ64" s="189"/>
      <c r="HL64" s="188"/>
      <c r="HM64" s="187"/>
      <c r="HS64" s="188"/>
      <c r="HT64" s="187"/>
      <c r="HZ64" s="188"/>
      <c r="IA64" s="187"/>
      <c r="IG64" s="188"/>
      <c r="IH64" s="187"/>
      <c r="IN64" s="168"/>
      <c r="IO64" s="189"/>
      <c r="IU64" s="188"/>
      <c r="IV64" s="187"/>
      <c r="JB64" s="188"/>
      <c r="JC64" s="187"/>
      <c r="JI64" s="188"/>
      <c r="JJ64" s="187"/>
      <c r="JP64" s="188"/>
      <c r="JQ64" s="187"/>
      <c r="JR64" s="168"/>
      <c r="JS64" s="189"/>
      <c r="JW64" s="188"/>
      <c r="JX64" s="187"/>
      <c r="KD64" s="188"/>
      <c r="KE64" s="187"/>
      <c r="KK64" s="188"/>
      <c r="KL64" s="187"/>
      <c r="KR64" s="188"/>
      <c r="KS64" s="187"/>
      <c r="KW64" s="168"/>
      <c r="KX64" s="189"/>
      <c r="KY64" s="188"/>
      <c r="KZ64" s="187"/>
      <c r="LF64" s="188"/>
      <c r="LG64" s="187"/>
      <c r="LM64" s="188"/>
      <c r="LN64" s="187"/>
      <c r="LT64" s="188"/>
      <c r="LU64" s="187"/>
      <c r="MA64" s="168"/>
      <c r="MB64" s="189"/>
      <c r="MH64" s="188"/>
      <c r="MI64" s="187"/>
      <c r="MO64" s="188"/>
      <c r="MP64" s="187"/>
      <c r="MV64" s="188"/>
      <c r="MW64" s="187"/>
      <c r="NC64" s="188"/>
      <c r="ND64" s="187"/>
      <c r="NF64" s="168"/>
      <c r="NG64" s="189"/>
      <c r="NJ64" s="188"/>
      <c r="NK64" s="187"/>
      <c r="NQ64" s="188"/>
      <c r="NR64" s="187"/>
      <c r="NX64" s="188"/>
      <c r="NY64" s="187"/>
      <c r="OE64" s="188"/>
      <c r="OF64" s="187"/>
      <c r="OK64" s="168"/>
      <c r="OL64" s="191"/>
      <c r="OM64" s="187"/>
      <c r="OS64" s="188"/>
      <c r="OT64" s="187"/>
      <c r="OZ64" s="188"/>
      <c r="PA64" s="187"/>
      <c r="PG64" s="188"/>
      <c r="PH64" s="187"/>
      <c r="PN64" s="168"/>
      <c r="PO64" s="189"/>
      <c r="PU64" s="188"/>
      <c r="PV64" s="187"/>
      <c r="QB64" s="188"/>
      <c r="QC64" s="187"/>
      <c r="QI64" s="188"/>
      <c r="QJ64" s="187"/>
      <c r="QP64" s="188"/>
      <c r="QQ64" s="187"/>
      <c r="QS64" s="168"/>
      <c r="QT64" s="189"/>
      <c r="QW64" s="188"/>
      <c r="QX64" s="187"/>
      <c r="RD64" s="188"/>
      <c r="RE64" s="187"/>
      <c r="RK64" s="188"/>
      <c r="RL64" s="187"/>
      <c r="RR64" s="188"/>
      <c r="RS64" s="187"/>
      <c r="RW64" s="168"/>
      <c r="RX64" s="189"/>
      <c r="RY64" s="188"/>
      <c r="RZ64" s="187"/>
      <c r="SF64" s="188"/>
      <c r="SG64" s="187"/>
      <c r="SM64" s="188"/>
      <c r="SN64" s="187"/>
      <c r="ST64" s="188"/>
      <c r="SU64" s="187"/>
      <c r="TA64" s="188"/>
      <c r="TB64" s="190"/>
      <c r="TC64" s="189"/>
      <c r="TH64" s="188"/>
      <c r="TI64" s="187"/>
      <c r="TO64" s="188"/>
      <c r="TP64" s="187"/>
      <c r="TV64" s="188"/>
      <c r="TW64" s="187"/>
      <c r="UC64" s="188"/>
      <c r="UD64" s="187"/>
      <c r="UF64" s="168"/>
      <c r="UG64" s="189"/>
      <c r="UJ64" s="188"/>
      <c r="UK64" s="187"/>
      <c r="UQ64" s="188"/>
      <c r="UR64" s="187"/>
      <c r="UX64" s="188"/>
      <c r="UY64" s="187"/>
      <c r="VE64" s="188"/>
      <c r="VF64" s="187"/>
      <c r="VK64" s="168"/>
      <c r="VL64" s="191"/>
      <c r="VM64" s="187"/>
      <c r="VS64" s="188"/>
      <c r="VT64" s="187"/>
      <c r="VZ64" s="188"/>
      <c r="WA64" s="187"/>
      <c r="WG64" s="188"/>
      <c r="WH64" s="187"/>
      <c r="WN64" s="188"/>
      <c r="WO64" s="187"/>
      <c r="WP64" s="168"/>
      <c r="WQ64" s="189"/>
      <c r="WU64" s="188"/>
      <c r="WV64" s="187"/>
      <c r="XB64" s="188"/>
      <c r="XC64" s="187"/>
      <c r="XI64" s="188"/>
      <c r="XJ64" s="187"/>
      <c r="XP64" s="188"/>
      <c r="XQ64" s="187"/>
      <c r="XT64" s="168"/>
      <c r="XU64" s="189"/>
      <c r="XW64" s="188"/>
      <c r="XX64" s="187"/>
      <c r="YD64" s="188"/>
      <c r="YE64" s="187"/>
      <c r="YK64" s="188"/>
      <c r="YL64" s="187"/>
      <c r="YR64" s="188"/>
      <c r="YS64" s="187"/>
      <c r="YY64" s="168"/>
      <c r="YZ64" s="189"/>
      <c r="ZF64" s="188"/>
      <c r="ZG64" s="187"/>
      <c r="ZM64" s="188"/>
      <c r="ZN64" s="187"/>
      <c r="ZT64" s="188"/>
      <c r="ZU64" s="187"/>
      <c r="AAA64" s="188"/>
      <c r="AAB64" s="187"/>
      <c r="AAC64" s="168"/>
      <c r="AAD64" s="189"/>
      <c r="AAH64" s="188"/>
      <c r="AAI64" s="187"/>
      <c r="AAO64" s="188"/>
      <c r="AAP64" s="187"/>
      <c r="AAV64" s="188"/>
      <c r="AAW64" s="187"/>
      <c r="ABC64" s="188"/>
      <c r="ABD64" s="187"/>
      <c r="ABH64" s="168"/>
      <c r="ABI64" s="189"/>
      <c r="ABJ64" s="188"/>
      <c r="ABK64" s="187"/>
      <c r="ABQ64" s="188"/>
      <c r="ABR64" s="187"/>
      <c r="ABX64" s="188"/>
      <c r="ABY64" s="187"/>
      <c r="ACE64" s="188"/>
      <c r="ACF64" s="187"/>
      <c r="ACL64" s="188"/>
      <c r="ACM64" s="190"/>
      <c r="ACN64" s="189"/>
      <c r="ACS64" s="188"/>
      <c r="ACT64" s="187"/>
      <c r="ACZ64" s="188"/>
      <c r="ADA64" s="187"/>
      <c r="ADG64" s="188"/>
      <c r="ADH64" s="187"/>
      <c r="ADN64" s="188"/>
      <c r="ADO64" s="190"/>
      <c r="ADP64" s="189"/>
      <c r="ADU64" s="188"/>
      <c r="ADV64" s="187"/>
      <c r="AEB64" s="188"/>
      <c r="AEC64" s="187"/>
      <c r="AEI64" s="188"/>
      <c r="AEJ64" s="187"/>
      <c r="AEP64" s="188"/>
      <c r="AEQ64" s="187"/>
      <c r="AET64" s="168"/>
      <c r="AEU64" s="189"/>
      <c r="AEW64" s="188"/>
      <c r="AEX64" s="187"/>
      <c r="AFD64" s="188"/>
      <c r="AFE64" s="187"/>
      <c r="AFK64" s="188"/>
      <c r="AFL64" s="187"/>
      <c r="AFR64" s="188"/>
      <c r="AFS64" s="187"/>
      <c r="AFX64" s="168"/>
      <c r="AFY64" s="191"/>
      <c r="AFZ64" s="187"/>
      <c r="AGF64" s="188"/>
      <c r="AGG64" s="187"/>
      <c r="AGM64" s="188"/>
      <c r="AGN64" s="187"/>
      <c r="AGT64" s="188"/>
      <c r="AGU64" s="187"/>
      <c r="AHA64" s="188"/>
      <c r="AHB64" s="187"/>
      <c r="AHC64" s="168"/>
      <c r="AHD64" s="189"/>
      <c r="AHH64" s="188"/>
      <c r="AHI64" s="187"/>
      <c r="AHO64" s="188"/>
      <c r="AHP64" s="187"/>
      <c r="AHV64" s="188"/>
      <c r="AHW64" s="187"/>
      <c r="AIC64" s="188"/>
      <c r="AID64" s="187"/>
      <c r="AIG64" s="168"/>
      <c r="AIH64" s="189"/>
      <c r="AIJ64" s="188"/>
      <c r="AIK64" s="187"/>
      <c r="AIQ64" s="188"/>
      <c r="AIR64" s="187"/>
      <c r="AIX64" s="188"/>
      <c r="AIY64" s="187"/>
      <c r="AJE64" s="188"/>
      <c r="AJF64" s="187"/>
      <c r="AJL64" s="168"/>
      <c r="AJM64" s="189"/>
      <c r="AJS64" s="188"/>
      <c r="AJT64" s="187"/>
      <c r="AJZ64" s="188"/>
      <c r="AKA64" s="187"/>
      <c r="AKG64" s="188"/>
      <c r="AKH64" s="187"/>
      <c r="AKN64" s="188"/>
      <c r="AKO64" s="187"/>
      <c r="AKQ64" s="168"/>
      <c r="AKR64" s="189"/>
      <c r="AKU64" s="188"/>
      <c r="AKV64" s="187"/>
      <c r="ALB64" s="188"/>
      <c r="ALC64" s="187"/>
      <c r="ALI64" s="188"/>
      <c r="ALJ64" s="187"/>
      <c r="ALP64" s="188"/>
      <c r="ALQ64" s="187"/>
      <c r="ALU64" s="168"/>
      <c r="ALV64" s="189"/>
      <c r="ALW64" s="188"/>
      <c r="ALX64" s="187"/>
      <c r="AMD64" s="188"/>
      <c r="AME64" s="187"/>
      <c r="AMK64" s="188"/>
      <c r="AML64" s="187"/>
      <c r="AMR64" s="188"/>
      <c r="AMS64" s="187"/>
      <c r="AMY64" s="188"/>
      <c r="AMZ64" s="190"/>
      <c r="ANA64" s="189"/>
      <c r="ANF64" s="188"/>
      <c r="ANG64" s="187"/>
      <c r="ANM64" s="188"/>
      <c r="ANN64" s="187"/>
      <c r="ANT64" s="188"/>
      <c r="ANU64" s="187"/>
      <c r="AOA64" s="188"/>
      <c r="AOB64" s="187"/>
      <c r="AOD64" s="168"/>
      <c r="AOE64" s="189"/>
      <c r="AOH64" s="188"/>
      <c r="AOI64" s="187"/>
      <c r="AOO64" s="188"/>
      <c r="AOP64" s="187"/>
      <c r="AOV64" s="188"/>
      <c r="AOW64" s="187"/>
      <c r="APC64" s="188"/>
      <c r="APD64" s="187"/>
      <c r="API64" s="168"/>
      <c r="APJ64" s="191"/>
      <c r="APK64" s="187"/>
      <c r="APQ64" s="188"/>
      <c r="APR64" s="187"/>
      <c r="APX64" s="188"/>
      <c r="APY64" s="187"/>
      <c r="AQE64" s="188"/>
      <c r="AQF64" s="187"/>
      <c r="AQL64" s="188"/>
      <c r="AQM64" s="187"/>
      <c r="AQN64" s="168"/>
      <c r="AQO64" s="189"/>
      <c r="AQS64" s="188"/>
      <c r="AQT64" s="187"/>
      <c r="AQZ64" s="188"/>
      <c r="ARA64" s="187"/>
      <c r="ARG64" s="188"/>
      <c r="ARH64" s="187"/>
      <c r="ARN64" s="188"/>
      <c r="ARO64" s="187"/>
      <c r="ARP64" s="168"/>
      <c r="ARQ64" s="189"/>
      <c r="ARU64" s="188"/>
      <c r="ARV64" s="187"/>
      <c r="ASB64" s="188"/>
      <c r="ASC64" s="187"/>
      <c r="ASI64" s="188"/>
      <c r="ASJ64" s="187"/>
      <c r="ASP64" s="188"/>
      <c r="ASQ64" s="187"/>
      <c r="ASU64" s="168"/>
      <c r="ASV64" s="189"/>
      <c r="ASW64" s="188"/>
      <c r="ASX64" s="187"/>
      <c r="ATD64" s="188"/>
      <c r="ATE64" s="187"/>
      <c r="ATK64" s="188"/>
      <c r="ATL64" s="187"/>
      <c r="ATR64" s="188"/>
      <c r="ATS64" s="187"/>
      <c r="ATY64" s="168"/>
      <c r="ATZ64" s="189"/>
      <c r="AUF64" s="188"/>
      <c r="AUG64" s="187"/>
      <c r="AUM64" s="188"/>
      <c r="AUN64" s="187"/>
      <c r="AUT64" s="188"/>
      <c r="AUU64" s="187"/>
      <c r="AVA64" s="188"/>
      <c r="AVB64" s="187"/>
      <c r="AVD64" s="168"/>
      <c r="AVE64" s="189"/>
      <c r="AVH64" s="188"/>
      <c r="AVI64" s="187"/>
      <c r="AVO64" s="188"/>
      <c r="AVP64" s="187"/>
      <c r="AVV64" s="188"/>
      <c r="AVW64" s="187"/>
      <c r="AWC64" s="188"/>
      <c r="AWD64" s="187"/>
      <c r="AWH64" s="168"/>
      <c r="AWI64" s="189"/>
      <c r="AWJ64" s="188"/>
      <c r="AWK64" s="187"/>
      <c r="AWQ64" s="188"/>
      <c r="AWR64" s="187"/>
      <c r="AWX64" s="188"/>
      <c r="AWY64" s="187"/>
      <c r="AXE64" s="188"/>
      <c r="AXF64" s="187"/>
      <c r="AXL64" s="188"/>
      <c r="AXM64" s="190"/>
      <c r="AXN64" s="189"/>
      <c r="AXS64" s="188"/>
      <c r="AXT64" s="187"/>
      <c r="AXZ64" s="188"/>
      <c r="AYA64" s="187"/>
      <c r="AYG64" s="188"/>
      <c r="AYH64" s="187"/>
      <c r="AYN64" s="188"/>
      <c r="AYO64" s="187"/>
      <c r="AYR64" s="168"/>
      <c r="AYS64" s="189"/>
      <c r="AYU64" s="188"/>
      <c r="AYV64" s="187"/>
      <c r="AZB64" s="188"/>
      <c r="AZC64" s="187"/>
      <c r="AZI64" s="188"/>
      <c r="AZJ64" s="187"/>
      <c r="AZP64" s="188"/>
      <c r="AZQ64" s="187"/>
      <c r="AZV64" s="168"/>
      <c r="AZW64" s="191"/>
      <c r="AZX64" s="187"/>
      <c r="BAD64" s="188"/>
      <c r="BAE64" s="187"/>
      <c r="BAK64" s="188"/>
      <c r="BAL64" s="187"/>
      <c r="BAR64" s="188"/>
      <c r="BAS64" s="187"/>
      <c r="BAY64" s="188"/>
      <c r="BAZ64" s="187"/>
      <c r="BBA64" s="168"/>
      <c r="BBB64" s="189"/>
      <c r="BBF64" s="188"/>
      <c r="BBG64" s="187"/>
      <c r="BBM64" s="188"/>
      <c r="BBN64" s="187"/>
      <c r="BBT64" s="188"/>
      <c r="BBU64" s="187"/>
      <c r="BCA64" s="188"/>
      <c r="BCB64" s="187"/>
      <c r="BCE64" s="168"/>
      <c r="BCF64" s="189"/>
      <c r="BCH64" s="188"/>
      <c r="BCI64" s="187"/>
      <c r="BCO64" s="188"/>
      <c r="BCP64" s="187"/>
      <c r="BCV64" s="188"/>
      <c r="BCW64" s="187"/>
      <c r="BDC64" s="188"/>
      <c r="BDD64" s="187"/>
      <c r="BDJ64" s="168"/>
      <c r="BDK64" s="189"/>
      <c r="BDQ64" s="188"/>
      <c r="BDR64" s="187"/>
      <c r="BDX64" s="188"/>
      <c r="BDY64" s="187"/>
      <c r="BEE64" s="188"/>
      <c r="BEF64" s="187"/>
      <c r="BEL64" s="188"/>
      <c r="BEM64" s="187"/>
      <c r="BEO64" s="168"/>
      <c r="BEP64" s="189"/>
      <c r="BES64" s="188"/>
      <c r="BET64" s="187"/>
      <c r="BEZ64" s="188"/>
      <c r="BFA64" s="187"/>
      <c r="BFG64" s="188"/>
      <c r="BFH64" s="187"/>
      <c r="BFN64" s="188"/>
      <c r="BFO64" s="187"/>
      <c r="BFQ64" s="168"/>
      <c r="BFR64" s="189"/>
      <c r="BFU64" s="188"/>
      <c r="BFV64" s="187"/>
      <c r="BGB64" s="188"/>
      <c r="BGC64" s="187"/>
      <c r="BGI64" s="188"/>
      <c r="BGJ64" s="187"/>
      <c r="BGP64" s="188"/>
      <c r="BGQ64" s="187"/>
      <c r="BGV64" s="168"/>
      <c r="BGW64" s="191"/>
      <c r="BGX64" s="187"/>
      <c r="BHD64" s="188"/>
      <c r="BHE64" s="187"/>
      <c r="BHK64" s="188"/>
      <c r="BHL64" s="187"/>
      <c r="BHR64" s="188"/>
      <c r="BHS64" s="187"/>
      <c r="BHY64" s="188"/>
      <c r="BHZ64" s="190"/>
      <c r="BIA64" s="189"/>
      <c r="BIF64" s="188"/>
      <c r="BIG64" s="187"/>
      <c r="BIM64" s="188"/>
      <c r="BIN64" s="187"/>
      <c r="BIT64" s="188"/>
      <c r="BIU64" s="187"/>
      <c r="BJA64" s="188"/>
      <c r="BJB64" s="187"/>
      <c r="BJE64" s="168"/>
      <c r="BJF64" s="189"/>
      <c r="BJH64" s="188"/>
      <c r="BJI64" s="187"/>
      <c r="BJO64" s="188"/>
      <c r="BJP64" s="187"/>
      <c r="BJV64" s="188"/>
      <c r="BJW64" s="187"/>
      <c r="BKC64" s="188"/>
      <c r="BKD64" s="187"/>
      <c r="BKI64" s="168"/>
      <c r="BKJ64" s="191"/>
      <c r="BKK64" s="187"/>
      <c r="BKQ64" s="188"/>
      <c r="BKR64" s="187"/>
      <c r="BKX64" s="188"/>
      <c r="BKY64" s="187"/>
      <c r="BLE64" s="188"/>
      <c r="BLF64" s="187"/>
      <c r="BLL64" s="188"/>
      <c r="BLM64" s="187"/>
      <c r="BLN64" s="168"/>
      <c r="BLO64" s="189"/>
      <c r="BLS64" s="188"/>
      <c r="BLT64" s="187"/>
      <c r="BLZ64" s="188"/>
      <c r="BMA64" s="187"/>
      <c r="BMG64" s="188"/>
      <c r="BMH64" s="187"/>
      <c r="BMN64" s="188"/>
      <c r="BMO64" s="187"/>
      <c r="BMS64" s="168"/>
      <c r="BMT64" s="189"/>
      <c r="BMU64" s="188"/>
      <c r="BMV64" s="187"/>
      <c r="BNB64" s="188"/>
      <c r="BNC64" s="187"/>
      <c r="BNI64" s="188"/>
      <c r="BNJ64" s="187"/>
      <c r="BNP64" s="188"/>
      <c r="BNQ64" s="187"/>
      <c r="BNW64" s="168"/>
      <c r="BNX64" s="189"/>
      <c r="BOD64" s="188"/>
      <c r="BOE64" s="187"/>
      <c r="BOK64" s="188"/>
      <c r="BOL64" s="187"/>
      <c r="BOR64" s="188"/>
      <c r="BOS64" s="187"/>
      <c r="BOY64" s="188"/>
      <c r="BOZ64" s="187"/>
      <c r="BPB64" s="168"/>
      <c r="BPC64" s="189"/>
      <c r="BPF64" s="188"/>
      <c r="BPG64" s="187"/>
      <c r="BPM64" s="188"/>
      <c r="BPN64" s="187"/>
      <c r="BPT64" s="188"/>
      <c r="BPU64" s="187"/>
      <c r="BQA64" s="188"/>
      <c r="BQB64" s="187"/>
      <c r="BQF64" s="168"/>
      <c r="BQG64" s="189"/>
      <c r="BQH64" s="188"/>
      <c r="BQI64" s="187"/>
      <c r="BQO64" s="188"/>
      <c r="BQP64" s="187"/>
      <c r="BQV64" s="188"/>
      <c r="BQW64" s="187"/>
      <c r="BRC64" s="188"/>
      <c r="BRD64" s="187"/>
      <c r="BRJ64" s="188"/>
      <c r="BRK64" s="190"/>
      <c r="BRL64" s="189"/>
      <c r="BRQ64" s="188"/>
      <c r="BRR64" s="187"/>
      <c r="BRX64" s="188"/>
      <c r="BRY64" s="187"/>
      <c r="BSE64" s="188"/>
      <c r="BSF64" s="187"/>
      <c r="BSL64" s="188"/>
      <c r="BSM64" s="187"/>
      <c r="BSP64" s="168"/>
      <c r="BSQ64" s="189"/>
      <c r="BSS64" s="188"/>
      <c r="BST64" s="187"/>
      <c r="BSZ64" s="188"/>
      <c r="BTA64" s="187"/>
      <c r="BTG64" s="188"/>
      <c r="BTH64" s="187"/>
      <c r="BTN64" s="188"/>
      <c r="BTO64" s="187"/>
      <c r="BTS64" s="168"/>
      <c r="BTT64" s="189"/>
      <c r="BTU64" s="188"/>
      <c r="BTV64" s="187"/>
      <c r="BUB64" s="188"/>
      <c r="BUC64" s="187"/>
      <c r="BUI64" s="188"/>
      <c r="BUJ64" s="187"/>
      <c r="BUP64" s="188"/>
      <c r="BUQ64" s="187"/>
      <c r="BUW64" s="188"/>
      <c r="BUX64" s="190"/>
      <c r="BUY64" s="189"/>
      <c r="BVD64" s="188"/>
      <c r="BVE64" s="187"/>
      <c r="BVK64" s="188"/>
      <c r="BVL64" s="187"/>
      <c r="BVR64" s="188"/>
      <c r="BVS64" s="187"/>
      <c r="BVY64" s="188"/>
      <c r="BVZ64" s="187"/>
      <c r="BWB64" s="168"/>
      <c r="BWC64" s="189"/>
      <c r="BWF64" s="188"/>
      <c r="BWG64" s="187"/>
      <c r="BWM64" s="188"/>
      <c r="BWN64" s="187"/>
      <c r="BWT64" s="188"/>
      <c r="BWU64" s="187"/>
      <c r="BXA64" s="188"/>
      <c r="BXB64" s="187"/>
      <c r="BXG64" s="168"/>
      <c r="BXH64" s="191"/>
      <c r="BXI64" s="187"/>
      <c r="BXO64" s="188"/>
      <c r="BXP64" s="187"/>
      <c r="BXV64" s="188"/>
      <c r="BXW64" s="187"/>
      <c r="BYC64" s="188"/>
      <c r="BYD64" s="187"/>
      <c r="BYJ64" s="188"/>
      <c r="BYK64" s="190"/>
      <c r="BYL64" s="189"/>
      <c r="BYQ64" s="188"/>
      <c r="BYR64" s="187"/>
      <c r="BYX64" s="188"/>
      <c r="BYY64" s="187"/>
      <c r="BZE64" s="188"/>
      <c r="BZF64" s="187"/>
      <c r="BZL64" s="188"/>
      <c r="BZM64" s="187"/>
      <c r="BZP64" s="168"/>
      <c r="BZQ64" s="189"/>
      <c r="BZS64" s="188"/>
      <c r="BZT64" s="187"/>
      <c r="BZZ64" s="188"/>
      <c r="CAA64" s="187"/>
      <c r="CAG64" s="188"/>
      <c r="CAH64" s="187"/>
      <c r="CAN64" s="188"/>
      <c r="CAO64" s="187"/>
      <c r="CAU64" s="168"/>
      <c r="CAV64" s="189"/>
      <c r="CBB64" s="188"/>
      <c r="CBC64" s="187"/>
      <c r="CBI64" s="188"/>
      <c r="CBJ64" s="187"/>
      <c r="CBP64" s="188"/>
      <c r="CBQ64" s="187"/>
      <c r="CBW64" s="188"/>
      <c r="CBX64" s="187"/>
      <c r="CBY64" s="168"/>
      <c r="CBZ64" s="189"/>
      <c r="CCD64" s="188"/>
      <c r="CCE64" s="187"/>
      <c r="CCK64" s="188"/>
      <c r="CCL64" s="187"/>
      <c r="CCR64" s="188"/>
      <c r="CCS64" s="187"/>
      <c r="CCY64" s="188"/>
      <c r="CCZ64" s="187"/>
      <c r="CDD64" s="168"/>
      <c r="CDE64" s="189"/>
      <c r="CDF64" s="188"/>
      <c r="CDG64" s="187"/>
      <c r="CDM64" s="188"/>
      <c r="CDN64" s="187"/>
      <c r="CDT64" s="188"/>
      <c r="CDU64" s="187"/>
      <c r="CEA64" s="188"/>
      <c r="CEB64" s="187"/>
      <c r="CEH64" s="168"/>
      <c r="CEI64" s="189"/>
      <c r="CEO64" s="188"/>
      <c r="CEP64" s="187"/>
      <c r="CEV64" s="188"/>
      <c r="CEW64" s="187"/>
      <c r="CFC64" s="188"/>
      <c r="CFD64" s="187"/>
      <c r="CFJ64" s="188"/>
      <c r="CFK64" s="187"/>
    </row>
    <row r="65" spans="1:1019 1025:2048 2054:2195">
      <c r="A65" s="164" t="s">
        <v>332</v>
      </c>
      <c r="C65" s="164" t="s">
        <v>333</v>
      </c>
      <c r="D65" s="186"/>
      <c r="E65" s="186"/>
      <c r="K65" s="187"/>
      <c r="Q65" s="188"/>
      <c r="R65" s="187"/>
      <c r="X65" s="188"/>
      <c r="Y65" s="187"/>
      <c r="AE65" s="188"/>
      <c r="AF65" s="187"/>
      <c r="AJ65" s="168"/>
      <c r="AK65" s="189"/>
      <c r="AL65" s="188"/>
      <c r="AM65" s="187"/>
      <c r="AS65" s="188"/>
      <c r="AT65" s="187"/>
      <c r="AZ65" s="188"/>
      <c r="BA65" s="187"/>
      <c r="BG65" s="188"/>
      <c r="BH65" s="187"/>
      <c r="BL65" s="168"/>
      <c r="BM65" s="189"/>
      <c r="BN65" s="188"/>
      <c r="BO65" s="187"/>
      <c r="BU65" s="188"/>
      <c r="BV65" s="187"/>
      <c r="CB65" s="188"/>
      <c r="CC65" s="187"/>
      <c r="CI65" s="188"/>
      <c r="CJ65" s="187"/>
      <c r="CP65" s="188"/>
      <c r="CQ65" s="190"/>
      <c r="CR65" s="189"/>
      <c r="CW65" s="188"/>
      <c r="CX65" s="187"/>
      <c r="DD65" s="188"/>
      <c r="DE65" s="187"/>
      <c r="DK65" s="188"/>
      <c r="DL65" s="187"/>
      <c r="DR65" s="188"/>
      <c r="DS65" s="187"/>
      <c r="DU65" s="168"/>
      <c r="DV65" s="189"/>
      <c r="DY65" s="188"/>
      <c r="DZ65" s="187"/>
      <c r="EF65" s="188"/>
      <c r="EG65" s="187"/>
      <c r="EM65" s="188"/>
      <c r="EN65" s="187"/>
      <c r="ET65" s="188"/>
      <c r="EU65" s="187"/>
      <c r="EZ65" s="168"/>
      <c r="FA65" s="191"/>
      <c r="FB65" s="187"/>
      <c r="FH65" s="188"/>
      <c r="FI65" s="187"/>
      <c r="FO65" s="188"/>
      <c r="FP65" s="187"/>
      <c r="FV65" s="188"/>
      <c r="FW65" s="187"/>
      <c r="GC65" s="188"/>
      <c r="GD65" s="190"/>
      <c r="GE65" s="189"/>
      <c r="GJ65" s="188"/>
      <c r="GK65" s="187"/>
      <c r="GQ65" s="188"/>
      <c r="GR65" s="187"/>
      <c r="GX65" s="188"/>
      <c r="GY65" s="187"/>
      <c r="HE65" s="188"/>
      <c r="HF65" s="187"/>
      <c r="HI65" s="168"/>
      <c r="HJ65" s="189"/>
      <c r="HL65" s="188"/>
      <c r="HM65" s="187"/>
      <c r="HS65" s="188"/>
      <c r="HT65" s="187"/>
      <c r="HZ65" s="188"/>
      <c r="IA65" s="187"/>
      <c r="IG65" s="188"/>
      <c r="IH65" s="187"/>
      <c r="IN65" s="168"/>
      <c r="IO65" s="189"/>
      <c r="IU65" s="188"/>
      <c r="IV65" s="187"/>
      <c r="JB65" s="188"/>
      <c r="JC65" s="187"/>
      <c r="JI65" s="188"/>
      <c r="JJ65" s="187"/>
      <c r="JP65" s="188"/>
      <c r="JQ65" s="187"/>
      <c r="JR65" s="168"/>
      <c r="JS65" s="189"/>
      <c r="JW65" s="188"/>
      <c r="JX65" s="187"/>
      <c r="KD65" s="188"/>
      <c r="KE65" s="187"/>
      <c r="KK65" s="188"/>
      <c r="KL65" s="187"/>
      <c r="KR65" s="188"/>
      <c r="KS65" s="187"/>
      <c r="KW65" s="168"/>
      <c r="KX65" s="189"/>
      <c r="KY65" s="188"/>
      <c r="KZ65" s="187"/>
      <c r="LF65" s="188"/>
      <c r="LG65" s="187"/>
      <c r="LM65" s="188"/>
      <c r="LN65" s="187"/>
      <c r="LT65" s="188"/>
      <c r="LU65" s="187"/>
      <c r="MA65" s="168"/>
      <c r="MB65" s="189"/>
      <c r="MH65" s="188"/>
      <c r="MI65" s="187"/>
      <c r="MO65" s="188"/>
      <c r="MP65" s="187"/>
      <c r="MV65" s="188"/>
      <c r="MW65" s="187"/>
      <c r="NC65" s="188"/>
      <c r="ND65" s="187"/>
      <c r="NF65" s="168"/>
      <c r="NG65" s="189"/>
      <c r="NJ65" s="188"/>
      <c r="NK65" s="187"/>
      <c r="NQ65" s="188"/>
      <c r="NR65" s="187"/>
      <c r="NX65" s="188"/>
      <c r="NY65" s="187"/>
      <c r="OE65" s="188"/>
      <c r="OF65" s="187"/>
      <c r="OK65" s="168"/>
      <c r="OL65" s="191"/>
      <c r="OM65" s="187"/>
      <c r="OS65" s="188"/>
      <c r="OT65" s="187"/>
      <c r="OZ65" s="188"/>
      <c r="PA65" s="187"/>
      <c r="PG65" s="188"/>
      <c r="PH65" s="187"/>
      <c r="PN65" s="168"/>
      <c r="PO65" s="189"/>
      <c r="PU65" s="188"/>
      <c r="PV65" s="187"/>
      <c r="QB65" s="188"/>
      <c r="QC65" s="187"/>
      <c r="QI65" s="188"/>
      <c r="QJ65" s="187"/>
      <c r="QP65" s="188"/>
      <c r="QQ65" s="187"/>
      <c r="QS65" s="168"/>
      <c r="QT65" s="189"/>
      <c r="QW65" s="188"/>
      <c r="QX65" s="187"/>
      <c r="RD65" s="188"/>
      <c r="RE65" s="187"/>
      <c r="RK65" s="188"/>
      <c r="RL65" s="187"/>
      <c r="RR65" s="188"/>
      <c r="RS65" s="187"/>
      <c r="RW65" s="168"/>
      <c r="RX65" s="189"/>
      <c r="RY65" s="188"/>
      <c r="RZ65" s="187"/>
      <c r="SF65" s="188"/>
      <c r="SG65" s="187"/>
      <c r="SM65" s="188"/>
      <c r="SN65" s="187"/>
      <c r="ST65" s="188"/>
      <c r="SU65" s="187"/>
      <c r="TA65" s="188"/>
      <c r="TB65" s="190"/>
      <c r="TC65" s="189"/>
      <c r="TH65" s="188"/>
      <c r="TI65" s="187"/>
      <c r="TO65" s="188"/>
      <c r="TP65" s="187"/>
      <c r="TV65" s="188"/>
      <c r="TW65" s="187"/>
      <c r="UC65" s="188"/>
      <c r="UD65" s="187"/>
      <c r="UF65" s="168"/>
      <c r="UG65" s="189"/>
      <c r="UJ65" s="188"/>
      <c r="UK65" s="187"/>
      <c r="UQ65" s="188"/>
      <c r="UR65" s="187"/>
      <c r="UX65" s="188"/>
      <c r="UY65" s="187"/>
      <c r="VE65" s="188"/>
      <c r="VF65" s="187"/>
      <c r="VK65" s="168"/>
      <c r="VL65" s="191"/>
      <c r="VM65" s="187"/>
      <c r="VS65" s="188"/>
      <c r="VT65" s="187"/>
      <c r="VZ65" s="188"/>
      <c r="WA65" s="187"/>
      <c r="WG65" s="188"/>
      <c r="WH65" s="187"/>
      <c r="WN65" s="188"/>
      <c r="WO65" s="187"/>
      <c r="WP65" s="168"/>
      <c r="WQ65" s="189"/>
      <c r="WU65" s="188"/>
      <c r="WV65" s="187"/>
      <c r="XB65" s="188"/>
      <c r="XC65" s="187"/>
      <c r="XI65" s="188"/>
      <c r="XJ65" s="187"/>
      <c r="XP65" s="188"/>
      <c r="XQ65" s="187"/>
      <c r="XT65" s="168"/>
      <c r="XU65" s="189"/>
      <c r="XW65" s="188"/>
      <c r="XX65" s="187"/>
      <c r="YD65" s="188"/>
      <c r="YE65" s="187"/>
      <c r="YK65" s="188"/>
      <c r="YL65" s="187"/>
      <c r="YR65" s="188"/>
      <c r="YS65" s="187"/>
      <c r="YY65" s="168"/>
      <c r="YZ65" s="189"/>
      <c r="ZF65" s="188"/>
      <c r="ZG65" s="187"/>
      <c r="ZM65" s="188"/>
      <c r="ZN65" s="187"/>
      <c r="ZT65" s="188"/>
      <c r="ZU65" s="187"/>
      <c r="AAA65" s="188"/>
      <c r="AAB65" s="187"/>
      <c r="AAC65" s="168"/>
      <c r="AAD65" s="189"/>
      <c r="AAH65" s="188"/>
      <c r="AAI65" s="187"/>
      <c r="AAO65" s="188"/>
      <c r="AAP65" s="187"/>
      <c r="AAV65" s="188"/>
      <c r="AAW65" s="187"/>
      <c r="ABC65" s="188"/>
      <c r="ABD65" s="187"/>
      <c r="ABH65" s="168"/>
      <c r="ABI65" s="189"/>
      <c r="ABJ65" s="188"/>
      <c r="ABK65" s="187"/>
      <c r="ABQ65" s="188"/>
      <c r="ABR65" s="187"/>
      <c r="ABX65" s="188"/>
      <c r="ABY65" s="187"/>
      <c r="ACE65" s="188"/>
      <c r="ACF65" s="187"/>
      <c r="ACL65" s="188"/>
      <c r="ACM65" s="190"/>
      <c r="ACN65" s="189"/>
      <c r="ACS65" s="188"/>
      <c r="ACT65" s="187"/>
      <c r="ACZ65" s="188"/>
      <c r="ADA65" s="187"/>
      <c r="ADG65" s="188"/>
      <c r="ADH65" s="187"/>
      <c r="ADN65" s="188"/>
      <c r="ADO65" s="190"/>
      <c r="ADP65" s="189"/>
      <c r="ADU65" s="188"/>
      <c r="ADV65" s="187"/>
      <c r="AEB65" s="188"/>
      <c r="AEC65" s="187"/>
      <c r="AEI65" s="188"/>
      <c r="AEJ65" s="187"/>
      <c r="AEP65" s="188"/>
      <c r="AEQ65" s="187"/>
      <c r="AET65" s="168"/>
      <c r="AEU65" s="189"/>
      <c r="AEW65" s="188"/>
      <c r="AEX65" s="187"/>
      <c r="AFD65" s="188"/>
      <c r="AFE65" s="187"/>
      <c r="AFK65" s="188"/>
      <c r="AFL65" s="187"/>
      <c r="AFR65" s="188"/>
      <c r="AFS65" s="187"/>
      <c r="AFX65" s="168"/>
      <c r="AFY65" s="191"/>
      <c r="AFZ65" s="187"/>
      <c r="AGF65" s="188"/>
      <c r="AGG65" s="187"/>
      <c r="AGM65" s="188"/>
      <c r="AGN65" s="187"/>
      <c r="AGT65" s="188"/>
      <c r="AGU65" s="187"/>
      <c r="AHA65" s="188"/>
      <c r="AHB65" s="187"/>
      <c r="AHC65" s="168"/>
      <c r="AHD65" s="189"/>
      <c r="AHH65" s="188"/>
      <c r="AHI65" s="187"/>
      <c r="AHO65" s="188"/>
      <c r="AHP65" s="187"/>
      <c r="AHV65" s="188"/>
      <c r="AHW65" s="187"/>
      <c r="AIC65" s="188"/>
      <c r="AID65" s="187"/>
      <c r="AIG65" s="168"/>
      <c r="AIH65" s="189"/>
      <c r="AIJ65" s="188"/>
      <c r="AIK65" s="187"/>
      <c r="AIQ65" s="188"/>
      <c r="AIR65" s="187"/>
      <c r="AIX65" s="188"/>
      <c r="AIY65" s="187"/>
      <c r="AJE65" s="188"/>
      <c r="AJF65" s="187"/>
      <c r="AJL65" s="168"/>
      <c r="AJM65" s="189"/>
      <c r="AJS65" s="188"/>
      <c r="AJT65" s="187"/>
      <c r="AJZ65" s="188"/>
      <c r="AKA65" s="187"/>
      <c r="AKG65" s="188"/>
      <c r="AKH65" s="187"/>
      <c r="AKN65" s="188"/>
      <c r="AKO65" s="187"/>
      <c r="AKQ65" s="168"/>
      <c r="AKR65" s="189"/>
      <c r="AKU65" s="188"/>
      <c r="AKV65" s="187"/>
      <c r="ALB65" s="188"/>
      <c r="ALC65" s="187"/>
      <c r="ALI65" s="188"/>
      <c r="ALJ65" s="187"/>
      <c r="ALP65" s="188"/>
      <c r="ALQ65" s="187"/>
      <c r="ALU65" s="168"/>
      <c r="ALV65" s="189"/>
      <c r="ALW65" s="188"/>
      <c r="ALX65" s="187"/>
      <c r="AMD65" s="188"/>
      <c r="AME65" s="187"/>
      <c r="AMK65" s="188"/>
      <c r="AML65" s="187"/>
      <c r="AMR65" s="188"/>
      <c r="AMS65" s="187"/>
      <c r="AMY65" s="188"/>
      <c r="AMZ65" s="190"/>
      <c r="ANA65" s="189"/>
      <c r="ANF65" s="188"/>
      <c r="ANG65" s="187"/>
      <c r="ANM65" s="188"/>
      <c r="ANN65" s="187"/>
      <c r="ANT65" s="188"/>
      <c r="ANU65" s="187"/>
      <c r="AOA65" s="188"/>
      <c r="AOB65" s="187"/>
      <c r="AOD65" s="168"/>
      <c r="AOE65" s="189"/>
      <c r="AOH65" s="188"/>
      <c r="AOI65" s="187"/>
      <c r="AOO65" s="188"/>
      <c r="AOP65" s="187"/>
      <c r="AOV65" s="188"/>
      <c r="AOW65" s="187"/>
      <c r="APC65" s="188"/>
      <c r="APD65" s="187"/>
      <c r="API65" s="168"/>
      <c r="APJ65" s="191"/>
      <c r="APK65" s="187"/>
      <c r="APQ65" s="188"/>
      <c r="APR65" s="187"/>
      <c r="APX65" s="188"/>
      <c r="APY65" s="187"/>
      <c r="AQE65" s="188"/>
      <c r="AQF65" s="187"/>
      <c r="AQL65" s="188"/>
      <c r="AQM65" s="187"/>
      <c r="AQN65" s="168"/>
      <c r="AQO65" s="189"/>
      <c r="AQS65" s="188"/>
      <c r="AQT65" s="187"/>
      <c r="AQZ65" s="188"/>
      <c r="ARA65" s="187"/>
      <c r="ARG65" s="188"/>
      <c r="ARH65" s="187"/>
      <c r="ARN65" s="188"/>
      <c r="ARO65" s="187"/>
      <c r="ARP65" s="168"/>
      <c r="ARQ65" s="189"/>
      <c r="ARU65" s="188"/>
      <c r="ARV65" s="187"/>
      <c r="ASB65" s="188"/>
      <c r="ASC65" s="187"/>
      <c r="ASI65" s="188"/>
      <c r="ASJ65" s="187"/>
      <c r="ASP65" s="188"/>
      <c r="ASQ65" s="187"/>
      <c r="ASU65" s="168"/>
      <c r="ASV65" s="189"/>
      <c r="ASW65" s="188"/>
      <c r="ASX65" s="187"/>
      <c r="ATD65" s="188"/>
      <c r="ATE65" s="187"/>
      <c r="ATK65" s="188"/>
      <c r="ATL65" s="187"/>
      <c r="ATR65" s="188"/>
      <c r="ATS65" s="187"/>
      <c r="ATY65" s="168"/>
      <c r="ATZ65" s="189"/>
      <c r="AUF65" s="188"/>
      <c r="AUG65" s="187"/>
      <c r="AUM65" s="188"/>
      <c r="AUN65" s="187"/>
      <c r="AUT65" s="188"/>
      <c r="AUU65" s="187"/>
      <c r="AVA65" s="188"/>
      <c r="AVB65" s="187"/>
      <c r="AVD65" s="168"/>
      <c r="AVE65" s="189"/>
      <c r="AVH65" s="188"/>
      <c r="AVI65" s="187"/>
      <c r="AVO65" s="188"/>
      <c r="AVP65" s="187"/>
      <c r="AVV65" s="188"/>
      <c r="AVW65" s="187"/>
      <c r="AWC65" s="188"/>
      <c r="AWD65" s="187"/>
      <c r="AWH65" s="168"/>
      <c r="AWI65" s="189"/>
      <c r="AWJ65" s="188"/>
      <c r="AWK65" s="187"/>
      <c r="AWQ65" s="188"/>
      <c r="AWR65" s="187"/>
      <c r="AWX65" s="188"/>
      <c r="AWY65" s="187"/>
      <c r="AXE65" s="188"/>
      <c r="AXF65" s="187"/>
      <c r="AXL65" s="188"/>
      <c r="AXM65" s="190"/>
      <c r="AXN65" s="189"/>
      <c r="AXS65" s="188"/>
      <c r="AXT65" s="187"/>
      <c r="AXZ65" s="188"/>
      <c r="AYA65" s="187"/>
      <c r="AYG65" s="188"/>
      <c r="AYH65" s="187"/>
      <c r="AYN65" s="188"/>
      <c r="AYO65" s="187"/>
      <c r="AYR65" s="168"/>
      <c r="AYS65" s="189"/>
      <c r="AYU65" s="188"/>
      <c r="AYV65" s="187"/>
      <c r="AZB65" s="188"/>
      <c r="AZC65" s="187"/>
      <c r="AZI65" s="188"/>
      <c r="AZJ65" s="187"/>
      <c r="AZP65" s="188"/>
      <c r="AZQ65" s="187"/>
      <c r="AZV65" s="168"/>
      <c r="AZW65" s="191"/>
      <c r="AZX65" s="187"/>
      <c r="BAD65" s="188"/>
      <c r="BAE65" s="187"/>
      <c r="BAK65" s="188"/>
      <c r="BAL65" s="187"/>
      <c r="BAR65" s="188"/>
      <c r="BAS65" s="187"/>
      <c r="BAY65" s="188"/>
      <c r="BAZ65" s="187"/>
      <c r="BBA65" s="168"/>
      <c r="BBB65" s="189"/>
      <c r="BBF65" s="188"/>
      <c r="BBG65" s="187"/>
      <c r="BBM65" s="188"/>
      <c r="BBN65" s="187"/>
      <c r="BBT65" s="188"/>
      <c r="BBU65" s="187"/>
      <c r="BCA65" s="188"/>
      <c r="BCB65" s="187"/>
      <c r="BCE65" s="168"/>
      <c r="BCF65" s="189"/>
      <c r="BCH65" s="188"/>
      <c r="BCI65" s="187"/>
      <c r="BCO65" s="188"/>
      <c r="BCP65" s="187"/>
      <c r="BCV65" s="188"/>
      <c r="BCW65" s="187"/>
      <c r="BDC65" s="188"/>
      <c r="BDD65" s="187"/>
      <c r="BDJ65" s="168"/>
      <c r="BDK65" s="189"/>
      <c r="BDQ65" s="188"/>
      <c r="BDR65" s="187"/>
      <c r="BDX65" s="188"/>
      <c r="BDY65" s="187"/>
      <c r="BEE65" s="188"/>
      <c r="BEF65" s="187"/>
      <c r="BEL65" s="188"/>
      <c r="BEM65" s="187"/>
      <c r="BEO65" s="168"/>
      <c r="BEP65" s="189"/>
      <c r="BES65" s="188"/>
      <c r="BET65" s="187"/>
      <c r="BEZ65" s="188"/>
      <c r="BFA65" s="187"/>
      <c r="BFG65" s="188"/>
      <c r="BFH65" s="187"/>
      <c r="BFN65" s="188"/>
      <c r="BFO65" s="187"/>
      <c r="BFQ65" s="168"/>
      <c r="BFR65" s="189"/>
      <c r="BFU65" s="188"/>
      <c r="BFV65" s="187"/>
      <c r="BGB65" s="188"/>
      <c r="BGC65" s="187"/>
      <c r="BGI65" s="188"/>
      <c r="BGJ65" s="187"/>
      <c r="BGP65" s="188"/>
      <c r="BGQ65" s="187"/>
      <c r="BGV65" s="168"/>
      <c r="BGW65" s="191"/>
      <c r="BGX65" s="187"/>
      <c r="BHD65" s="188"/>
      <c r="BHE65" s="187"/>
      <c r="BHK65" s="188"/>
      <c r="BHL65" s="187"/>
      <c r="BHR65" s="188"/>
      <c r="BHS65" s="187"/>
      <c r="BHY65" s="188"/>
      <c r="BHZ65" s="190"/>
      <c r="BIA65" s="189"/>
      <c r="BIF65" s="188"/>
      <c r="BIG65" s="187"/>
      <c r="BIM65" s="188"/>
      <c r="BIN65" s="187"/>
      <c r="BIT65" s="188"/>
      <c r="BIU65" s="187"/>
      <c r="BJA65" s="188"/>
      <c r="BJB65" s="187"/>
      <c r="BJE65" s="168"/>
      <c r="BJF65" s="189"/>
      <c r="BJH65" s="188"/>
      <c r="BJI65" s="187"/>
      <c r="BJO65" s="188"/>
      <c r="BJP65" s="187"/>
      <c r="BJV65" s="188"/>
      <c r="BJW65" s="187"/>
      <c r="BKC65" s="188"/>
      <c r="BKD65" s="187"/>
      <c r="BKI65" s="168"/>
      <c r="BKJ65" s="191"/>
      <c r="BKK65" s="187"/>
      <c r="BKQ65" s="188"/>
      <c r="BKR65" s="187"/>
      <c r="BKX65" s="188"/>
      <c r="BKY65" s="187"/>
      <c r="BLE65" s="188"/>
      <c r="BLF65" s="187"/>
      <c r="BLL65" s="188"/>
      <c r="BLM65" s="187"/>
      <c r="BLN65" s="168"/>
      <c r="BLO65" s="189"/>
      <c r="BLS65" s="188"/>
      <c r="BLT65" s="187"/>
      <c r="BLZ65" s="188"/>
      <c r="BMA65" s="187"/>
      <c r="BMG65" s="188"/>
      <c r="BMH65" s="187"/>
      <c r="BMN65" s="188"/>
      <c r="BMO65" s="187"/>
      <c r="BMS65" s="168"/>
      <c r="BMT65" s="189"/>
      <c r="BMU65" s="188"/>
      <c r="BMV65" s="187"/>
      <c r="BNB65" s="188"/>
      <c r="BNC65" s="187"/>
      <c r="BNI65" s="188"/>
      <c r="BNJ65" s="187"/>
      <c r="BNP65" s="188"/>
      <c r="BNQ65" s="187"/>
      <c r="BNW65" s="168"/>
      <c r="BNX65" s="189"/>
      <c r="BOD65" s="188"/>
      <c r="BOE65" s="187"/>
      <c r="BOK65" s="188"/>
      <c r="BOL65" s="187"/>
      <c r="BOR65" s="188"/>
      <c r="BOS65" s="187"/>
      <c r="BOY65" s="188"/>
      <c r="BOZ65" s="187"/>
      <c r="BPB65" s="168"/>
      <c r="BPC65" s="189"/>
      <c r="BPF65" s="188"/>
      <c r="BPG65" s="187"/>
      <c r="BPM65" s="188"/>
      <c r="BPN65" s="187"/>
      <c r="BPT65" s="188"/>
      <c r="BPU65" s="187"/>
      <c r="BQA65" s="188"/>
      <c r="BQB65" s="187"/>
      <c r="BQF65" s="168"/>
      <c r="BQG65" s="189"/>
      <c r="BQH65" s="188"/>
      <c r="BQI65" s="187"/>
      <c r="BQO65" s="188"/>
      <c r="BQP65" s="187"/>
      <c r="BQV65" s="188"/>
      <c r="BQW65" s="187"/>
      <c r="BRC65" s="188"/>
      <c r="BRD65" s="187"/>
      <c r="BRJ65" s="188"/>
      <c r="BRK65" s="190"/>
      <c r="BRL65" s="189"/>
      <c r="BRQ65" s="188"/>
      <c r="BRR65" s="187"/>
      <c r="BRX65" s="188"/>
      <c r="BRY65" s="187"/>
      <c r="BSE65" s="188"/>
      <c r="BSF65" s="187"/>
      <c r="BSL65" s="188"/>
      <c r="BSM65" s="187"/>
      <c r="BSP65" s="168"/>
      <c r="BSQ65" s="189"/>
      <c r="BSS65" s="188"/>
      <c r="BST65" s="187"/>
      <c r="BSZ65" s="188"/>
      <c r="BTA65" s="187"/>
      <c r="BTG65" s="188"/>
      <c r="BTH65" s="187"/>
      <c r="BTN65" s="188"/>
      <c r="BTO65" s="187"/>
      <c r="BTS65" s="168"/>
      <c r="BTT65" s="189"/>
      <c r="BTU65" s="188"/>
      <c r="BTV65" s="187"/>
      <c r="BUB65" s="188"/>
      <c r="BUC65" s="187"/>
      <c r="BUI65" s="188"/>
      <c r="BUJ65" s="187"/>
      <c r="BUP65" s="188"/>
      <c r="BUQ65" s="187"/>
      <c r="BUW65" s="188"/>
      <c r="BUX65" s="190"/>
      <c r="BUY65" s="189"/>
      <c r="BVD65" s="188"/>
      <c r="BVE65" s="187"/>
      <c r="BVK65" s="188"/>
      <c r="BVL65" s="187"/>
      <c r="BVR65" s="188"/>
      <c r="BVS65" s="187"/>
      <c r="BVY65" s="188"/>
      <c r="BVZ65" s="187"/>
      <c r="BWB65" s="168"/>
      <c r="BWC65" s="189"/>
      <c r="BWF65" s="188"/>
      <c r="BWG65" s="187"/>
      <c r="BWM65" s="188"/>
      <c r="BWN65" s="187"/>
      <c r="BWT65" s="188"/>
      <c r="BWU65" s="187"/>
      <c r="BXA65" s="188"/>
      <c r="BXB65" s="187"/>
      <c r="BXG65" s="168"/>
      <c r="BXH65" s="191"/>
      <c r="BXI65" s="187"/>
      <c r="BXO65" s="188"/>
      <c r="BXP65" s="187"/>
      <c r="BXV65" s="188"/>
      <c r="BXW65" s="187"/>
      <c r="BYC65" s="188"/>
      <c r="BYD65" s="187"/>
      <c r="BYJ65" s="188"/>
      <c r="BYK65" s="190"/>
      <c r="BYL65" s="189"/>
      <c r="BYQ65" s="188"/>
      <c r="BYR65" s="187"/>
      <c r="BYX65" s="188"/>
      <c r="BYY65" s="187"/>
      <c r="BZE65" s="188"/>
      <c r="BZF65" s="187"/>
      <c r="BZL65" s="188"/>
      <c r="BZM65" s="187"/>
      <c r="BZP65" s="168"/>
      <c r="BZQ65" s="189"/>
      <c r="BZS65" s="188"/>
      <c r="BZT65" s="187"/>
      <c r="BZZ65" s="188"/>
      <c r="CAA65" s="187"/>
      <c r="CAG65" s="188"/>
      <c r="CAH65" s="187"/>
      <c r="CAN65" s="188"/>
      <c r="CAO65" s="187"/>
      <c r="CAU65" s="168"/>
      <c r="CAV65" s="189"/>
      <c r="CBB65" s="188"/>
      <c r="CBC65" s="187"/>
      <c r="CBI65" s="188"/>
      <c r="CBJ65" s="187"/>
      <c r="CBP65" s="188"/>
      <c r="CBQ65" s="187"/>
      <c r="CBW65" s="188"/>
      <c r="CBX65" s="187"/>
      <c r="CBY65" s="168"/>
      <c r="CBZ65" s="189"/>
      <c r="CCD65" s="188"/>
      <c r="CCE65" s="187"/>
      <c r="CCK65" s="188"/>
      <c r="CCL65" s="187"/>
      <c r="CCR65" s="188"/>
      <c r="CCS65" s="187"/>
      <c r="CCY65" s="188"/>
      <c r="CCZ65" s="187"/>
      <c r="CDD65" s="168"/>
      <c r="CDE65" s="189"/>
      <c r="CDF65" s="188"/>
      <c r="CDG65" s="187"/>
      <c r="CDM65" s="188"/>
      <c r="CDN65" s="187"/>
      <c r="CDT65" s="188"/>
      <c r="CDU65" s="187"/>
      <c r="CEA65" s="188"/>
      <c r="CEB65" s="187"/>
      <c r="CEH65" s="168"/>
      <c r="CEI65" s="189"/>
      <c r="CEO65" s="188"/>
      <c r="CEP65" s="187"/>
      <c r="CEV65" s="188"/>
      <c r="CEW65" s="187"/>
      <c r="CFC65" s="188"/>
      <c r="CFD65" s="187"/>
      <c r="CFJ65" s="188"/>
      <c r="CFK65" s="187"/>
    </row>
    <row r="66" spans="1:1019 1025:2048 2054:2195">
      <c r="A66" s="164" t="s">
        <v>334</v>
      </c>
      <c r="C66" s="164" t="s">
        <v>335</v>
      </c>
      <c r="D66" s="186"/>
      <c r="E66" s="186"/>
      <c r="K66" s="187"/>
      <c r="Q66" s="188"/>
      <c r="R66" s="187"/>
      <c r="X66" s="188"/>
      <c r="Y66" s="187"/>
      <c r="AE66" s="188"/>
      <c r="AF66" s="187"/>
      <c r="AJ66" s="168"/>
      <c r="AK66" s="189"/>
      <c r="AL66" s="188"/>
      <c r="AM66" s="187"/>
      <c r="AS66" s="188"/>
      <c r="AT66" s="187"/>
      <c r="AZ66" s="188"/>
      <c r="BA66" s="187"/>
      <c r="BG66" s="188"/>
      <c r="BH66" s="187"/>
      <c r="BL66" s="168"/>
      <c r="BM66" s="189"/>
      <c r="BN66" s="188"/>
      <c r="BO66" s="187"/>
      <c r="BU66" s="188"/>
      <c r="BV66" s="187"/>
      <c r="CB66" s="188"/>
      <c r="CC66" s="187"/>
      <c r="CI66" s="188"/>
      <c r="CJ66" s="187"/>
      <c r="CP66" s="188"/>
      <c r="CQ66" s="190"/>
      <c r="CR66" s="189"/>
      <c r="CW66" s="188"/>
      <c r="CX66" s="187"/>
      <c r="DD66" s="188"/>
      <c r="DE66" s="187"/>
      <c r="DK66" s="188"/>
      <c r="DL66" s="187"/>
      <c r="DR66" s="188"/>
      <c r="DS66" s="187"/>
      <c r="DU66" s="168"/>
      <c r="DV66" s="189"/>
      <c r="DY66" s="188"/>
      <c r="DZ66" s="187"/>
      <c r="EF66" s="188"/>
      <c r="EG66" s="187"/>
      <c r="EM66" s="188"/>
      <c r="EN66" s="187"/>
      <c r="ET66" s="188"/>
      <c r="EU66" s="187"/>
      <c r="EZ66" s="168"/>
      <c r="FA66" s="191"/>
      <c r="FB66" s="187"/>
      <c r="FH66" s="188"/>
      <c r="FI66" s="187"/>
      <c r="FO66" s="188"/>
      <c r="FP66" s="187"/>
      <c r="FV66" s="188"/>
      <c r="FW66" s="187"/>
      <c r="GC66" s="188"/>
      <c r="GD66" s="190"/>
      <c r="GE66" s="189"/>
      <c r="GJ66" s="188"/>
      <c r="GK66" s="187"/>
      <c r="GQ66" s="188"/>
      <c r="GR66" s="187"/>
      <c r="GX66" s="188"/>
      <c r="GY66" s="187"/>
      <c r="HE66" s="188"/>
      <c r="HF66" s="187"/>
      <c r="HI66" s="168"/>
      <c r="HJ66" s="189"/>
      <c r="HL66" s="188"/>
      <c r="HM66" s="187"/>
      <c r="HS66" s="188"/>
      <c r="HT66" s="187"/>
      <c r="HZ66" s="188"/>
      <c r="IA66" s="187"/>
      <c r="IG66" s="188"/>
      <c r="IH66" s="187"/>
      <c r="IN66" s="168"/>
      <c r="IO66" s="189"/>
      <c r="IU66" s="188"/>
      <c r="IV66" s="187"/>
      <c r="JB66" s="188"/>
      <c r="JC66" s="187"/>
      <c r="JI66" s="188"/>
      <c r="JJ66" s="187"/>
      <c r="JP66" s="188"/>
      <c r="JQ66" s="187"/>
      <c r="JR66" s="168"/>
      <c r="JS66" s="189"/>
      <c r="JW66" s="188"/>
      <c r="JX66" s="187"/>
      <c r="KD66" s="188"/>
      <c r="KE66" s="187"/>
      <c r="KK66" s="188"/>
      <c r="KL66" s="187"/>
      <c r="KR66" s="188"/>
      <c r="KS66" s="187"/>
      <c r="KW66" s="168"/>
      <c r="KX66" s="189"/>
      <c r="KY66" s="188"/>
      <c r="KZ66" s="187"/>
      <c r="LF66" s="188"/>
      <c r="LG66" s="187"/>
      <c r="LM66" s="188"/>
      <c r="LN66" s="187"/>
      <c r="LT66" s="188"/>
      <c r="LU66" s="187"/>
      <c r="MA66" s="168"/>
      <c r="MB66" s="189"/>
      <c r="MH66" s="188"/>
      <c r="MI66" s="187"/>
      <c r="MO66" s="188"/>
      <c r="MP66" s="187"/>
      <c r="MV66" s="188"/>
      <c r="MW66" s="187"/>
      <c r="NC66" s="188"/>
      <c r="ND66" s="187"/>
      <c r="NF66" s="168"/>
      <c r="NG66" s="189"/>
      <c r="NJ66" s="188"/>
      <c r="NK66" s="187"/>
      <c r="NQ66" s="188"/>
      <c r="NR66" s="187"/>
      <c r="NX66" s="188"/>
      <c r="NY66" s="187"/>
      <c r="OE66" s="188"/>
      <c r="OF66" s="187"/>
      <c r="OK66" s="168"/>
      <c r="OL66" s="191"/>
      <c r="OM66" s="187"/>
      <c r="OS66" s="188"/>
      <c r="OT66" s="187"/>
      <c r="OZ66" s="188"/>
      <c r="PA66" s="187"/>
      <c r="PG66" s="188"/>
      <c r="PH66" s="187"/>
      <c r="PN66" s="168"/>
      <c r="PO66" s="189"/>
      <c r="PU66" s="188"/>
      <c r="PV66" s="187"/>
      <c r="QB66" s="188"/>
      <c r="QC66" s="187"/>
      <c r="QI66" s="188"/>
      <c r="QJ66" s="187"/>
      <c r="QP66" s="188"/>
      <c r="QQ66" s="187"/>
      <c r="QS66" s="168"/>
      <c r="QT66" s="189"/>
      <c r="QW66" s="188"/>
      <c r="QX66" s="187"/>
      <c r="RD66" s="188"/>
      <c r="RE66" s="187"/>
      <c r="RK66" s="188"/>
      <c r="RL66" s="187"/>
      <c r="RR66" s="188"/>
      <c r="RS66" s="187"/>
      <c r="RW66" s="168"/>
      <c r="RX66" s="189"/>
      <c r="RY66" s="188"/>
      <c r="RZ66" s="187"/>
      <c r="SF66" s="188"/>
      <c r="SG66" s="187"/>
      <c r="SM66" s="188"/>
      <c r="SN66" s="187"/>
      <c r="ST66" s="188"/>
      <c r="SU66" s="187"/>
      <c r="TA66" s="188"/>
      <c r="TB66" s="190"/>
      <c r="TC66" s="189"/>
      <c r="TH66" s="188"/>
      <c r="TI66" s="187"/>
      <c r="TO66" s="188"/>
      <c r="TP66" s="187"/>
      <c r="TV66" s="188"/>
      <c r="TW66" s="187"/>
      <c r="UC66" s="188"/>
      <c r="UD66" s="187"/>
      <c r="UF66" s="168"/>
      <c r="UG66" s="189"/>
      <c r="UJ66" s="188"/>
      <c r="UK66" s="187"/>
      <c r="UQ66" s="188"/>
      <c r="UR66" s="187"/>
      <c r="UX66" s="188"/>
      <c r="UY66" s="187"/>
      <c r="VE66" s="188"/>
      <c r="VF66" s="187"/>
      <c r="VK66" s="168"/>
      <c r="VL66" s="191"/>
      <c r="VM66" s="187"/>
      <c r="VS66" s="188"/>
      <c r="VT66" s="187"/>
      <c r="VZ66" s="188"/>
      <c r="WA66" s="187"/>
      <c r="WG66" s="188"/>
      <c r="WH66" s="187"/>
      <c r="WN66" s="188"/>
      <c r="WO66" s="187"/>
      <c r="WP66" s="168"/>
      <c r="WQ66" s="189"/>
      <c r="WU66" s="188"/>
      <c r="WV66" s="187"/>
      <c r="XB66" s="188"/>
      <c r="XC66" s="187"/>
      <c r="XI66" s="188"/>
      <c r="XJ66" s="187"/>
      <c r="XP66" s="188"/>
      <c r="XQ66" s="187"/>
      <c r="XT66" s="168"/>
      <c r="XU66" s="189"/>
      <c r="XW66" s="188"/>
      <c r="XX66" s="187"/>
      <c r="YD66" s="188"/>
      <c r="YE66" s="187"/>
      <c r="YK66" s="188"/>
      <c r="YL66" s="187"/>
      <c r="YR66" s="188"/>
      <c r="YS66" s="187"/>
      <c r="YY66" s="168"/>
      <c r="YZ66" s="189"/>
      <c r="ZF66" s="188"/>
      <c r="ZG66" s="187"/>
      <c r="ZM66" s="188"/>
      <c r="ZN66" s="187"/>
      <c r="ZT66" s="188"/>
      <c r="ZU66" s="187"/>
      <c r="AAA66" s="188"/>
      <c r="AAB66" s="187"/>
      <c r="AAC66" s="168"/>
      <c r="AAD66" s="189"/>
      <c r="AAH66" s="188"/>
      <c r="AAI66" s="187"/>
      <c r="AAO66" s="188"/>
      <c r="AAP66" s="187"/>
      <c r="AAV66" s="188"/>
      <c r="AAW66" s="187"/>
      <c r="ABC66" s="188"/>
      <c r="ABD66" s="187"/>
      <c r="ABH66" s="168"/>
      <c r="ABI66" s="189"/>
      <c r="ABJ66" s="188"/>
      <c r="ABK66" s="187"/>
      <c r="ABQ66" s="188"/>
      <c r="ABR66" s="187"/>
      <c r="ABX66" s="188"/>
      <c r="ABY66" s="187"/>
      <c r="ACE66" s="188"/>
      <c r="ACF66" s="187"/>
      <c r="ACL66" s="188"/>
      <c r="ACM66" s="190"/>
      <c r="ACN66" s="189"/>
      <c r="ACS66" s="188"/>
      <c r="ACT66" s="187"/>
      <c r="ACZ66" s="188"/>
      <c r="ADA66" s="187"/>
      <c r="ADG66" s="188"/>
      <c r="ADH66" s="187"/>
      <c r="ADN66" s="188"/>
      <c r="ADO66" s="190"/>
      <c r="ADP66" s="189"/>
      <c r="ADU66" s="188"/>
      <c r="ADV66" s="187"/>
      <c r="AEB66" s="188"/>
      <c r="AEC66" s="187"/>
      <c r="AEI66" s="188"/>
      <c r="AEJ66" s="187"/>
      <c r="AEP66" s="188"/>
      <c r="AEQ66" s="187"/>
      <c r="AET66" s="168"/>
      <c r="AEU66" s="189"/>
      <c r="AEW66" s="188"/>
      <c r="AEX66" s="187"/>
      <c r="AFD66" s="188"/>
      <c r="AFE66" s="187"/>
      <c r="AFK66" s="188"/>
      <c r="AFL66" s="187"/>
      <c r="AFR66" s="188"/>
      <c r="AFS66" s="187"/>
      <c r="AFX66" s="168"/>
      <c r="AFY66" s="191"/>
      <c r="AFZ66" s="187"/>
      <c r="AGF66" s="188"/>
      <c r="AGG66" s="187"/>
      <c r="AGM66" s="188"/>
      <c r="AGN66" s="187"/>
      <c r="AGT66" s="188"/>
      <c r="AGU66" s="187"/>
      <c r="AHA66" s="188"/>
      <c r="AHB66" s="187"/>
      <c r="AHC66" s="168"/>
      <c r="AHD66" s="189"/>
      <c r="AHH66" s="188"/>
      <c r="AHI66" s="187"/>
      <c r="AHO66" s="188"/>
      <c r="AHP66" s="187"/>
      <c r="AHV66" s="188"/>
      <c r="AHW66" s="187"/>
      <c r="AIC66" s="188"/>
      <c r="AID66" s="187"/>
      <c r="AIG66" s="168"/>
      <c r="AIH66" s="189"/>
      <c r="AIJ66" s="188"/>
      <c r="AIK66" s="187"/>
      <c r="AIQ66" s="188"/>
      <c r="AIR66" s="187"/>
      <c r="AIX66" s="188"/>
      <c r="AIY66" s="187"/>
      <c r="AJE66" s="188"/>
      <c r="AJF66" s="187"/>
      <c r="AJL66" s="168"/>
      <c r="AJM66" s="189"/>
      <c r="AJS66" s="188"/>
      <c r="AJT66" s="187"/>
      <c r="AJZ66" s="188"/>
      <c r="AKA66" s="187"/>
      <c r="AKG66" s="188"/>
      <c r="AKH66" s="187"/>
      <c r="AKN66" s="188"/>
      <c r="AKO66" s="187"/>
      <c r="AKQ66" s="168"/>
      <c r="AKR66" s="189"/>
      <c r="AKU66" s="188"/>
      <c r="AKV66" s="187"/>
      <c r="ALB66" s="188"/>
      <c r="ALC66" s="187"/>
      <c r="ALI66" s="188"/>
      <c r="ALJ66" s="187"/>
      <c r="ALP66" s="188"/>
      <c r="ALQ66" s="187"/>
      <c r="ALU66" s="168"/>
      <c r="ALV66" s="189"/>
      <c r="ALW66" s="188"/>
      <c r="ALX66" s="187"/>
      <c r="AMD66" s="188"/>
      <c r="AME66" s="187"/>
      <c r="AMK66" s="188"/>
      <c r="AML66" s="187"/>
      <c r="AMR66" s="188"/>
      <c r="AMS66" s="187"/>
      <c r="AMY66" s="188"/>
      <c r="AMZ66" s="190"/>
      <c r="ANA66" s="189"/>
      <c r="ANF66" s="188"/>
      <c r="ANG66" s="187"/>
      <c r="ANM66" s="188"/>
      <c r="ANN66" s="187"/>
      <c r="ANT66" s="188"/>
      <c r="ANU66" s="187"/>
      <c r="AOA66" s="188"/>
      <c r="AOB66" s="187"/>
      <c r="AOD66" s="168"/>
      <c r="AOE66" s="189"/>
      <c r="AOH66" s="188"/>
      <c r="AOI66" s="187"/>
      <c r="AOO66" s="188"/>
      <c r="AOP66" s="187"/>
      <c r="AOV66" s="188"/>
      <c r="AOW66" s="187"/>
      <c r="APC66" s="188"/>
      <c r="APD66" s="187"/>
      <c r="API66" s="168"/>
      <c r="APJ66" s="191"/>
      <c r="APK66" s="187"/>
      <c r="APQ66" s="188"/>
      <c r="APR66" s="187"/>
      <c r="APX66" s="188"/>
      <c r="APY66" s="187"/>
      <c r="AQE66" s="188"/>
      <c r="AQF66" s="187"/>
      <c r="AQL66" s="188"/>
      <c r="AQM66" s="187"/>
      <c r="AQN66" s="168"/>
      <c r="AQO66" s="189"/>
      <c r="AQS66" s="188"/>
      <c r="AQT66" s="187"/>
      <c r="AQZ66" s="188"/>
      <c r="ARA66" s="187"/>
      <c r="ARG66" s="188"/>
      <c r="ARH66" s="187"/>
      <c r="ARN66" s="188"/>
      <c r="ARO66" s="187"/>
      <c r="ARP66" s="168"/>
      <c r="ARQ66" s="189"/>
      <c r="ARU66" s="188"/>
      <c r="ARV66" s="187"/>
      <c r="ASB66" s="188"/>
      <c r="ASC66" s="187"/>
      <c r="ASI66" s="188"/>
      <c r="ASJ66" s="187"/>
      <c r="ASP66" s="188"/>
      <c r="ASQ66" s="187"/>
      <c r="ASU66" s="168"/>
      <c r="ASV66" s="189"/>
      <c r="ASW66" s="188"/>
      <c r="ASX66" s="187"/>
      <c r="ATD66" s="188"/>
      <c r="ATE66" s="187"/>
      <c r="ATK66" s="188"/>
      <c r="ATL66" s="187"/>
      <c r="ATR66" s="188"/>
      <c r="ATS66" s="187"/>
      <c r="ATY66" s="168"/>
      <c r="ATZ66" s="189"/>
      <c r="AUF66" s="188"/>
      <c r="AUG66" s="187"/>
      <c r="AUM66" s="188"/>
      <c r="AUN66" s="187"/>
      <c r="AUT66" s="188"/>
      <c r="AUU66" s="187"/>
      <c r="AVA66" s="188"/>
      <c r="AVB66" s="187"/>
      <c r="AVD66" s="168"/>
      <c r="AVE66" s="189"/>
      <c r="AVH66" s="188"/>
      <c r="AVI66" s="187"/>
      <c r="AVO66" s="188"/>
      <c r="AVP66" s="187"/>
      <c r="AVV66" s="188"/>
      <c r="AVW66" s="187"/>
      <c r="AWC66" s="188"/>
      <c r="AWD66" s="187"/>
      <c r="AWH66" s="168"/>
      <c r="AWI66" s="189"/>
      <c r="AWJ66" s="188"/>
      <c r="AWK66" s="187"/>
      <c r="AWQ66" s="188"/>
      <c r="AWR66" s="187"/>
      <c r="AWX66" s="188"/>
      <c r="AWY66" s="187"/>
      <c r="AXE66" s="188"/>
      <c r="AXF66" s="187"/>
      <c r="AXL66" s="188"/>
      <c r="AXM66" s="190"/>
      <c r="AXN66" s="189"/>
      <c r="AXS66" s="188"/>
      <c r="AXT66" s="187"/>
      <c r="AXZ66" s="188"/>
      <c r="AYA66" s="187"/>
      <c r="AYG66" s="188"/>
      <c r="AYH66" s="187"/>
      <c r="AYN66" s="188"/>
      <c r="AYO66" s="187"/>
      <c r="AYR66" s="168"/>
      <c r="AYS66" s="189"/>
      <c r="AYU66" s="188"/>
      <c r="AYV66" s="187"/>
      <c r="AZB66" s="188"/>
      <c r="AZC66" s="187"/>
      <c r="AZI66" s="188"/>
      <c r="AZJ66" s="187"/>
      <c r="AZP66" s="188"/>
      <c r="AZQ66" s="187"/>
      <c r="AZV66" s="168"/>
      <c r="AZW66" s="191"/>
      <c r="AZX66" s="187"/>
      <c r="BAD66" s="188"/>
      <c r="BAE66" s="187"/>
      <c r="BAK66" s="188"/>
      <c r="BAL66" s="187"/>
      <c r="BAR66" s="188"/>
      <c r="BAS66" s="187"/>
      <c r="BAY66" s="188"/>
      <c r="BAZ66" s="187"/>
      <c r="BBA66" s="168"/>
      <c r="BBB66" s="189"/>
      <c r="BBF66" s="188"/>
      <c r="BBG66" s="187"/>
      <c r="BBM66" s="188"/>
      <c r="BBN66" s="187"/>
      <c r="BBT66" s="188"/>
      <c r="BBU66" s="187"/>
      <c r="BCA66" s="188"/>
      <c r="BCB66" s="187"/>
      <c r="BCE66" s="168"/>
      <c r="BCF66" s="189"/>
      <c r="BCH66" s="188"/>
      <c r="BCI66" s="187"/>
      <c r="BCO66" s="188"/>
      <c r="BCP66" s="187"/>
      <c r="BCV66" s="188"/>
      <c r="BCW66" s="187"/>
      <c r="BDC66" s="188"/>
      <c r="BDD66" s="187"/>
      <c r="BDJ66" s="168"/>
      <c r="BDK66" s="189"/>
      <c r="BDQ66" s="188"/>
      <c r="BDR66" s="187"/>
      <c r="BDX66" s="188"/>
      <c r="BDY66" s="187"/>
      <c r="BEE66" s="188"/>
      <c r="BEF66" s="187"/>
      <c r="BEL66" s="188"/>
      <c r="BEM66" s="187"/>
      <c r="BEO66" s="168"/>
      <c r="BEP66" s="189"/>
      <c r="BES66" s="188"/>
      <c r="BET66" s="187"/>
      <c r="BEZ66" s="188"/>
      <c r="BFA66" s="187"/>
      <c r="BFG66" s="188"/>
      <c r="BFH66" s="187"/>
      <c r="BFN66" s="188"/>
      <c r="BFO66" s="187"/>
      <c r="BFQ66" s="168"/>
      <c r="BFR66" s="189"/>
      <c r="BFU66" s="188"/>
      <c r="BFV66" s="187"/>
      <c r="BGB66" s="188"/>
      <c r="BGC66" s="187"/>
      <c r="BGI66" s="188"/>
      <c r="BGJ66" s="187"/>
      <c r="BGP66" s="188"/>
      <c r="BGQ66" s="187"/>
      <c r="BGV66" s="168"/>
      <c r="BGW66" s="191"/>
      <c r="BGX66" s="187"/>
      <c r="BHD66" s="188"/>
      <c r="BHE66" s="187"/>
      <c r="BHK66" s="188"/>
      <c r="BHL66" s="187"/>
      <c r="BHR66" s="188"/>
      <c r="BHS66" s="187"/>
      <c r="BHY66" s="188"/>
      <c r="BHZ66" s="190"/>
      <c r="BIA66" s="189"/>
      <c r="BIF66" s="188"/>
      <c r="BIG66" s="187"/>
      <c r="BIM66" s="188"/>
      <c r="BIN66" s="187"/>
      <c r="BIT66" s="188"/>
      <c r="BIU66" s="187"/>
      <c r="BJA66" s="188"/>
      <c r="BJB66" s="187"/>
      <c r="BJE66" s="168"/>
      <c r="BJF66" s="189"/>
      <c r="BJH66" s="188"/>
      <c r="BJI66" s="187"/>
      <c r="BJO66" s="188"/>
      <c r="BJP66" s="187"/>
      <c r="BJV66" s="188"/>
      <c r="BJW66" s="187"/>
      <c r="BKC66" s="188"/>
      <c r="BKD66" s="187"/>
      <c r="BKI66" s="168"/>
      <c r="BKJ66" s="191"/>
      <c r="BKK66" s="187"/>
      <c r="BKQ66" s="188"/>
      <c r="BKR66" s="187"/>
      <c r="BKX66" s="188"/>
      <c r="BKY66" s="187"/>
      <c r="BLE66" s="188"/>
      <c r="BLF66" s="187"/>
      <c r="BLL66" s="188"/>
      <c r="BLM66" s="187"/>
      <c r="BLN66" s="168"/>
      <c r="BLO66" s="189"/>
      <c r="BLS66" s="188"/>
      <c r="BLT66" s="187"/>
      <c r="BLZ66" s="188"/>
      <c r="BMA66" s="187"/>
      <c r="BMG66" s="188"/>
      <c r="BMH66" s="187"/>
      <c r="BMN66" s="188"/>
      <c r="BMO66" s="187"/>
      <c r="BMS66" s="168"/>
      <c r="BMT66" s="189"/>
      <c r="BMU66" s="188"/>
      <c r="BMV66" s="187"/>
      <c r="BNB66" s="188"/>
      <c r="BNC66" s="187"/>
      <c r="BNI66" s="188"/>
      <c r="BNJ66" s="187"/>
      <c r="BNP66" s="188"/>
      <c r="BNQ66" s="187"/>
      <c r="BNW66" s="168"/>
      <c r="BNX66" s="189"/>
      <c r="BOD66" s="188"/>
      <c r="BOE66" s="187"/>
      <c r="BOK66" s="188"/>
      <c r="BOL66" s="187"/>
      <c r="BOR66" s="188"/>
      <c r="BOS66" s="187"/>
      <c r="BOY66" s="188"/>
      <c r="BOZ66" s="187"/>
      <c r="BPB66" s="168"/>
      <c r="BPC66" s="189"/>
      <c r="BPF66" s="188"/>
      <c r="BPG66" s="187"/>
      <c r="BPM66" s="188"/>
      <c r="BPN66" s="187"/>
      <c r="BPT66" s="188"/>
      <c r="BPU66" s="187"/>
      <c r="BQA66" s="188"/>
      <c r="BQB66" s="187"/>
      <c r="BQF66" s="168"/>
      <c r="BQG66" s="189"/>
      <c r="BQH66" s="188"/>
      <c r="BQI66" s="187"/>
      <c r="BQO66" s="188"/>
      <c r="BQP66" s="187"/>
      <c r="BQV66" s="188"/>
      <c r="BQW66" s="187"/>
      <c r="BRC66" s="188"/>
      <c r="BRD66" s="187"/>
      <c r="BRJ66" s="188"/>
      <c r="BRK66" s="190"/>
      <c r="BRL66" s="189"/>
      <c r="BRQ66" s="188"/>
      <c r="BRR66" s="187"/>
      <c r="BRX66" s="188"/>
      <c r="BRY66" s="187"/>
      <c r="BSE66" s="188"/>
      <c r="BSF66" s="187"/>
      <c r="BSL66" s="188"/>
      <c r="BSM66" s="187"/>
      <c r="BSP66" s="168"/>
      <c r="BSQ66" s="189"/>
      <c r="BSS66" s="188"/>
      <c r="BST66" s="187"/>
      <c r="BSZ66" s="188"/>
      <c r="BTA66" s="187"/>
      <c r="BTG66" s="188"/>
      <c r="BTH66" s="187"/>
      <c r="BTN66" s="188"/>
      <c r="BTO66" s="187"/>
      <c r="BTS66" s="168"/>
      <c r="BTT66" s="189"/>
      <c r="BTU66" s="188"/>
      <c r="BTV66" s="187"/>
      <c r="BUB66" s="188"/>
      <c r="BUC66" s="187"/>
      <c r="BUI66" s="188"/>
      <c r="BUJ66" s="187"/>
      <c r="BUP66" s="188"/>
      <c r="BUQ66" s="187"/>
      <c r="BUW66" s="188"/>
      <c r="BUX66" s="190"/>
      <c r="BUY66" s="189"/>
      <c r="BVD66" s="188"/>
      <c r="BVE66" s="187"/>
      <c r="BVK66" s="188"/>
      <c r="BVL66" s="187"/>
      <c r="BVR66" s="188"/>
      <c r="BVS66" s="187"/>
      <c r="BVY66" s="188"/>
      <c r="BVZ66" s="187"/>
      <c r="BWB66" s="168"/>
      <c r="BWC66" s="189"/>
      <c r="BWF66" s="188"/>
      <c r="BWG66" s="187"/>
      <c r="BWM66" s="188"/>
      <c r="BWN66" s="187"/>
      <c r="BWT66" s="188"/>
      <c r="BWU66" s="187"/>
      <c r="BXA66" s="188"/>
      <c r="BXB66" s="187"/>
      <c r="BXG66" s="168"/>
      <c r="BXH66" s="191"/>
      <c r="BXI66" s="187"/>
      <c r="BXO66" s="188"/>
      <c r="BXP66" s="187"/>
      <c r="BXV66" s="188"/>
      <c r="BXW66" s="187"/>
      <c r="BYC66" s="188"/>
      <c r="BYD66" s="187"/>
      <c r="BYJ66" s="188"/>
      <c r="BYK66" s="190"/>
      <c r="BYL66" s="189"/>
      <c r="BYQ66" s="188"/>
      <c r="BYR66" s="187"/>
      <c r="BYX66" s="188"/>
      <c r="BYY66" s="187"/>
      <c r="BZE66" s="188"/>
      <c r="BZF66" s="187"/>
      <c r="BZL66" s="188"/>
      <c r="BZM66" s="187"/>
      <c r="BZP66" s="168"/>
      <c r="BZQ66" s="189"/>
      <c r="BZS66" s="188"/>
      <c r="BZT66" s="187"/>
      <c r="BZZ66" s="188"/>
      <c r="CAA66" s="187"/>
      <c r="CAG66" s="188"/>
      <c r="CAH66" s="187"/>
      <c r="CAN66" s="188"/>
      <c r="CAO66" s="187"/>
      <c r="CAU66" s="168"/>
      <c r="CAV66" s="189"/>
      <c r="CBB66" s="188"/>
      <c r="CBC66" s="187"/>
      <c r="CBI66" s="188"/>
      <c r="CBJ66" s="187"/>
      <c r="CBP66" s="188"/>
      <c r="CBQ66" s="187"/>
      <c r="CBW66" s="188"/>
      <c r="CBX66" s="187"/>
      <c r="CBY66" s="168"/>
      <c r="CBZ66" s="189"/>
      <c r="CCD66" s="188"/>
      <c r="CCE66" s="187"/>
      <c r="CCK66" s="188"/>
      <c r="CCL66" s="187"/>
      <c r="CCR66" s="188"/>
      <c r="CCS66" s="187"/>
      <c r="CCY66" s="188"/>
      <c r="CCZ66" s="187"/>
      <c r="CDD66" s="168"/>
      <c r="CDE66" s="189"/>
      <c r="CDF66" s="188"/>
      <c r="CDG66" s="187"/>
      <c r="CDM66" s="188"/>
      <c r="CDN66" s="187"/>
      <c r="CDT66" s="188"/>
      <c r="CDU66" s="187"/>
      <c r="CEA66" s="188"/>
      <c r="CEB66" s="187"/>
      <c r="CEH66" s="168"/>
      <c r="CEI66" s="189"/>
      <c r="CEO66" s="188"/>
      <c r="CEP66" s="187"/>
      <c r="CEV66" s="188"/>
      <c r="CEW66" s="187"/>
      <c r="CFC66" s="188"/>
      <c r="CFD66" s="187"/>
      <c r="CFJ66" s="188"/>
      <c r="CFK66" s="187"/>
    </row>
    <row r="67" spans="1:1019 1025:2048 2054:2195">
      <c r="A67" s="164" t="s">
        <v>336</v>
      </c>
      <c r="C67" s="164" t="s">
        <v>337</v>
      </c>
      <c r="D67" s="186"/>
      <c r="E67" s="186"/>
      <c r="K67" s="187"/>
      <c r="Q67" s="188"/>
      <c r="R67" s="187"/>
      <c r="X67" s="188"/>
      <c r="Y67" s="187"/>
      <c r="AE67" s="188"/>
      <c r="AF67" s="187"/>
      <c r="AJ67" s="168"/>
      <c r="AK67" s="189"/>
      <c r="AL67" s="188"/>
      <c r="AM67" s="187"/>
      <c r="AS67" s="188"/>
      <c r="AT67" s="187"/>
      <c r="AZ67" s="188"/>
      <c r="BA67" s="187"/>
      <c r="BG67" s="188"/>
      <c r="BH67" s="187"/>
      <c r="BL67" s="168"/>
      <c r="BM67" s="189"/>
      <c r="BN67" s="188"/>
      <c r="BO67" s="187"/>
      <c r="BU67" s="188"/>
      <c r="BV67" s="187"/>
      <c r="CB67" s="188"/>
      <c r="CC67" s="187"/>
      <c r="CI67" s="188"/>
      <c r="CJ67" s="187"/>
      <c r="CP67" s="188"/>
      <c r="CQ67" s="190"/>
      <c r="CR67" s="189"/>
      <c r="CW67" s="188"/>
      <c r="CX67" s="187"/>
      <c r="DD67" s="188"/>
      <c r="DE67" s="187"/>
      <c r="DK67" s="188"/>
      <c r="DL67" s="187"/>
      <c r="DR67" s="188"/>
      <c r="DS67" s="187"/>
      <c r="DU67" s="168"/>
      <c r="DV67" s="189"/>
      <c r="DY67" s="188"/>
      <c r="DZ67" s="187"/>
      <c r="EF67" s="188"/>
      <c r="EG67" s="187"/>
      <c r="EM67" s="188"/>
      <c r="EN67" s="187"/>
      <c r="ET67" s="188"/>
      <c r="EU67" s="187"/>
      <c r="EZ67" s="168"/>
      <c r="FA67" s="191"/>
      <c r="FB67" s="187"/>
      <c r="FH67" s="188"/>
      <c r="FI67" s="187"/>
      <c r="FO67" s="188"/>
      <c r="FP67" s="187"/>
      <c r="FV67" s="188"/>
      <c r="FW67" s="187"/>
      <c r="GC67" s="188"/>
      <c r="GD67" s="190"/>
      <c r="GE67" s="189"/>
      <c r="GJ67" s="188"/>
      <c r="GK67" s="187"/>
      <c r="GQ67" s="188"/>
      <c r="GR67" s="187"/>
      <c r="GX67" s="188"/>
      <c r="GY67" s="187"/>
      <c r="HE67" s="188"/>
      <c r="HF67" s="187"/>
      <c r="HI67" s="168"/>
      <c r="HJ67" s="189"/>
      <c r="HL67" s="188"/>
      <c r="HM67" s="187"/>
      <c r="HS67" s="188"/>
      <c r="HT67" s="187"/>
      <c r="HZ67" s="188"/>
      <c r="IA67" s="187"/>
      <c r="IG67" s="188"/>
      <c r="IH67" s="187"/>
      <c r="IN67" s="168"/>
      <c r="IO67" s="189"/>
      <c r="IU67" s="188"/>
      <c r="IV67" s="187"/>
      <c r="JB67" s="188"/>
      <c r="JC67" s="187"/>
      <c r="JI67" s="188"/>
      <c r="JJ67" s="187"/>
      <c r="JP67" s="188"/>
      <c r="JQ67" s="187"/>
      <c r="JR67" s="168"/>
      <c r="JS67" s="189"/>
      <c r="JW67" s="188"/>
      <c r="JX67" s="187"/>
      <c r="KD67" s="188"/>
      <c r="KE67" s="187"/>
      <c r="KK67" s="188"/>
      <c r="KL67" s="187"/>
      <c r="KR67" s="188"/>
      <c r="KS67" s="187"/>
      <c r="KW67" s="168"/>
      <c r="KX67" s="189"/>
      <c r="KY67" s="188"/>
      <c r="KZ67" s="187"/>
      <c r="LF67" s="188"/>
      <c r="LG67" s="187"/>
      <c r="LM67" s="188"/>
      <c r="LN67" s="187"/>
      <c r="LT67" s="188"/>
      <c r="LU67" s="187"/>
      <c r="MA67" s="168"/>
      <c r="MB67" s="189"/>
      <c r="MH67" s="188"/>
      <c r="MI67" s="187"/>
      <c r="MO67" s="188"/>
      <c r="MP67" s="187"/>
      <c r="MV67" s="188"/>
      <c r="MW67" s="187"/>
      <c r="NC67" s="188"/>
      <c r="ND67" s="187"/>
      <c r="NF67" s="168"/>
      <c r="NG67" s="189"/>
      <c r="NJ67" s="188"/>
      <c r="NK67" s="187"/>
      <c r="NQ67" s="188"/>
      <c r="NR67" s="187"/>
      <c r="NX67" s="188"/>
      <c r="NY67" s="187"/>
      <c r="OE67" s="188"/>
      <c r="OF67" s="187"/>
      <c r="OK67" s="168"/>
      <c r="OL67" s="191"/>
      <c r="OM67" s="187"/>
      <c r="OS67" s="188"/>
      <c r="OT67" s="187"/>
      <c r="OZ67" s="188"/>
      <c r="PA67" s="187"/>
      <c r="PG67" s="188"/>
      <c r="PH67" s="187"/>
      <c r="PN67" s="168"/>
      <c r="PO67" s="189"/>
      <c r="PU67" s="188"/>
      <c r="PV67" s="187"/>
      <c r="QB67" s="188"/>
      <c r="QC67" s="187"/>
      <c r="QI67" s="188"/>
      <c r="QJ67" s="187"/>
      <c r="QP67" s="188"/>
      <c r="QQ67" s="187"/>
      <c r="QS67" s="168"/>
      <c r="QT67" s="189"/>
      <c r="QW67" s="188"/>
      <c r="QX67" s="187"/>
      <c r="RD67" s="188"/>
      <c r="RE67" s="187"/>
      <c r="RK67" s="188"/>
      <c r="RL67" s="187"/>
      <c r="RR67" s="188"/>
      <c r="RS67" s="187"/>
      <c r="RW67" s="168"/>
      <c r="RX67" s="189"/>
      <c r="RY67" s="188"/>
      <c r="RZ67" s="187"/>
      <c r="SF67" s="188"/>
      <c r="SG67" s="187"/>
      <c r="SM67" s="188"/>
      <c r="SN67" s="187"/>
      <c r="ST67" s="188"/>
      <c r="SU67" s="187"/>
      <c r="TA67" s="188"/>
      <c r="TB67" s="190"/>
      <c r="TC67" s="189"/>
      <c r="TH67" s="188"/>
      <c r="TI67" s="187"/>
      <c r="TO67" s="188"/>
      <c r="TP67" s="187"/>
      <c r="TV67" s="188"/>
      <c r="TW67" s="187"/>
      <c r="UC67" s="188"/>
      <c r="UD67" s="187"/>
      <c r="UF67" s="168"/>
      <c r="UG67" s="189"/>
      <c r="UJ67" s="188"/>
      <c r="UK67" s="187"/>
      <c r="UQ67" s="188"/>
      <c r="UR67" s="187"/>
      <c r="UX67" s="188"/>
      <c r="UY67" s="187"/>
      <c r="VE67" s="188"/>
      <c r="VF67" s="187"/>
      <c r="VK67" s="168"/>
      <c r="VL67" s="191"/>
      <c r="VM67" s="187"/>
      <c r="VS67" s="188"/>
      <c r="VT67" s="187"/>
      <c r="VZ67" s="188"/>
      <c r="WA67" s="187"/>
      <c r="WG67" s="188"/>
      <c r="WH67" s="187"/>
      <c r="WN67" s="188"/>
      <c r="WO67" s="187"/>
      <c r="WP67" s="168"/>
      <c r="WQ67" s="189"/>
      <c r="WU67" s="188"/>
      <c r="WV67" s="187"/>
      <c r="XB67" s="188"/>
      <c r="XC67" s="187"/>
      <c r="XI67" s="188"/>
      <c r="XJ67" s="187"/>
      <c r="XP67" s="188"/>
      <c r="XQ67" s="187"/>
      <c r="XT67" s="168"/>
      <c r="XU67" s="189"/>
      <c r="XW67" s="188"/>
      <c r="XX67" s="187"/>
      <c r="YD67" s="188"/>
      <c r="YE67" s="187"/>
      <c r="YK67" s="188"/>
      <c r="YL67" s="187"/>
      <c r="YR67" s="188"/>
      <c r="YS67" s="187"/>
      <c r="YY67" s="168"/>
      <c r="YZ67" s="189"/>
      <c r="ZF67" s="188"/>
      <c r="ZG67" s="187"/>
      <c r="ZM67" s="188"/>
      <c r="ZN67" s="187"/>
      <c r="ZT67" s="188"/>
      <c r="ZU67" s="187"/>
      <c r="AAA67" s="188"/>
      <c r="AAB67" s="187"/>
      <c r="AAC67" s="168"/>
      <c r="AAD67" s="189"/>
      <c r="AAH67" s="188"/>
      <c r="AAI67" s="187"/>
      <c r="AAO67" s="188"/>
      <c r="AAP67" s="187"/>
      <c r="AAV67" s="188"/>
      <c r="AAW67" s="187"/>
      <c r="ABC67" s="188"/>
      <c r="ABD67" s="187"/>
      <c r="ABH67" s="168"/>
      <c r="ABI67" s="189"/>
      <c r="ABJ67" s="188"/>
      <c r="ABK67" s="187"/>
      <c r="ABQ67" s="188"/>
      <c r="ABR67" s="187"/>
      <c r="ABX67" s="188"/>
      <c r="ABY67" s="187"/>
      <c r="ACE67" s="188"/>
      <c r="ACF67" s="187"/>
      <c r="ACL67" s="188"/>
      <c r="ACM67" s="190"/>
      <c r="ACN67" s="189"/>
      <c r="ACS67" s="188"/>
      <c r="ACT67" s="187"/>
      <c r="ACZ67" s="188"/>
      <c r="ADA67" s="187"/>
      <c r="ADG67" s="188"/>
      <c r="ADH67" s="187"/>
      <c r="ADN67" s="188"/>
      <c r="ADO67" s="190"/>
      <c r="ADP67" s="189"/>
      <c r="ADU67" s="188"/>
      <c r="ADV67" s="187"/>
      <c r="AEB67" s="188"/>
      <c r="AEC67" s="187"/>
      <c r="AEI67" s="188"/>
      <c r="AEJ67" s="187"/>
      <c r="AEP67" s="188"/>
      <c r="AEQ67" s="187"/>
      <c r="AET67" s="168"/>
      <c r="AEU67" s="189"/>
      <c r="AEW67" s="188"/>
      <c r="AEX67" s="187"/>
      <c r="AFD67" s="188"/>
      <c r="AFE67" s="187"/>
      <c r="AFK67" s="188"/>
      <c r="AFL67" s="187"/>
      <c r="AFR67" s="188"/>
      <c r="AFS67" s="187"/>
      <c r="AFX67" s="168"/>
      <c r="AFY67" s="191"/>
      <c r="AFZ67" s="187"/>
      <c r="AGF67" s="188"/>
      <c r="AGG67" s="187"/>
      <c r="AGM67" s="188"/>
      <c r="AGN67" s="187"/>
      <c r="AGT67" s="188"/>
      <c r="AGU67" s="187"/>
      <c r="AHA67" s="188"/>
      <c r="AHB67" s="187"/>
      <c r="AHC67" s="168"/>
      <c r="AHD67" s="189"/>
      <c r="AHH67" s="188"/>
      <c r="AHI67" s="187"/>
      <c r="AHO67" s="188"/>
      <c r="AHP67" s="187"/>
      <c r="AHV67" s="188"/>
      <c r="AHW67" s="187"/>
      <c r="AIC67" s="188"/>
      <c r="AID67" s="187"/>
      <c r="AIG67" s="168"/>
      <c r="AIH67" s="189"/>
      <c r="AIJ67" s="188"/>
      <c r="AIK67" s="187"/>
      <c r="AIQ67" s="188"/>
      <c r="AIR67" s="187"/>
      <c r="AIX67" s="188"/>
      <c r="AIY67" s="187"/>
      <c r="AJE67" s="188"/>
      <c r="AJF67" s="187"/>
      <c r="AJL67" s="168"/>
      <c r="AJM67" s="189"/>
      <c r="AJS67" s="188"/>
      <c r="AJT67" s="187"/>
      <c r="AJZ67" s="188"/>
      <c r="AKA67" s="187"/>
      <c r="AKG67" s="188"/>
      <c r="AKH67" s="187"/>
      <c r="AKN67" s="188"/>
      <c r="AKO67" s="187"/>
      <c r="AKQ67" s="168"/>
      <c r="AKR67" s="189"/>
      <c r="AKU67" s="188"/>
      <c r="AKV67" s="187"/>
      <c r="ALB67" s="188"/>
      <c r="ALC67" s="187"/>
      <c r="ALI67" s="188"/>
      <c r="ALJ67" s="187"/>
      <c r="ALP67" s="188"/>
      <c r="ALQ67" s="187"/>
      <c r="ALU67" s="168"/>
      <c r="ALV67" s="189"/>
      <c r="ALW67" s="188"/>
      <c r="ALX67" s="187"/>
      <c r="AMD67" s="188"/>
      <c r="AME67" s="187"/>
      <c r="AMK67" s="188"/>
      <c r="AML67" s="187"/>
      <c r="AMR67" s="188"/>
      <c r="AMS67" s="187"/>
      <c r="AMY67" s="188"/>
      <c r="AMZ67" s="190"/>
      <c r="ANA67" s="189"/>
      <c r="ANF67" s="188"/>
      <c r="ANG67" s="187"/>
      <c r="ANM67" s="188"/>
      <c r="ANN67" s="187"/>
      <c r="ANT67" s="188"/>
      <c r="ANU67" s="187"/>
      <c r="AOA67" s="188"/>
      <c r="AOB67" s="187"/>
      <c r="AOD67" s="168"/>
      <c r="AOE67" s="189"/>
      <c r="AOH67" s="188"/>
      <c r="AOI67" s="187"/>
      <c r="AOO67" s="188"/>
      <c r="AOP67" s="187"/>
      <c r="AOV67" s="188"/>
      <c r="AOW67" s="187"/>
      <c r="APC67" s="188"/>
      <c r="APD67" s="187"/>
      <c r="API67" s="168"/>
      <c r="APJ67" s="191"/>
      <c r="APK67" s="187"/>
      <c r="APQ67" s="188"/>
      <c r="APR67" s="187"/>
      <c r="APX67" s="188"/>
      <c r="APY67" s="187"/>
      <c r="AQE67" s="188"/>
      <c r="AQF67" s="187"/>
      <c r="AQL67" s="188"/>
      <c r="AQM67" s="187"/>
      <c r="AQN67" s="168"/>
      <c r="AQO67" s="189"/>
      <c r="AQS67" s="188"/>
      <c r="AQT67" s="187"/>
      <c r="AQZ67" s="188"/>
      <c r="ARA67" s="187"/>
      <c r="ARG67" s="188"/>
      <c r="ARH67" s="187"/>
      <c r="ARN67" s="188"/>
      <c r="ARO67" s="187"/>
      <c r="ARP67" s="168"/>
      <c r="ARQ67" s="189"/>
      <c r="ARU67" s="188"/>
      <c r="ARV67" s="187"/>
      <c r="ASB67" s="188"/>
      <c r="ASC67" s="187"/>
      <c r="ASI67" s="188"/>
      <c r="ASJ67" s="187"/>
      <c r="ASP67" s="188"/>
      <c r="ASQ67" s="187"/>
      <c r="ASU67" s="168"/>
      <c r="ASV67" s="189"/>
      <c r="ASW67" s="188"/>
      <c r="ASX67" s="187"/>
      <c r="ATD67" s="188"/>
      <c r="ATE67" s="187"/>
      <c r="ATK67" s="188"/>
      <c r="ATL67" s="187"/>
      <c r="ATR67" s="188"/>
      <c r="ATS67" s="187"/>
      <c r="ATY67" s="168"/>
      <c r="ATZ67" s="189"/>
      <c r="AUF67" s="188"/>
      <c r="AUG67" s="187"/>
      <c r="AUM67" s="188"/>
      <c r="AUN67" s="187"/>
      <c r="AUT67" s="188"/>
      <c r="AUU67" s="187"/>
      <c r="AVA67" s="188"/>
      <c r="AVB67" s="187"/>
      <c r="AVD67" s="168"/>
      <c r="AVE67" s="189"/>
      <c r="AVH67" s="188"/>
      <c r="AVI67" s="187"/>
      <c r="AVO67" s="188"/>
      <c r="AVP67" s="187"/>
      <c r="AVV67" s="188"/>
      <c r="AVW67" s="187"/>
      <c r="AWC67" s="188"/>
      <c r="AWD67" s="187"/>
      <c r="AWH67" s="168"/>
      <c r="AWI67" s="189"/>
      <c r="AWJ67" s="188"/>
      <c r="AWK67" s="187"/>
      <c r="AWQ67" s="188"/>
      <c r="AWR67" s="187"/>
      <c r="AWX67" s="188"/>
      <c r="AWY67" s="187"/>
      <c r="AXE67" s="188"/>
      <c r="AXF67" s="187"/>
      <c r="AXL67" s="188"/>
      <c r="AXM67" s="190"/>
      <c r="AXN67" s="189"/>
      <c r="AXS67" s="188"/>
      <c r="AXT67" s="187"/>
      <c r="AXZ67" s="188"/>
      <c r="AYA67" s="187"/>
      <c r="AYG67" s="188"/>
      <c r="AYH67" s="187"/>
      <c r="AYN67" s="188"/>
      <c r="AYO67" s="187"/>
      <c r="AYR67" s="168"/>
      <c r="AYS67" s="189"/>
      <c r="AYU67" s="188"/>
      <c r="AYV67" s="187"/>
      <c r="AZB67" s="188"/>
      <c r="AZC67" s="187"/>
      <c r="AZI67" s="188"/>
      <c r="AZJ67" s="187"/>
      <c r="AZP67" s="188"/>
      <c r="AZQ67" s="187"/>
      <c r="AZV67" s="168"/>
      <c r="AZW67" s="191"/>
      <c r="AZX67" s="187"/>
      <c r="BAD67" s="188"/>
      <c r="BAE67" s="187"/>
      <c r="BAK67" s="188"/>
      <c r="BAL67" s="187"/>
      <c r="BAR67" s="188"/>
      <c r="BAS67" s="187"/>
      <c r="BAY67" s="188"/>
      <c r="BAZ67" s="187"/>
      <c r="BBA67" s="168"/>
      <c r="BBB67" s="189"/>
      <c r="BBF67" s="188"/>
      <c r="BBG67" s="187"/>
      <c r="BBM67" s="188"/>
      <c r="BBN67" s="187"/>
      <c r="BBT67" s="188"/>
      <c r="BBU67" s="187"/>
      <c r="BCA67" s="188"/>
      <c r="BCB67" s="187"/>
      <c r="BCE67" s="168"/>
      <c r="BCF67" s="189"/>
      <c r="BCH67" s="188"/>
      <c r="BCI67" s="187"/>
      <c r="BCO67" s="188"/>
      <c r="BCP67" s="187"/>
      <c r="BCV67" s="188"/>
      <c r="BCW67" s="187"/>
      <c r="BDC67" s="188"/>
      <c r="BDD67" s="187"/>
      <c r="BDJ67" s="168"/>
      <c r="BDK67" s="189"/>
      <c r="BDQ67" s="188"/>
      <c r="BDR67" s="187"/>
      <c r="BDX67" s="188"/>
      <c r="BDY67" s="187"/>
      <c r="BEE67" s="188"/>
      <c r="BEF67" s="187"/>
      <c r="BEL67" s="188"/>
      <c r="BEM67" s="187"/>
      <c r="BEO67" s="168"/>
      <c r="BEP67" s="189"/>
      <c r="BES67" s="188"/>
      <c r="BET67" s="187"/>
      <c r="BEZ67" s="188"/>
      <c r="BFA67" s="187"/>
      <c r="BFG67" s="188"/>
      <c r="BFH67" s="187"/>
      <c r="BFN67" s="188"/>
      <c r="BFO67" s="187"/>
      <c r="BFQ67" s="168"/>
      <c r="BFR67" s="189"/>
      <c r="BFU67" s="188"/>
      <c r="BFV67" s="187"/>
      <c r="BGB67" s="188"/>
      <c r="BGC67" s="187"/>
      <c r="BGI67" s="188"/>
      <c r="BGJ67" s="187"/>
      <c r="BGP67" s="188"/>
      <c r="BGQ67" s="187"/>
      <c r="BGV67" s="168"/>
      <c r="BGW67" s="191"/>
      <c r="BGX67" s="187"/>
      <c r="BHD67" s="188"/>
      <c r="BHE67" s="187"/>
      <c r="BHK67" s="188"/>
      <c r="BHL67" s="187"/>
      <c r="BHR67" s="188"/>
      <c r="BHS67" s="187"/>
      <c r="BHY67" s="188"/>
      <c r="BHZ67" s="190"/>
      <c r="BIA67" s="189"/>
      <c r="BIF67" s="188"/>
      <c r="BIG67" s="187"/>
      <c r="BIM67" s="188"/>
      <c r="BIN67" s="187"/>
      <c r="BIT67" s="188"/>
      <c r="BIU67" s="187"/>
      <c r="BJA67" s="188"/>
      <c r="BJB67" s="187"/>
      <c r="BJE67" s="168"/>
      <c r="BJF67" s="189"/>
      <c r="BJH67" s="188"/>
      <c r="BJI67" s="187"/>
      <c r="BJO67" s="188"/>
      <c r="BJP67" s="187"/>
      <c r="BJV67" s="188"/>
      <c r="BJW67" s="187"/>
      <c r="BKC67" s="188"/>
      <c r="BKD67" s="187"/>
      <c r="BKI67" s="168"/>
      <c r="BKJ67" s="191"/>
      <c r="BKK67" s="187"/>
      <c r="BKQ67" s="188"/>
      <c r="BKR67" s="187"/>
      <c r="BKX67" s="188"/>
      <c r="BKY67" s="187"/>
      <c r="BLE67" s="188"/>
      <c r="BLF67" s="187"/>
      <c r="BLL67" s="188"/>
      <c r="BLM67" s="187"/>
      <c r="BLN67" s="168"/>
      <c r="BLO67" s="189"/>
      <c r="BLS67" s="188"/>
      <c r="BLT67" s="187"/>
      <c r="BLZ67" s="188"/>
      <c r="BMA67" s="187"/>
      <c r="BMG67" s="188"/>
      <c r="BMH67" s="187"/>
      <c r="BMN67" s="188"/>
      <c r="BMO67" s="187"/>
      <c r="BMS67" s="168"/>
      <c r="BMT67" s="189"/>
      <c r="BMU67" s="188"/>
      <c r="BMV67" s="187"/>
      <c r="BNB67" s="188"/>
      <c r="BNC67" s="187"/>
      <c r="BNI67" s="188"/>
      <c r="BNJ67" s="187"/>
      <c r="BNP67" s="188"/>
      <c r="BNQ67" s="187"/>
      <c r="BNW67" s="168"/>
      <c r="BNX67" s="189"/>
      <c r="BOD67" s="188"/>
      <c r="BOE67" s="187"/>
      <c r="BOK67" s="188"/>
      <c r="BOL67" s="187"/>
      <c r="BOR67" s="188"/>
      <c r="BOS67" s="187"/>
      <c r="BOY67" s="188"/>
      <c r="BOZ67" s="187"/>
      <c r="BPB67" s="168"/>
      <c r="BPC67" s="189"/>
      <c r="BPF67" s="188"/>
      <c r="BPG67" s="187"/>
      <c r="BPM67" s="188"/>
      <c r="BPN67" s="187"/>
      <c r="BPT67" s="188"/>
      <c r="BPU67" s="187"/>
      <c r="BQA67" s="188"/>
      <c r="BQB67" s="187"/>
      <c r="BQF67" s="168"/>
      <c r="BQG67" s="189"/>
      <c r="BQH67" s="188"/>
      <c r="BQI67" s="187"/>
      <c r="BQO67" s="188"/>
      <c r="BQP67" s="187"/>
      <c r="BQV67" s="188"/>
      <c r="BQW67" s="187"/>
      <c r="BRC67" s="188"/>
      <c r="BRD67" s="187"/>
      <c r="BRJ67" s="188"/>
      <c r="BRK67" s="190"/>
      <c r="BRL67" s="189"/>
      <c r="BRQ67" s="188"/>
      <c r="BRR67" s="187"/>
      <c r="BRX67" s="188"/>
      <c r="BRY67" s="187"/>
      <c r="BSE67" s="188"/>
      <c r="BSF67" s="187"/>
      <c r="BSL67" s="188"/>
      <c r="BSM67" s="187"/>
      <c r="BSP67" s="168"/>
      <c r="BSQ67" s="189"/>
      <c r="BSS67" s="188"/>
      <c r="BST67" s="187"/>
      <c r="BSZ67" s="188"/>
      <c r="BTA67" s="187"/>
      <c r="BTG67" s="188"/>
      <c r="BTH67" s="187"/>
      <c r="BTN67" s="188"/>
      <c r="BTO67" s="187"/>
      <c r="BTS67" s="168"/>
      <c r="BTT67" s="189"/>
      <c r="BTU67" s="188"/>
      <c r="BTV67" s="187"/>
      <c r="BUB67" s="188"/>
      <c r="BUC67" s="187"/>
      <c r="BUI67" s="188"/>
      <c r="BUJ67" s="187"/>
      <c r="BUP67" s="188"/>
      <c r="BUQ67" s="187"/>
      <c r="BUW67" s="188"/>
      <c r="BUX67" s="190"/>
      <c r="BUY67" s="189"/>
      <c r="BVD67" s="188"/>
      <c r="BVE67" s="187"/>
      <c r="BVK67" s="188"/>
      <c r="BVL67" s="187"/>
      <c r="BVR67" s="188"/>
      <c r="BVS67" s="187"/>
      <c r="BVY67" s="188"/>
      <c r="BVZ67" s="187"/>
      <c r="BWB67" s="168"/>
      <c r="BWC67" s="189"/>
      <c r="BWF67" s="188"/>
      <c r="BWG67" s="187"/>
      <c r="BWM67" s="188"/>
      <c r="BWN67" s="187"/>
      <c r="BWT67" s="188"/>
      <c r="BWU67" s="187"/>
      <c r="BXA67" s="188"/>
      <c r="BXB67" s="187"/>
      <c r="BXG67" s="168"/>
      <c r="BXH67" s="191"/>
      <c r="BXI67" s="187"/>
      <c r="BXO67" s="188"/>
      <c r="BXP67" s="187"/>
      <c r="BXV67" s="188"/>
      <c r="BXW67" s="187"/>
      <c r="BYC67" s="188"/>
      <c r="BYD67" s="187"/>
      <c r="BYJ67" s="188"/>
      <c r="BYK67" s="190"/>
      <c r="BYL67" s="189"/>
      <c r="BYQ67" s="188"/>
      <c r="BYR67" s="187"/>
      <c r="BYX67" s="188"/>
      <c r="BYY67" s="187"/>
      <c r="BZE67" s="188"/>
      <c r="BZF67" s="187"/>
      <c r="BZL67" s="188"/>
      <c r="BZM67" s="187"/>
      <c r="BZP67" s="168"/>
      <c r="BZQ67" s="189"/>
      <c r="BZS67" s="188"/>
      <c r="BZT67" s="187"/>
      <c r="BZZ67" s="188"/>
      <c r="CAA67" s="187"/>
      <c r="CAG67" s="188"/>
      <c r="CAH67" s="187"/>
      <c r="CAN67" s="188"/>
      <c r="CAO67" s="187"/>
      <c r="CAU67" s="168"/>
      <c r="CAV67" s="189"/>
      <c r="CBB67" s="188"/>
      <c r="CBC67" s="187"/>
      <c r="CBI67" s="188"/>
      <c r="CBJ67" s="187"/>
      <c r="CBP67" s="188"/>
      <c r="CBQ67" s="187"/>
      <c r="CBW67" s="188"/>
      <c r="CBX67" s="187"/>
      <c r="CBY67" s="168"/>
      <c r="CBZ67" s="189"/>
      <c r="CCD67" s="188"/>
      <c r="CCE67" s="187"/>
      <c r="CCK67" s="188"/>
      <c r="CCL67" s="187"/>
      <c r="CCR67" s="188"/>
      <c r="CCS67" s="187"/>
      <c r="CCY67" s="188"/>
      <c r="CCZ67" s="187"/>
      <c r="CDD67" s="168"/>
      <c r="CDE67" s="189"/>
      <c r="CDF67" s="188"/>
      <c r="CDG67" s="187"/>
      <c r="CDM67" s="188"/>
      <c r="CDN67" s="187"/>
      <c r="CDT67" s="188"/>
      <c r="CDU67" s="187"/>
      <c r="CEA67" s="188"/>
      <c r="CEB67" s="187"/>
      <c r="CEH67" s="168"/>
      <c r="CEI67" s="189"/>
      <c r="CEO67" s="188"/>
      <c r="CEP67" s="187"/>
      <c r="CEV67" s="188"/>
      <c r="CEW67" s="187"/>
      <c r="CFC67" s="188"/>
      <c r="CFD67" s="187"/>
      <c r="CFJ67" s="188"/>
      <c r="CFK67" s="187"/>
    </row>
    <row r="68" spans="1:1019 1025:2048 2054:2195">
      <c r="A68" s="164" t="s">
        <v>338</v>
      </c>
      <c r="C68" s="164" t="s">
        <v>339</v>
      </c>
      <c r="D68" s="186"/>
      <c r="E68" s="186"/>
      <c r="K68" s="187"/>
      <c r="Q68" s="188"/>
      <c r="R68" s="187"/>
      <c r="X68" s="188"/>
      <c r="Y68" s="187"/>
      <c r="AE68" s="188"/>
      <c r="AF68" s="187"/>
      <c r="AJ68" s="168"/>
      <c r="AK68" s="189"/>
      <c r="AL68" s="188"/>
      <c r="AM68" s="187"/>
      <c r="AS68" s="188"/>
      <c r="AT68" s="187"/>
      <c r="AZ68" s="188"/>
      <c r="BA68" s="187"/>
      <c r="BG68" s="188"/>
      <c r="BH68" s="187"/>
      <c r="BL68" s="168"/>
      <c r="BM68" s="189"/>
      <c r="BN68" s="188"/>
      <c r="BO68" s="187"/>
      <c r="BU68" s="188"/>
      <c r="BV68" s="187"/>
      <c r="CB68" s="188"/>
      <c r="CC68" s="187"/>
      <c r="CI68" s="188"/>
      <c r="CJ68" s="187"/>
      <c r="CP68" s="188"/>
      <c r="CQ68" s="190"/>
      <c r="CR68" s="189"/>
      <c r="CW68" s="188"/>
      <c r="CX68" s="187"/>
      <c r="DD68" s="188"/>
      <c r="DE68" s="187"/>
      <c r="DK68" s="188"/>
      <c r="DL68" s="187"/>
      <c r="DR68" s="188"/>
      <c r="DS68" s="187"/>
      <c r="DU68" s="168"/>
      <c r="DV68" s="189"/>
      <c r="DY68" s="188"/>
      <c r="DZ68" s="187"/>
      <c r="EF68" s="188"/>
      <c r="EG68" s="187"/>
      <c r="EM68" s="188"/>
      <c r="EN68" s="187"/>
      <c r="ET68" s="188"/>
      <c r="EU68" s="187"/>
      <c r="EZ68" s="168"/>
      <c r="FA68" s="191"/>
      <c r="FB68" s="187"/>
      <c r="FH68" s="188"/>
      <c r="FI68" s="187"/>
      <c r="FO68" s="188"/>
      <c r="FP68" s="187"/>
      <c r="FV68" s="188"/>
      <c r="FW68" s="187"/>
      <c r="GC68" s="188"/>
      <c r="GD68" s="190"/>
      <c r="GE68" s="189"/>
      <c r="GJ68" s="188"/>
      <c r="GK68" s="187"/>
      <c r="GQ68" s="188"/>
      <c r="GR68" s="187"/>
      <c r="GX68" s="188"/>
      <c r="GY68" s="187"/>
      <c r="HE68" s="188"/>
      <c r="HF68" s="187"/>
      <c r="HI68" s="168"/>
      <c r="HJ68" s="189"/>
      <c r="HL68" s="188"/>
      <c r="HM68" s="187"/>
      <c r="HS68" s="188"/>
      <c r="HT68" s="187"/>
      <c r="HZ68" s="188"/>
      <c r="IA68" s="187"/>
      <c r="IG68" s="188"/>
      <c r="IH68" s="187"/>
      <c r="IN68" s="168"/>
      <c r="IO68" s="189"/>
      <c r="IU68" s="188"/>
      <c r="IV68" s="187"/>
      <c r="JB68" s="188"/>
      <c r="JC68" s="187"/>
      <c r="JI68" s="188"/>
      <c r="JJ68" s="187"/>
      <c r="JP68" s="188"/>
      <c r="JQ68" s="187"/>
      <c r="JR68" s="168"/>
      <c r="JS68" s="189"/>
      <c r="JW68" s="188"/>
      <c r="JX68" s="187"/>
      <c r="KD68" s="188"/>
      <c r="KE68" s="187"/>
      <c r="KK68" s="188"/>
      <c r="KL68" s="187"/>
      <c r="KR68" s="188"/>
      <c r="KS68" s="187"/>
      <c r="KW68" s="168"/>
      <c r="KX68" s="189"/>
      <c r="KY68" s="188"/>
      <c r="KZ68" s="187"/>
      <c r="LF68" s="188"/>
      <c r="LG68" s="187"/>
      <c r="LM68" s="188"/>
      <c r="LN68" s="187"/>
      <c r="LT68" s="188"/>
      <c r="LU68" s="187"/>
      <c r="MA68" s="168"/>
      <c r="MB68" s="189"/>
      <c r="MH68" s="188"/>
      <c r="MI68" s="187"/>
      <c r="MO68" s="188"/>
      <c r="MP68" s="187"/>
      <c r="MV68" s="188"/>
      <c r="MW68" s="187"/>
      <c r="NC68" s="188"/>
      <c r="ND68" s="187"/>
      <c r="NF68" s="168"/>
      <c r="NG68" s="189"/>
      <c r="NJ68" s="188"/>
      <c r="NK68" s="187"/>
      <c r="NQ68" s="188"/>
      <c r="NR68" s="187"/>
      <c r="NX68" s="188"/>
      <c r="NY68" s="187"/>
      <c r="OE68" s="188"/>
      <c r="OF68" s="187"/>
      <c r="OK68" s="168"/>
      <c r="OL68" s="191"/>
      <c r="OM68" s="187"/>
      <c r="OS68" s="188"/>
      <c r="OT68" s="187"/>
      <c r="OZ68" s="188"/>
      <c r="PA68" s="187"/>
      <c r="PG68" s="188"/>
      <c r="PH68" s="187"/>
      <c r="PN68" s="168"/>
      <c r="PO68" s="189"/>
      <c r="PU68" s="188"/>
      <c r="PV68" s="187"/>
      <c r="QB68" s="188"/>
      <c r="QC68" s="187"/>
      <c r="QI68" s="188"/>
      <c r="QJ68" s="187"/>
      <c r="QP68" s="188"/>
      <c r="QQ68" s="187"/>
      <c r="QS68" s="168"/>
      <c r="QT68" s="189"/>
      <c r="QW68" s="188"/>
      <c r="QX68" s="187"/>
      <c r="RD68" s="188"/>
      <c r="RE68" s="187"/>
      <c r="RK68" s="188"/>
      <c r="RL68" s="187"/>
      <c r="RR68" s="188"/>
      <c r="RS68" s="187"/>
      <c r="RW68" s="168"/>
      <c r="RX68" s="189"/>
      <c r="RY68" s="188"/>
      <c r="RZ68" s="187"/>
      <c r="SF68" s="188"/>
      <c r="SG68" s="187"/>
      <c r="SM68" s="188"/>
      <c r="SN68" s="187"/>
      <c r="ST68" s="188"/>
      <c r="SU68" s="187"/>
      <c r="TA68" s="188"/>
      <c r="TB68" s="190"/>
      <c r="TC68" s="189"/>
      <c r="TH68" s="188"/>
      <c r="TI68" s="187"/>
      <c r="TO68" s="188"/>
      <c r="TP68" s="187"/>
      <c r="TV68" s="188"/>
      <c r="TW68" s="187"/>
      <c r="UC68" s="188"/>
      <c r="UD68" s="187"/>
      <c r="UF68" s="168"/>
      <c r="UG68" s="189"/>
      <c r="UJ68" s="188"/>
      <c r="UK68" s="187"/>
      <c r="UQ68" s="188"/>
      <c r="UR68" s="187"/>
      <c r="UX68" s="188"/>
      <c r="UY68" s="187"/>
      <c r="VE68" s="188"/>
      <c r="VF68" s="187"/>
      <c r="VK68" s="168"/>
      <c r="VL68" s="191"/>
      <c r="VM68" s="187"/>
      <c r="VS68" s="188"/>
      <c r="VT68" s="187"/>
      <c r="VZ68" s="188"/>
      <c r="WA68" s="187"/>
      <c r="WG68" s="188"/>
      <c r="WH68" s="187"/>
      <c r="WN68" s="188"/>
      <c r="WO68" s="187"/>
      <c r="WP68" s="168"/>
      <c r="WQ68" s="189"/>
      <c r="WU68" s="188"/>
      <c r="WV68" s="187"/>
      <c r="XB68" s="188"/>
      <c r="XC68" s="187"/>
      <c r="XI68" s="188"/>
      <c r="XJ68" s="187"/>
      <c r="XP68" s="188"/>
      <c r="XQ68" s="187"/>
      <c r="XT68" s="168"/>
      <c r="XU68" s="189"/>
      <c r="XW68" s="188"/>
      <c r="XX68" s="187"/>
      <c r="YD68" s="188"/>
      <c r="YE68" s="187"/>
      <c r="YK68" s="188"/>
      <c r="YL68" s="187"/>
      <c r="YR68" s="188"/>
      <c r="YS68" s="187"/>
      <c r="YY68" s="168"/>
      <c r="YZ68" s="189"/>
      <c r="ZF68" s="188"/>
      <c r="ZG68" s="187"/>
      <c r="ZM68" s="188"/>
      <c r="ZN68" s="187"/>
      <c r="ZT68" s="188"/>
      <c r="ZU68" s="187"/>
      <c r="AAA68" s="188"/>
      <c r="AAB68" s="187"/>
      <c r="AAC68" s="168"/>
      <c r="AAD68" s="189"/>
      <c r="AAH68" s="188"/>
      <c r="AAI68" s="187"/>
      <c r="AAO68" s="188"/>
      <c r="AAP68" s="187"/>
      <c r="AAV68" s="188"/>
      <c r="AAW68" s="187"/>
      <c r="ABC68" s="188"/>
      <c r="ABD68" s="187"/>
      <c r="ABH68" s="168"/>
      <c r="ABI68" s="189"/>
      <c r="ABJ68" s="188"/>
      <c r="ABK68" s="187"/>
      <c r="ABQ68" s="188"/>
      <c r="ABR68" s="187"/>
      <c r="ABX68" s="188"/>
      <c r="ABY68" s="187"/>
      <c r="ACE68" s="188"/>
      <c r="ACF68" s="187"/>
      <c r="ACL68" s="188"/>
      <c r="ACM68" s="190"/>
      <c r="ACN68" s="189"/>
      <c r="ACS68" s="188"/>
      <c r="ACT68" s="187"/>
      <c r="ACZ68" s="188"/>
      <c r="ADA68" s="187"/>
      <c r="ADG68" s="188"/>
      <c r="ADH68" s="187"/>
      <c r="ADN68" s="188"/>
      <c r="ADO68" s="190"/>
      <c r="ADP68" s="189"/>
      <c r="ADU68" s="188"/>
      <c r="ADV68" s="187"/>
      <c r="AEB68" s="188"/>
      <c r="AEC68" s="187"/>
      <c r="AEI68" s="188"/>
      <c r="AEJ68" s="187"/>
      <c r="AEP68" s="188"/>
      <c r="AEQ68" s="187"/>
      <c r="AET68" s="168"/>
      <c r="AEU68" s="189"/>
      <c r="AEW68" s="188"/>
      <c r="AEX68" s="187"/>
      <c r="AFD68" s="188"/>
      <c r="AFE68" s="187"/>
      <c r="AFK68" s="188"/>
      <c r="AFL68" s="187"/>
      <c r="AFR68" s="188"/>
      <c r="AFS68" s="187"/>
      <c r="AFX68" s="168"/>
      <c r="AFY68" s="191"/>
      <c r="AFZ68" s="187"/>
      <c r="AGF68" s="188"/>
      <c r="AGG68" s="187"/>
      <c r="AGM68" s="188"/>
      <c r="AGN68" s="187"/>
      <c r="AGT68" s="188"/>
      <c r="AGU68" s="187"/>
      <c r="AHA68" s="188"/>
      <c r="AHB68" s="187"/>
      <c r="AHC68" s="168"/>
      <c r="AHD68" s="189"/>
      <c r="AHH68" s="188"/>
      <c r="AHI68" s="187"/>
      <c r="AHO68" s="188"/>
      <c r="AHP68" s="187"/>
      <c r="AHV68" s="188"/>
      <c r="AHW68" s="187"/>
      <c r="AIC68" s="188"/>
      <c r="AID68" s="187"/>
      <c r="AIG68" s="168"/>
      <c r="AIH68" s="189"/>
      <c r="AIJ68" s="188"/>
      <c r="AIK68" s="187"/>
      <c r="AIQ68" s="188"/>
      <c r="AIR68" s="187"/>
      <c r="AIX68" s="188"/>
      <c r="AIY68" s="187"/>
      <c r="AJE68" s="188"/>
      <c r="AJF68" s="187"/>
      <c r="AJL68" s="168"/>
      <c r="AJM68" s="189"/>
      <c r="AJS68" s="188"/>
      <c r="AJT68" s="187"/>
      <c r="AJZ68" s="188"/>
      <c r="AKA68" s="187"/>
      <c r="AKG68" s="188"/>
      <c r="AKH68" s="187"/>
      <c r="AKN68" s="188"/>
      <c r="AKO68" s="187"/>
      <c r="AKQ68" s="168"/>
      <c r="AKR68" s="189"/>
      <c r="AKU68" s="188"/>
      <c r="AKV68" s="187"/>
      <c r="ALB68" s="188"/>
      <c r="ALC68" s="187"/>
      <c r="ALI68" s="188"/>
      <c r="ALJ68" s="187"/>
      <c r="ALP68" s="188"/>
      <c r="ALQ68" s="187"/>
      <c r="ALU68" s="168"/>
      <c r="ALV68" s="189"/>
      <c r="ALW68" s="188"/>
      <c r="ALX68" s="187"/>
      <c r="AMD68" s="188"/>
      <c r="AME68" s="187"/>
      <c r="AMK68" s="188"/>
      <c r="AML68" s="187"/>
      <c r="AMR68" s="188"/>
      <c r="AMS68" s="187"/>
      <c r="AMY68" s="188"/>
      <c r="AMZ68" s="190"/>
      <c r="ANA68" s="189"/>
      <c r="ANF68" s="188"/>
      <c r="ANG68" s="187"/>
      <c r="ANM68" s="188"/>
      <c r="ANN68" s="187"/>
      <c r="ANT68" s="188"/>
      <c r="ANU68" s="187"/>
      <c r="AOA68" s="188"/>
      <c r="AOB68" s="187"/>
      <c r="AOD68" s="168"/>
      <c r="AOE68" s="189"/>
      <c r="AOH68" s="188"/>
      <c r="AOI68" s="187"/>
      <c r="AOO68" s="188"/>
      <c r="AOP68" s="187"/>
      <c r="AOV68" s="188"/>
      <c r="AOW68" s="187"/>
      <c r="APC68" s="188"/>
      <c r="APD68" s="187"/>
      <c r="API68" s="168"/>
      <c r="APJ68" s="191"/>
      <c r="APK68" s="187"/>
      <c r="APQ68" s="188"/>
      <c r="APR68" s="187"/>
      <c r="APX68" s="188"/>
      <c r="APY68" s="187"/>
      <c r="AQE68" s="188"/>
      <c r="AQF68" s="187"/>
      <c r="AQL68" s="188"/>
      <c r="AQM68" s="187"/>
      <c r="AQN68" s="168"/>
      <c r="AQO68" s="189"/>
      <c r="AQS68" s="188"/>
      <c r="AQT68" s="187"/>
      <c r="AQZ68" s="188"/>
      <c r="ARA68" s="187"/>
      <c r="ARG68" s="188"/>
      <c r="ARH68" s="187"/>
      <c r="ARN68" s="188"/>
      <c r="ARO68" s="187"/>
      <c r="ARP68" s="168"/>
      <c r="ARQ68" s="189"/>
      <c r="ARU68" s="188"/>
      <c r="ARV68" s="187"/>
      <c r="ASB68" s="188"/>
      <c r="ASC68" s="187"/>
      <c r="ASI68" s="188"/>
      <c r="ASJ68" s="187"/>
      <c r="ASP68" s="188"/>
      <c r="ASQ68" s="187"/>
      <c r="ASU68" s="168"/>
      <c r="ASV68" s="189"/>
      <c r="ASW68" s="188"/>
      <c r="ASX68" s="187"/>
      <c r="ATD68" s="188"/>
      <c r="ATE68" s="187"/>
      <c r="ATK68" s="188"/>
      <c r="ATL68" s="187"/>
      <c r="ATR68" s="188"/>
      <c r="ATS68" s="187"/>
      <c r="ATY68" s="168"/>
      <c r="ATZ68" s="189"/>
      <c r="AUF68" s="188"/>
      <c r="AUG68" s="187"/>
      <c r="AUM68" s="188"/>
      <c r="AUN68" s="187"/>
      <c r="AUT68" s="188"/>
      <c r="AUU68" s="187"/>
      <c r="AVA68" s="188"/>
      <c r="AVB68" s="187"/>
      <c r="AVD68" s="168"/>
      <c r="AVE68" s="189"/>
      <c r="AVH68" s="188"/>
      <c r="AVI68" s="187"/>
      <c r="AVO68" s="188"/>
      <c r="AVP68" s="187"/>
      <c r="AVV68" s="188"/>
      <c r="AVW68" s="187"/>
      <c r="AWC68" s="188"/>
      <c r="AWD68" s="187"/>
      <c r="AWH68" s="168"/>
      <c r="AWI68" s="189"/>
      <c r="AWJ68" s="188"/>
      <c r="AWK68" s="187"/>
      <c r="AWQ68" s="188"/>
      <c r="AWR68" s="187"/>
      <c r="AWX68" s="188"/>
      <c r="AWY68" s="187"/>
      <c r="AXE68" s="188"/>
      <c r="AXF68" s="187"/>
      <c r="AXL68" s="188"/>
      <c r="AXM68" s="190"/>
      <c r="AXN68" s="189"/>
      <c r="AXS68" s="188"/>
      <c r="AXT68" s="187"/>
      <c r="AXZ68" s="188"/>
      <c r="AYA68" s="187"/>
      <c r="AYG68" s="188"/>
      <c r="AYH68" s="187"/>
      <c r="AYN68" s="188"/>
      <c r="AYO68" s="187"/>
      <c r="AYR68" s="168"/>
      <c r="AYS68" s="189"/>
      <c r="AYU68" s="188"/>
      <c r="AYV68" s="187"/>
      <c r="AZB68" s="188"/>
      <c r="AZC68" s="187"/>
      <c r="AZI68" s="188"/>
      <c r="AZJ68" s="187"/>
      <c r="AZP68" s="188"/>
      <c r="AZQ68" s="187"/>
      <c r="AZV68" s="168"/>
      <c r="AZW68" s="191"/>
      <c r="AZX68" s="187"/>
      <c r="BAD68" s="188"/>
      <c r="BAE68" s="187"/>
      <c r="BAK68" s="188"/>
      <c r="BAL68" s="187"/>
      <c r="BAR68" s="188"/>
      <c r="BAS68" s="187"/>
      <c r="BAY68" s="188"/>
      <c r="BAZ68" s="187"/>
      <c r="BBA68" s="168"/>
      <c r="BBB68" s="189"/>
      <c r="BBF68" s="188"/>
      <c r="BBG68" s="187"/>
      <c r="BBM68" s="188"/>
      <c r="BBN68" s="187"/>
      <c r="BBT68" s="188"/>
      <c r="BBU68" s="187"/>
      <c r="BCA68" s="188"/>
      <c r="BCB68" s="187"/>
      <c r="BCE68" s="168"/>
      <c r="BCF68" s="189"/>
      <c r="BCH68" s="188"/>
      <c r="BCI68" s="187"/>
      <c r="BCO68" s="188"/>
      <c r="BCP68" s="187"/>
      <c r="BCV68" s="188"/>
      <c r="BCW68" s="187"/>
      <c r="BDC68" s="188"/>
      <c r="BDD68" s="187"/>
      <c r="BDJ68" s="168"/>
      <c r="BDK68" s="189"/>
      <c r="BDQ68" s="188"/>
      <c r="BDR68" s="187"/>
      <c r="BDX68" s="188"/>
      <c r="BDY68" s="187"/>
      <c r="BEE68" s="188"/>
      <c r="BEF68" s="187"/>
      <c r="BEL68" s="188"/>
      <c r="BEM68" s="187"/>
      <c r="BEO68" s="168"/>
      <c r="BEP68" s="189"/>
      <c r="BES68" s="188"/>
      <c r="BET68" s="187"/>
      <c r="BEZ68" s="188"/>
      <c r="BFA68" s="187"/>
      <c r="BFG68" s="188"/>
      <c r="BFH68" s="187"/>
      <c r="BFN68" s="188"/>
      <c r="BFO68" s="187"/>
      <c r="BFQ68" s="168"/>
      <c r="BFR68" s="189"/>
      <c r="BFU68" s="188"/>
      <c r="BFV68" s="187"/>
      <c r="BGB68" s="188"/>
      <c r="BGC68" s="187"/>
      <c r="BGI68" s="188"/>
      <c r="BGJ68" s="187"/>
      <c r="BGP68" s="188"/>
      <c r="BGQ68" s="187"/>
      <c r="BGV68" s="168"/>
      <c r="BGW68" s="191"/>
      <c r="BGX68" s="187"/>
      <c r="BHD68" s="188"/>
      <c r="BHE68" s="187"/>
      <c r="BHK68" s="188"/>
      <c r="BHL68" s="187"/>
      <c r="BHR68" s="188"/>
      <c r="BHS68" s="187"/>
      <c r="BHY68" s="188"/>
      <c r="BHZ68" s="190"/>
      <c r="BIA68" s="189"/>
      <c r="BIF68" s="188"/>
      <c r="BIG68" s="187"/>
      <c r="BIM68" s="188"/>
      <c r="BIN68" s="187"/>
      <c r="BIT68" s="188"/>
      <c r="BIU68" s="187"/>
      <c r="BJA68" s="188"/>
      <c r="BJB68" s="187"/>
      <c r="BJE68" s="168"/>
      <c r="BJF68" s="189"/>
      <c r="BJH68" s="188"/>
      <c r="BJI68" s="187"/>
      <c r="BJO68" s="188"/>
      <c r="BJP68" s="187"/>
      <c r="BJV68" s="188"/>
      <c r="BJW68" s="187"/>
      <c r="BKC68" s="188"/>
      <c r="BKD68" s="187"/>
      <c r="BKI68" s="168"/>
      <c r="BKJ68" s="191"/>
      <c r="BKK68" s="187"/>
      <c r="BKQ68" s="188"/>
      <c r="BKR68" s="187"/>
      <c r="BKX68" s="188"/>
      <c r="BKY68" s="187"/>
      <c r="BLE68" s="188"/>
      <c r="BLF68" s="187"/>
      <c r="BLL68" s="188"/>
      <c r="BLM68" s="187"/>
      <c r="BLN68" s="168"/>
      <c r="BLO68" s="189"/>
      <c r="BLS68" s="188"/>
      <c r="BLT68" s="187"/>
      <c r="BLZ68" s="188"/>
      <c r="BMA68" s="187"/>
      <c r="BMG68" s="188"/>
      <c r="BMH68" s="187"/>
      <c r="BMN68" s="188"/>
      <c r="BMO68" s="187"/>
      <c r="BMS68" s="168"/>
      <c r="BMT68" s="189"/>
      <c r="BMU68" s="188"/>
      <c r="BMV68" s="187"/>
      <c r="BNB68" s="188"/>
      <c r="BNC68" s="187"/>
      <c r="BNI68" s="188"/>
      <c r="BNJ68" s="187"/>
      <c r="BNP68" s="188"/>
      <c r="BNQ68" s="187"/>
      <c r="BNW68" s="168"/>
      <c r="BNX68" s="189"/>
      <c r="BOD68" s="188"/>
      <c r="BOE68" s="187"/>
      <c r="BOK68" s="188"/>
      <c r="BOL68" s="187"/>
      <c r="BOR68" s="188"/>
      <c r="BOS68" s="187"/>
      <c r="BOY68" s="188"/>
      <c r="BOZ68" s="187"/>
      <c r="BPB68" s="168"/>
      <c r="BPC68" s="189"/>
      <c r="BPF68" s="188"/>
      <c r="BPG68" s="187"/>
      <c r="BPM68" s="188"/>
      <c r="BPN68" s="187"/>
      <c r="BPT68" s="188"/>
      <c r="BPU68" s="187"/>
      <c r="BQA68" s="188"/>
      <c r="BQB68" s="187"/>
      <c r="BQF68" s="168"/>
      <c r="BQG68" s="189"/>
      <c r="BQH68" s="188"/>
      <c r="BQI68" s="187"/>
      <c r="BQO68" s="188"/>
      <c r="BQP68" s="187"/>
      <c r="BQV68" s="188"/>
      <c r="BQW68" s="187"/>
      <c r="BRC68" s="188"/>
      <c r="BRD68" s="187"/>
      <c r="BRJ68" s="188"/>
      <c r="BRK68" s="190"/>
      <c r="BRL68" s="189"/>
      <c r="BRQ68" s="188"/>
      <c r="BRR68" s="187"/>
      <c r="BRX68" s="188"/>
      <c r="BRY68" s="187"/>
      <c r="BSE68" s="188"/>
      <c r="BSF68" s="187"/>
      <c r="BSL68" s="188"/>
      <c r="BSM68" s="187"/>
      <c r="BSP68" s="168"/>
      <c r="BSQ68" s="189"/>
      <c r="BSS68" s="188"/>
      <c r="BST68" s="187"/>
      <c r="BSZ68" s="188"/>
      <c r="BTA68" s="187"/>
      <c r="BTG68" s="188"/>
      <c r="BTH68" s="187"/>
      <c r="BTN68" s="188"/>
      <c r="BTO68" s="187"/>
      <c r="BTS68" s="168"/>
      <c r="BTT68" s="189"/>
      <c r="BTU68" s="188"/>
      <c r="BTV68" s="187"/>
      <c r="BUB68" s="188"/>
      <c r="BUC68" s="187"/>
      <c r="BUI68" s="188"/>
      <c r="BUJ68" s="187"/>
      <c r="BUP68" s="188"/>
      <c r="BUQ68" s="187"/>
      <c r="BUW68" s="188"/>
      <c r="BUX68" s="190"/>
      <c r="BUY68" s="189"/>
      <c r="BVD68" s="188"/>
      <c r="BVE68" s="187"/>
      <c r="BVK68" s="188"/>
      <c r="BVL68" s="187"/>
      <c r="BVR68" s="188"/>
      <c r="BVS68" s="187"/>
      <c r="BVY68" s="188"/>
      <c r="BVZ68" s="187"/>
      <c r="BWB68" s="168"/>
      <c r="BWC68" s="189"/>
      <c r="BWF68" s="188"/>
      <c r="BWG68" s="187"/>
      <c r="BWM68" s="188"/>
      <c r="BWN68" s="187"/>
      <c r="BWT68" s="188"/>
      <c r="BWU68" s="187"/>
      <c r="BXA68" s="188"/>
      <c r="BXB68" s="187"/>
      <c r="BXG68" s="168"/>
      <c r="BXH68" s="191"/>
      <c r="BXI68" s="187"/>
      <c r="BXO68" s="188"/>
      <c r="BXP68" s="187"/>
      <c r="BXV68" s="188"/>
      <c r="BXW68" s="187"/>
      <c r="BYC68" s="188"/>
      <c r="BYD68" s="187"/>
      <c r="BYJ68" s="188"/>
      <c r="BYK68" s="190"/>
      <c r="BYL68" s="189"/>
      <c r="BYQ68" s="188"/>
      <c r="BYR68" s="187"/>
      <c r="BYX68" s="188"/>
      <c r="BYY68" s="187"/>
      <c r="BZE68" s="188"/>
      <c r="BZF68" s="187"/>
      <c r="BZL68" s="188"/>
      <c r="BZM68" s="187"/>
      <c r="BZP68" s="168"/>
      <c r="BZQ68" s="189"/>
      <c r="BZS68" s="188"/>
      <c r="BZT68" s="187"/>
      <c r="BZZ68" s="188"/>
      <c r="CAA68" s="187"/>
      <c r="CAG68" s="188"/>
      <c r="CAH68" s="187"/>
      <c r="CAN68" s="188"/>
      <c r="CAO68" s="187"/>
      <c r="CAU68" s="168"/>
      <c r="CAV68" s="189"/>
      <c r="CBB68" s="188"/>
      <c r="CBC68" s="187"/>
      <c r="CBI68" s="188"/>
      <c r="CBJ68" s="187"/>
      <c r="CBP68" s="188"/>
      <c r="CBQ68" s="187"/>
      <c r="CBW68" s="188"/>
      <c r="CBX68" s="187"/>
      <c r="CBY68" s="168"/>
      <c r="CBZ68" s="189"/>
      <c r="CCD68" s="188"/>
      <c r="CCE68" s="187"/>
      <c r="CCK68" s="188"/>
      <c r="CCL68" s="187"/>
      <c r="CCR68" s="188"/>
      <c r="CCS68" s="187"/>
      <c r="CCY68" s="188"/>
      <c r="CCZ68" s="187"/>
      <c r="CDD68" s="168"/>
      <c r="CDE68" s="189"/>
      <c r="CDF68" s="188"/>
      <c r="CDG68" s="187"/>
      <c r="CDM68" s="188"/>
      <c r="CDN68" s="187"/>
      <c r="CDT68" s="188"/>
      <c r="CDU68" s="187"/>
      <c r="CEA68" s="188"/>
      <c r="CEB68" s="187"/>
      <c r="CEH68" s="168"/>
      <c r="CEI68" s="189"/>
      <c r="CEO68" s="188"/>
      <c r="CEP68" s="187"/>
      <c r="CEV68" s="188"/>
      <c r="CEW68" s="187"/>
      <c r="CFC68" s="188"/>
      <c r="CFD68" s="187"/>
      <c r="CFJ68" s="188"/>
      <c r="CFK68" s="187"/>
    </row>
    <row r="69" spans="1:1019 1025:2048 2054:2195">
      <c r="A69" s="164" t="s">
        <v>340</v>
      </c>
      <c r="D69" s="186"/>
      <c r="E69" s="186"/>
      <c r="K69" s="187"/>
      <c r="Q69" s="188"/>
      <c r="R69" s="187"/>
      <c r="X69" s="188"/>
      <c r="Y69" s="187"/>
      <c r="AE69" s="188"/>
      <c r="AF69" s="187"/>
      <c r="AJ69" s="168"/>
      <c r="AK69" s="189"/>
      <c r="AL69" s="188"/>
      <c r="AM69" s="187"/>
      <c r="AS69" s="188"/>
      <c r="AT69" s="187"/>
      <c r="AZ69" s="188"/>
      <c r="BA69" s="187"/>
      <c r="BG69" s="188"/>
      <c r="BH69" s="187"/>
      <c r="BL69" s="168"/>
      <c r="BM69" s="189"/>
      <c r="BN69" s="188"/>
      <c r="BO69" s="187"/>
      <c r="BU69" s="188"/>
      <c r="BV69" s="187"/>
      <c r="CB69" s="188"/>
      <c r="CC69" s="187"/>
      <c r="CI69" s="188"/>
      <c r="CJ69" s="187"/>
      <c r="CP69" s="188"/>
      <c r="CQ69" s="190"/>
      <c r="CR69" s="189"/>
      <c r="CW69" s="188"/>
      <c r="CX69" s="187"/>
      <c r="DD69" s="188"/>
      <c r="DE69" s="187"/>
      <c r="DK69" s="188"/>
      <c r="DL69" s="187"/>
      <c r="DR69" s="188"/>
      <c r="DS69" s="187"/>
      <c r="DU69" s="168"/>
      <c r="DV69" s="189"/>
      <c r="DY69" s="188"/>
      <c r="DZ69" s="187"/>
      <c r="EF69" s="188"/>
      <c r="EG69" s="187"/>
      <c r="EM69" s="188"/>
      <c r="EN69" s="187"/>
      <c r="ET69" s="188"/>
      <c r="EU69" s="187"/>
      <c r="EZ69" s="168"/>
      <c r="FA69" s="191"/>
      <c r="FB69" s="187"/>
      <c r="FH69" s="188"/>
      <c r="FI69" s="187"/>
      <c r="FO69" s="188"/>
      <c r="FP69" s="187"/>
      <c r="FV69" s="188"/>
      <c r="FW69" s="187"/>
      <c r="GC69" s="188"/>
      <c r="GD69" s="190"/>
      <c r="GE69" s="189"/>
      <c r="GJ69" s="188"/>
      <c r="GK69" s="187"/>
      <c r="GQ69" s="188"/>
      <c r="GR69" s="187"/>
      <c r="GX69" s="188"/>
      <c r="GY69" s="187"/>
      <c r="HE69" s="188"/>
      <c r="HF69" s="187"/>
      <c r="HI69" s="168"/>
      <c r="HJ69" s="189"/>
      <c r="HL69" s="188"/>
      <c r="HM69" s="187"/>
      <c r="HS69" s="188"/>
      <c r="HT69" s="187"/>
      <c r="HZ69" s="188"/>
      <c r="IA69" s="187"/>
      <c r="IG69" s="188"/>
      <c r="IH69" s="187"/>
      <c r="IN69" s="168"/>
      <c r="IO69" s="189"/>
      <c r="IU69" s="188"/>
      <c r="IV69" s="187"/>
      <c r="JB69" s="188"/>
      <c r="JC69" s="187"/>
      <c r="JI69" s="188"/>
      <c r="JJ69" s="187"/>
      <c r="JP69" s="188"/>
      <c r="JQ69" s="187"/>
      <c r="JR69" s="168"/>
      <c r="JS69" s="189"/>
      <c r="JW69" s="188"/>
      <c r="JX69" s="187"/>
      <c r="KD69" s="188"/>
      <c r="KE69" s="187"/>
      <c r="KK69" s="188"/>
      <c r="KL69" s="187"/>
      <c r="KR69" s="188"/>
      <c r="KS69" s="187"/>
      <c r="KW69" s="168"/>
      <c r="KX69" s="189"/>
      <c r="KY69" s="188"/>
      <c r="KZ69" s="187"/>
      <c r="LF69" s="188"/>
      <c r="LG69" s="187"/>
      <c r="LM69" s="188"/>
      <c r="LN69" s="187"/>
      <c r="LT69" s="188"/>
      <c r="LU69" s="187"/>
      <c r="MA69" s="168"/>
      <c r="MB69" s="189"/>
      <c r="MH69" s="188"/>
      <c r="MI69" s="187"/>
      <c r="MO69" s="188"/>
      <c r="MP69" s="187"/>
      <c r="MV69" s="188"/>
      <c r="MW69" s="187"/>
      <c r="NC69" s="188"/>
      <c r="ND69" s="187"/>
      <c r="NF69" s="168"/>
      <c r="NG69" s="189"/>
      <c r="NJ69" s="188"/>
      <c r="NK69" s="187"/>
      <c r="NQ69" s="188"/>
      <c r="NR69" s="187"/>
      <c r="NX69" s="188"/>
      <c r="NY69" s="187"/>
      <c r="OE69" s="188"/>
      <c r="OF69" s="187"/>
      <c r="OK69" s="168"/>
      <c r="OL69" s="191"/>
      <c r="OM69" s="187"/>
      <c r="OS69" s="188"/>
      <c r="OT69" s="187"/>
      <c r="OZ69" s="188"/>
      <c r="PA69" s="187"/>
      <c r="PG69" s="188"/>
      <c r="PH69" s="187"/>
      <c r="PN69" s="168"/>
      <c r="PO69" s="189"/>
      <c r="PU69" s="188"/>
      <c r="PV69" s="187"/>
      <c r="QB69" s="188"/>
      <c r="QC69" s="187"/>
      <c r="QI69" s="188"/>
      <c r="QJ69" s="187"/>
      <c r="QP69" s="188"/>
      <c r="QQ69" s="187"/>
      <c r="QS69" s="168"/>
      <c r="QT69" s="189"/>
      <c r="QW69" s="188"/>
      <c r="QX69" s="187"/>
      <c r="RD69" s="188"/>
      <c r="RE69" s="187"/>
      <c r="RK69" s="188"/>
      <c r="RL69" s="187"/>
      <c r="RR69" s="188"/>
      <c r="RS69" s="187"/>
      <c r="RW69" s="168"/>
      <c r="RX69" s="189"/>
      <c r="RY69" s="188"/>
      <c r="RZ69" s="187"/>
      <c r="SF69" s="188"/>
      <c r="SG69" s="187"/>
      <c r="SM69" s="188"/>
      <c r="SN69" s="187"/>
      <c r="ST69" s="188"/>
      <c r="SU69" s="187"/>
      <c r="TA69" s="188"/>
      <c r="TB69" s="190"/>
      <c r="TC69" s="189"/>
      <c r="TH69" s="188"/>
      <c r="TI69" s="187"/>
      <c r="TO69" s="188"/>
      <c r="TP69" s="187"/>
      <c r="TV69" s="188"/>
      <c r="TW69" s="187"/>
      <c r="UC69" s="188"/>
      <c r="UD69" s="187"/>
      <c r="UF69" s="168"/>
      <c r="UG69" s="189"/>
      <c r="UJ69" s="188"/>
      <c r="UK69" s="187"/>
      <c r="UQ69" s="188"/>
      <c r="UR69" s="187"/>
      <c r="UX69" s="188"/>
      <c r="UY69" s="187"/>
      <c r="VE69" s="188"/>
      <c r="VF69" s="187"/>
      <c r="VK69" s="168"/>
      <c r="VL69" s="191"/>
      <c r="VM69" s="187"/>
      <c r="VS69" s="188"/>
      <c r="VT69" s="187"/>
      <c r="VZ69" s="188"/>
      <c r="WA69" s="187"/>
      <c r="WG69" s="188"/>
      <c r="WH69" s="187"/>
      <c r="WN69" s="188"/>
      <c r="WO69" s="187"/>
      <c r="WP69" s="168"/>
      <c r="WQ69" s="189"/>
      <c r="WU69" s="188"/>
      <c r="WV69" s="187"/>
      <c r="XB69" s="188"/>
      <c r="XC69" s="187"/>
      <c r="XI69" s="188"/>
      <c r="XJ69" s="187"/>
      <c r="XP69" s="188"/>
      <c r="XQ69" s="187"/>
      <c r="XT69" s="168"/>
      <c r="XU69" s="189"/>
      <c r="XW69" s="188"/>
      <c r="XX69" s="187"/>
      <c r="YD69" s="188"/>
      <c r="YE69" s="187"/>
      <c r="YK69" s="188"/>
      <c r="YL69" s="187"/>
      <c r="YR69" s="188"/>
      <c r="YS69" s="187"/>
      <c r="YY69" s="168"/>
      <c r="YZ69" s="189"/>
      <c r="ZF69" s="188"/>
      <c r="ZG69" s="187"/>
      <c r="ZM69" s="188"/>
      <c r="ZN69" s="187"/>
      <c r="ZT69" s="188"/>
      <c r="ZU69" s="187"/>
      <c r="AAA69" s="188"/>
      <c r="AAB69" s="187"/>
      <c r="AAC69" s="168"/>
      <c r="AAD69" s="189"/>
      <c r="AAH69" s="188"/>
      <c r="AAI69" s="187"/>
      <c r="AAO69" s="188"/>
      <c r="AAP69" s="187"/>
      <c r="AAV69" s="188"/>
      <c r="AAW69" s="187"/>
      <c r="ABC69" s="188"/>
      <c r="ABD69" s="187"/>
      <c r="ABH69" s="168"/>
      <c r="ABI69" s="189"/>
      <c r="ABJ69" s="188"/>
      <c r="ABK69" s="187"/>
      <c r="ABQ69" s="188"/>
      <c r="ABR69" s="187"/>
      <c r="ABX69" s="188"/>
      <c r="ABY69" s="187"/>
      <c r="ACE69" s="188"/>
      <c r="ACF69" s="187"/>
      <c r="ACL69" s="188"/>
      <c r="ACM69" s="190"/>
      <c r="ACN69" s="189"/>
      <c r="ACS69" s="188"/>
      <c r="ACT69" s="187"/>
      <c r="ACZ69" s="188"/>
      <c r="ADA69" s="187"/>
      <c r="ADG69" s="188"/>
      <c r="ADH69" s="187"/>
      <c r="ADN69" s="188"/>
      <c r="ADO69" s="190"/>
      <c r="ADP69" s="189"/>
      <c r="ADU69" s="188"/>
      <c r="ADV69" s="187"/>
      <c r="AEB69" s="188"/>
      <c r="AEC69" s="187"/>
      <c r="AEI69" s="188"/>
      <c r="AEJ69" s="187"/>
      <c r="AEP69" s="188"/>
      <c r="AEQ69" s="187"/>
      <c r="AET69" s="168"/>
      <c r="AEU69" s="189"/>
      <c r="AEW69" s="188"/>
      <c r="AEX69" s="187"/>
      <c r="AFD69" s="188"/>
      <c r="AFE69" s="187"/>
      <c r="AFK69" s="188"/>
      <c r="AFL69" s="187"/>
      <c r="AFR69" s="188"/>
      <c r="AFS69" s="187"/>
      <c r="AFX69" s="168"/>
      <c r="AFY69" s="191"/>
      <c r="AFZ69" s="187"/>
      <c r="AGF69" s="188"/>
      <c r="AGG69" s="187"/>
      <c r="AGM69" s="188"/>
      <c r="AGN69" s="187"/>
      <c r="AGT69" s="188"/>
      <c r="AGU69" s="187"/>
      <c r="AHA69" s="188"/>
      <c r="AHB69" s="187"/>
      <c r="AHC69" s="168"/>
      <c r="AHD69" s="189"/>
      <c r="AHH69" s="188"/>
      <c r="AHI69" s="187"/>
      <c r="AHO69" s="188"/>
      <c r="AHP69" s="187"/>
      <c r="AHV69" s="188"/>
      <c r="AHW69" s="187"/>
      <c r="AIC69" s="188"/>
      <c r="AID69" s="187"/>
      <c r="AIG69" s="168"/>
      <c r="AIH69" s="189"/>
      <c r="AIJ69" s="188"/>
      <c r="AIK69" s="187"/>
      <c r="AIQ69" s="188"/>
      <c r="AIR69" s="187"/>
      <c r="AIX69" s="188"/>
      <c r="AIY69" s="187"/>
      <c r="AJE69" s="188"/>
      <c r="AJF69" s="187"/>
      <c r="AJL69" s="168"/>
      <c r="AJM69" s="189"/>
      <c r="AJS69" s="188"/>
      <c r="AJT69" s="187"/>
      <c r="AJZ69" s="188"/>
      <c r="AKA69" s="187"/>
      <c r="AKG69" s="188"/>
      <c r="AKH69" s="187"/>
      <c r="AKN69" s="188"/>
      <c r="AKO69" s="187"/>
      <c r="AKQ69" s="168"/>
      <c r="AKR69" s="189"/>
      <c r="AKU69" s="188"/>
      <c r="AKV69" s="187"/>
      <c r="ALB69" s="188"/>
      <c r="ALC69" s="187"/>
      <c r="ALI69" s="188"/>
      <c r="ALJ69" s="187"/>
      <c r="ALP69" s="188"/>
      <c r="ALQ69" s="187"/>
      <c r="ALU69" s="168"/>
      <c r="ALV69" s="189"/>
      <c r="ALW69" s="188"/>
      <c r="ALX69" s="187"/>
      <c r="AMD69" s="188"/>
      <c r="AME69" s="187"/>
      <c r="AMK69" s="188"/>
      <c r="AML69" s="187"/>
      <c r="AMR69" s="188"/>
      <c r="AMS69" s="187"/>
      <c r="AMY69" s="188"/>
      <c r="AMZ69" s="190"/>
      <c r="ANA69" s="189"/>
      <c r="ANF69" s="188"/>
      <c r="ANG69" s="187"/>
      <c r="ANM69" s="188"/>
      <c r="ANN69" s="187"/>
      <c r="ANT69" s="188"/>
      <c r="ANU69" s="187"/>
      <c r="AOA69" s="188"/>
      <c r="AOB69" s="187"/>
      <c r="AOD69" s="168"/>
      <c r="AOE69" s="189"/>
      <c r="AOH69" s="188"/>
      <c r="AOI69" s="187"/>
      <c r="AOO69" s="188"/>
      <c r="AOP69" s="187"/>
      <c r="AOV69" s="188"/>
      <c r="AOW69" s="187"/>
      <c r="APC69" s="188"/>
      <c r="APD69" s="187"/>
      <c r="API69" s="168"/>
      <c r="APJ69" s="191"/>
      <c r="APK69" s="187"/>
      <c r="APQ69" s="188"/>
      <c r="APR69" s="187"/>
      <c r="APX69" s="188"/>
      <c r="APY69" s="187"/>
      <c r="AQE69" s="188"/>
      <c r="AQF69" s="187"/>
      <c r="AQL69" s="188"/>
      <c r="AQM69" s="187"/>
      <c r="AQN69" s="168"/>
      <c r="AQO69" s="189"/>
      <c r="AQS69" s="188"/>
      <c r="AQT69" s="187"/>
      <c r="AQZ69" s="188"/>
      <c r="ARA69" s="187"/>
      <c r="ARG69" s="188"/>
      <c r="ARH69" s="187"/>
      <c r="ARN69" s="188"/>
      <c r="ARO69" s="187"/>
      <c r="ARP69" s="168"/>
      <c r="ARQ69" s="189"/>
      <c r="ARU69" s="188"/>
      <c r="ARV69" s="187"/>
      <c r="ASB69" s="188"/>
      <c r="ASC69" s="187"/>
      <c r="ASI69" s="188"/>
      <c r="ASJ69" s="187"/>
      <c r="ASP69" s="188"/>
      <c r="ASQ69" s="187"/>
      <c r="ASU69" s="168"/>
      <c r="ASV69" s="189"/>
      <c r="ASW69" s="188"/>
      <c r="ASX69" s="187"/>
      <c r="ATD69" s="188"/>
      <c r="ATE69" s="187"/>
      <c r="ATK69" s="188"/>
      <c r="ATL69" s="187"/>
      <c r="ATR69" s="188"/>
      <c r="ATS69" s="187"/>
      <c r="ATY69" s="168"/>
      <c r="ATZ69" s="189"/>
      <c r="AUF69" s="188"/>
      <c r="AUG69" s="187"/>
      <c r="AUM69" s="188"/>
      <c r="AUN69" s="187"/>
      <c r="AUT69" s="188"/>
      <c r="AUU69" s="187"/>
      <c r="AVA69" s="188"/>
      <c r="AVB69" s="187"/>
      <c r="AVD69" s="168"/>
      <c r="AVE69" s="189"/>
      <c r="AVH69" s="188"/>
      <c r="AVI69" s="187"/>
      <c r="AVO69" s="188"/>
      <c r="AVP69" s="187"/>
      <c r="AVV69" s="188"/>
      <c r="AVW69" s="187"/>
      <c r="AWC69" s="188"/>
      <c r="AWD69" s="187"/>
      <c r="AWH69" s="168"/>
      <c r="AWI69" s="189"/>
      <c r="AWJ69" s="188"/>
      <c r="AWK69" s="187"/>
      <c r="AWQ69" s="188"/>
      <c r="AWR69" s="187"/>
      <c r="AWX69" s="188"/>
      <c r="AWY69" s="187"/>
      <c r="AXE69" s="188"/>
      <c r="AXF69" s="187"/>
      <c r="AXL69" s="188"/>
      <c r="AXM69" s="190"/>
      <c r="AXN69" s="189"/>
      <c r="AXS69" s="188"/>
      <c r="AXT69" s="187"/>
      <c r="AXZ69" s="188"/>
      <c r="AYA69" s="187"/>
      <c r="AYG69" s="188"/>
      <c r="AYH69" s="187"/>
      <c r="AYN69" s="188"/>
      <c r="AYO69" s="187"/>
      <c r="AYR69" s="168"/>
      <c r="AYS69" s="189"/>
      <c r="AYU69" s="188"/>
      <c r="AYV69" s="187"/>
      <c r="AZB69" s="188"/>
      <c r="AZC69" s="187"/>
      <c r="AZI69" s="188"/>
      <c r="AZJ69" s="187"/>
      <c r="AZP69" s="188"/>
      <c r="AZQ69" s="187"/>
      <c r="AZV69" s="168"/>
      <c r="AZW69" s="191"/>
      <c r="AZX69" s="187"/>
      <c r="BAD69" s="188"/>
      <c r="BAE69" s="187"/>
      <c r="BAK69" s="188"/>
      <c r="BAL69" s="187"/>
      <c r="BAR69" s="188"/>
      <c r="BAS69" s="187"/>
      <c r="BAY69" s="188"/>
      <c r="BAZ69" s="187"/>
      <c r="BBA69" s="168"/>
      <c r="BBB69" s="189"/>
      <c r="BBF69" s="188"/>
      <c r="BBG69" s="187"/>
      <c r="BBM69" s="188"/>
      <c r="BBN69" s="187"/>
      <c r="BBT69" s="188"/>
      <c r="BBU69" s="187"/>
      <c r="BCA69" s="188"/>
      <c r="BCB69" s="187"/>
      <c r="BCE69" s="168"/>
      <c r="BCF69" s="189"/>
      <c r="BCH69" s="188"/>
      <c r="BCI69" s="187"/>
      <c r="BCO69" s="188"/>
      <c r="BCP69" s="187"/>
      <c r="BCV69" s="188"/>
      <c r="BCW69" s="187"/>
      <c r="BDC69" s="188"/>
      <c r="BDD69" s="187"/>
      <c r="BDJ69" s="168"/>
      <c r="BDK69" s="189"/>
      <c r="BDQ69" s="188"/>
      <c r="BDR69" s="187"/>
      <c r="BDX69" s="188"/>
      <c r="BDY69" s="187"/>
      <c r="BEE69" s="188"/>
      <c r="BEF69" s="187"/>
      <c r="BEL69" s="188"/>
      <c r="BEM69" s="187"/>
      <c r="BEO69" s="168"/>
      <c r="BEP69" s="189"/>
      <c r="BES69" s="188"/>
      <c r="BET69" s="187"/>
      <c r="BEZ69" s="188"/>
      <c r="BFA69" s="187"/>
      <c r="BFG69" s="188"/>
      <c r="BFH69" s="187"/>
      <c r="BFN69" s="188"/>
      <c r="BFO69" s="187"/>
      <c r="BFQ69" s="168"/>
      <c r="BFR69" s="189"/>
      <c r="BFU69" s="188"/>
      <c r="BFV69" s="187"/>
      <c r="BGB69" s="188"/>
      <c r="BGC69" s="187"/>
      <c r="BGI69" s="188"/>
      <c r="BGJ69" s="187"/>
      <c r="BGP69" s="188"/>
      <c r="BGQ69" s="187"/>
      <c r="BGV69" s="168"/>
      <c r="BGW69" s="191"/>
      <c r="BGX69" s="187"/>
      <c r="BHD69" s="188"/>
      <c r="BHE69" s="187"/>
      <c r="BHK69" s="188"/>
      <c r="BHL69" s="187"/>
      <c r="BHR69" s="188"/>
      <c r="BHS69" s="187"/>
      <c r="BHY69" s="188"/>
      <c r="BHZ69" s="190"/>
      <c r="BIA69" s="189"/>
      <c r="BIF69" s="188"/>
      <c r="BIG69" s="187"/>
      <c r="BIM69" s="188"/>
      <c r="BIN69" s="187"/>
      <c r="BIT69" s="188"/>
      <c r="BIU69" s="187"/>
      <c r="BJA69" s="188"/>
      <c r="BJB69" s="187"/>
      <c r="BJE69" s="168"/>
      <c r="BJF69" s="189"/>
      <c r="BJH69" s="188"/>
      <c r="BJI69" s="187"/>
      <c r="BJO69" s="188"/>
      <c r="BJP69" s="187"/>
      <c r="BJV69" s="188"/>
      <c r="BJW69" s="187"/>
      <c r="BKC69" s="188"/>
      <c r="BKD69" s="187"/>
      <c r="BKI69" s="168"/>
      <c r="BKJ69" s="191"/>
      <c r="BKK69" s="187"/>
      <c r="BKQ69" s="188"/>
      <c r="BKR69" s="187"/>
      <c r="BKX69" s="188"/>
      <c r="BKY69" s="187"/>
      <c r="BLE69" s="188"/>
      <c r="BLF69" s="187"/>
      <c r="BLL69" s="188"/>
      <c r="BLM69" s="187"/>
      <c r="BLN69" s="168"/>
      <c r="BLO69" s="189"/>
      <c r="BLS69" s="188"/>
      <c r="BLT69" s="187"/>
      <c r="BLZ69" s="188"/>
      <c r="BMA69" s="187"/>
      <c r="BMG69" s="188"/>
      <c r="BMH69" s="187"/>
      <c r="BMN69" s="188"/>
      <c r="BMO69" s="187"/>
      <c r="BMS69" s="168"/>
      <c r="BMT69" s="189"/>
      <c r="BMU69" s="188"/>
      <c r="BMV69" s="187"/>
      <c r="BNB69" s="188"/>
      <c r="BNC69" s="187"/>
      <c r="BNI69" s="188"/>
      <c r="BNJ69" s="187"/>
      <c r="BNP69" s="188"/>
      <c r="BNQ69" s="187"/>
      <c r="BNW69" s="168"/>
      <c r="BNX69" s="189"/>
      <c r="BOD69" s="188"/>
      <c r="BOE69" s="187"/>
      <c r="BOK69" s="188"/>
      <c r="BOL69" s="187"/>
      <c r="BOR69" s="188"/>
      <c r="BOS69" s="187"/>
      <c r="BOY69" s="188"/>
      <c r="BOZ69" s="187"/>
      <c r="BPB69" s="168"/>
      <c r="BPC69" s="189"/>
      <c r="BPF69" s="188"/>
      <c r="BPG69" s="187"/>
      <c r="BPM69" s="188"/>
      <c r="BPN69" s="187"/>
      <c r="BPT69" s="188"/>
      <c r="BPU69" s="187"/>
      <c r="BQA69" s="188"/>
      <c r="BQB69" s="187"/>
      <c r="BQF69" s="168"/>
      <c r="BQG69" s="189"/>
      <c r="BQH69" s="188"/>
      <c r="BQI69" s="187"/>
      <c r="BQO69" s="188"/>
      <c r="BQP69" s="187"/>
      <c r="BQV69" s="188"/>
      <c r="BQW69" s="187"/>
      <c r="BRC69" s="188"/>
      <c r="BRD69" s="187"/>
      <c r="BRJ69" s="188"/>
      <c r="BRK69" s="190"/>
      <c r="BRL69" s="189"/>
      <c r="BRQ69" s="188"/>
      <c r="BRR69" s="187"/>
      <c r="BRX69" s="188"/>
      <c r="BRY69" s="187"/>
      <c r="BSE69" s="188"/>
      <c r="BSF69" s="187"/>
      <c r="BSL69" s="188"/>
      <c r="BSM69" s="187"/>
      <c r="BSP69" s="168"/>
      <c r="BSQ69" s="189"/>
      <c r="BSS69" s="188"/>
      <c r="BST69" s="187"/>
      <c r="BSZ69" s="188"/>
      <c r="BTA69" s="187"/>
      <c r="BTG69" s="188"/>
      <c r="BTH69" s="187"/>
      <c r="BTN69" s="188"/>
      <c r="BTO69" s="187"/>
      <c r="BTS69" s="168"/>
      <c r="BTT69" s="189"/>
      <c r="BTU69" s="188"/>
      <c r="BTV69" s="187"/>
      <c r="BUB69" s="188"/>
      <c r="BUC69" s="187"/>
      <c r="BUI69" s="188"/>
      <c r="BUJ69" s="187"/>
      <c r="BUP69" s="188"/>
      <c r="BUQ69" s="187"/>
      <c r="BUW69" s="188"/>
      <c r="BUX69" s="190"/>
      <c r="BUY69" s="189"/>
      <c r="BVD69" s="188"/>
      <c r="BVE69" s="187"/>
      <c r="BVK69" s="188"/>
      <c r="BVL69" s="187"/>
      <c r="BVR69" s="188"/>
      <c r="BVS69" s="187"/>
      <c r="BVY69" s="188"/>
      <c r="BVZ69" s="187"/>
      <c r="BWB69" s="168"/>
      <c r="BWC69" s="189"/>
      <c r="BWF69" s="188"/>
      <c r="BWG69" s="187"/>
      <c r="BWM69" s="188"/>
      <c r="BWN69" s="187"/>
      <c r="BWT69" s="188"/>
      <c r="BWU69" s="187"/>
      <c r="BXA69" s="188"/>
      <c r="BXB69" s="187"/>
      <c r="BXG69" s="168"/>
      <c r="BXH69" s="191"/>
      <c r="BXI69" s="187"/>
      <c r="BXO69" s="188"/>
      <c r="BXP69" s="187"/>
      <c r="BXV69" s="188"/>
      <c r="BXW69" s="187"/>
      <c r="BYC69" s="188"/>
      <c r="BYD69" s="187"/>
      <c r="BYJ69" s="188"/>
      <c r="BYK69" s="190"/>
      <c r="BYL69" s="189"/>
      <c r="BYQ69" s="188"/>
      <c r="BYR69" s="187"/>
      <c r="BYX69" s="188"/>
      <c r="BYY69" s="187"/>
      <c r="BZE69" s="188"/>
      <c r="BZF69" s="187"/>
      <c r="BZL69" s="188"/>
      <c r="BZM69" s="187"/>
      <c r="BZP69" s="168"/>
      <c r="BZQ69" s="189"/>
      <c r="BZS69" s="188"/>
      <c r="BZT69" s="187"/>
      <c r="BZZ69" s="188"/>
      <c r="CAA69" s="187"/>
      <c r="CAG69" s="188"/>
      <c r="CAH69" s="187"/>
      <c r="CAN69" s="188"/>
      <c r="CAO69" s="187"/>
      <c r="CAU69" s="168"/>
      <c r="CAV69" s="189"/>
      <c r="CBB69" s="188"/>
      <c r="CBC69" s="187"/>
      <c r="CBI69" s="188"/>
      <c r="CBJ69" s="187"/>
      <c r="CBP69" s="188"/>
      <c r="CBQ69" s="187"/>
      <c r="CBW69" s="188"/>
      <c r="CBX69" s="187"/>
      <c r="CBY69" s="168"/>
      <c r="CBZ69" s="189"/>
      <c r="CCD69" s="188"/>
      <c r="CCE69" s="187"/>
      <c r="CCK69" s="188"/>
      <c r="CCL69" s="187"/>
      <c r="CCR69" s="188"/>
      <c r="CCS69" s="187"/>
      <c r="CCY69" s="188"/>
      <c r="CCZ69" s="187"/>
      <c r="CDD69" s="168"/>
      <c r="CDE69" s="189"/>
      <c r="CDF69" s="188"/>
      <c r="CDG69" s="187"/>
      <c r="CDM69" s="188"/>
      <c r="CDN69" s="187"/>
      <c r="CDT69" s="188"/>
      <c r="CDU69" s="187"/>
      <c r="CEA69" s="188"/>
      <c r="CEB69" s="187"/>
      <c r="CEH69" s="168"/>
      <c r="CEI69" s="189"/>
      <c r="CEO69" s="188"/>
      <c r="CEP69" s="187"/>
      <c r="CEV69" s="188"/>
      <c r="CEW69" s="187"/>
      <c r="CFC69" s="188"/>
      <c r="CFD69" s="187"/>
      <c r="CFJ69" s="188"/>
      <c r="CFK69" s="187"/>
    </row>
    <row r="70" spans="1:1019 1025:2048 2054:2195">
      <c r="A70" s="164" t="s">
        <v>341</v>
      </c>
      <c r="D70" s="186"/>
      <c r="E70" s="186"/>
      <c r="K70" s="187"/>
      <c r="Q70" s="188"/>
      <c r="R70" s="187"/>
      <c r="X70" s="188"/>
      <c r="Y70" s="187"/>
      <c r="AE70" s="188"/>
      <c r="AF70" s="187"/>
      <c r="AJ70" s="168"/>
      <c r="AK70" s="189"/>
      <c r="AL70" s="188"/>
      <c r="AM70" s="187"/>
      <c r="AS70" s="188"/>
      <c r="AT70" s="187"/>
      <c r="AZ70" s="188"/>
      <c r="BA70" s="187"/>
      <c r="BG70" s="188"/>
      <c r="BH70" s="187"/>
      <c r="BL70" s="168"/>
      <c r="BM70" s="189"/>
      <c r="BN70" s="188"/>
      <c r="BO70" s="187"/>
      <c r="BU70" s="188"/>
      <c r="BV70" s="187"/>
      <c r="CB70" s="188"/>
      <c r="CC70" s="187"/>
      <c r="CI70" s="188"/>
      <c r="CJ70" s="187"/>
      <c r="CP70" s="188"/>
      <c r="CQ70" s="190"/>
      <c r="CR70" s="189"/>
      <c r="CW70" s="188"/>
      <c r="CX70" s="187"/>
      <c r="DD70" s="188"/>
      <c r="DE70" s="187"/>
      <c r="DK70" s="188"/>
      <c r="DL70" s="187"/>
      <c r="DR70" s="188"/>
      <c r="DS70" s="187"/>
      <c r="DU70" s="168"/>
      <c r="DV70" s="189"/>
      <c r="DY70" s="188"/>
      <c r="DZ70" s="187"/>
      <c r="EF70" s="188"/>
      <c r="EG70" s="187"/>
      <c r="EM70" s="188"/>
      <c r="EN70" s="187"/>
      <c r="ET70" s="188"/>
      <c r="EU70" s="187"/>
      <c r="EZ70" s="168"/>
      <c r="FA70" s="191"/>
      <c r="FB70" s="187"/>
      <c r="FH70" s="188"/>
      <c r="FI70" s="187"/>
      <c r="FO70" s="188"/>
      <c r="FP70" s="187"/>
      <c r="FV70" s="188"/>
      <c r="FW70" s="187"/>
      <c r="GC70" s="188"/>
      <c r="GD70" s="190"/>
      <c r="GE70" s="189"/>
      <c r="GJ70" s="188"/>
      <c r="GK70" s="187"/>
      <c r="GQ70" s="188"/>
      <c r="GR70" s="187"/>
      <c r="GX70" s="188"/>
      <c r="GY70" s="187"/>
      <c r="HE70" s="188"/>
      <c r="HF70" s="187"/>
      <c r="HI70" s="168"/>
      <c r="HJ70" s="189"/>
      <c r="HL70" s="188"/>
      <c r="HM70" s="187"/>
      <c r="HS70" s="188"/>
      <c r="HT70" s="187"/>
      <c r="HZ70" s="188"/>
      <c r="IA70" s="187"/>
      <c r="IG70" s="188"/>
      <c r="IH70" s="187"/>
      <c r="IN70" s="168"/>
      <c r="IO70" s="189"/>
      <c r="IU70" s="188"/>
      <c r="IV70" s="187"/>
      <c r="JB70" s="188"/>
      <c r="JC70" s="187"/>
      <c r="JI70" s="188"/>
      <c r="JJ70" s="187"/>
      <c r="JP70" s="188"/>
      <c r="JQ70" s="187"/>
      <c r="JR70" s="168"/>
      <c r="JS70" s="189"/>
      <c r="JW70" s="188"/>
      <c r="JX70" s="187"/>
      <c r="KD70" s="188"/>
      <c r="KE70" s="187"/>
      <c r="KK70" s="188"/>
      <c r="KL70" s="187"/>
      <c r="KR70" s="188"/>
      <c r="KS70" s="187"/>
      <c r="KW70" s="168"/>
      <c r="KX70" s="189"/>
      <c r="KY70" s="188"/>
      <c r="KZ70" s="187"/>
      <c r="LF70" s="188"/>
      <c r="LG70" s="187"/>
      <c r="LM70" s="188"/>
      <c r="LN70" s="187"/>
      <c r="LT70" s="188"/>
      <c r="LU70" s="187"/>
      <c r="MA70" s="168"/>
      <c r="MB70" s="189"/>
      <c r="MH70" s="188"/>
      <c r="MI70" s="187"/>
      <c r="MO70" s="188"/>
      <c r="MP70" s="187"/>
      <c r="MV70" s="188"/>
      <c r="MW70" s="187"/>
      <c r="NC70" s="188"/>
      <c r="ND70" s="187"/>
      <c r="NF70" s="168"/>
      <c r="NG70" s="189"/>
      <c r="NJ70" s="188"/>
      <c r="NK70" s="187"/>
      <c r="NQ70" s="188"/>
      <c r="NR70" s="187"/>
      <c r="NX70" s="188"/>
      <c r="NY70" s="187"/>
      <c r="OE70" s="188"/>
      <c r="OF70" s="187"/>
      <c r="OK70" s="168"/>
      <c r="OL70" s="191"/>
      <c r="OM70" s="187"/>
      <c r="OS70" s="188"/>
      <c r="OT70" s="187"/>
      <c r="OZ70" s="188"/>
      <c r="PA70" s="187"/>
      <c r="PG70" s="188"/>
      <c r="PH70" s="187"/>
      <c r="PN70" s="168"/>
      <c r="PO70" s="189"/>
      <c r="PU70" s="188"/>
      <c r="PV70" s="187"/>
      <c r="QB70" s="188"/>
      <c r="QC70" s="187"/>
      <c r="QI70" s="188"/>
      <c r="QJ70" s="187"/>
      <c r="QP70" s="188"/>
      <c r="QQ70" s="187"/>
      <c r="QS70" s="168"/>
      <c r="QT70" s="189"/>
      <c r="QW70" s="188"/>
      <c r="QX70" s="187"/>
      <c r="RD70" s="188"/>
      <c r="RE70" s="187"/>
      <c r="RK70" s="188"/>
      <c r="RL70" s="187"/>
      <c r="RR70" s="188"/>
      <c r="RS70" s="187"/>
      <c r="RW70" s="168"/>
      <c r="RX70" s="189"/>
      <c r="RY70" s="188"/>
      <c r="RZ70" s="187"/>
      <c r="SF70" s="188"/>
      <c r="SG70" s="187"/>
      <c r="SM70" s="188"/>
      <c r="SN70" s="187"/>
      <c r="ST70" s="188"/>
      <c r="SU70" s="187"/>
      <c r="TA70" s="188"/>
      <c r="TB70" s="190"/>
      <c r="TC70" s="189"/>
      <c r="TH70" s="188"/>
      <c r="TI70" s="187"/>
      <c r="TO70" s="188"/>
      <c r="TP70" s="187"/>
      <c r="TV70" s="188"/>
      <c r="TW70" s="187"/>
      <c r="UC70" s="188"/>
      <c r="UD70" s="187"/>
      <c r="UF70" s="168"/>
      <c r="UG70" s="189"/>
      <c r="UJ70" s="188"/>
      <c r="UK70" s="187"/>
      <c r="UQ70" s="188"/>
      <c r="UR70" s="187"/>
      <c r="UX70" s="188"/>
      <c r="UY70" s="187"/>
      <c r="VE70" s="188"/>
      <c r="VF70" s="187"/>
      <c r="VK70" s="168"/>
      <c r="VL70" s="191"/>
      <c r="VM70" s="187"/>
      <c r="VS70" s="188"/>
      <c r="VT70" s="187"/>
      <c r="VZ70" s="188"/>
      <c r="WA70" s="187"/>
      <c r="WG70" s="188"/>
      <c r="WH70" s="187"/>
      <c r="WN70" s="188"/>
      <c r="WO70" s="187"/>
      <c r="WP70" s="168"/>
      <c r="WQ70" s="189"/>
      <c r="WU70" s="188"/>
      <c r="WV70" s="187"/>
      <c r="XB70" s="188"/>
      <c r="XC70" s="187"/>
      <c r="XI70" s="188"/>
      <c r="XJ70" s="187"/>
      <c r="XP70" s="188"/>
      <c r="XQ70" s="187"/>
      <c r="XT70" s="168"/>
      <c r="XU70" s="189"/>
      <c r="XW70" s="188"/>
      <c r="XX70" s="187"/>
      <c r="YD70" s="188"/>
      <c r="YE70" s="187"/>
      <c r="YK70" s="188"/>
      <c r="YL70" s="187"/>
      <c r="YR70" s="188"/>
      <c r="YS70" s="187"/>
      <c r="YY70" s="168"/>
      <c r="YZ70" s="189"/>
      <c r="ZF70" s="188"/>
      <c r="ZG70" s="187"/>
      <c r="ZM70" s="188"/>
      <c r="ZN70" s="187"/>
      <c r="ZT70" s="188"/>
      <c r="ZU70" s="187"/>
      <c r="AAA70" s="188"/>
      <c r="AAB70" s="187"/>
      <c r="AAC70" s="168"/>
      <c r="AAD70" s="189"/>
      <c r="AAH70" s="188"/>
      <c r="AAI70" s="187"/>
      <c r="AAO70" s="188"/>
      <c r="AAP70" s="187"/>
      <c r="AAV70" s="188"/>
      <c r="AAW70" s="187"/>
      <c r="ABC70" s="188"/>
      <c r="ABD70" s="187"/>
      <c r="ABH70" s="168"/>
      <c r="ABI70" s="189"/>
      <c r="ABJ70" s="188"/>
      <c r="ABK70" s="187"/>
      <c r="ABQ70" s="188"/>
      <c r="ABR70" s="187"/>
      <c r="ABX70" s="188"/>
      <c r="ABY70" s="187"/>
      <c r="ACE70" s="188"/>
      <c r="ACF70" s="187"/>
      <c r="ACL70" s="188"/>
      <c r="ACM70" s="190"/>
      <c r="ACN70" s="189"/>
      <c r="ACS70" s="188"/>
      <c r="ACT70" s="187"/>
      <c r="ACZ70" s="188"/>
      <c r="ADA70" s="187"/>
      <c r="ADG70" s="188"/>
      <c r="ADH70" s="187"/>
      <c r="ADN70" s="188"/>
      <c r="ADO70" s="190"/>
      <c r="ADP70" s="189"/>
      <c r="ADU70" s="188"/>
      <c r="ADV70" s="187"/>
      <c r="AEB70" s="188"/>
      <c r="AEC70" s="187"/>
      <c r="AEI70" s="188"/>
      <c r="AEJ70" s="187"/>
      <c r="AEP70" s="188"/>
      <c r="AEQ70" s="187"/>
      <c r="AET70" s="168"/>
      <c r="AEU70" s="189"/>
      <c r="AEW70" s="188"/>
      <c r="AEX70" s="187"/>
      <c r="AFD70" s="188"/>
      <c r="AFE70" s="187"/>
      <c r="AFK70" s="188"/>
      <c r="AFL70" s="187"/>
      <c r="AFR70" s="188"/>
      <c r="AFS70" s="187"/>
      <c r="AFX70" s="168"/>
      <c r="AFY70" s="191"/>
      <c r="AFZ70" s="187"/>
      <c r="AGF70" s="188"/>
      <c r="AGG70" s="187"/>
      <c r="AGM70" s="188"/>
      <c r="AGN70" s="187"/>
      <c r="AGT70" s="188"/>
      <c r="AGU70" s="187"/>
      <c r="AHA70" s="188"/>
      <c r="AHB70" s="187"/>
      <c r="AHC70" s="168"/>
      <c r="AHD70" s="189"/>
      <c r="AHH70" s="188"/>
      <c r="AHI70" s="187"/>
      <c r="AHO70" s="188"/>
      <c r="AHP70" s="187"/>
      <c r="AHV70" s="188"/>
      <c r="AHW70" s="187"/>
      <c r="AIC70" s="188"/>
      <c r="AID70" s="187"/>
      <c r="AIG70" s="168"/>
      <c r="AIH70" s="189"/>
      <c r="AIJ70" s="188"/>
      <c r="AIK70" s="187"/>
      <c r="AIQ70" s="188"/>
      <c r="AIR70" s="187"/>
      <c r="AIX70" s="188"/>
      <c r="AIY70" s="187"/>
      <c r="AJE70" s="188"/>
      <c r="AJF70" s="187"/>
      <c r="AJL70" s="168"/>
      <c r="AJM70" s="189"/>
      <c r="AJS70" s="188"/>
      <c r="AJT70" s="187"/>
      <c r="AJZ70" s="188"/>
      <c r="AKA70" s="187"/>
      <c r="AKG70" s="188"/>
      <c r="AKH70" s="187"/>
      <c r="AKN70" s="188"/>
      <c r="AKO70" s="187"/>
      <c r="AKQ70" s="168"/>
      <c r="AKR70" s="189"/>
      <c r="AKU70" s="188"/>
      <c r="AKV70" s="187"/>
      <c r="ALB70" s="188"/>
      <c r="ALC70" s="187"/>
      <c r="ALI70" s="188"/>
      <c r="ALJ70" s="187"/>
      <c r="ALP70" s="188"/>
      <c r="ALQ70" s="187"/>
      <c r="ALU70" s="168"/>
      <c r="ALV70" s="189"/>
      <c r="ALW70" s="188"/>
      <c r="ALX70" s="187"/>
      <c r="AMD70" s="188"/>
      <c r="AME70" s="187"/>
      <c r="AMK70" s="188"/>
      <c r="AML70" s="187"/>
      <c r="AMR70" s="188"/>
      <c r="AMS70" s="187"/>
      <c r="AMY70" s="188"/>
      <c r="AMZ70" s="190"/>
      <c r="ANA70" s="189"/>
      <c r="ANF70" s="188"/>
      <c r="ANG70" s="187"/>
      <c r="ANM70" s="188"/>
      <c r="ANN70" s="187"/>
      <c r="ANT70" s="188"/>
      <c r="ANU70" s="187"/>
      <c r="AOA70" s="188"/>
      <c r="AOB70" s="187"/>
      <c r="AOD70" s="168"/>
      <c r="AOE70" s="189"/>
      <c r="AOH70" s="188"/>
      <c r="AOI70" s="187"/>
      <c r="AOO70" s="188"/>
      <c r="AOP70" s="187"/>
      <c r="AOV70" s="188"/>
      <c r="AOW70" s="187"/>
      <c r="APC70" s="188"/>
      <c r="APD70" s="187"/>
      <c r="API70" s="168"/>
      <c r="APJ70" s="191"/>
      <c r="APK70" s="187"/>
      <c r="APQ70" s="188"/>
      <c r="APR70" s="187"/>
      <c r="APX70" s="188"/>
      <c r="APY70" s="187"/>
      <c r="AQE70" s="188"/>
      <c r="AQF70" s="187"/>
      <c r="AQL70" s="188"/>
      <c r="AQM70" s="187"/>
      <c r="AQN70" s="168"/>
      <c r="AQO70" s="189"/>
      <c r="AQS70" s="188"/>
      <c r="AQT70" s="187"/>
      <c r="AQZ70" s="188"/>
      <c r="ARA70" s="187"/>
      <c r="ARG70" s="188"/>
      <c r="ARH70" s="187"/>
      <c r="ARN70" s="188"/>
      <c r="ARO70" s="187"/>
      <c r="ARP70" s="168"/>
      <c r="ARQ70" s="189"/>
      <c r="ARU70" s="188"/>
      <c r="ARV70" s="187"/>
      <c r="ASB70" s="188"/>
      <c r="ASC70" s="187"/>
      <c r="ASI70" s="188"/>
      <c r="ASJ70" s="187"/>
      <c r="ASP70" s="188"/>
      <c r="ASQ70" s="187"/>
      <c r="ASU70" s="168"/>
      <c r="ASV70" s="189"/>
      <c r="ASW70" s="188"/>
      <c r="ASX70" s="187"/>
      <c r="ATD70" s="188"/>
      <c r="ATE70" s="187"/>
      <c r="ATK70" s="188"/>
      <c r="ATL70" s="187"/>
      <c r="ATR70" s="188"/>
      <c r="ATS70" s="187"/>
      <c r="ATY70" s="168"/>
      <c r="ATZ70" s="189"/>
      <c r="AUF70" s="188"/>
      <c r="AUG70" s="187"/>
      <c r="AUM70" s="188"/>
      <c r="AUN70" s="187"/>
      <c r="AUT70" s="188"/>
      <c r="AUU70" s="187"/>
      <c r="AVA70" s="188"/>
      <c r="AVB70" s="187"/>
      <c r="AVD70" s="168"/>
      <c r="AVE70" s="189"/>
      <c r="AVH70" s="188"/>
      <c r="AVI70" s="187"/>
      <c r="AVO70" s="188"/>
      <c r="AVP70" s="187"/>
      <c r="AVV70" s="188"/>
      <c r="AVW70" s="187"/>
      <c r="AWC70" s="188"/>
      <c r="AWD70" s="187"/>
      <c r="AWH70" s="168"/>
      <c r="AWI70" s="189"/>
      <c r="AWJ70" s="188"/>
      <c r="AWK70" s="187"/>
      <c r="AWQ70" s="188"/>
      <c r="AWR70" s="187"/>
      <c r="AWX70" s="188"/>
      <c r="AWY70" s="187"/>
      <c r="AXE70" s="188"/>
      <c r="AXF70" s="187"/>
      <c r="AXL70" s="188"/>
      <c r="AXM70" s="190"/>
      <c r="AXN70" s="189"/>
      <c r="AXS70" s="188"/>
      <c r="AXT70" s="187"/>
      <c r="AXZ70" s="188"/>
      <c r="AYA70" s="187"/>
      <c r="AYG70" s="188"/>
      <c r="AYH70" s="187"/>
      <c r="AYN70" s="188"/>
      <c r="AYO70" s="187"/>
      <c r="AYR70" s="168"/>
      <c r="AYS70" s="189"/>
      <c r="AYU70" s="188"/>
      <c r="AYV70" s="187"/>
      <c r="AZB70" s="188"/>
      <c r="AZC70" s="187"/>
      <c r="AZI70" s="188"/>
      <c r="AZJ70" s="187"/>
      <c r="AZP70" s="188"/>
      <c r="AZQ70" s="187"/>
      <c r="AZV70" s="168"/>
      <c r="AZW70" s="191"/>
      <c r="AZX70" s="187"/>
      <c r="BAD70" s="188"/>
      <c r="BAE70" s="187"/>
      <c r="BAK70" s="188"/>
      <c r="BAL70" s="187"/>
      <c r="BAR70" s="188"/>
      <c r="BAS70" s="187"/>
      <c r="BAY70" s="188"/>
      <c r="BAZ70" s="187"/>
      <c r="BBA70" s="168"/>
      <c r="BBB70" s="189"/>
      <c r="BBF70" s="188"/>
      <c r="BBG70" s="187"/>
      <c r="BBM70" s="188"/>
      <c r="BBN70" s="187"/>
      <c r="BBT70" s="188"/>
      <c r="BBU70" s="187"/>
      <c r="BCA70" s="188"/>
      <c r="BCB70" s="187"/>
      <c r="BCE70" s="168"/>
      <c r="BCF70" s="189"/>
      <c r="BCH70" s="188"/>
      <c r="BCI70" s="187"/>
      <c r="BCO70" s="188"/>
      <c r="BCP70" s="187"/>
      <c r="BCV70" s="188"/>
      <c r="BCW70" s="187"/>
      <c r="BDC70" s="188"/>
      <c r="BDD70" s="187"/>
      <c r="BDJ70" s="168"/>
      <c r="BDK70" s="189"/>
      <c r="BDQ70" s="188"/>
      <c r="BDR70" s="187"/>
      <c r="BDX70" s="188"/>
      <c r="BDY70" s="187"/>
      <c r="BEE70" s="188"/>
      <c r="BEF70" s="187"/>
      <c r="BEL70" s="188"/>
      <c r="BEM70" s="187"/>
      <c r="BEO70" s="168"/>
      <c r="BEP70" s="189"/>
      <c r="BES70" s="188"/>
      <c r="BET70" s="187"/>
      <c r="BEZ70" s="188"/>
      <c r="BFA70" s="187"/>
      <c r="BFG70" s="188"/>
      <c r="BFH70" s="187"/>
      <c r="BFN70" s="188"/>
      <c r="BFO70" s="187"/>
      <c r="BFQ70" s="168"/>
      <c r="BFR70" s="189"/>
      <c r="BFU70" s="188"/>
      <c r="BFV70" s="187"/>
      <c r="BGB70" s="188"/>
      <c r="BGC70" s="187"/>
      <c r="BGI70" s="188"/>
      <c r="BGJ70" s="187"/>
      <c r="BGP70" s="188"/>
      <c r="BGQ70" s="187"/>
      <c r="BGV70" s="168"/>
      <c r="BGW70" s="191"/>
      <c r="BGX70" s="187"/>
      <c r="BHD70" s="188"/>
      <c r="BHE70" s="187"/>
      <c r="BHK70" s="188"/>
      <c r="BHL70" s="187"/>
      <c r="BHR70" s="188"/>
      <c r="BHS70" s="187"/>
      <c r="BHY70" s="188"/>
      <c r="BHZ70" s="190"/>
      <c r="BIA70" s="189"/>
      <c r="BIF70" s="188"/>
      <c r="BIG70" s="187"/>
      <c r="BIM70" s="188"/>
      <c r="BIN70" s="187"/>
      <c r="BIT70" s="188"/>
      <c r="BIU70" s="187"/>
      <c r="BJA70" s="188"/>
      <c r="BJB70" s="187"/>
      <c r="BJE70" s="168"/>
      <c r="BJF70" s="189"/>
      <c r="BJH70" s="188"/>
      <c r="BJI70" s="187"/>
      <c r="BJO70" s="188"/>
      <c r="BJP70" s="187"/>
      <c r="BJV70" s="188"/>
      <c r="BJW70" s="187"/>
      <c r="BKC70" s="188"/>
      <c r="BKD70" s="187"/>
      <c r="BKI70" s="168"/>
      <c r="BKJ70" s="191"/>
      <c r="BKK70" s="187"/>
      <c r="BKQ70" s="188"/>
      <c r="BKR70" s="187"/>
      <c r="BKX70" s="188"/>
      <c r="BKY70" s="187"/>
      <c r="BLE70" s="188"/>
      <c r="BLF70" s="187"/>
      <c r="BLL70" s="188"/>
      <c r="BLM70" s="187"/>
      <c r="BLN70" s="168"/>
      <c r="BLO70" s="189"/>
      <c r="BLS70" s="188"/>
      <c r="BLT70" s="187"/>
      <c r="BLZ70" s="188"/>
      <c r="BMA70" s="187"/>
      <c r="BMG70" s="188"/>
      <c r="BMH70" s="187"/>
      <c r="BMN70" s="188"/>
      <c r="BMO70" s="187"/>
      <c r="BMS70" s="168"/>
      <c r="BMT70" s="189"/>
      <c r="BMU70" s="188"/>
      <c r="BMV70" s="187"/>
      <c r="BNB70" s="188"/>
      <c r="BNC70" s="187"/>
      <c r="BNI70" s="188"/>
      <c r="BNJ70" s="187"/>
      <c r="BNP70" s="188"/>
      <c r="BNQ70" s="187"/>
      <c r="BNW70" s="168"/>
      <c r="BNX70" s="189"/>
      <c r="BOD70" s="188"/>
      <c r="BOE70" s="187"/>
      <c r="BOK70" s="188"/>
      <c r="BOL70" s="187"/>
      <c r="BOR70" s="188"/>
      <c r="BOS70" s="187"/>
      <c r="BOY70" s="188"/>
      <c r="BOZ70" s="187"/>
      <c r="BPB70" s="168"/>
      <c r="BPC70" s="189"/>
      <c r="BPF70" s="188"/>
      <c r="BPG70" s="187"/>
      <c r="BPM70" s="188"/>
      <c r="BPN70" s="187"/>
      <c r="BPT70" s="188"/>
      <c r="BPU70" s="187"/>
      <c r="BQA70" s="188"/>
      <c r="BQB70" s="187"/>
      <c r="BQF70" s="168"/>
      <c r="BQG70" s="189"/>
      <c r="BQH70" s="188"/>
      <c r="BQI70" s="187"/>
      <c r="BQO70" s="188"/>
      <c r="BQP70" s="187"/>
      <c r="BQV70" s="188"/>
      <c r="BQW70" s="187"/>
      <c r="BRC70" s="188"/>
      <c r="BRD70" s="187"/>
      <c r="BRJ70" s="188"/>
      <c r="BRK70" s="190"/>
      <c r="BRL70" s="189"/>
      <c r="BRQ70" s="188"/>
      <c r="BRR70" s="187"/>
      <c r="BRX70" s="188"/>
      <c r="BRY70" s="187"/>
      <c r="BSE70" s="188"/>
      <c r="BSF70" s="187"/>
      <c r="BSL70" s="188"/>
      <c r="BSM70" s="187"/>
      <c r="BSP70" s="168"/>
      <c r="BSQ70" s="189"/>
      <c r="BSS70" s="188"/>
      <c r="BST70" s="187"/>
      <c r="BSZ70" s="188"/>
      <c r="BTA70" s="187"/>
      <c r="BTG70" s="188"/>
      <c r="BTH70" s="187"/>
      <c r="BTN70" s="188"/>
      <c r="BTO70" s="187"/>
      <c r="BTS70" s="168"/>
      <c r="BTT70" s="189"/>
      <c r="BTU70" s="188"/>
      <c r="BTV70" s="187"/>
      <c r="BUB70" s="188"/>
      <c r="BUC70" s="187"/>
      <c r="BUI70" s="188"/>
      <c r="BUJ70" s="187"/>
      <c r="BUP70" s="188"/>
      <c r="BUQ70" s="187"/>
      <c r="BUW70" s="188"/>
      <c r="BUX70" s="190"/>
      <c r="BUY70" s="189"/>
      <c r="BVD70" s="188"/>
      <c r="BVE70" s="187"/>
      <c r="BVK70" s="188"/>
      <c r="BVL70" s="187"/>
      <c r="BVR70" s="188"/>
      <c r="BVS70" s="187"/>
      <c r="BVY70" s="188"/>
      <c r="BVZ70" s="187"/>
      <c r="BWB70" s="168"/>
      <c r="BWC70" s="189"/>
      <c r="BWF70" s="188"/>
      <c r="BWG70" s="187"/>
      <c r="BWM70" s="188"/>
      <c r="BWN70" s="187"/>
      <c r="BWT70" s="188"/>
      <c r="BWU70" s="187"/>
      <c r="BXA70" s="188"/>
      <c r="BXB70" s="187"/>
      <c r="BXG70" s="168"/>
      <c r="BXH70" s="191"/>
      <c r="BXI70" s="187"/>
      <c r="BXO70" s="188"/>
      <c r="BXP70" s="187"/>
      <c r="BXV70" s="188"/>
      <c r="BXW70" s="187"/>
      <c r="BYC70" s="188"/>
      <c r="BYD70" s="187"/>
      <c r="BYJ70" s="188"/>
      <c r="BYK70" s="190"/>
      <c r="BYL70" s="189"/>
      <c r="BYQ70" s="188"/>
      <c r="BYR70" s="187"/>
      <c r="BYX70" s="188"/>
      <c r="BYY70" s="187"/>
      <c r="BZE70" s="188"/>
      <c r="BZF70" s="187"/>
      <c r="BZL70" s="188"/>
      <c r="BZM70" s="187"/>
      <c r="BZP70" s="168"/>
      <c r="BZQ70" s="189"/>
      <c r="BZS70" s="188"/>
      <c r="BZT70" s="187"/>
      <c r="BZZ70" s="188"/>
      <c r="CAA70" s="187"/>
      <c r="CAG70" s="188"/>
      <c r="CAH70" s="187"/>
      <c r="CAN70" s="188"/>
      <c r="CAO70" s="187"/>
      <c r="CAU70" s="168"/>
      <c r="CAV70" s="189"/>
      <c r="CBB70" s="188"/>
      <c r="CBC70" s="187"/>
      <c r="CBI70" s="188"/>
      <c r="CBJ70" s="187"/>
      <c r="CBP70" s="188"/>
      <c r="CBQ70" s="187"/>
      <c r="CBW70" s="188"/>
      <c r="CBX70" s="187"/>
      <c r="CBY70" s="168"/>
      <c r="CBZ70" s="189"/>
      <c r="CCD70" s="188"/>
      <c r="CCE70" s="187"/>
      <c r="CCK70" s="188"/>
      <c r="CCL70" s="187"/>
      <c r="CCR70" s="188"/>
      <c r="CCS70" s="187"/>
      <c r="CCY70" s="188"/>
      <c r="CCZ70" s="187"/>
      <c r="CDD70" s="168"/>
      <c r="CDE70" s="189"/>
      <c r="CDF70" s="188"/>
      <c r="CDG70" s="187"/>
      <c r="CDM70" s="188"/>
      <c r="CDN70" s="187"/>
      <c r="CDT70" s="188"/>
      <c r="CDU70" s="187"/>
      <c r="CEA70" s="188"/>
      <c r="CEB70" s="187"/>
      <c r="CEH70" s="168"/>
      <c r="CEI70" s="189"/>
      <c r="CEO70" s="188"/>
      <c r="CEP70" s="187"/>
      <c r="CEV70" s="188"/>
      <c r="CEW70" s="187"/>
      <c r="CFC70" s="188"/>
      <c r="CFD70" s="187"/>
      <c r="CFJ70" s="188"/>
      <c r="CFK70" s="187"/>
    </row>
    <row r="71" spans="1:1019 1025:2048 2054:2195">
      <c r="A71" s="164" t="s">
        <v>342</v>
      </c>
      <c r="D71" s="186"/>
      <c r="E71" s="186"/>
      <c r="K71" s="187"/>
      <c r="Q71" s="188"/>
      <c r="R71" s="187"/>
      <c r="X71" s="188"/>
      <c r="Y71" s="187"/>
      <c r="AE71" s="188"/>
      <c r="AF71" s="187"/>
      <c r="AJ71" s="168"/>
      <c r="AK71" s="189"/>
      <c r="AL71" s="188"/>
      <c r="AM71" s="187"/>
      <c r="AS71" s="188"/>
      <c r="AT71" s="187"/>
      <c r="AZ71" s="188"/>
      <c r="BA71" s="187"/>
      <c r="BG71" s="188"/>
      <c r="BH71" s="187"/>
      <c r="BL71" s="168"/>
      <c r="BM71" s="189"/>
      <c r="BN71" s="188"/>
      <c r="BO71" s="187"/>
      <c r="BU71" s="188"/>
      <c r="BV71" s="187"/>
      <c r="CB71" s="188"/>
      <c r="CC71" s="187"/>
      <c r="CI71" s="188"/>
      <c r="CJ71" s="187"/>
      <c r="CP71" s="188"/>
      <c r="CQ71" s="190"/>
      <c r="CR71" s="189"/>
      <c r="CW71" s="188"/>
      <c r="CX71" s="187"/>
      <c r="DD71" s="188"/>
      <c r="DE71" s="187"/>
      <c r="DK71" s="188"/>
      <c r="DL71" s="187"/>
      <c r="DR71" s="188"/>
      <c r="DS71" s="187"/>
      <c r="DU71" s="168"/>
      <c r="DV71" s="189"/>
      <c r="DY71" s="188"/>
      <c r="DZ71" s="187"/>
      <c r="EF71" s="188"/>
      <c r="EG71" s="187"/>
      <c r="EM71" s="188"/>
      <c r="EN71" s="187"/>
      <c r="ET71" s="188"/>
      <c r="EU71" s="187"/>
      <c r="EZ71" s="168"/>
      <c r="FA71" s="191"/>
      <c r="FB71" s="187"/>
      <c r="FH71" s="188"/>
      <c r="FI71" s="187"/>
      <c r="FO71" s="188"/>
      <c r="FP71" s="187"/>
      <c r="FV71" s="188"/>
      <c r="FW71" s="187"/>
      <c r="GC71" s="188"/>
      <c r="GD71" s="190"/>
      <c r="GE71" s="189"/>
      <c r="GJ71" s="188"/>
      <c r="GK71" s="187"/>
      <c r="GQ71" s="188"/>
      <c r="GR71" s="187"/>
      <c r="GX71" s="188"/>
      <c r="GY71" s="187"/>
      <c r="HE71" s="188"/>
      <c r="HF71" s="187"/>
      <c r="HI71" s="168"/>
      <c r="HJ71" s="189"/>
      <c r="HL71" s="188"/>
      <c r="HM71" s="187"/>
      <c r="HS71" s="188"/>
      <c r="HT71" s="187"/>
      <c r="HZ71" s="188"/>
      <c r="IA71" s="187"/>
      <c r="IG71" s="188"/>
      <c r="IH71" s="187"/>
      <c r="IN71" s="168"/>
      <c r="IO71" s="189"/>
      <c r="IU71" s="188"/>
      <c r="IV71" s="187"/>
      <c r="JB71" s="188"/>
      <c r="JC71" s="187"/>
      <c r="JI71" s="188"/>
      <c r="JJ71" s="187"/>
      <c r="JP71" s="188"/>
      <c r="JQ71" s="187"/>
      <c r="JR71" s="168"/>
      <c r="JS71" s="189"/>
      <c r="JW71" s="188"/>
      <c r="JX71" s="187"/>
      <c r="KD71" s="188"/>
      <c r="KE71" s="187"/>
      <c r="KK71" s="188"/>
      <c r="KL71" s="187"/>
      <c r="KR71" s="188"/>
      <c r="KS71" s="187"/>
      <c r="KW71" s="168"/>
      <c r="KX71" s="189"/>
      <c r="KY71" s="188"/>
      <c r="KZ71" s="187"/>
      <c r="LF71" s="188"/>
      <c r="LG71" s="187"/>
      <c r="LM71" s="188"/>
      <c r="LN71" s="187"/>
      <c r="LT71" s="188"/>
      <c r="LU71" s="187"/>
      <c r="MA71" s="168"/>
      <c r="MB71" s="189"/>
      <c r="MH71" s="188"/>
      <c r="MI71" s="187"/>
      <c r="MO71" s="188"/>
      <c r="MP71" s="187"/>
      <c r="MV71" s="188"/>
      <c r="MW71" s="187"/>
      <c r="NC71" s="188"/>
      <c r="ND71" s="187"/>
      <c r="NF71" s="168"/>
      <c r="NG71" s="189"/>
      <c r="NJ71" s="188"/>
      <c r="NK71" s="187"/>
      <c r="NQ71" s="188"/>
      <c r="NR71" s="187"/>
      <c r="NX71" s="188"/>
      <c r="NY71" s="187"/>
      <c r="OE71" s="188"/>
      <c r="OF71" s="187"/>
      <c r="OK71" s="168"/>
      <c r="OL71" s="191"/>
      <c r="OM71" s="187"/>
      <c r="OS71" s="188"/>
      <c r="OT71" s="187"/>
      <c r="OZ71" s="188"/>
      <c r="PA71" s="187"/>
      <c r="PG71" s="188"/>
      <c r="PH71" s="187"/>
      <c r="PN71" s="168"/>
      <c r="PO71" s="189"/>
      <c r="PU71" s="188"/>
      <c r="PV71" s="187"/>
      <c r="QB71" s="188"/>
      <c r="QC71" s="187"/>
      <c r="QI71" s="188"/>
      <c r="QJ71" s="187"/>
      <c r="QP71" s="188"/>
      <c r="QQ71" s="187"/>
      <c r="QS71" s="168"/>
      <c r="QT71" s="189"/>
      <c r="QW71" s="188"/>
      <c r="QX71" s="187"/>
      <c r="RD71" s="188"/>
      <c r="RE71" s="187"/>
      <c r="RK71" s="188"/>
      <c r="RL71" s="187"/>
      <c r="RR71" s="188"/>
      <c r="RS71" s="187"/>
      <c r="RW71" s="168"/>
      <c r="RX71" s="189"/>
      <c r="RY71" s="188"/>
      <c r="RZ71" s="187"/>
      <c r="SF71" s="188"/>
      <c r="SG71" s="187"/>
      <c r="SM71" s="188"/>
      <c r="SN71" s="187"/>
      <c r="ST71" s="188"/>
      <c r="SU71" s="187"/>
      <c r="TA71" s="188"/>
      <c r="TB71" s="190"/>
      <c r="TC71" s="189"/>
      <c r="TH71" s="188"/>
      <c r="TI71" s="187"/>
      <c r="TO71" s="188"/>
      <c r="TP71" s="187"/>
      <c r="TV71" s="188"/>
      <c r="TW71" s="187"/>
      <c r="UC71" s="188"/>
      <c r="UD71" s="187"/>
      <c r="UF71" s="168"/>
      <c r="UG71" s="189"/>
      <c r="UJ71" s="188"/>
      <c r="UK71" s="187"/>
      <c r="UQ71" s="188"/>
      <c r="UR71" s="187"/>
      <c r="UX71" s="188"/>
      <c r="UY71" s="187"/>
      <c r="VE71" s="188"/>
      <c r="VF71" s="187"/>
      <c r="VK71" s="168"/>
      <c r="VL71" s="191"/>
      <c r="VM71" s="187"/>
      <c r="VS71" s="188"/>
      <c r="VT71" s="187"/>
      <c r="VZ71" s="188"/>
      <c r="WA71" s="187"/>
      <c r="WG71" s="188"/>
      <c r="WH71" s="187"/>
      <c r="WN71" s="188"/>
      <c r="WO71" s="187"/>
      <c r="WP71" s="168"/>
      <c r="WQ71" s="189"/>
      <c r="WU71" s="188"/>
      <c r="WV71" s="187"/>
      <c r="XB71" s="188"/>
      <c r="XC71" s="187"/>
      <c r="XI71" s="188"/>
      <c r="XJ71" s="187"/>
      <c r="XP71" s="188"/>
      <c r="XQ71" s="187"/>
      <c r="XT71" s="168"/>
      <c r="XU71" s="189"/>
      <c r="XW71" s="188"/>
      <c r="XX71" s="187"/>
      <c r="YD71" s="188"/>
      <c r="YE71" s="187"/>
      <c r="YK71" s="188"/>
      <c r="YL71" s="187"/>
      <c r="YR71" s="188"/>
      <c r="YS71" s="187"/>
      <c r="YY71" s="168"/>
      <c r="YZ71" s="189"/>
      <c r="ZF71" s="188"/>
      <c r="ZG71" s="187"/>
      <c r="ZM71" s="188"/>
      <c r="ZN71" s="187"/>
      <c r="ZT71" s="188"/>
      <c r="ZU71" s="187"/>
      <c r="AAA71" s="188"/>
      <c r="AAB71" s="187"/>
      <c r="AAC71" s="168"/>
      <c r="AAD71" s="189"/>
      <c r="AAH71" s="188"/>
      <c r="AAI71" s="187"/>
      <c r="AAO71" s="188"/>
      <c r="AAP71" s="187"/>
      <c r="AAV71" s="188"/>
      <c r="AAW71" s="187"/>
      <c r="ABC71" s="188"/>
      <c r="ABD71" s="187"/>
      <c r="ABH71" s="168"/>
      <c r="ABI71" s="189"/>
      <c r="ABJ71" s="188"/>
      <c r="ABK71" s="187"/>
      <c r="ABQ71" s="188"/>
      <c r="ABR71" s="187"/>
      <c r="ABX71" s="188"/>
      <c r="ABY71" s="187"/>
      <c r="ACE71" s="188"/>
      <c r="ACF71" s="187"/>
      <c r="ACL71" s="188"/>
      <c r="ACM71" s="190"/>
      <c r="ACN71" s="189"/>
      <c r="ACS71" s="188"/>
      <c r="ACT71" s="187"/>
      <c r="ACZ71" s="188"/>
      <c r="ADA71" s="187"/>
      <c r="ADG71" s="188"/>
      <c r="ADH71" s="187"/>
      <c r="ADN71" s="188"/>
      <c r="ADO71" s="190"/>
      <c r="ADP71" s="189"/>
      <c r="ADU71" s="188"/>
      <c r="ADV71" s="187"/>
      <c r="AEB71" s="188"/>
      <c r="AEC71" s="187"/>
      <c r="AEI71" s="188"/>
      <c r="AEJ71" s="187"/>
      <c r="AEP71" s="188"/>
      <c r="AEQ71" s="187"/>
      <c r="AET71" s="168"/>
      <c r="AEU71" s="189"/>
      <c r="AEW71" s="188"/>
      <c r="AEX71" s="187"/>
      <c r="AFD71" s="188"/>
      <c r="AFE71" s="187"/>
      <c r="AFK71" s="188"/>
      <c r="AFL71" s="187"/>
      <c r="AFR71" s="188"/>
      <c r="AFS71" s="187"/>
      <c r="AFX71" s="168"/>
      <c r="AFY71" s="191"/>
      <c r="AFZ71" s="187"/>
      <c r="AGF71" s="188"/>
      <c r="AGG71" s="187"/>
      <c r="AGM71" s="188"/>
      <c r="AGN71" s="187"/>
      <c r="AGT71" s="188"/>
      <c r="AGU71" s="187"/>
      <c r="AHA71" s="188"/>
      <c r="AHB71" s="187"/>
      <c r="AHC71" s="168"/>
      <c r="AHD71" s="189"/>
      <c r="AHH71" s="188"/>
      <c r="AHI71" s="187"/>
      <c r="AHO71" s="188"/>
      <c r="AHP71" s="187"/>
      <c r="AHV71" s="188"/>
      <c r="AHW71" s="187"/>
      <c r="AIC71" s="188"/>
      <c r="AID71" s="187"/>
      <c r="AIG71" s="168"/>
      <c r="AIH71" s="189"/>
      <c r="AIJ71" s="188"/>
      <c r="AIK71" s="187"/>
      <c r="AIQ71" s="188"/>
      <c r="AIR71" s="187"/>
      <c r="AIX71" s="188"/>
      <c r="AIY71" s="187"/>
      <c r="AJE71" s="188"/>
      <c r="AJF71" s="187"/>
      <c r="AJL71" s="168"/>
      <c r="AJM71" s="189"/>
      <c r="AJS71" s="188"/>
      <c r="AJT71" s="187"/>
      <c r="AJZ71" s="188"/>
      <c r="AKA71" s="187"/>
      <c r="AKG71" s="188"/>
      <c r="AKH71" s="187"/>
      <c r="AKN71" s="188"/>
      <c r="AKO71" s="187"/>
      <c r="AKQ71" s="168"/>
      <c r="AKR71" s="189"/>
      <c r="AKU71" s="188"/>
      <c r="AKV71" s="187"/>
      <c r="ALB71" s="188"/>
      <c r="ALC71" s="187"/>
      <c r="ALI71" s="188"/>
      <c r="ALJ71" s="187"/>
      <c r="ALP71" s="188"/>
      <c r="ALQ71" s="187"/>
      <c r="ALU71" s="168"/>
      <c r="ALV71" s="189"/>
      <c r="ALW71" s="188"/>
      <c r="ALX71" s="187"/>
      <c r="AMD71" s="188"/>
      <c r="AME71" s="187"/>
      <c r="AMK71" s="188"/>
      <c r="AML71" s="187"/>
      <c r="AMR71" s="188"/>
      <c r="AMS71" s="187"/>
      <c r="AMY71" s="188"/>
      <c r="AMZ71" s="190"/>
      <c r="ANA71" s="189"/>
      <c r="ANF71" s="188"/>
      <c r="ANG71" s="187"/>
      <c r="ANM71" s="188"/>
      <c r="ANN71" s="187"/>
      <c r="ANT71" s="188"/>
      <c r="ANU71" s="187"/>
      <c r="AOA71" s="188"/>
      <c r="AOB71" s="187"/>
      <c r="AOD71" s="168"/>
      <c r="AOE71" s="189"/>
      <c r="AOH71" s="188"/>
      <c r="AOI71" s="187"/>
      <c r="AOO71" s="188"/>
      <c r="AOP71" s="187"/>
      <c r="AOV71" s="188"/>
      <c r="AOW71" s="187"/>
      <c r="APC71" s="188"/>
      <c r="APD71" s="187"/>
      <c r="API71" s="168"/>
      <c r="APJ71" s="191"/>
      <c r="APK71" s="187"/>
      <c r="APQ71" s="188"/>
      <c r="APR71" s="187"/>
      <c r="APX71" s="188"/>
      <c r="APY71" s="187"/>
      <c r="AQE71" s="188"/>
      <c r="AQF71" s="187"/>
      <c r="AQL71" s="188"/>
      <c r="AQM71" s="187"/>
      <c r="AQN71" s="168"/>
      <c r="AQO71" s="189"/>
      <c r="AQS71" s="188"/>
      <c r="AQT71" s="187"/>
      <c r="AQZ71" s="188"/>
      <c r="ARA71" s="187"/>
      <c r="ARG71" s="188"/>
      <c r="ARH71" s="187"/>
      <c r="ARN71" s="188"/>
      <c r="ARO71" s="187"/>
      <c r="ARP71" s="168"/>
      <c r="ARQ71" s="189"/>
      <c r="ARU71" s="188"/>
      <c r="ARV71" s="187"/>
      <c r="ASB71" s="188"/>
      <c r="ASC71" s="187"/>
      <c r="ASI71" s="188"/>
      <c r="ASJ71" s="187"/>
      <c r="ASP71" s="188"/>
      <c r="ASQ71" s="187"/>
      <c r="ASU71" s="168"/>
      <c r="ASV71" s="189"/>
      <c r="ASW71" s="188"/>
      <c r="ASX71" s="187"/>
      <c r="ATD71" s="188"/>
      <c r="ATE71" s="187"/>
      <c r="ATK71" s="188"/>
      <c r="ATL71" s="187"/>
      <c r="ATR71" s="188"/>
      <c r="ATS71" s="187"/>
      <c r="ATY71" s="168"/>
      <c r="ATZ71" s="189"/>
      <c r="AUF71" s="188"/>
      <c r="AUG71" s="187"/>
      <c r="AUM71" s="188"/>
      <c r="AUN71" s="187"/>
      <c r="AUT71" s="188"/>
      <c r="AUU71" s="187"/>
      <c r="AVA71" s="188"/>
      <c r="AVB71" s="187"/>
      <c r="AVD71" s="168"/>
      <c r="AVE71" s="189"/>
      <c r="AVH71" s="188"/>
      <c r="AVI71" s="187"/>
      <c r="AVO71" s="188"/>
      <c r="AVP71" s="187"/>
      <c r="AVV71" s="188"/>
      <c r="AVW71" s="187"/>
      <c r="AWC71" s="188"/>
      <c r="AWD71" s="187"/>
      <c r="AWH71" s="168"/>
      <c r="AWI71" s="189"/>
      <c r="AWJ71" s="188"/>
      <c r="AWK71" s="187"/>
      <c r="AWQ71" s="188"/>
      <c r="AWR71" s="187"/>
      <c r="AWX71" s="188"/>
      <c r="AWY71" s="187"/>
      <c r="AXE71" s="188"/>
      <c r="AXF71" s="187"/>
      <c r="AXL71" s="188"/>
      <c r="AXM71" s="190"/>
      <c r="AXN71" s="189"/>
      <c r="AXS71" s="188"/>
      <c r="AXT71" s="187"/>
      <c r="AXZ71" s="188"/>
      <c r="AYA71" s="187"/>
      <c r="AYG71" s="188"/>
      <c r="AYH71" s="187"/>
      <c r="AYN71" s="188"/>
      <c r="AYO71" s="187"/>
      <c r="AYR71" s="168"/>
      <c r="AYS71" s="189"/>
      <c r="AYU71" s="188"/>
      <c r="AYV71" s="187"/>
      <c r="AZB71" s="188"/>
      <c r="AZC71" s="187"/>
      <c r="AZI71" s="188"/>
      <c r="AZJ71" s="187"/>
      <c r="AZP71" s="188"/>
      <c r="AZQ71" s="187"/>
      <c r="AZV71" s="168"/>
      <c r="AZW71" s="191"/>
      <c r="AZX71" s="187"/>
      <c r="BAD71" s="188"/>
      <c r="BAE71" s="187"/>
      <c r="BAK71" s="188"/>
      <c r="BAL71" s="187"/>
      <c r="BAR71" s="188"/>
      <c r="BAS71" s="187"/>
      <c r="BAY71" s="188"/>
      <c r="BAZ71" s="187"/>
      <c r="BBA71" s="168"/>
      <c r="BBB71" s="189"/>
      <c r="BBF71" s="188"/>
      <c r="BBG71" s="187"/>
      <c r="BBM71" s="188"/>
      <c r="BBN71" s="187"/>
      <c r="BBT71" s="188"/>
      <c r="BBU71" s="187"/>
      <c r="BCA71" s="188"/>
      <c r="BCB71" s="187"/>
      <c r="BCE71" s="168"/>
      <c r="BCF71" s="189"/>
      <c r="BCH71" s="188"/>
      <c r="BCI71" s="187"/>
      <c r="BCO71" s="188"/>
      <c r="BCP71" s="187"/>
      <c r="BCV71" s="188"/>
      <c r="BCW71" s="187"/>
      <c r="BDC71" s="188"/>
      <c r="BDD71" s="187"/>
      <c r="BDJ71" s="168"/>
      <c r="BDK71" s="189"/>
      <c r="BDQ71" s="188"/>
      <c r="BDR71" s="187"/>
      <c r="BDX71" s="188"/>
      <c r="BDY71" s="187"/>
      <c r="BEE71" s="188"/>
      <c r="BEF71" s="187"/>
      <c r="BEL71" s="188"/>
      <c r="BEM71" s="187"/>
      <c r="BEO71" s="168"/>
      <c r="BEP71" s="189"/>
      <c r="BES71" s="188"/>
      <c r="BET71" s="187"/>
      <c r="BEZ71" s="188"/>
      <c r="BFA71" s="187"/>
      <c r="BFG71" s="188"/>
      <c r="BFH71" s="187"/>
      <c r="BFN71" s="188"/>
      <c r="BFO71" s="187"/>
      <c r="BFQ71" s="168"/>
      <c r="BFR71" s="189"/>
      <c r="BFU71" s="188"/>
      <c r="BFV71" s="187"/>
      <c r="BGB71" s="188"/>
      <c r="BGC71" s="187"/>
      <c r="BGI71" s="188"/>
      <c r="BGJ71" s="187"/>
      <c r="BGP71" s="188"/>
      <c r="BGQ71" s="187"/>
      <c r="BGV71" s="168"/>
      <c r="BGW71" s="191"/>
      <c r="BGX71" s="187"/>
      <c r="BHD71" s="188"/>
      <c r="BHE71" s="187"/>
      <c r="BHK71" s="188"/>
      <c r="BHL71" s="187"/>
      <c r="BHR71" s="188"/>
      <c r="BHS71" s="187"/>
      <c r="BHY71" s="188"/>
      <c r="BHZ71" s="190"/>
      <c r="BIA71" s="189"/>
      <c r="BIF71" s="188"/>
      <c r="BIG71" s="187"/>
      <c r="BIM71" s="188"/>
      <c r="BIN71" s="187"/>
      <c r="BIT71" s="188"/>
      <c r="BIU71" s="187"/>
      <c r="BJA71" s="188"/>
      <c r="BJB71" s="187"/>
      <c r="BJE71" s="168"/>
      <c r="BJF71" s="189"/>
      <c r="BJH71" s="188"/>
      <c r="BJI71" s="187"/>
      <c r="BJO71" s="188"/>
      <c r="BJP71" s="187"/>
      <c r="BJV71" s="188"/>
      <c r="BJW71" s="187"/>
      <c r="BKC71" s="188"/>
      <c r="BKD71" s="187"/>
      <c r="BKI71" s="168"/>
      <c r="BKJ71" s="191"/>
      <c r="BKK71" s="187"/>
      <c r="BKQ71" s="188"/>
      <c r="BKR71" s="187"/>
      <c r="BKX71" s="188"/>
      <c r="BKY71" s="187"/>
      <c r="BLE71" s="188"/>
      <c r="BLF71" s="187"/>
      <c r="BLL71" s="188"/>
      <c r="BLM71" s="187"/>
      <c r="BLN71" s="168"/>
      <c r="BLO71" s="189"/>
      <c r="BLS71" s="188"/>
      <c r="BLT71" s="187"/>
      <c r="BLZ71" s="188"/>
      <c r="BMA71" s="187"/>
      <c r="BMG71" s="188"/>
      <c r="BMH71" s="187"/>
      <c r="BMN71" s="188"/>
      <c r="BMO71" s="187"/>
      <c r="BMS71" s="168"/>
      <c r="BMT71" s="189"/>
      <c r="BMU71" s="188"/>
      <c r="BMV71" s="187"/>
      <c r="BNB71" s="188"/>
      <c r="BNC71" s="187"/>
      <c r="BNI71" s="188"/>
      <c r="BNJ71" s="187"/>
      <c r="BNP71" s="188"/>
      <c r="BNQ71" s="187"/>
      <c r="BNW71" s="168"/>
      <c r="BNX71" s="189"/>
      <c r="BOD71" s="188"/>
      <c r="BOE71" s="187"/>
      <c r="BOK71" s="188"/>
      <c r="BOL71" s="187"/>
      <c r="BOR71" s="188"/>
      <c r="BOS71" s="187"/>
      <c r="BOY71" s="188"/>
      <c r="BOZ71" s="187"/>
      <c r="BPB71" s="168"/>
      <c r="BPC71" s="189"/>
      <c r="BPF71" s="188"/>
      <c r="BPG71" s="187"/>
      <c r="BPM71" s="188"/>
      <c r="BPN71" s="187"/>
      <c r="BPT71" s="188"/>
      <c r="BPU71" s="187"/>
      <c r="BQA71" s="188"/>
      <c r="BQB71" s="187"/>
      <c r="BQF71" s="168"/>
      <c r="BQG71" s="189"/>
      <c r="BQH71" s="188"/>
      <c r="BQI71" s="187"/>
      <c r="BQO71" s="188"/>
      <c r="BQP71" s="187"/>
      <c r="BQV71" s="188"/>
      <c r="BQW71" s="187"/>
      <c r="BRC71" s="188"/>
      <c r="BRD71" s="187"/>
      <c r="BRJ71" s="188"/>
      <c r="BRK71" s="190"/>
      <c r="BRL71" s="189"/>
      <c r="BRQ71" s="188"/>
      <c r="BRR71" s="187"/>
      <c r="BRX71" s="188"/>
      <c r="BRY71" s="187"/>
      <c r="BSE71" s="188"/>
      <c r="BSF71" s="187"/>
      <c r="BSL71" s="188"/>
      <c r="BSM71" s="187"/>
      <c r="BSP71" s="168"/>
      <c r="BSQ71" s="189"/>
      <c r="BSS71" s="188"/>
      <c r="BST71" s="187"/>
      <c r="BSZ71" s="188"/>
      <c r="BTA71" s="187"/>
      <c r="BTG71" s="188"/>
      <c r="BTH71" s="187"/>
      <c r="BTN71" s="188"/>
      <c r="BTO71" s="187"/>
      <c r="BTS71" s="168"/>
      <c r="BTT71" s="189"/>
      <c r="BTU71" s="188"/>
      <c r="BTV71" s="187"/>
      <c r="BUB71" s="188"/>
      <c r="BUC71" s="187"/>
      <c r="BUI71" s="188"/>
      <c r="BUJ71" s="187"/>
      <c r="BUP71" s="188"/>
      <c r="BUQ71" s="187"/>
      <c r="BUW71" s="188"/>
      <c r="BUX71" s="190"/>
      <c r="BUY71" s="189"/>
      <c r="BVD71" s="188"/>
      <c r="BVE71" s="187"/>
      <c r="BVK71" s="188"/>
      <c r="BVL71" s="187"/>
      <c r="BVR71" s="188"/>
      <c r="BVS71" s="187"/>
      <c r="BVY71" s="188"/>
      <c r="BVZ71" s="187"/>
      <c r="BWB71" s="168"/>
      <c r="BWC71" s="189"/>
      <c r="BWF71" s="188"/>
      <c r="BWG71" s="187"/>
      <c r="BWM71" s="188"/>
      <c r="BWN71" s="187"/>
      <c r="BWT71" s="188"/>
      <c r="BWU71" s="187"/>
      <c r="BXA71" s="188"/>
      <c r="BXB71" s="187"/>
      <c r="BXG71" s="168"/>
      <c r="BXH71" s="191"/>
      <c r="BXI71" s="187"/>
      <c r="BXO71" s="188"/>
      <c r="BXP71" s="187"/>
      <c r="BXV71" s="188"/>
      <c r="BXW71" s="187"/>
      <c r="BYC71" s="188"/>
      <c r="BYD71" s="187"/>
      <c r="BYJ71" s="188"/>
      <c r="BYK71" s="190"/>
      <c r="BYL71" s="189"/>
      <c r="BYQ71" s="188"/>
      <c r="BYR71" s="187"/>
      <c r="BYX71" s="188"/>
      <c r="BYY71" s="187"/>
      <c r="BZE71" s="188"/>
      <c r="BZF71" s="187"/>
      <c r="BZL71" s="188"/>
      <c r="BZM71" s="187"/>
      <c r="BZP71" s="168"/>
      <c r="BZQ71" s="189"/>
      <c r="BZS71" s="188"/>
      <c r="BZT71" s="187"/>
      <c r="BZZ71" s="188"/>
      <c r="CAA71" s="187"/>
      <c r="CAG71" s="188"/>
      <c r="CAH71" s="187"/>
      <c r="CAN71" s="188"/>
      <c r="CAO71" s="187"/>
      <c r="CAU71" s="168"/>
      <c r="CAV71" s="189"/>
      <c r="CBB71" s="188"/>
      <c r="CBC71" s="187"/>
      <c r="CBI71" s="188"/>
      <c r="CBJ71" s="187"/>
      <c r="CBP71" s="188"/>
      <c r="CBQ71" s="187"/>
      <c r="CBW71" s="188"/>
      <c r="CBX71" s="187"/>
      <c r="CBY71" s="168"/>
      <c r="CBZ71" s="189"/>
      <c r="CCD71" s="188"/>
      <c r="CCE71" s="187"/>
      <c r="CCK71" s="188"/>
      <c r="CCL71" s="187"/>
      <c r="CCR71" s="188"/>
      <c r="CCS71" s="187"/>
      <c r="CCY71" s="188"/>
      <c r="CCZ71" s="187"/>
      <c r="CDD71" s="168"/>
      <c r="CDE71" s="189"/>
      <c r="CDF71" s="188"/>
      <c r="CDG71" s="187"/>
      <c r="CDM71" s="188"/>
      <c r="CDN71" s="187"/>
      <c r="CDT71" s="188"/>
      <c r="CDU71" s="187"/>
      <c r="CEA71" s="188"/>
      <c r="CEB71" s="187"/>
      <c r="CEH71" s="168"/>
      <c r="CEI71" s="189"/>
      <c r="CEO71" s="188"/>
      <c r="CEP71" s="187"/>
      <c r="CEV71" s="188"/>
      <c r="CEW71" s="187"/>
      <c r="CFC71" s="188"/>
      <c r="CFD71" s="187"/>
      <c r="CFJ71" s="188"/>
      <c r="CFK71" s="187"/>
    </row>
    <row r="72" spans="1:1019 1025:2048 2054:2195">
      <c r="A72" s="164" t="s">
        <v>343</v>
      </c>
      <c r="D72" s="186"/>
      <c r="E72" s="186"/>
      <c r="K72" s="187"/>
      <c r="Q72" s="188"/>
      <c r="R72" s="187"/>
      <c r="X72" s="188"/>
      <c r="Y72" s="187"/>
      <c r="AE72" s="188"/>
      <c r="AF72" s="187"/>
      <c r="AJ72" s="168"/>
      <c r="AK72" s="189"/>
      <c r="AL72" s="188"/>
      <c r="AM72" s="187"/>
      <c r="AS72" s="188"/>
      <c r="AT72" s="187"/>
      <c r="AZ72" s="188"/>
      <c r="BA72" s="187"/>
      <c r="BG72" s="188"/>
      <c r="BH72" s="187"/>
      <c r="BL72" s="168"/>
      <c r="BM72" s="189"/>
      <c r="BN72" s="188"/>
      <c r="BO72" s="187"/>
      <c r="BU72" s="188"/>
      <c r="BV72" s="187"/>
      <c r="CB72" s="188"/>
      <c r="CC72" s="187"/>
      <c r="CI72" s="188"/>
      <c r="CJ72" s="187"/>
      <c r="CP72" s="188"/>
      <c r="CQ72" s="190"/>
      <c r="CR72" s="189"/>
      <c r="CW72" s="188"/>
      <c r="CX72" s="187"/>
      <c r="DD72" s="188"/>
      <c r="DE72" s="187"/>
      <c r="DK72" s="188"/>
      <c r="DL72" s="187"/>
      <c r="DR72" s="188"/>
      <c r="DS72" s="187"/>
      <c r="DU72" s="168"/>
      <c r="DV72" s="189"/>
      <c r="DY72" s="188"/>
      <c r="DZ72" s="187"/>
      <c r="EF72" s="188"/>
      <c r="EG72" s="187"/>
      <c r="EM72" s="188"/>
      <c r="EN72" s="187"/>
      <c r="ET72" s="188"/>
      <c r="EU72" s="187"/>
      <c r="EZ72" s="168"/>
      <c r="FA72" s="191"/>
      <c r="FB72" s="187"/>
      <c r="FH72" s="188"/>
      <c r="FI72" s="187"/>
      <c r="FO72" s="188"/>
      <c r="FP72" s="187"/>
      <c r="FV72" s="188"/>
      <c r="FW72" s="187"/>
      <c r="GC72" s="188"/>
      <c r="GD72" s="190"/>
      <c r="GE72" s="189"/>
      <c r="GJ72" s="188"/>
      <c r="GK72" s="187"/>
      <c r="GQ72" s="188"/>
      <c r="GR72" s="187"/>
      <c r="GX72" s="188"/>
      <c r="GY72" s="187"/>
      <c r="HE72" s="188"/>
      <c r="HF72" s="187"/>
      <c r="HI72" s="168"/>
      <c r="HJ72" s="189"/>
      <c r="HL72" s="188"/>
      <c r="HM72" s="187"/>
      <c r="HS72" s="188"/>
      <c r="HT72" s="187"/>
      <c r="HZ72" s="188"/>
      <c r="IA72" s="187"/>
      <c r="IG72" s="188"/>
      <c r="IH72" s="187"/>
      <c r="IN72" s="168"/>
      <c r="IO72" s="189"/>
      <c r="IU72" s="188"/>
      <c r="IV72" s="187"/>
      <c r="JB72" s="188"/>
      <c r="JC72" s="187"/>
      <c r="JI72" s="188"/>
      <c r="JJ72" s="187"/>
      <c r="JP72" s="188"/>
      <c r="JQ72" s="187"/>
      <c r="JR72" s="168"/>
      <c r="JS72" s="189"/>
      <c r="JW72" s="188"/>
      <c r="JX72" s="187"/>
      <c r="KD72" s="188"/>
      <c r="KE72" s="187"/>
      <c r="KK72" s="188"/>
      <c r="KL72" s="187"/>
      <c r="KR72" s="188"/>
      <c r="KS72" s="187"/>
      <c r="KW72" s="168"/>
      <c r="KX72" s="189"/>
      <c r="KY72" s="188"/>
      <c r="KZ72" s="187"/>
      <c r="LF72" s="188"/>
      <c r="LG72" s="187"/>
      <c r="LM72" s="188"/>
      <c r="LN72" s="187"/>
      <c r="LT72" s="188"/>
      <c r="LU72" s="187"/>
      <c r="MA72" s="168"/>
      <c r="MB72" s="189"/>
      <c r="MH72" s="188"/>
      <c r="MI72" s="187"/>
      <c r="MO72" s="188"/>
      <c r="MP72" s="187"/>
      <c r="MV72" s="188"/>
      <c r="MW72" s="187"/>
      <c r="NC72" s="188"/>
      <c r="ND72" s="187"/>
      <c r="NF72" s="168"/>
      <c r="NG72" s="189"/>
      <c r="NJ72" s="188"/>
      <c r="NK72" s="187"/>
      <c r="NQ72" s="188"/>
      <c r="NR72" s="187"/>
      <c r="NX72" s="188"/>
      <c r="NY72" s="187"/>
      <c r="OE72" s="188"/>
      <c r="OF72" s="187"/>
      <c r="OK72" s="168"/>
      <c r="OL72" s="191"/>
      <c r="OM72" s="187"/>
      <c r="OS72" s="188"/>
      <c r="OT72" s="187"/>
      <c r="OZ72" s="188"/>
      <c r="PA72" s="187"/>
      <c r="PG72" s="188"/>
      <c r="PH72" s="187"/>
      <c r="PN72" s="168"/>
      <c r="PO72" s="189"/>
      <c r="PU72" s="188"/>
      <c r="PV72" s="187"/>
      <c r="QB72" s="188"/>
      <c r="QC72" s="187"/>
      <c r="QI72" s="188"/>
      <c r="QJ72" s="187"/>
      <c r="QP72" s="188"/>
      <c r="QQ72" s="187"/>
      <c r="QS72" s="168"/>
      <c r="QT72" s="189"/>
      <c r="QW72" s="188"/>
      <c r="QX72" s="187"/>
      <c r="RD72" s="188"/>
      <c r="RE72" s="187"/>
      <c r="RK72" s="188"/>
      <c r="RL72" s="187"/>
      <c r="RR72" s="188"/>
      <c r="RS72" s="187"/>
      <c r="RW72" s="168"/>
      <c r="RX72" s="189"/>
      <c r="RY72" s="188"/>
      <c r="RZ72" s="187"/>
      <c r="SF72" s="188"/>
      <c r="SG72" s="187"/>
      <c r="SM72" s="188"/>
      <c r="SN72" s="187"/>
      <c r="ST72" s="188"/>
      <c r="SU72" s="187"/>
      <c r="TA72" s="188"/>
      <c r="TB72" s="190"/>
      <c r="TC72" s="189"/>
      <c r="TH72" s="188"/>
      <c r="TI72" s="187"/>
      <c r="TO72" s="188"/>
      <c r="TP72" s="187"/>
      <c r="TV72" s="188"/>
      <c r="TW72" s="187"/>
      <c r="UC72" s="188"/>
      <c r="UD72" s="187"/>
      <c r="UF72" s="168"/>
      <c r="UG72" s="189"/>
      <c r="UJ72" s="188"/>
      <c r="UK72" s="187"/>
      <c r="UQ72" s="188"/>
      <c r="UR72" s="187"/>
      <c r="UX72" s="188"/>
      <c r="UY72" s="187"/>
      <c r="VE72" s="188"/>
      <c r="VF72" s="187"/>
      <c r="VK72" s="168"/>
      <c r="VL72" s="191"/>
      <c r="VM72" s="187"/>
      <c r="VS72" s="188"/>
      <c r="VT72" s="187"/>
      <c r="VZ72" s="188"/>
      <c r="WA72" s="187"/>
      <c r="WG72" s="188"/>
      <c r="WH72" s="187"/>
      <c r="WN72" s="188"/>
      <c r="WO72" s="187"/>
      <c r="WP72" s="168"/>
      <c r="WQ72" s="189"/>
      <c r="WU72" s="188"/>
      <c r="WV72" s="187"/>
      <c r="XB72" s="188"/>
      <c r="XC72" s="187"/>
      <c r="XI72" s="188"/>
      <c r="XJ72" s="187"/>
      <c r="XP72" s="188"/>
      <c r="XQ72" s="187"/>
      <c r="XT72" s="168"/>
      <c r="XU72" s="189"/>
      <c r="XW72" s="188"/>
      <c r="XX72" s="187"/>
      <c r="YD72" s="188"/>
      <c r="YE72" s="187"/>
      <c r="YK72" s="188"/>
      <c r="YL72" s="187"/>
      <c r="YR72" s="188"/>
      <c r="YS72" s="187"/>
      <c r="YY72" s="168"/>
      <c r="YZ72" s="189"/>
      <c r="ZF72" s="188"/>
      <c r="ZG72" s="187"/>
      <c r="ZM72" s="188"/>
      <c r="ZN72" s="187"/>
      <c r="ZT72" s="188"/>
      <c r="ZU72" s="187"/>
      <c r="AAA72" s="188"/>
      <c r="AAB72" s="187"/>
      <c r="AAC72" s="168"/>
      <c r="AAD72" s="189"/>
      <c r="AAH72" s="188"/>
      <c r="AAI72" s="187"/>
      <c r="AAO72" s="188"/>
      <c r="AAP72" s="187"/>
      <c r="AAV72" s="188"/>
      <c r="AAW72" s="187"/>
      <c r="ABC72" s="188"/>
      <c r="ABD72" s="187"/>
      <c r="ABH72" s="168"/>
      <c r="ABI72" s="189"/>
      <c r="ABJ72" s="188"/>
      <c r="ABK72" s="187"/>
      <c r="ABQ72" s="188"/>
      <c r="ABR72" s="187"/>
      <c r="ABX72" s="188"/>
      <c r="ABY72" s="187"/>
      <c r="ACE72" s="188"/>
      <c r="ACF72" s="187"/>
      <c r="ACL72" s="188"/>
      <c r="ACM72" s="190"/>
      <c r="ACN72" s="189"/>
      <c r="ACS72" s="188"/>
      <c r="ACT72" s="187"/>
      <c r="ACZ72" s="188"/>
      <c r="ADA72" s="187"/>
      <c r="ADG72" s="188"/>
      <c r="ADH72" s="187"/>
      <c r="ADN72" s="188"/>
      <c r="ADO72" s="190"/>
      <c r="ADP72" s="189"/>
      <c r="ADU72" s="188"/>
      <c r="ADV72" s="187"/>
      <c r="AEB72" s="188"/>
      <c r="AEC72" s="187"/>
      <c r="AEI72" s="188"/>
      <c r="AEJ72" s="187"/>
      <c r="AEP72" s="188"/>
      <c r="AEQ72" s="187"/>
      <c r="AET72" s="168"/>
      <c r="AEU72" s="189"/>
      <c r="AEW72" s="188"/>
      <c r="AEX72" s="187"/>
      <c r="AFD72" s="188"/>
      <c r="AFE72" s="187"/>
      <c r="AFK72" s="188"/>
      <c r="AFL72" s="187"/>
      <c r="AFR72" s="188"/>
      <c r="AFS72" s="187"/>
      <c r="AFX72" s="168"/>
      <c r="AFY72" s="191"/>
      <c r="AFZ72" s="187"/>
      <c r="AGF72" s="188"/>
      <c r="AGG72" s="187"/>
      <c r="AGM72" s="188"/>
      <c r="AGN72" s="187"/>
      <c r="AGT72" s="188"/>
      <c r="AGU72" s="187"/>
      <c r="AHA72" s="188"/>
      <c r="AHB72" s="187"/>
      <c r="AHC72" s="168"/>
      <c r="AHD72" s="189"/>
      <c r="AHH72" s="188"/>
      <c r="AHI72" s="187"/>
      <c r="AHO72" s="188"/>
      <c r="AHP72" s="187"/>
      <c r="AHV72" s="188"/>
      <c r="AHW72" s="187"/>
      <c r="AIC72" s="188"/>
      <c r="AID72" s="187"/>
      <c r="AIG72" s="168"/>
      <c r="AIH72" s="189"/>
      <c r="AIJ72" s="188"/>
      <c r="AIK72" s="187"/>
      <c r="AIQ72" s="188"/>
      <c r="AIR72" s="187"/>
      <c r="AIX72" s="188"/>
      <c r="AIY72" s="187"/>
      <c r="AJE72" s="188"/>
      <c r="AJF72" s="187"/>
      <c r="AJL72" s="168"/>
      <c r="AJM72" s="189"/>
      <c r="AJS72" s="188"/>
      <c r="AJT72" s="187"/>
      <c r="AJZ72" s="188"/>
      <c r="AKA72" s="187"/>
      <c r="AKG72" s="188"/>
      <c r="AKH72" s="187"/>
      <c r="AKN72" s="188"/>
      <c r="AKO72" s="187"/>
      <c r="AKQ72" s="168"/>
      <c r="AKR72" s="189"/>
      <c r="AKU72" s="188"/>
      <c r="AKV72" s="187"/>
      <c r="ALB72" s="188"/>
      <c r="ALC72" s="187"/>
      <c r="ALI72" s="188"/>
      <c r="ALJ72" s="187"/>
      <c r="ALP72" s="188"/>
      <c r="ALQ72" s="187"/>
      <c r="ALU72" s="168"/>
      <c r="ALV72" s="189"/>
      <c r="ALW72" s="188"/>
      <c r="ALX72" s="187"/>
      <c r="AMD72" s="188"/>
      <c r="AME72" s="187"/>
      <c r="AMK72" s="188"/>
      <c r="AML72" s="187"/>
      <c r="AMR72" s="188"/>
      <c r="AMS72" s="187"/>
      <c r="AMY72" s="188"/>
      <c r="AMZ72" s="190"/>
      <c r="ANA72" s="189"/>
      <c r="ANF72" s="188"/>
      <c r="ANG72" s="187"/>
      <c r="ANM72" s="188"/>
      <c r="ANN72" s="187"/>
      <c r="ANT72" s="188"/>
      <c r="ANU72" s="187"/>
      <c r="AOA72" s="188"/>
      <c r="AOB72" s="187"/>
      <c r="AOD72" s="168"/>
      <c r="AOE72" s="189"/>
      <c r="AOH72" s="188"/>
      <c r="AOI72" s="187"/>
      <c r="AOO72" s="188"/>
      <c r="AOP72" s="187"/>
      <c r="AOV72" s="188"/>
      <c r="AOW72" s="187"/>
      <c r="APC72" s="188"/>
      <c r="APD72" s="187"/>
      <c r="API72" s="168"/>
      <c r="APJ72" s="191"/>
      <c r="APK72" s="187"/>
      <c r="APQ72" s="188"/>
      <c r="APR72" s="187"/>
      <c r="APX72" s="188"/>
      <c r="APY72" s="187"/>
      <c r="AQE72" s="188"/>
      <c r="AQF72" s="187"/>
      <c r="AQL72" s="188"/>
      <c r="AQM72" s="187"/>
      <c r="AQN72" s="168"/>
      <c r="AQO72" s="189"/>
      <c r="AQS72" s="188"/>
      <c r="AQT72" s="187"/>
      <c r="AQZ72" s="188"/>
      <c r="ARA72" s="187"/>
      <c r="ARG72" s="188"/>
      <c r="ARH72" s="187"/>
      <c r="ARN72" s="188"/>
      <c r="ARO72" s="187"/>
      <c r="ARP72" s="168"/>
      <c r="ARQ72" s="189"/>
      <c r="ARU72" s="188"/>
      <c r="ARV72" s="187"/>
      <c r="ASB72" s="188"/>
      <c r="ASC72" s="187"/>
      <c r="ASI72" s="188"/>
      <c r="ASJ72" s="187"/>
      <c r="ASP72" s="188"/>
      <c r="ASQ72" s="187"/>
      <c r="ASU72" s="168"/>
      <c r="ASV72" s="189"/>
      <c r="ASW72" s="188"/>
      <c r="ASX72" s="187"/>
      <c r="ATD72" s="188"/>
      <c r="ATE72" s="187"/>
      <c r="ATK72" s="188"/>
      <c r="ATL72" s="187"/>
      <c r="ATR72" s="188"/>
      <c r="ATS72" s="187"/>
      <c r="ATY72" s="168"/>
      <c r="ATZ72" s="189"/>
      <c r="AUF72" s="188"/>
      <c r="AUG72" s="187"/>
      <c r="AUM72" s="188"/>
      <c r="AUN72" s="187"/>
      <c r="AUT72" s="188"/>
      <c r="AUU72" s="187"/>
      <c r="AVA72" s="188"/>
      <c r="AVB72" s="187"/>
      <c r="AVD72" s="168"/>
      <c r="AVE72" s="189"/>
      <c r="AVH72" s="188"/>
      <c r="AVI72" s="187"/>
      <c r="AVO72" s="188"/>
      <c r="AVP72" s="187"/>
      <c r="AVV72" s="188"/>
      <c r="AVW72" s="187"/>
      <c r="AWC72" s="188"/>
      <c r="AWD72" s="187"/>
      <c r="AWH72" s="168"/>
      <c r="AWI72" s="189"/>
      <c r="AWJ72" s="188"/>
      <c r="AWK72" s="187"/>
      <c r="AWQ72" s="188"/>
      <c r="AWR72" s="187"/>
      <c r="AWX72" s="188"/>
      <c r="AWY72" s="187"/>
      <c r="AXE72" s="188"/>
      <c r="AXF72" s="187"/>
      <c r="AXL72" s="188"/>
      <c r="AXM72" s="190"/>
      <c r="AXN72" s="189"/>
      <c r="AXS72" s="188"/>
      <c r="AXT72" s="187"/>
      <c r="AXZ72" s="188"/>
      <c r="AYA72" s="187"/>
      <c r="AYG72" s="188"/>
      <c r="AYH72" s="187"/>
      <c r="AYN72" s="188"/>
      <c r="AYO72" s="187"/>
      <c r="AYR72" s="168"/>
      <c r="AYS72" s="189"/>
      <c r="AYU72" s="188"/>
      <c r="AYV72" s="187"/>
      <c r="AZB72" s="188"/>
      <c r="AZC72" s="187"/>
      <c r="AZI72" s="188"/>
      <c r="AZJ72" s="187"/>
      <c r="AZP72" s="188"/>
      <c r="AZQ72" s="187"/>
      <c r="AZV72" s="168"/>
      <c r="AZW72" s="191"/>
      <c r="AZX72" s="187"/>
      <c r="BAD72" s="188"/>
      <c r="BAE72" s="187"/>
      <c r="BAK72" s="188"/>
      <c r="BAL72" s="187"/>
      <c r="BAR72" s="188"/>
      <c r="BAS72" s="187"/>
      <c r="BAY72" s="188"/>
      <c r="BAZ72" s="187"/>
      <c r="BBA72" s="168"/>
      <c r="BBB72" s="189"/>
      <c r="BBF72" s="188"/>
      <c r="BBG72" s="187"/>
      <c r="BBM72" s="188"/>
      <c r="BBN72" s="187"/>
      <c r="BBT72" s="188"/>
      <c r="BBU72" s="187"/>
      <c r="BCA72" s="188"/>
      <c r="BCB72" s="187"/>
      <c r="BCE72" s="168"/>
      <c r="BCF72" s="189"/>
      <c r="BCH72" s="188"/>
      <c r="BCI72" s="187"/>
      <c r="BCO72" s="188"/>
      <c r="BCP72" s="187"/>
      <c r="BCV72" s="188"/>
      <c r="BCW72" s="187"/>
      <c r="BDC72" s="188"/>
      <c r="BDD72" s="187"/>
      <c r="BDJ72" s="168"/>
      <c r="BDK72" s="189"/>
      <c r="BDQ72" s="188"/>
      <c r="BDR72" s="187"/>
      <c r="BDX72" s="188"/>
      <c r="BDY72" s="187"/>
      <c r="BEE72" s="188"/>
      <c r="BEF72" s="187"/>
      <c r="BEL72" s="188"/>
      <c r="BEM72" s="187"/>
      <c r="BEO72" s="168"/>
      <c r="BEP72" s="189"/>
      <c r="BES72" s="188"/>
      <c r="BET72" s="187"/>
      <c r="BEZ72" s="188"/>
      <c r="BFA72" s="187"/>
      <c r="BFG72" s="188"/>
      <c r="BFH72" s="187"/>
      <c r="BFN72" s="188"/>
      <c r="BFO72" s="187"/>
      <c r="BFQ72" s="168"/>
      <c r="BFR72" s="189"/>
      <c r="BFU72" s="188"/>
      <c r="BFV72" s="187"/>
      <c r="BGB72" s="188"/>
      <c r="BGC72" s="187"/>
      <c r="BGI72" s="188"/>
      <c r="BGJ72" s="187"/>
      <c r="BGP72" s="188"/>
      <c r="BGQ72" s="187"/>
      <c r="BGV72" s="168"/>
      <c r="BGW72" s="191"/>
      <c r="BGX72" s="187"/>
      <c r="BHD72" s="188"/>
      <c r="BHE72" s="187"/>
      <c r="BHK72" s="188"/>
      <c r="BHL72" s="187"/>
      <c r="BHR72" s="188"/>
      <c r="BHS72" s="187"/>
      <c r="BHY72" s="188"/>
      <c r="BHZ72" s="190"/>
      <c r="BIA72" s="189"/>
      <c r="BIF72" s="188"/>
      <c r="BIG72" s="187"/>
      <c r="BIM72" s="188"/>
      <c r="BIN72" s="187"/>
      <c r="BIT72" s="188"/>
      <c r="BIU72" s="187"/>
      <c r="BJA72" s="188"/>
      <c r="BJB72" s="187"/>
      <c r="BJE72" s="168"/>
      <c r="BJF72" s="189"/>
      <c r="BJH72" s="188"/>
      <c r="BJI72" s="187"/>
      <c r="BJO72" s="188"/>
      <c r="BJP72" s="187"/>
      <c r="BJV72" s="188"/>
      <c r="BJW72" s="187"/>
      <c r="BKC72" s="188"/>
      <c r="BKD72" s="187"/>
      <c r="BKI72" s="168"/>
      <c r="BKJ72" s="191"/>
      <c r="BKK72" s="187"/>
      <c r="BKQ72" s="188"/>
      <c r="BKR72" s="187"/>
      <c r="BKX72" s="188"/>
      <c r="BKY72" s="187"/>
      <c r="BLE72" s="188"/>
      <c r="BLF72" s="187"/>
      <c r="BLL72" s="188"/>
      <c r="BLM72" s="187"/>
      <c r="BLN72" s="168"/>
      <c r="BLO72" s="189"/>
      <c r="BLS72" s="188"/>
      <c r="BLT72" s="187"/>
      <c r="BLZ72" s="188"/>
      <c r="BMA72" s="187"/>
      <c r="BMG72" s="188"/>
      <c r="BMH72" s="187"/>
      <c r="BMN72" s="188"/>
      <c r="BMO72" s="187"/>
      <c r="BMS72" s="168"/>
      <c r="BMT72" s="189"/>
      <c r="BMU72" s="188"/>
      <c r="BMV72" s="187"/>
      <c r="BNB72" s="188"/>
      <c r="BNC72" s="187"/>
      <c r="BNI72" s="188"/>
      <c r="BNJ72" s="187"/>
      <c r="BNP72" s="188"/>
      <c r="BNQ72" s="187"/>
      <c r="BNW72" s="168"/>
      <c r="BNX72" s="189"/>
      <c r="BOD72" s="188"/>
      <c r="BOE72" s="187"/>
      <c r="BOK72" s="188"/>
      <c r="BOL72" s="187"/>
      <c r="BOR72" s="188"/>
      <c r="BOS72" s="187"/>
      <c r="BOY72" s="188"/>
      <c r="BOZ72" s="187"/>
      <c r="BPB72" s="168"/>
      <c r="BPC72" s="189"/>
      <c r="BPF72" s="188"/>
      <c r="BPG72" s="187"/>
      <c r="BPM72" s="188"/>
      <c r="BPN72" s="187"/>
      <c r="BPT72" s="188"/>
      <c r="BPU72" s="187"/>
      <c r="BQA72" s="188"/>
      <c r="BQB72" s="187"/>
      <c r="BQF72" s="168"/>
      <c r="BQG72" s="189"/>
      <c r="BQH72" s="188"/>
      <c r="BQI72" s="187"/>
      <c r="BQO72" s="188"/>
      <c r="BQP72" s="187"/>
      <c r="BQV72" s="188"/>
      <c r="BQW72" s="187"/>
      <c r="BRC72" s="188"/>
      <c r="BRD72" s="187"/>
      <c r="BRJ72" s="188"/>
      <c r="BRK72" s="190"/>
      <c r="BRL72" s="189"/>
      <c r="BRQ72" s="188"/>
      <c r="BRR72" s="187"/>
      <c r="BRX72" s="188"/>
      <c r="BRY72" s="187"/>
      <c r="BSE72" s="188"/>
      <c r="BSF72" s="187"/>
      <c r="BSL72" s="188"/>
      <c r="BSM72" s="187"/>
      <c r="BSP72" s="168"/>
      <c r="BSQ72" s="189"/>
      <c r="BSS72" s="188"/>
      <c r="BST72" s="187"/>
      <c r="BSZ72" s="188"/>
      <c r="BTA72" s="187"/>
      <c r="BTG72" s="188"/>
      <c r="BTH72" s="187"/>
      <c r="BTN72" s="188"/>
      <c r="BTO72" s="187"/>
      <c r="BTS72" s="168"/>
      <c r="BTT72" s="189"/>
      <c r="BTU72" s="188"/>
      <c r="BTV72" s="187"/>
      <c r="BUB72" s="188"/>
      <c r="BUC72" s="187"/>
      <c r="BUI72" s="188"/>
      <c r="BUJ72" s="187"/>
      <c r="BUP72" s="188"/>
      <c r="BUQ72" s="187"/>
      <c r="BUW72" s="188"/>
      <c r="BUX72" s="190"/>
      <c r="BUY72" s="189"/>
      <c r="BVD72" s="188"/>
      <c r="BVE72" s="187"/>
      <c r="BVK72" s="188"/>
      <c r="BVL72" s="187"/>
      <c r="BVR72" s="188"/>
      <c r="BVS72" s="187"/>
      <c r="BVY72" s="188"/>
      <c r="BVZ72" s="187"/>
      <c r="BWB72" s="168"/>
      <c r="BWC72" s="189"/>
      <c r="BWF72" s="188"/>
      <c r="BWG72" s="187"/>
      <c r="BWM72" s="188"/>
      <c r="BWN72" s="187"/>
      <c r="BWT72" s="188"/>
      <c r="BWU72" s="187"/>
      <c r="BXA72" s="188"/>
      <c r="BXB72" s="187"/>
      <c r="BXG72" s="168"/>
      <c r="BXH72" s="191"/>
      <c r="BXI72" s="187"/>
      <c r="BXO72" s="188"/>
      <c r="BXP72" s="187"/>
      <c r="BXV72" s="188"/>
      <c r="BXW72" s="187"/>
      <c r="BYC72" s="188"/>
      <c r="BYD72" s="187"/>
      <c r="BYJ72" s="188"/>
      <c r="BYK72" s="190"/>
      <c r="BYL72" s="189"/>
      <c r="BYQ72" s="188"/>
      <c r="BYR72" s="187"/>
      <c r="BYX72" s="188"/>
      <c r="BYY72" s="187"/>
      <c r="BZE72" s="188"/>
      <c r="BZF72" s="187"/>
      <c r="BZL72" s="188"/>
      <c r="BZM72" s="187"/>
      <c r="BZP72" s="168"/>
      <c r="BZQ72" s="189"/>
      <c r="BZS72" s="188"/>
      <c r="BZT72" s="187"/>
      <c r="BZZ72" s="188"/>
      <c r="CAA72" s="187"/>
      <c r="CAG72" s="188"/>
      <c r="CAH72" s="187"/>
      <c r="CAN72" s="188"/>
      <c r="CAO72" s="187"/>
      <c r="CAU72" s="168"/>
      <c r="CAV72" s="189"/>
      <c r="CBB72" s="188"/>
      <c r="CBC72" s="187"/>
      <c r="CBI72" s="188"/>
      <c r="CBJ72" s="187"/>
      <c r="CBP72" s="188"/>
      <c r="CBQ72" s="187"/>
      <c r="CBW72" s="188"/>
      <c r="CBX72" s="187"/>
      <c r="CBY72" s="168"/>
      <c r="CBZ72" s="189"/>
      <c r="CCD72" s="188"/>
      <c r="CCE72" s="187"/>
      <c r="CCK72" s="188"/>
      <c r="CCL72" s="187"/>
      <c r="CCR72" s="188"/>
      <c r="CCS72" s="187"/>
      <c r="CCY72" s="188"/>
      <c r="CCZ72" s="187"/>
      <c r="CDD72" s="168"/>
      <c r="CDE72" s="189"/>
      <c r="CDF72" s="188"/>
      <c r="CDG72" s="187"/>
      <c r="CDM72" s="188"/>
      <c r="CDN72" s="187"/>
      <c r="CDT72" s="188"/>
      <c r="CDU72" s="187"/>
      <c r="CEA72" s="188"/>
      <c r="CEB72" s="187"/>
      <c r="CEH72" s="168"/>
      <c r="CEI72" s="189"/>
      <c r="CEO72" s="188"/>
      <c r="CEP72" s="187"/>
      <c r="CEV72" s="188"/>
      <c r="CEW72" s="187"/>
      <c r="CFC72" s="188"/>
      <c r="CFD72" s="187"/>
      <c r="CFJ72" s="188"/>
      <c r="CFK72" s="187"/>
    </row>
    <row r="73" spans="1:1019 1025:2048 2054:2195">
      <c r="A73" s="164" t="s">
        <v>344</v>
      </c>
      <c r="D73" s="186"/>
      <c r="E73" s="186"/>
      <c r="K73" s="187"/>
      <c r="Q73" s="188"/>
      <c r="R73" s="187"/>
      <c r="X73" s="188"/>
      <c r="Y73" s="187"/>
      <c r="AE73" s="188"/>
      <c r="AF73" s="187"/>
      <c r="AJ73" s="168"/>
      <c r="AK73" s="189"/>
      <c r="AL73" s="188"/>
      <c r="AM73" s="187"/>
      <c r="AS73" s="188"/>
      <c r="AT73" s="187"/>
      <c r="AZ73" s="188"/>
      <c r="BA73" s="187"/>
      <c r="BG73" s="188"/>
      <c r="BH73" s="187"/>
      <c r="BL73" s="168"/>
      <c r="BM73" s="189"/>
      <c r="BN73" s="188"/>
      <c r="BO73" s="187"/>
      <c r="BU73" s="188"/>
      <c r="BV73" s="187"/>
      <c r="CB73" s="188"/>
      <c r="CC73" s="187"/>
      <c r="CI73" s="188"/>
      <c r="CJ73" s="187"/>
      <c r="CP73" s="188"/>
      <c r="CQ73" s="190"/>
      <c r="CR73" s="189"/>
      <c r="CW73" s="188"/>
      <c r="CX73" s="187"/>
      <c r="DD73" s="188"/>
      <c r="DE73" s="187"/>
      <c r="DK73" s="188"/>
      <c r="DL73" s="187"/>
      <c r="DR73" s="188"/>
      <c r="DS73" s="187"/>
      <c r="DU73" s="168"/>
      <c r="DV73" s="189"/>
      <c r="DY73" s="188"/>
      <c r="DZ73" s="187"/>
      <c r="EF73" s="188"/>
      <c r="EG73" s="187"/>
      <c r="EM73" s="188"/>
      <c r="EN73" s="187"/>
      <c r="ET73" s="188"/>
      <c r="EU73" s="187"/>
      <c r="EZ73" s="168"/>
      <c r="FA73" s="191"/>
      <c r="FB73" s="187"/>
      <c r="FH73" s="188"/>
      <c r="FI73" s="187"/>
      <c r="FO73" s="188"/>
      <c r="FP73" s="187"/>
      <c r="FV73" s="188"/>
      <c r="FW73" s="187"/>
      <c r="GC73" s="188"/>
      <c r="GD73" s="190"/>
      <c r="GE73" s="189"/>
      <c r="GJ73" s="188"/>
      <c r="GK73" s="187"/>
      <c r="GQ73" s="188"/>
      <c r="GR73" s="187"/>
      <c r="GX73" s="188"/>
      <c r="GY73" s="187"/>
      <c r="HE73" s="188"/>
      <c r="HF73" s="187"/>
      <c r="HI73" s="168"/>
      <c r="HJ73" s="189"/>
      <c r="HL73" s="188"/>
      <c r="HM73" s="187"/>
      <c r="HS73" s="188"/>
      <c r="HT73" s="187"/>
      <c r="HZ73" s="188"/>
      <c r="IA73" s="187"/>
      <c r="IG73" s="188"/>
      <c r="IH73" s="187"/>
      <c r="IN73" s="168"/>
      <c r="IO73" s="189"/>
      <c r="IU73" s="188"/>
      <c r="IV73" s="187"/>
      <c r="JB73" s="188"/>
      <c r="JC73" s="187"/>
      <c r="JI73" s="188"/>
      <c r="JJ73" s="187"/>
      <c r="JP73" s="188"/>
      <c r="JQ73" s="187"/>
      <c r="JR73" s="168"/>
      <c r="JS73" s="189"/>
      <c r="JW73" s="188"/>
      <c r="JX73" s="187"/>
      <c r="KD73" s="188"/>
      <c r="KE73" s="187"/>
      <c r="KK73" s="188"/>
      <c r="KL73" s="187"/>
      <c r="KR73" s="188"/>
      <c r="KS73" s="187"/>
      <c r="KW73" s="168"/>
      <c r="KX73" s="189"/>
      <c r="KY73" s="188"/>
      <c r="KZ73" s="187"/>
      <c r="LF73" s="188"/>
      <c r="LG73" s="187"/>
      <c r="LM73" s="188"/>
      <c r="LN73" s="187"/>
      <c r="LT73" s="188"/>
      <c r="LU73" s="187"/>
      <c r="MA73" s="168"/>
      <c r="MB73" s="189"/>
      <c r="MH73" s="188"/>
      <c r="MI73" s="187"/>
      <c r="MO73" s="188"/>
      <c r="MP73" s="187"/>
      <c r="MV73" s="188"/>
      <c r="MW73" s="187"/>
      <c r="NC73" s="188"/>
      <c r="ND73" s="187"/>
      <c r="NF73" s="168"/>
      <c r="NG73" s="189"/>
      <c r="NJ73" s="188"/>
      <c r="NK73" s="187"/>
      <c r="NQ73" s="188"/>
      <c r="NR73" s="187"/>
      <c r="NX73" s="188"/>
      <c r="NY73" s="187"/>
      <c r="OE73" s="188"/>
      <c r="OF73" s="187"/>
      <c r="OK73" s="168"/>
      <c r="OL73" s="191"/>
      <c r="OM73" s="187"/>
      <c r="OS73" s="188"/>
      <c r="OT73" s="187"/>
      <c r="OZ73" s="188"/>
      <c r="PA73" s="187"/>
      <c r="PG73" s="188"/>
      <c r="PH73" s="187"/>
      <c r="PN73" s="168"/>
      <c r="PO73" s="189"/>
      <c r="PU73" s="188"/>
      <c r="PV73" s="187"/>
      <c r="QB73" s="188"/>
      <c r="QC73" s="187"/>
      <c r="QI73" s="188"/>
      <c r="QJ73" s="187"/>
      <c r="QP73" s="188"/>
      <c r="QQ73" s="187"/>
      <c r="QS73" s="168"/>
      <c r="QT73" s="189"/>
      <c r="QW73" s="188"/>
      <c r="QX73" s="187"/>
      <c r="RD73" s="188"/>
      <c r="RE73" s="187"/>
      <c r="RK73" s="188"/>
      <c r="RL73" s="187"/>
      <c r="RR73" s="188"/>
      <c r="RS73" s="187"/>
      <c r="RW73" s="168"/>
      <c r="RX73" s="189"/>
      <c r="RY73" s="188"/>
      <c r="RZ73" s="187"/>
      <c r="SF73" s="188"/>
      <c r="SG73" s="187"/>
      <c r="SM73" s="188"/>
      <c r="SN73" s="187"/>
      <c r="ST73" s="188"/>
      <c r="SU73" s="187"/>
      <c r="TA73" s="188"/>
      <c r="TB73" s="190"/>
      <c r="TC73" s="189"/>
      <c r="TH73" s="188"/>
      <c r="TI73" s="187"/>
      <c r="TO73" s="188"/>
      <c r="TP73" s="187"/>
      <c r="TV73" s="188"/>
      <c r="TW73" s="187"/>
      <c r="UC73" s="188"/>
      <c r="UD73" s="187"/>
      <c r="UF73" s="168"/>
      <c r="UG73" s="189"/>
      <c r="UJ73" s="188"/>
      <c r="UK73" s="187"/>
      <c r="UQ73" s="188"/>
      <c r="UR73" s="187"/>
      <c r="UX73" s="188"/>
      <c r="UY73" s="187"/>
      <c r="VE73" s="188"/>
      <c r="VF73" s="187"/>
      <c r="VK73" s="168"/>
      <c r="VL73" s="191"/>
      <c r="VM73" s="187"/>
      <c r="VS73" s="188"/>
      <c r="VT73" s="187"/>
      <c r="VZ73" s="188"/>
      <c r="WA73" s="187"/>
      <c r="WG73" s="188"/>
      <c r="WH73" s="187"/>
      <c r="WN73" s="188"/>
      <c r="WO73" s="187"/>
      <c r="WP73" s="168"/>
      <c r="WQ73" s="189"/>
      <c r="WU73" s="188"/>
      <c r="WV73" s="187"/>
      <c r="XB73" s="188"/>
      <c r="XC73" s="187"/>
      <c r="XI73" s="188"/>
      <c r="XJ73" s="187"/>
      <c r="XP73" s="188"/>
      <c r="XQ73" s="187"/>
      <c r="XT73" s="168"/>
      <c r="XU73" s="189"/>
      <c r="XW73" s="188"/>
      <c r="XX73" s="187"/>
      <c r="YD73" s="188"/>
      <c r="YE73" s="187"/>
      <c r="YK73" s="188"/>
      <c r="YL73" s="187"/>
      <c r="YR73" s="188"/>
      <c r="YS73" s="187"/>
      <c r="YY73" s="168"/>
      <c r="YZ73" s="189"/>
      <c r="ZF73" s="188"/>
      <c r="ZG73" s="187"/>
      <c r="ZM73" s="188"/>
      <c r="ZN73" s="187"/>
      <c r="ZT73" s="188"/>
      <c r="ZU73" s="187"/>
      <c r="AAA73" s="188"/>
      <c r="AAB73" s="187"/>
      <c r="AAC73" s="168"/>
      <c r="AAD73" s="189"/>
      <c r="AAH73" s="188"/>
      <c r="AAI73" s="187"/>
      <c r="AAO73" s="188"/>
      <c r="AAP73" s="187"/>
      <c r="AAV73" s="188"/>
      <c r="AAW73" s="187"/>
      <c r="ABC73" s="188"/>
      <c r="ABD73" s="187"/>
      <c r="ABH73" s="168"/>
      <c r="ABI73" s="189"/>
      <c r="ABJ73" s="188"/>
      <c r="ABK73" s="187"/>
      <c r="ABQ73" s="188"/>
      <c r="ABR73" s="187"/>
      <c r="ABX73" s="188"/>
      <c r="ABY73" s="187"/>
      <c r="ACE73" s="188"/>
      <c r="ACF73" s="187"/>
      <c r="ACL73" s="188"/>
      <c r="ACM73" s="190"/>
      <c r="ACN73" s="189"/>
      <c r="ACS73" s="188"/>
      <c r="ACT73" s="187"/>
      <c r="ACZ73" s="188"/>
      <c r="ADA73" s="187"/>
      <c r="ADG73" s="188"/>
      <c r="ADH73" s="187"/>
      <c r="ADN73" s="188"/>
      <c r="ADO73" s="190"/>
      <c r="ADP73" s="189"/>
      <c r="ADU73" s="188"/>
      <c r="ADV73" s="187"/>
      <c r="AEB73" s="188"/>
      <c r="AEC73" s="187"/>
      <c r="AEI73" s="188"/>
      <c r="AEJ73" s="187"/>
      <c r="AEP73" s="188"/>
      <c r="AEQ73" s="187"/>
      <c r="AET73" s="168"/>
      <c r="AEU73" s="189"/>
      <c r="AEW73" s="188"/>
      <c r="AEX73" s="187"/>
      <c r="AFD73" s="188"/>
      <c r="AFE73" s="187"/>
      <c r="AFK73" s="188"/>
      <c r="AFL73" s="187"/>
      <c r="AFR73" s="188"/>
      <c r="AFS73" s="187"/>
      <c r="AFX73" s="168"/>
      <c r="AFY73" s="191"/>
      <c r="AFZ73" s="187"/>
      <c r="AGF73" s="188"/>
      <c r="AGG73" s="187"/>
      <c r="AGM73" s="188"/>
      <c r="AGN73" s="187"/>
      <c r="AGT73" s="188"/>
      <c r="AGU73" s="187"/>
      <c r="AHA73" s="188"/>
      <c r="AHB73" s="187"/>
      <c r="AHC73" s="168"/>
      <c r="AHD73" s="189"/>
      <c r="AHH73" s="188"/>
      <c r="AHI73" s="187"/>
      <c r="AHO73" s="188"/>
      <c r="AHP73" s="187"/>
      <c r="AHV73" s="188"/>
      <c r="AHW73" s="187"/>
      <c r="AIC73" s="188"/>
      <c r="AID73" s="187"/>
      <c r="AIG73" s="168"/>
      <c r="AIH73" s="189"/>
      <c r="AIJ73" s="188"/>
      <c r="AIK73" s="187"/>
      <c r="AIQ73" s="188"/>
      <c r="AIR73" s="187"/>
      <c r="AIX73" s="188"/>
      <c r="AIY73" s="187"/>
      <c r="AJE73" s="188"/>
      <c r="AJF73" s="187"/>
      <c r="AJL73" s="168"/>
      <c r="AJM73" s="189"/>
      <c r="AJS73" s="188"/>
      <c r="AJT73" s="187"/>
      <c r="AJZ73" s="188"/>
      <c r="AKA73" s="187"/>
      <c r="AKG73" s="188"/>
      <c r="AKH73" s="187"/>
      <c r="AKN73" s="188"/>
      <c r="AKO73" s="187"/>
      <c r="AKQ73" s="168"/>
      <c r="AKR73" s="189"/>
      <c r="AKU73" s="188"/>
      <c r="AKV73" s="187"/>
      <c r="ALB73" s="188"/>
      <c r="ALC73" s="187"/>
      <c r="ALI73" s="188"/>
      <c r="ALJ73" s="187"/>
      <c r="ALP73" s="188"/>
      <c r="ALQ73" s="187"/>
      <c r="ALU73" s="168"/>
      <c r="ALV73" s="189"/>
      <c r="ALW73" s="188"/>
      <c r="ALX73" s="187"/>
      <c r="AMD73" s="188"/>
      <c r="AME73" s="187"/>
      <c r="AMK73" s="188"/>
      <c r="AML73" s="187"/>
      <c r="AMR73" s="188"/>
      <c r="AMS73" s="187"/>
      <c r="AMY73" s="188"/>
      <c r="AMZ73" s="190"/>
      <c r="ANA73" s="189"/>
      <c r="ANF73" s="188"/>
      <c r="ANG73" s="187"/>
      <c r="ANM73" s="188"/>
      <c r="ANN73" s="187"/>
      <c r="ANT73" s="188"/>
      <c r="ANU73" s="187"/>
      <c r="AOA73" s="188"/>
      <c r="AOB73" s="187"/>
      <c r="AOD73" s="168"/>
      <c r="AOE73" s="189"/>
      <c r="AOH73" s="188"/>
      <c r="AOI73" s="187"/>
      <c r="AOO73" s="188"/>
      <c r="AOP73" s="187"/>
      <c r="AOV73" s="188"/>
      <c r="AOW73" s="187"/>
      <c r="APC73" s="188"/>
      <c r="APD73" s="187"/>
      <c r="API73" s="168"/>
      <c r="APJ73" s="191"/>
      <c r="APK73" s="187"/>
      <c r="APQ73" s="188"/>
      <c r="APR73" s="187"/>
      <c r="APX73" s="188"/>
      <c r="APY73" s="187"/>
      <c r="AQE73" s="188"/>
      <c r="AQF73" s="187"/>
      <c r="AQL73" s="188"/>
      <c r="AQM73" s="187"/>
      <c r="AQN73" s="168"/>
      <c r="AQO73" s="189"/>
      <c r="AQS73" s="188"/>
      <c r="AQT73" s="187"/>
      <c r="AQZ73" s="188"/>
      <c r="ARA73" s="187"/>
      <c r="ARG73" s="188"/>
      <c r="ARH73" s="187"/>
      <c r="ARN73" s="188"/>
      <c r="ARO73" s="187"/>
      <c r="ARP73" s="168"/>
      <c r="ARQ73" s="189"/>
      <c r="ARU73" s="188"/>
      <c r="ARV73" s="187"/>
      <c r="ASB73" s="188"/>
      <c r="ASC73" s="187"/>
      <c r="ASI73" s="188"/>
      <c r="ASJ73" s="187"/>
      <c r="ASP73" s="188"/>
      <c r="ASQ73" s="187"/>
      <c r="ASU73" s="168"/>
      <c r="ASV73" s="189"/>
      <c r="ASW73" s="188"/>
      <c r="ASX73" s="187"/>
      <c r="ATD73" s="188"/>
      <c r="ATE73" s="187"/>
      <c r="ATK73" s="188"/>
      <c r="ATL73" s="187"/>
      <c r="ATR73" s="188"/>
      <c r="ATS73" s="187"/>
      <c r="ATY73" s="168"/>
      <c r="ATZ73" s="189"/>
      <c r="AUF73" s="188"/>
      <c r="AUG73" s="187"/>
      <c r="AUM73" s="188"/>
      <c r="AUN73" s="187"/>
      <c r="AUT73" s="188"/>
      <c r="AUU73" s="187"/>
      <c r="AVA73" s="188"/>
      <c r="AVB73" s="187"/>
      <c r="AVD73" s="168"/>
      <c r="AVE73" s="189"/>
      <c r="AVH73" s="188"/>
      <c r="AVI73" s="187"/>
      <c r="AVO73" s="188"/>
      <c r="AVP73" s="187"/>
      <c r="AVV73" s="188"/>
      <c r="AVW73" s="187"/>
      <c r="AWC73" s="188"/>
      <c r="AWD73" s="187"/>
      <c r="AWH73" s="168"/>
      <c r="AWI73" s="189"/>
      <c r="AWJ73" s="188"/>
      <c r="AWK73" s="187"/>
      <c r="AWQ73" s="188"/>
      <c r="AWR73" s="187"/>
      <c r="AWX73" s="188"/>
      <c r="AWY73" s="187"/>
      <c r="AXE73" s="188"/>
      <c r="AXF73" s="187"/>
      <c r="AXL73" s="188"/>
      <c r="AXM73" s="190"/>
      <c r="AXN73" s="189"/>
      <c r="AXS73" s="188"/>
      <c r="AXT73" s="187"/>
      <c r="AXZ73" s="188"/>
      <c r="AYA73" s="187"/>
      <c r="AYG73" s="188"/>
      <c r="AYH73" s="187"/>
      <c r="AYN73" s="188"/>
      <c r="AYO73" s="187"/>
      <c r="AYR73" s="168"/>
      <c r="AYS73" s="189"/>
      <c r="AYU73" s="188"/>
      <c r="AYV73" s="187"/>
      <c r="AZB73" s="188"/>
      <c r="AZC73" s="187"/>
      <c r="AZI73" s="188"/>
      <c r="AZJ73" s="187"/>
      <c r="AZP73" s="188"/>
      <c r="AZQ73" s="187"/>
      <c r="AZV73" s="168"/>
      <c r="AZW73" s="191"/>
      <c r="AZX73" s="187"/>
      <c r="BAD73" s="188"/>
      <c r="BAE73" s="187"/>
      <c r="BAK73" s="188"/>
      <c r="BAL73" s="187"/>
      <c r="BAR73" s="188"/>
      <c r="BAS73" s="187"/>
      <c r="BAY73" s="188"/>
      <c r="BAZ73" s="187"/>
      <c r="BBA73" s="168"/>
      <c r="BBB73" s="189"/>
      <c r="BBF73" s="188"/>
      <c r="BBG73" s="187"/>
      <c r="BBM73" s="188"/>
      <c r="BBN73" s="187"/>
      <c r="BBT73" s="188"/>
      <c r="BBU73" s="187"/>
      <c r="BCA73" s="188"/>
      <c r="BCB73" s="187"/>
      <c r="BCE73" s="168"/>
      <c r="BCF73" s="189"/>
      <c r="BCH73" s="188"/>
      <c r="BCI73" s="187"/>
      <c r="BCO73" s="188"/>
      <c r="BCP73" s="187"/>
      <c r="BCV73" s="188"/>
      <c r="BCW73" s="187"/>
      <c r="BDC73" s="188"/>
      <c r="BDD73" s="187"/>
      <c r="BDJ73" s="168"/>
      <c r="BDK73" s="189"/>
      <c r="BDQ73" s="188"/>
      <c r="BDR73" s="187"/>
      <c r="BDX73" s="188"/>
      <c r="BDY73" s="187"/>
      <c r="BEE73" s="188"/>
      <c r="BEF73" s="187"/>
      <c r="BEL73" s="188"/>
      <c r="BEM73" s="187"/>
      <c r="BEO73" s="168"/>
      <c r="BEP73" s="189"/>
      <c r="BES73" s="188"/>
      <c r="BET73" s="187"/>
      <c r="BEZ73" s="188"/>
      <c r="BFA73" s="187"/>
      <c r="BFG73" s="188"/>
      <c r="BFH73" s="187"/>
      <c r="BFN73" s="188"/>
      <c r="BFO73" s="187"/>
      <c r="BFQ73" s="168"/>
      <c r="BFR73" s="189"/>
      <c r="BFU73" s="188"/>
      <c r="BFV73" s="187"/>
      <c r="BGB73" s="188"/>
      <c r="BGC73" s="187"/>
      <c r="BGI73" s="188"/>
      <c r="BGJ73" s="187"/>
      <c r="BGP73" s="188"/>
      <c r="BGQ73" s="187"/>
      <c r="BGV73" s="168"/>
      <c r="BGW73" s="191"/>
      <c r="BGX73" s="187"/>
      <c r="BHD73" s="188"/>
      <c r="BHE73" s="187"/>
      <c r="BHK73" s="188"/>
      <c r="BHL73" s="187"/>
      <c r="BHR73" s="188"/>
      <c r="BHS73" s="187"/>
      <c r="BHY73" s="188"/>
      <c r="BHZ73" s="190"/>
      <c r="BIA73" s="189"/>
      <c r="BIF73" s="188"/>
      <c r="BIG73" s="187"/>
      <c r="BIM73" s="188"/>
      <c r="BIN73" s="187"/>
      <c r="BIT73" s="188"/>
      <c r="BIU73" s="187"/>
      <c r="BJA73" s="188"/>
      <c r="BJB73" s="187"/>
      <c r="BJE73" s="168"/>
      <c r="BJF73" s="189"/>
      <c r="BJH73" s="188"/>
      <c r="BJI73" s="187"/>
      <c r="BJO73" s="188"/>
      <c r="BJP73" s="187"/>
      <c r="BJV73" s="188"/>
      <c r="BJW73" s="187"/>
      <c r="BKC73" s="188"/>
      <c r="BKD73" s="187"/>
      <c r="BKI73" s="168"/>
      <c r="BKJ73" s="191"/>
      <c r="BKK73" s="187"/>
      <c r="BKQ73" s="188"/>
      <c r="BKR73" s="187"/>
      <c r="BKX73" s="188"/>
      <c r="BKY73" s="187"/>
      <c r="BLE73" s="188"/>
      <c r="BLF73" s="187"/>
      <c r="BLL73" s="188"/>
      <c r="BLM73" s="187"/>
      <c r="BLN73" s="168"/>
      <c r="BLO73" s="189"/>
      <c r="BLS73" s="188"/>
      <c r="BLT73" s="187"/>
      <c r="BLZ73" s="188"/>
      <c r="BMA73" s="187"/>
      <c r="BMG73" s="188"/>
      <c r="BMH73" s="187"/>
      <c r="BMN73" s="188"/>
      <c r="BMO73" s="187"/>
      <c r="BMS73" s="168"/>
      <c r="BMT73" s="189"/>
      <c r="BMU73" s="188"/>
      <c r="BMV73" s="187"/>
      <c r="BNB73" s="188"/>
      <c r="BNC73" s="187"/>
      <c r="BNI73" s="188"/>
      <c r="BNJ73" s="187"/>
      <c r="BNP73" s="188"/>
      <c r="BNQ73" s="187"/>
      <c r="BNW73" s="168"/>
      <c r="BNX73" s="189"/>
      <c r="BOD73" s="188"/>
      <c r="BOE73" s="187"/>
      <c r="BOK73" s="188"/>
      <c r="BOL73" s="187"/>
      <c r="BOR73" s="188"/>
      <c r="BOS73" s="187"/>
      <c r="BOY73" s="188"/>
      <c r="BOZ73" s="187"/>
      <c r="BPB73" s="168"/>
      <c r="BPC73" s="189"/>
      <c r="BPF73" s="188"/>
      <c r="BPG73" s="187"/>
      <c r="BPM73" s="188"/>
      <c r="BPN73" s="187"/>
      <c r="BPT73" s="188"/>
      <c r="BPU73" s="187"/>
      <c r="BQA73" s="188"/>
      <c r="BQB73" s="187"/>
      <c r="BQF73" s="168"/>
      <c r="BQG73" s="189"/>
      <c r="BQH73" s="188"/>
      <c r="BQI73" s="187"/>
      <c r="BQO73" s="188"/>
      <c r="BQP73" s="187"/>
      <c r="BQV73" s="188"/>
      <c r="BQW73" s="187"/>
      <c r="BRC73" s="188"/>
      <c r="BRD73" s="187"/>
      <c r="BRJ73" s="188"/>
      <c r="BRK73" s="190"/>
      <c r="BRL73" s="189"/>
      <c r="BRQ73" s="188"/>
      <c r="BRR73" s="187"/>
      <c r="BRX73" s="188"/>
      <c r="BRY73" s="187"/>
      <c r="BSE73" s="188"/>
      <c r="BSF73" s="187"/>
      <c r="BSL73" s="188"/>
      <c r="BSM73" s="187"/>
      <c r="BSP73" s="168"/>
      <c r="BSQ73" s="189"/>
      <c r="BSS73" s="188"/>
      <c r="BST73" s="187"/>
      <c r="BSZ73" s="188"/>
      <c r="BTA73" s="187"/>
      <c r="BTG73" s="188"/>
      <c r="BTH73" s="187"/>
      <c r="BTN73" s="188"/>
      <c r="BTO73" s="187"/>
      <c r="BTS73" s="168"/>
      <c r="BTT73" s="189"/>
      <c r="BTU73" s="188"/>
      <c r="BTV73" s="187"/>
      <c r="BUB73" s="188"/>
      <c r="BUC73" s="187"/>
      <c r="BUI73" s="188"/>
      <c r="BUJ73" s="187"/>
      <c r="BUP73" s="188"/>
      <c r="BUQ73" s="187"/>
      <c r="BUW73" s="188"/>
      <c r="BUX73" s="190"/>
      <c r="BUY73" s="189"/>
      <c r="BVD73" s="188"/>
      <c r="BVE73" s="187"/>
      <c r="BVK73" s="188"/>
      <c r="BVL73" s="187"/>
      <c r="BVR73" s="188"/>
      <c r="BVS73" s="187"/>
      <c r="BVY73" s="188"/>
      <c r="BVZ73" s="187"/>
      <c r="BWB73" s="168"/>
      <c r="BWC73" s="189"/>
      <c r="BWF73" s="188"/>
      <c r="BWG73" s="187"/>
      <c r="BWM73" s="188"/>
      <c r="BWN73" s="187"/>
      <c r="BWT73" s="188"/>
      <c r="BWU73" s="187"/>
      <c r="BXA73" s="188"/>
      <c r="BXB73" s="187"/>
      <c r="BXG73" s="168"/>
      <c r="BXH73" s="191"/>
      <c r="BXI73" s="187"/>
      <c r="BXO73" s="188"/>
      <c r="BXP73" s="187"/>
      <c r="BXV73" s="188"/>
      <c r="BXW73" s="187"/>
      <c r="BYC73" s="188"/>
      <c r="BYD73" s="187"/>
      <c r="BYJ73" s="188"/>
      <c r="BYK73" s="190"/>
      <c r="BYL73" s="189"/>
      <c r="BYQ73" s="188"/>
      <c r="BYR73" s="187"/>
      <c r="BYX73" s="188"/>
      <c r="BYY73" s="187"/>
      <c r="BZE73" s="188"/>
      <c r="BZF73" s="187"/>
      <c r="BZL73" s="188"/>
      <c r="BZM73" s="187"/>
      <c r="BZP73" s="168"/>
      <c r="BZQ73" s="189"/>
      <c r="BZS73" s="188"/>
      <c r="BZT73" s="187"/>
      <c r="BZZ73" s="188"/>
      <c r="CAA73" s="187"/>
      <c r="CAG73" s="188"/>
      <c r="CAH73" s="187"/>
      <c r="CAN73" s="188"/>
      <c r="CAO73" s="187"/>
      <c r="CAU73" s="168"/>
      <c r="CAV73" s="189"/>
      <c r="CBB73" s="188"/>
      <c r="CBC73" s="187"/>
      <c r="CBI73" s="188"/>
      <c r="CBJ73" s="187"/>
      <c r="CBP73" s="188"/>
      <c r="CBQ73" s="187"/>
      <c r="CBW73" s="188"/>
      <c r="CBX73" s="187"/>
      <c r="CBY73" s="168"/>
      <c r="CBZ73" s="189"/>
      <c r="CCD73" s="188"/>
      <c r="CCE73" s="187"/>
      <c r="CCK73" s="188"/>
      <c r="CCL73" s="187"/>
      <c r="CCR73" s="188"/>
      <c r="CCS73" s="187"/>
      <c r="CCY73" s="188"/>
      <c r="CCZ73" s="187"/>
      <c r="CDD73" s="168"/>
      <c r="CDE73" s="189"/>
      <c r="CDF73" s="188"/>
      <c r="CDG73" s="187"/>
      <c r="CDM73" s="188"/>
      <c r="CDN73" s="187"/>
      <c r="CDT73" s="188"/>
      <c r="CDU73" s="187"/>
      <c r="CEA73" s="188"/>
      <c r="CEB73" s="187"/>
      <c r="CEH73" s="168"/>
      <c r="CEI73" s="189"/>
      <c r="CEO73" s="188"/>
      <c r="CEP73" s="187"/>
      <c r="CEV73" s="188"/>
      <c r="CEW73" s="187"/>
      <c r="CFC73" s="188"/>
      <c r="CFD73" s="187"/>
      <c r="CFJ73" s="188"/>
      <c r="CFK73" s="187"/>
    </row>
    <row r="74" spans="1:1019 1025:2048 2054:2195">
      <c r="A74" s="164" t="s">
        <v>345</v>
      </c>
      <c r="D74" s="186"/>
      <c r="E74" s="186"/>
      <c r="K74" s="187"/>
      <c r="Q74" s="188"/>
      <c r="R74" s="187"/>
      <c r="X74" s="188"/>
      <c r="Y74" s="187"/>
      <c r="AE74" s="188"/>
      <c r="AF74" s="187"/>
      <c r="AJ74" s="168"/>
      <c r="AK74" s="189"/>
      <c r="AL74" s="188"/>
      <c r="AM74" s="187"/>
      <c r="AS74" s="188"/>
      <c r="AT74" s="187"/>
      <c r="AZ74" s="188"/>
      <c r="BA74" s="187"/>
      <c r="BG74" s="188"/>
      <c r="BH74" s="187"/>
      <c r="BL74" s="168"/>
      <c r="BM74" s="189"/>
      <c r="BN74" s="188"/>
      <c r="BO74" s="187"/>
      <c r="BU74" s="188"/>
      <c r="BV74" s="187"/>
      <c r="CB74" s="188"/>
      <c r="CC74" s="187"/>
      <c r="CI74" s="188"/>
      <c r="CJ74" s="187"/>
      <c r="CP74" s="188"/>
      <c r="CQ74" s="190"/>
      <c r="CR74" s="189"/>
      <c r="CW74" s="188"/>
      <c r="CX74" s="187"/>
      <c r="DD74" s="188"/>
      <c r="DE74" s="187"/>
      <c r="DK74" s="188"/>
      <c r="DL74" s="187"/>
      <c r="DR74" s="188"/>
      <c r="DS74" s="187"/>
      <c r="DU74" s="168"/>
      <c r="DV74" s="189"/>
      <c r="DY74" s="188"/>
      <c r="DZ74" s="187"/>
      <c r="EF74" s="188"/>
      <c r="EG74" s="187"/>
      <c r="EM74" s="188"/>
      <c r="EN74" s="187"/>
      <c r="ET74" s="188"/>
      <c r="EU74" s="187"/>
      <c r="EZ74" s="168"/>
      <c r="FA74" s="191"/>
      <c r="FB74" s="187"/>
      <c r="FH74" s="188"/>
      <c r="FI74" s="187"/>
      <c r="FO74" s="188"/>
      <c r="FP74" s="187"/>
      <c r="FV74" s="188"/>
      <c r="FW74" s="187"/>
      <c r="GC74" s="188"/>
      <c r="GD74" s="190"/>
      <c r="GE74" s="189"/>
      <c r="GJ74" s="188"/>
      <c r="GK74" s="187"/>
      <c r="GQ74" s="188"/>
      <c r="GR74" s="187"/>
      <c r="GX74" s="188"/>
      <c r="GY74" s="187"/>
      <c r="HE74" s="188"/>
      <c r="HF74" s="187"/>
      <c r="HI74" s="168"/>
      <c r="HJ74" s="189"/>
      <c r="HL74" s="188"/>
      <c r="HM74" s="187"/>
      <c r="HS74" s="188"/>
      <c r="HT74" s="187"/>
      <c r="HZ74" s="188"/>
      <c r="IA74" s="187"/>
      <c r="IG74" s="188"/>
      <c r="IH74" s="187"/>
      <c r="IN74" s="168"/>
      <c r="IO74" s="189"/>
      <c r="IU74" s="188"/>
      <c r="IV74" s="187"/>
      <c r="JB74" s="188"/>
      <c r="JC74" s="187"/>
      <c r="JI74" s="188"/>
      <c r="JJ74" s="187"/>
      <c r="JP74" s="188"/>
      <c r="JQ74" s="187"/>
      <c r="JR74" s="168"/>
      <c r="JS74" s="189"/>
      <c r="JW74" s="188"/>
      <c r="JX74" s="187"/>
      <c r="KD74" s="188"/>
      <c r="KE74" s="187"/>
      <c r="KK74" s="188"/>
      <c r="KL74" s="187"/>
      <c r="KR74" s="188"/>
      <c r="KS74" s="187"/>
      <c r="KW74" s="168"/>
      <c r="KX74" s="189"/>
      <c r="KY74" s="188"/>
      <c r="KZ74" s="187"/>
      <c r="LF74" s="188"/>
      <c r="LG74" s="187"/>
      <c r="LM74" s="188"/>
      <c r="LN74" s="187"/>
      <c r="LT74" s="188"/>
      <c r="LU74" s="187"/>
      <c r="MA74" s="168"/>
      <c r="MB74" s="189"/>
      <c r="MH74" s="188"/>
      <c r="MI74" s="187"/>
      <c r="MO74" s="188"/>
      <c r="MP74" s="187"/>
      <c r="MV74" s="188"/>
      <c r="MW74" s="187"/>
      <c r="NC74" s="188"/>
      <c r="ND74" s="187"/>
      <c r="NF74" s="168"/>
      <c r="NG74" s="189"/>
      <c r="NJ74" s="188"/>
      <c r="NK74" s="187"/>
      <c r="NQ74" s="188"/>
      <c r="NR74" s="187"/>
      <c r="NX74" s="188"/>
      <c r="NY74" s="187"/>
      <c r="OE74" s="188"/>
      <c r="OF74" s="187"/>
      <c r="OK74" s="168"/>
      <c r="OL74" s="191"/>
      <c r="OM74" s="187"/>
      <c r="OS74" s="188"/>
      <c r="OT74" s="187"/>
      <c r="OZ74" s="188"/>
      <c r="PA74" s="187"/>
      <c r="PG74" s="188"/>
      <c r="PH74" s="187"/>
      <c r="PN74" s="168"/>
      <c r="PO74" s="189"/>
      <c r="PU74" s="188"/>
      <c r="PV74" s="187"/>
      <c r="QB74" s="188"/>
      <c r="QC74" s="187"/>
      <c r="QI74" s="188"/>
      <c r="QJ74" s="187"/>
      <c r="QP74" s="188"/>
      <c r="QQ74" s="187"/>
      <c r="QS74" s="168"/>
      <c r="QT74" s="189"/>
      <c r="QW74" s="188"/>
      <c r="QX74" s="187"/>
      <c r="RD74" s="188"/>
      <c r="RE74" s="187"/>
      <c r="RK74" s="188"/>
      <c r="RL74" s="187"/>
      <c r="RR74" s="188"/>
      <c r="RS74" s="187"/>
      <c r="RW74" s="168"/>
      <c r="RX74" s="189"/>
      <c r="RY74" s="188"/>
      <c r="RZ74" s="187"/>
      <c r="SF74" s="188"/>
      <c r="SG74" s="187"/>
      <c r="SM74" s="188"/>
      <c r="SN74" s="187"/>
      <c r="ST74" s="188"/>
      <c r="SU74" s="187"/>
      <c r="TA74" s="188"/>
      <c r="TB74" s="190"/>
      <c r="TC74" s="189"/>
      <c r="TH74" s="188"/>
      <c r="TI74" s="187"/>
      <c r="TO74" s="188"/>
      <c r="TP74" s="187"/>
      <c r="TV74" s="188"/>
      <c r="TW74" s="187"/>
      <c r="UC74" s="188"/>
      <c r="UD74" s="187"/>
      <c r="UF74" s="168"/>
      <c r="UG74" s="189"/>
      <c r="UJ74" s="188"/>
      <c r="UK74" s="187"/>
      <c r="UQ74" s="188"/>
      <c r="UR74" s="187"/>
      <c r="UX74" s="188"/>
      <c r="UY74" s="187"/>
      <c r="VE74" s="188"/>
      <c r="VF74" s="187"/>
      <c r="VK74" s="168"/>
      <c r="VL74" s="191"/>
      <c r="VM74" s="187"/>
      <c r="VS74" s="188"/>
      <c r="VT74" s="187"/>
      <c r="VZ74" s="188"/>
      <c r="WA74" s="187"/>
      <c r="WG74" s="188"/>
      <c r="WH74" s="187"/>
      <c r="WN74" s="188"/>
      <c r="WO74" s="187"/>
      <c r="WP74" s="168"/>
      <c r="WQ74" s="189"/>
      <c r="WU74" s="188"/>
      <c r="WV74" s="187"/>
      <c r="XB74" s="188"/>
      <c r="XC74" s="187"/>
      <c r="XI74" s="188"/>
      <c r="XJ74" s="187"/>
      <c r="XP74" s="188"/>
      <c r="XQ74" s="187"/>
      <c r="XT74" s="168"/>
      <c r="XU74" s="189"/>
      <c r="XW74" s="188"/>
      <c r="XX74" s="187"/>
      <c r="YD74" s="188"/>
      <c r="YE74" s="187"/>
      <c r="YK74" s="188"/>
      <c r="YL74" s="187"/>
      <c r="YR74" s="188"/>
      <c r="YS74" s="187"/>
      <c r="YY74" s="168"/>
      <c r="YZ74" s="189"/>
      <c r="ZF74" s="188"/>
      <c r="ZG74" s="187"/>
      <c r="ZM74" s="188"/>
      <c r="ZN74" s="187"/>
      <c r="ZT74" s="188"/>
      <c r="ZU74" s="187"/>
      <c r="AAA74" s="188"/>
      <c r="AAB74" s="187"/>
      <c r="AAC74" s="168"/>
      <c r="AAD74" s="189"/>
      <c r="AAH74" s="188"/>
      <c r="AAI74" s="187"/>
      <c r="AAO74" s="188"/>
      <c r="AAP74" s="187"/>
      <c r="AAV74" s="188"/>
      <c r="AAW74" s="187"/>
      <c r="ABC74" s="188"/>
      <c r="ABD74" s="187"/>
      <c r="ABH74" s="168"/>
      <c r="ABI74" s="189"/>
      <c r="ABJ74" s="188"/>
      <c r="ABK74" s="187"/>
      <c r="ABQ74" s="188"/>
      <c r="ABR74" s="187"/>
      <c r="ABX74" s="188"/>
      <c r="ABY74" s="187"/>
      <c r="ACE74" s="188"/>
      <c r="ACF74" s="187"/>
      <c r="ACL74" s="188"/>
      <c r="ACM74" s="190"/>
      <c r="ACN74" s="189"/>
      <c r="ACS74" s="188"/>
      <c r="ACT74" s="187"/>
      <c r="ACZ74" s="188"/>
      <c r="ADA74" s="187"/>
      <c r="ADG74" s="188"/>
      <c r="ADH74" s="187"/>
      <c r="ADN74" s="188"/>
      <c r="ADO74" s="190"/>
      <c r="ADP74" s="189"/>
      <c r="ADU74" s="188"/>
      <c r="ADV74" s="187"/>
      <c r="AEB74" s="188"/>
      <c r="AEC74" s="187"/>
      <c r="AEI74" s="188"/>
      <c r="AEJ74" s="187"/>
      <c r="AEP74" s="188"/>
      <c r="AEQ74" s="187"/>
      <c r="AET74" s="168"/>
      <c r="AEU74" s="189"/>
      <c r="AEW74" s="188"/>
      <c r="AEX74" s="187"/>
      <c r="AFD74" s="188"/>
      <c r="AFE74" s="187"/>
      <c r="AFK74" s="188"/>
      <c r="AFL74" s="187"/>
      <c r="AFR74" s="188"/>
      <c r="AFS74" s="187"/>
      <c r="AFX74" s="168"/>
      <c r="AFY74" s="191"/>
      <c r="AFZ74" s="187"/>
      <c r="AGF74" s="188"/>
      <c r="AGG74" s="187"/>
      <c r="AGM74" s="188"/>
      <c r="AGN74" s="187"/>
      <c r="AGT74" s="188"/>
      <c r="AGU74" s="187"/>
      <c r="AHA74" s="188"/>
      <c r="AHB74" s="187"/>
      <c r="AHC74" s="168"/>
      <c r="AHD74" s="189"/>
      <c r="AHH74" s="188"/>
      <c r="AHI74" s="187"/>
      <c r="AHO74" s="188"/>
      <c r="AHP74" s="187"/>
      <c r="AHV74" s="188"/>
      <c r="AHW74" s="187"/>
      <c r="AIC74" s="188"/>
      <c r="AID74" s="187"/>
      <c r="AIG74" s="168"/>
      <c r="AIH74" s="189"/>
      <c r="AIJ74" s="188"/>
      <c r="AIK74" s="187"/>
      <c r="AIQ74" s="188"/>
      <c r="AIR74" s="187"/>
      <c r="AIX74" s="188"/>
      <c r="AIY74" s="187"/>
      <c r="AJE74" s="188"/>
      <c r="AJF74" s="187"/>
      <c r="AJL74" s="168"/>
      <c r="AJM74" s="189"/>
      <c r="AJS74" s="188"/>
      <c r="AJT74" s="187"/>
      <c r="AJZ74" s="188"/>
      <c r="AKA74" s="187"/>
      <c r="AKG74" s="188"/>
      <c r="AKH74" s="187"/>
      <c r="AKN74" s="188"/>
      <c r="AKO74" s="187"/>
      <c r="AKQ74" s="168"/>
      <c r="AKR74" s="189"/>
      <c r="AKU74" s="188"/>
      <c r="AKV74" s="187"/>
      <c r="ALB74" s="188"/>
      <c r="ALC74" s="187"/>
      <c r="ALI74" s="188"/>
      <c r="ALJ74" s="187"/>
      <c r="ALP74" s="188"/>
      <c r="ALQ74" s="187"/>
      <c r="ALU74" s="168"/>
      <c r="ALV74" s="189"/>
      <c r="ALW74" s="188"/>
      <c r="ALX74" s="187"/>
      <c r="AMD74" s="188"/>
      <c r="AME74" s="187"/>
      <c r="AMK74" s="188"/>
      <c r="AML74" s="187"/>
      <c r="AMR74" s="188"/>
      <c r="AMS74" s="187"/>
      <c r="AMY74" s="188"/>
      <c r="AMZ74" s="190"/>
      <c r="ANA74" s="189"/>
      <c r="ANF74" s="188"/>
      <c r="ANG74" s="187"/>
      <c r="ANM74" s="188"/>
      <c r="ANN74" s="187"/>
      <c r="ANT74" s="188"/>
      <c r="ANU74" s="187"/>
      <c r="AOA74" s="188"/>
      <c r="AOB74" s="187"/>
      <c r="AOD74" s="168"/>
      <c r="AOE74" s="189"/>
      <c r="AOH74" s="188"/>
      <c r="AOI74" s="187"/>
      <c r="AOO74" s="188"/>
      <c r="AOP74" s="187"/>
      <c r="AOV74" s="188"/>
      <c r="AOW74" s="187"/>
      <c r="APC74" s="188"/>
      <c r="APD74" s="187"/>
      <c r="API74" s="168"/>
      <c r="APJ74" s="191"/>
      <c r="APK74" s="187"/>
      <c r="APQ74" s="188"/>
      <c r="APR74" s="187"/>
      <c r="APX74" s="188"/>
      <c r="APY74" s="187"/>
      <c r="AQE74" s="188"/>
      <c r="AQF74" s="187"/>
      <c r="AQL74" s="188"/>
      <c r="AQM74" s="187"/>
      <c r="AQN74" s="168"/>
      <c r="AQO74" s="189"/>
      <c r="AQS74" s="188"/>
      <c r="AQT74" s="187"/>
      <c r="AQZ74" s="188"/>
      <c r="ARA74" s="187"/>
      <c r="ARG74" s="188"/>
      <c r="ARH74" s="187"/>
      <c r="ARN74" s="188"/>
      <c r="ARO74" s="187"/>
      <c r="ARP74" s="168"/>
      <c r="ARQ74" s="189"/>
      <c r="ARU74" s="188"/>
      <c r="ARV74" s="187"/>
      <c r="ASB74" s="188"/>
      <c r="ASC74" s="187"/>
      <c r="ASI74" s="188"/>
      <c r="ASJ74" s="187"/>
      <c r="ASP74" s="188"/>
      <c r="ASQ74" s="187"/>
      <c r="ASU74" s="168"/>
      <c r="ASV74" s="189"/>
      <c r="ASW74" s="188"/>
      <c r="ASX74" s="187"/>
      <c r="ATD74" s="188"/>
      <c r="ATE74" s="187"/>
      <c r="ATK74" s="188"/>
      <c r="ATL74" s="187"/>
      <c r="ATR74" s="188"/>
      <c r="ATS74" s="187"/>
      <c r="ATY74" s="168"/>
      <c r="ATZ74" s="189"/>
      <c r="AUF74" s="188"/>
      <c r="AUG74" s="187"/>
      <c r="AUM74" s="188"/>
      <c r="AUN74" s="187"/>
      <c r="AUT74" s="188"/>
      <c r="AUU74" s="187"/>
      <c r="AVA74" s="188"/>
      <c r="AVB74" s="187"/>
      <c r="AVD74" s="168"/>
      <c r="AVE74" s="189"/>
      <c r="AVH74" s="188"/>
      <c r="AVI74" s="187"/>
      <c r="AVO74" s="188"/>
      <c r="AVP74" s="187"/>
      <c r="AVV74" s="188"/>
      <c r="AVW74" s="187"/>
      <c r="AWC74" s="188"/>
      <c r="AWD74" s="187"/>
      <c r="AWH74" s="168"/>
      <c r="AWI74" s="189"/>
      <c r="AWJ74" s="188"/>
      <c r="AWK74" s="187"/>
      <c r="AWQ74" s="188"/>
      <c r="AWR74" s="187"/>
      <c r="AWX74" s="188"/>
      <c r="AWY74" s="187"/>
      <c r="AXE74" s="188"/>
      <c r="AXF74" s="187"/>
      <c r="AXL74" s="188"/>
      <c r="AXM74" s="190"/>
      <c r="AXN74" s="189"/>
      <c r="AXS74" s="188"/>
      <c r="AXT74" s="187"/>
      <c r="AXZ74" s="188"/>
      <c r="AYA74" s="187"/>
      <c r="AYG74" s="188"/>
      <c r="AYH74" s="187"/>
      <c r="AYN74" s="188"/>
      <c r="AYO74" s="187"/>
      <c r="AYR74" s="168"/>
      <c r="AYS74" s="189"/>
      <c r="AYU74" s="188"/>
      <c r="AYV74" s="187"/>
      <c r="AZB74" s="188"/>
      <c r="AZC74" s="187"/>
      <c r="AZI74" s="188"/>
      <c r="AZJ74" s="187"/>
      <c r="AZP74" s="188"/>
      <c r="AZQ74" s="187"/>
      <c r="AZV74" s="168"/>
      <c r="AZW74" s="191"/>
      <c r="AZX74" s="187"/>
      <c r="BAD74" s="188"/>
      <c r="BAE74" s="187"/>
      <c r="BAK74" s="188"/>
      <c r="BAL74" s="187"/>
      <c r="BAR74" s="188"/>
      <c r="BAS74" s="187"/>
      <c r="BAY74" s="188"/>
      <c r="BAZ74" s="187"/>
      <c r="BBA74" s="168"/>
      <c r="BBB74" s="189"/>
      <c r="BBF74" s="188"/>
      <c r="BBG74" s="187"/>
      <c r="BBM74" s="188"/>
      <c r="BBN74" s="187"/>
      <c r="BBT74" s="188"/>
      <c r="BBU74" s="187"/>
      <c r="BCA74" s="188"/>
      <c r="BCB74" s="187"/>
      <c r="BCE74" s="168"/>
      <c r="BCF74" s="189"/>
      <c r="BCH74" s="188"/>
      <c r="BCI74" s="187"/>
      <c r="BCO74" s="188"/>
      <c r="BCP74" s="187"/>
      <c r="BCV74" s="188"/>
      <c r="BCW74" s="187"/>
      <c r="BDC74" s="188"/>
      <c r="BDD74" s="187"/>
      <c r="BDJ74" s="168"/>
      <c r="BDK74" s="189"/>
      <c r="BDQ74" s="188"/>
      <c r="BDR74" s="187"/>
      <c r="BDX74" s="188"/>
      <c r="BDY74" s="187"/>
      <c r="BEE74" s="188"/>
      <c r="BEF74" s="187"/>
      <c r="BEL74" s="188"/>
      <c r="BEM74" s="187"/>
      <c r="BEO74" s="168"/>
      <c r="BEP74" s="189"/>
      <c r="BES74" s="188"/>
      <c r="BET74" s="187"/>
      <c r="BEZ74" s="188"/>
      <c r="BFA74" s="187"/>
      <c r="BFG74" s="188"/>
      <c r="BFH74" s="187"/>
      <c r="BFN74" s="188"/>
      <c r="BFO74" s="187"/>
      <c r="BFQ74" s="168"/>
      <c r="BFR74" s="189"/>
      <c r="BFU74" s="188"/>
      <c r="BFV74" s="187"/>
      <c r="BGB74" s="188"/>
      <c r="BGC74" s="187"/>
      <c r="BGI74" s="188"/>
      <c r="BGJ74" s="187"/>
      <c r="BGP74" s="188"/>
      <c r="BGQ74" s="187"/>
      <c r="BGV74" s="168"/>
      <c r="BGW74" s="191"/>
      <c r="BGX74" s="187"/>
      <c r="BHD74" s="188"/>
      <c r="BHE74" s="187"/>
      <c r="BHK74" s="188"/>
      <c r="BHL74" s="187"/>
      <c r="BHR74" s="188"/>
      <c r="BHS74" s="187"/>
      <c r="BHY74" s="188"/>
      <c r="BHZ74" s="190"/>
      <c r="BIA74" s="189"/>
      <c r="BIF74" s="188"/>
      <c r="BIG74" s="187"/>
      <c r="BIM74" s="188"/>
      <c r="BIN74" s="187"/>
      <c r="BIT74" s="188"/>
      <c r="BIU74" s="187"/>
      <c r="BJA74" s="188"/>
      <c r="BJB74" s="187"/>
      <c r="BJE74" s="168"/>
      <c r="BJF74" s="189"/>
      <c r="BJH74" s="188"/>
      <c r="BJI74" s="187"/>
      <c r="BJO74" s="188"/>
      <c r="BJP74" s="187"/>
      <c r="BJV74" s="188"/>
      <c r="BJW74" s="187"/>
      <c r="BKC74" s="188"/>
      <c r="BKD74" s="187"/>
      <c r="BKI74" s="168"/>
      <c r="BKJ74" s="191"/>
      <c r="BKK74" s="187"/>
      <c r="BKQ74" s="188"/>
      <c r="BKR74" s="187"/>
      <c r="BKX74" s="188"/>
      <c r="BKY74" s="187"/>
      <c r="BLE74" s="188"/>
      <c r="BLF74" s="187"/>
      <c r="BLL74" s="188"/>
      <c r="BLM74" s="187"/>
      <c r="BLN74" s="168"/>
      <c r="BLO74" s="189"/>
      <c r="BLS74" s="188"/>
      <c r="BLT74" s="187"/>
      <c r="BLZ74" s="188"/>
      <c r="BMA74" s="187"/>
      <c r="BMG74" s="188"/>
      <c r="BMH74" s="187"/>
      <c r="BMN74" s="188"/>
      <c r="BMO74" s="187"/>
      <c r="BMS74" s="168"/>
      <c r="BMT74" s="189"/>
      <c r="BMU74" s="188"/>
      <c r="BMV74" s="187"/>
      <c r="BNB74" s="188"/>
      <c r="BNC74" s="187"/>
      <c r="BNI74" s="188"/>
      <c r="BNJ74" s="187"/>
      <c r="BNP74" s="188"/>
      <c r="BNQ74" s="187"/>
      <c r="BNW74" s="168"/>
      <c r="BNX74" s="189"/>
      <c r="BOD74" s="188"/>
      <c r="BOE74" s="187"/>
      <c r="BOK74" s="188"/>
      <c r="BOL74" s="187"/>
      <c r="BOR74" s="188"/>
      <c r="BOS74" s="187"/>
      <c r="BOY74" s="188"/>
      <c r="BOZ74" s="187"/>
      <c r="BPB74" s="168"/>
      <c r="BPC74" s="189"/>
      <c r="BPF74" s="188"/>
      <c r="BPG74" s="187"/>
      <c r="BPM74" s="188"/>
      <c r="BPN74" s="187"/>
      <c r="BPT74" s="188"/>
      <c r="BPU74" s="187"/>
      <c r="BQA74" s="188"/>
      <c r="BQB74" s="187"/>
      <c r="BQF74" s="168"/>
      <c r="BQG74" s="189"/>
      <c r="BQH74" s="188"/>
      <c r="BQI74" s="187"/>
      <c r="BQO74" s="188"/>
      <c r="BQP74" s="187"/>
      <c r="BQV74" s="188"/>
      <c r="BQW74" s="187"/>
      <c r="BRC74" s="188"/>
      <c r="BRD74" s="187"/>
      <c r="BRJ74" s="188"/>
      <c r="BRK74" s="190"/>
      <c r="BRL74" s="189"/>
      <c r="BRQ74" s="188"/>
      <c r="BRR74" s="187"/>
      <c r="BRX74" s="188"/>
      <c r="BRY74" s="187"/>
      <c r="BSE74" s="188"/>
      <c r="BSF74" s="187"/>
      <c r="BSL74" s="188"/>
      <c r="BSM74" s="187"/>
      <c r="BSP74" s="168"/>
      <c r="BSQ74" s="189"/>
      <c r="BSS74" s="188"/>
      <c r="BST74" s="187"/>
      <c r="BSZ74" s="188"/>
      <c r="BTA74" s="187"/>
      <c r="BTG74" s="188"/>
      <c r="BTH74" s="187"/>
      <c r="BTN74" s="188"/>
      <c r="BTO74" s="187"/>
      <c r="BTS74" s="168"/>
      <c r="BTT74" s="189"/>
      <c r="BTU74" s="188"/>
      <c r="BTV74" s="187"/>
      <c r="BUB74" s="188"/>
      <c r="BUC74" s="187"/>
      <c r="BUI74" s="188"/>
      <c r="BUJ74" s="187"/>
      <c r="BUP74" s="188"/>
      <c r="BUQ74" s="187"/>
      <c r="BUW74" s="188"/>
      <c r="BUX74" s="190"/>
      <c r="BUY74" s="189"/>
      <c r="BVD74" s="188"/>
      <c r="BVE74" s="187"/>
      <c r="BVK74" s="188"/>
      <c r="BVL74" s="187"/>
      <c r="BVR74" s="188"/>
      <c r="BVS74" s="187"/>
      <c r="BVY74" s="188"/>
      <c r="BVZ74" s="187"/>
      <c r="BWB74" s="168"/>
      <c r="BWC74" s="189"/>
      <c r="BWF74" s="188"/>
      <c r="BWG74" s="187"/>
      <c r="BWM74" s="188"/>
      <c r="BWN74" s="187"/>
      <c r="BWT74" s="188"/>
      <c r="BWU74" s="187"/>
      <c r="BXA74" s="188"/>
      <c r="BXB74" s="187"/>
      <c r="BXG74" s="168"/>
      <c r="BXH74" s="191"/>
      <c r="BXI74" s="187"/>
      <c r="BXO74" s="188"/>
      <c r="BXP74" s="187"/>
      <c r="BXV74" s="188"/>
      <c r="BXW74" s="187"/>
      <c r="BYC74" s="188"/>
      <c r="BYD74" s="187"/>
      <c r="BYJ74" s="188"/>
      <c r="BYK74" s="190"/>
      <c r="BYL74" s="189"/>
      <c r="BYQ74" s="188"/>
      <c r="BYR74" s="187"/>
      <c r="BYX74" s="188"/>
      <c r="BYY74" s="187"/>
      <c r="BZE74" s="188"/>
      <c r="BZF74" s="187"/>
      <c r="BZL74" s="188"/>
      <c r="BZM74" s="187"/>
      <c r="BZP74" s="168"/>
      <c r="BZQ74" s="189"/>
      <c r="BZS74" s="188"/>
      <c r="BZT74" s="187"/>
      <c r="BZZ74" s="188"/>
      <c r="CAA74" s="187"/>
      <c r="CAG74" s="188"/>
      <c r="CAH74" s="187"/>
      <c r="CAN74" s="188"/>
      <c r="CAO74" s="187"/>
      <c r="CAU74" s="168"/>
      <c r="CAV74" s="189"/>
      <c r="CBB74" s="188"/>
      <c r="CBC74" s="187"/>
      <c r="CBI74" s="188"/>
      <c r="CBJ74" s="187"/>
      <c r="CBP74" s="188"/>
      <c r="CBQ74" s="187"/>
      <c r="CBW74" s="188"/>
      <c r="CBX74" s="187"/>
      <c r="CBY74" s="168"/>
      <c r="CBZ74" s="189"/>
      <c r="CCD74" s="188"/>
      <c r="CCE74" s="187"/>
      <c r="CCK74" s="188"/>
      <c r="CCL74" s="187"/>
      <c r="CCR74" s="188"/>
      <c r="CCS74" s="187"/>
      <c r="CCY74" s="188"/>
      <c r="CCZ74" s="187"/>
      <c r="CDD74" s="168"/>
      <c r="CDE74" s="189"/>
      <c r="CDF74" s="188"/>
      <c r="CDG74" s="187"/>
      <c r="CDM74" s="188"/>
      <c r="CDN74" s="187"/>
      <c r="CDT74" s="188"/>
      <c r="CDU74" s="187"/>
      <c r="CEA74" s="188"/>
      <c r="CEB74" s="187"/>
      <c r="CEH74" s="168"/>
      <c r="CEI74" s="189"/>
      <c r="CEO74" s="188"/>
      <c r="CEP74" s="187"/>
      <c r="CEV74" s="188"/>
      <c r="CEW74" s="187"/>
      <c r="CFC74" s="188"/>
      <c r="CFD74" s="187"/>
      <c r="CFJ74" s="188"/>
      <c r="CFK74" s="187"/>
    </row>
    <row r="75" spans="1:1019 1025:2048 2054:2195">
      <c r="A75" s="164" t="s">
        <v>346</v>
      </c>
      <c r="D75" s="186"/>
      <c r="E75" s="186"/>
      <c r="K75" s="187"/>
      <c r="Q75" s="188"/>
      <c r="R75" s="187"/>
      <c r="X75" s="188"/>
      <c r="Y75" s="187"/>
      <c r="AE75" s="188"/>
      <c r="AF75" s="187"/>
      <c r="AJ75" s="168"/>
      <c r="AK75" s="189"/>
      <c r="AL75" s="188"/>
      <c r="AM75" s="187"/>
      <c r="AS75" s="188"/>
      <c r="AT75" s="187"/>
      <c r="AZ75" s="188"/>
      <c r="BA75" s="187"/>
      <c r="BG75" s="188"/>
      <c r="BH75" s="187"/>
      <c r="BL75" s="168"/>
      <c r="BM75" s="189"/>
      <c r="BN75" s="188"/>
      <c r="BO75" s="187"/>
      <c r="BU75" s="188"/>
      <c r="BV75" s="187"/>
      <c r="CB75" s="188"/>
      <c r="CC75" s="187"/>
      <c r="CI75" s="188"/>
      <c r="CJ75" s="187"/>
      <c r="CP75" s="188"/>
      <c r="CQ75" s="190"/>
      <c r="CR75" s="189"/>
      <c r="CW75" s="188"/>
      <c r="CX75" s="187"/>
      <c r="DD75" s="188"/>
      <c r="DE75" s="187"/>
      <c r="DK75" s="188"/>
      <c r="DL75" s="187"/>
      <c r="DR75" s="188"/>
      <c r="DS75" s="187"/>
      <c r="DU75" s="168"/>
      <c r="DV75" s="189"/>
      <c r="DY75" s="188"/>
      <c r="DZ75" s="187"/>
      <c r="EF75" s="188"/>
      <c r="EG75" s="187"/>
      <c r="EM75" s="188"/>
      <c r="EN75" s="187"/>
      <c r="ET75" s="188"/>
      <c r="EU75" s="187"/>
      <c r="EZ75" s="168"/>
      <c r="FA75" s="191"/>
      <c r="FB75" s="187"/>
      <c r="FH75" s="188"/>
      <c r="FI75" s="187"/>
      <c r="FO75" s="188"/>
      <c r="FP75" s="187"/>
      <c r="FV75" s="188"/>
      <c r="FW75" s="187"/>
      <c r="GC75" s="188"/>
      <c r="GD75" s="190"/>
      <c r="GE75" s="189"/>
      <c r="GJ75" s="188"/>
      <c r="GK75" s="187"/>
      <c r="GQ75" s="188"/>
      <c r="GR75" s="187"/>
      <c r="GX75" s="188"/>
      <c r="GY75" s="187"/>
      <c r="HE75" s="188"/>
      <c r="HF75" s="187"/>
      <c r="HI75" s="168"/>
      <c r="HJ75" s="189"/>
      <c r="HL75" s="188"/>
      <c r="HM75" s="187"/>
      <c r="HS75" s="188"/>
      <c r="HT75" s="187"/>
      <c r="HZ75" s="188"/>
      <c r="IA75" s="187"/>
      <c r="IG75" s="188"/>
      <c r="IH75" s="187"/>
      <c r="IN75" s="168"/>
      <c r="IO75" s="189"/>
      <c r="IU75" s="188"/>
      <c r="IV75" s="187"/>
      <c r="JB75" s="188"/>
      <c r="JC75" s="187"/>
      <c r="JI75" s="188"/>
      <c r="JJ75" s="187"/>
      <c r="JP75" s="188"/>
      <c r="JQ75" s="187"/>
      <c r="JR75" s="168"/>
      <c r="JS75" s="189"/>
      <c r="JW75" s="188"/>
      <c r="JX75" s="187"/>
      <c r="KD75" s="188"/>
      <c r="KE75" s="187"/>
      <c r="KK75" s="188"/>
      <c r="KL75" s="187"/>
      <c r="KR75" s="188"/>
      <c r="KS75" s="187"/>
      <c r="KW75" s="168"/>
      <c r="KX75" s="189"/>
      <c r="KY75" s="188"/>
      <c r="KZ75" s="187"/>
      <c r="LF75" s="188"/>
      <c r="LG75" s="187"/>
      <c r="LM75" s="188"/>
      <c r="LN75" s="187"/>
      <c r="LT75" s="188"/>
      <c r="LU75" s="187"/>
      <c r="MA75" s="168"/>
      <c r="MB75" s="189"/>
      <c r="MH75" s="188"/>
      <c r="MI75" s="187"/>
      <c r="MO75" s="188"/>
      <c r="MP75" s="187"/>
      <c r="MV75" s="188"/>
      <c r="MW75" s="187"/>
      <c r="NC75" s="188"/>
      <c r="ND75" s="187"/>
      <c r="NF75" s="168"/>
      <c r="NG75" s="189"/>
      <c r="NJ75" s="188"/>
      <c r="NK75" s="187"/>
      <c r="NQ75" s="188"/>
      <c r="NR75" s="187"/>
      <c r="NX75" s="188"/>
      <c r="NY75" s="187"/>
      <c r="OE75" s="188"/>
      <c r="OF75" s="187"/>
      <c r="OK75" s="168"/>
      <c r="OL75" s="191"/>
      <c r="OM75" s="187"/>
      <c r="OS75" s="188"/>
      <c r="OT75" s="187"/>
      <c r="OZ75" s="188"/>
      <c r="PA75" s="187"/>
      <c r="PG75" s="188"/>
      <c r="PH75" s="187"/>
      <c r="PN75" s="168"/>
      <c r="PO75" s="189"/>
      <c r="PU75" s="188"/>
      <c r="PV75" s="187"/>
      <c r="QB75" s="188"/>
      <c r="QC75" s="187"/>
      <c r="QI75" s="188"/>
      <c r="QJ75" s="187"/>
      <c r="QP75" s="188"/>
      <c r="QQ75" s="187"/>
      <c r="QS75" s="168"/>
      <c r="QT75" s="189"/>
      <c r="QW75" s="188"/>
      <c r="QX75" s="187"/>
      <c r="RD75" s="188"/>
      <c r="RE75" s="187"/>
      <c r="RK75" s="188"/>
      <c r="RL75" s="187"/>
      <c r="RR75" s="188"/>
      <c r="RS75" s="187"/>
      <c r="RW75" s="168"/>
      <c r="RX75" s="189"/>
      <c r="RY75" s="188"/>
      <c r="RZ75" s="187"/>
      <c r="SF75" s="188"/>
      <c r="SG75" s="187"/>
      <c r="SM75" s="188"/>
      <c r="SN75" s="187"/>
      <c r="ST75" s="188"/>
      <c r="SU75" s="187"/>
      <c r="TA75" s="188"/>
      <c r="TB75" s="190"/>
      <c r="TC75" s="189"/>
      <c r="TH75" s="188"/>
      <c r="TI75" s="187"/>
      <c r="TO75" s="188"/>
      <c r="TP75" s="187"/>
      <c r="TV75" s="188"/>
      <c r="TW75" s="187"/>
      <c r="UC75" s="188"/>
      <c r="UD75" s="187"/>
      <c r="UF75" s="168"/>
      <c r="UG75" s="189"/>
      <c r="UJ75" s="188"/>
      <c r="UK75" s="187"/>
      <c r="UQ75" s="188"/>
      <c r="UR75" s="187"/>
      <c r="UX75" s="188"/>
      <c r="UY75" s="187"/>
      <c r="VE75" s="188"/>
      <c r="VF75" s="187"/>
      <c r="VK75" s="168"/>
      <c r="VL75" s="191"/>
      <c r="VM75" s="187"/>
      <c r="VS75" s="188"/>
      <c r="VT75" s="187"/>
      <c r="VZ75" s="188"/>
      <c r="WA75" s="187"/>
      <c r="WG75" s="188"/>
      <c r="WH75" s="187"/>
      <c r="WN75" s="188"/>
      <c r="WO75" s="187"/>
      <c r="WP75" s="168"/>
      <c r="WQ75" s="189"/>
      <c r="WU75" s="188"/>
      <c r="WV75" s="187"/>
      <c r="XB75" s="188"/>
      <c r="XC75" s="187"/>
      <c r="XI75" s="188"/>
      <c r="XJ75" s="187"/>
      <c r="XP75" s="188"/>
      <c r="XQ75" s="187"/>
      <c r="XT75" s="168"/>
      <c r="XU75" s="189"/>
      <c r="XW75" s="188"/>
      <c r="XX75" s="187"/>
      <c r="YD75" s="188"/>
      <c r="YE75" s="187"/>
      <c r="YK75" s="188"/>
      <c r="YL75" s="187"/>
      <c r="YR75" s="188"/>
      <c r="YS75" s="187"/>
      <c r="YY75" s="168"/>
      <c r="YZ75" s="189"/>
      <c r="ZF75" s="188"/>
      <c r="ZG75" s="187"/>
      <c r="ZM75" s="188"/>
      <c r="ZN75" s="187"/>
      <c r="ZT75" s="188"/>
      <c r="ZU75" s="187"/>
      <c r="AAA75" s="188"/>
      <c r="AAB75" s="187"/>
      <c r="AAC75" s="168"/>
      <c r="AAD75" s="189"/>
      <c r="AAH75" s="188"/>
      <c r="AAI75" s="187"/>
      <c r="AAO75" s="188"/>
      <c r="AAP75" s="187"/>
      <c r="AAV75" s="188"/>
      <c r="AAW75" s="187"/>
      <c r="ABC75" s="188"/>
      <c r="ABD75" s="187"/>
      <c r="ABH75" s="168"/>
      <c r="ABI75" s="189"/>
      <c r="ABJ75" s="188"/>
      <c r="ABK75" s="187"/>
      <c r="ABQ75" s="188"/>
      <c r="ABR75" s="187"/>
      <c r="ABX75" s="188"/>
      <c r="ABY75" s="187"/>
      <c r="ACE75" s="188"/>
      <c r="ACF75" s="187"/>
      <c r="ACL75" s="188"/>
      <c r="ACM75" s="190"/>
      <c r="ACN75" s="189"/>
      <c r="ACS75" s="188"/>
      <c r="ACT75" s="187"/>
      <c r="ACZ75" s="188"/>
      <c r="ADA75" s="187"/>
      <c r="ADG75" s="188"/>
      <c r="ADH75" s="187"/>
      <c r="ADN75" s="188"/>
      <c r="ADO75" s="190"/>
      <c r="ADP75" s="189"/>
      <c r="ADU75" s="188"/>
      <c r="ADV75" s="187"/>
      <c r="AEB75" s="188"/>
      <c r="AEC75" s="187"/>
      <c r="AEI75" s="188"/>
      <c r="AEJ75" s="187"/>
      <c r="AEP75" s="188"/>
      <c r="AEQ75" s="187"/>
      <c r="AET75" s="168"/>
      <c r="AEU75" s="189"/>
      <c r="AEW75" s="188"/>
      <c r="AEX75" s="187"/>
      <c r="AFD75" s="188"/>
      <c r="AFE75" s="187"/>
      <c r="AFK75" s="188"/>
      <c r="AFL75" s="187"/>
      <c r="AFR75" s="188"/>
      <c r="AFS75" s="187"/>
      <c r="AFX75" s="168"/>
      <c r="AFY75" s="191"/>
      <c r="AFZ75" s="187"/>
      <c r="AGF75" s="188"/>
      <c r="AGG75" s="187"/>
      <c r="AGM75" s="188"/>
      <c r="AGN75" s="187"/>
      <c r="AGT75" s="188"/>
      <c r="AGU75" s="187"/>
      <c r="AHA75" s="188"/>
      <c r="AHB75" s="187"/>
      <c r="AHC75" s="168"/>
      <c r="AHD75" s="189"/>
      <c r="AHH75" s="188"/>
      <c r="AHI75" s="187"/>
      <c r="AHO75" s="188"/>
      <c r="AHP75" s="187"/>
      <c r="AHV75" s="188"/>
      <c r="AHW75" s="187"/>
      <c r="AIC75" s="188"/>
      <c r="AID75" s="187"/>
      <c r="AIG75" s="168"/>
      <c r="AIH75" s="189"/>
      <c r="AIJ75" s="188"/>
      <c r="AIK75" s="187"/>
      <c r="AIQ75" s="188"/>
      <c r="AIR75" s="187"/>
      <c r="AIX75" s="188"/>
      <c r="AIY75" s="187"/>
      <c r="AJE75" s="188"/>
      <c r="AJF75" s="187"/>
      <c r="AJL75" s="168"/>
      <c r="AJM75" s="189"/>
      <c r="AJS75" s="188"/>
      <c r="AJT75" s="187"/>
      <c r="AJZ75" s="188"/>
      <c r="AKA75" s="187"/>
      <c r="AKG75" s="188"/>
      <c r="AKH75" s="187"/>
      <c r="AKN75" s="188"/>
      <c r="AKO75" s="187"/>
      <c r="AKQ75" s="168"/>
      <c r="AKR75" s="189"/>
      <c r="AKU75" s="188"/>
      <c r="AKV75" s="187"/>
      <c r="ALB75" s="188"/>
      <c r="ALC75" s="187"/>
      <c r="ALI75" s="188"/>
      <c r="ALJ75" s="187"/>
      <c r="ALP75" s="188"/>
      <c r="ALQ75" s="187"/>
      <c r="ALU75" s="168"/>
      <c r="ALV75" s="189"/>
      <c r="ALW75" s="188"/>
      <c r="ALX75" s="187"/>
      <c r="AMD75" s="188"/>
      <c r="AME75" s="187"/>
      <c r="AMK75" s="188"/>
      <c r="AML75" s="187"/>
      <c r="AMR75" s="188"/>
      <c r="AMS75" s="187"/>
      <c r="AMY75" s="188"/>
      <c r="AMZ75" s="190"/>
      <c r="ANA75" s="189"/>
      <c r="ANF75" s="188"/>
      <c r="ANG75" s="187"/>
      <c r="ANM75" s="188"/>
      <c r="ANN75" s="187"/>
      <c r="ANT75" s="188"/>
      <c r="ANU75" s="187"/>
      <c r="AOA75" s="188"/>
      <c r="AOB75" s="187"/>
      <c r="AOD75" s="168"/>
      <c r="AOE75" s="189"/>
      <c r="AOH75" s="188"/>
      <c r="AOI75" s="187"/>
      <c r="AOO75" s="188"/>
      <c r="AOP75" s="187"/>
      <c r="AOV75" s="188"/>
      <c r="AOW75" s="187"/>
      <c r="APC75" s="188"/>
      <c r="APD75" s="187"/>
      <c r="API75" s="168"/>
      <c r="APJ75" s="191"/>
      <c r="APK75" s="187"/>
      <c r="APQ75" s="188"/>
      <c r="APR75" s="187"/>
      <c r="APX75" s="188"/>
      <c r="APY75" s="187"/>
      <c r="AQE75" s="188"/>
      <c r="AQF75" s="187"/>
      <c r="AQL75" s="188"/>
      <c r="AQM75" s="187"/>
      <c r="AQN75" s="168"/>
      <c r="AQO75" s="189"/>
      <c r="AQS75" s="188"/>
      <c r="AQT75" s="187"/>
      <c r="AQZ75" s="188"/>
      <c r="ARA75" s="187"/>
      <c r="ARG75" s="188"/>
      <c r="ARH75" s="187"/>
      <c r="ARN75" s="188"/>
      <c r="ARO75" s="187"/>
      <c r="ARP75" s="168"/>
      <c r="ARQ75" s="189"/>
      <c r="ARU75" s="188"/>
      <c r="ARV75" s="187"/>
      <c r="ASB75" s="188"/>
      <c r="ASC75" s="187"/>
      <c r="ASI75" s="188"/>
      <c r="ASJ75" s="187"/>
      <c r="ASP75" s="188"/>
      <c r="ASQ75" s="187"/>
      <c r="ASU75" s="168"/>
      <c r="ASV75" s="189"/>
      <c r="ASW75" s="188"/>
      <c r="ASX75" s="187"/>
      <c r="ATD75" s="188"/>
      <c r="ATE75" s="187"/>
      <c r="ATK75" s="188"/>
      <c r="ATL75" s="187"/>
      <c r="ATR75" s="188"/>
      <c r="ATS75" s="187"/>
      <c r="ATY75" s="168"/>
      <c r="ATZ75" s="189"/>
      <c r="AUF75" s="188"/>
      <c r="AUG75" s="187"/>
      <c r="AUM75" s="188"/>
      <c r="AUN75" s="187"/>
      <c r="AUT75" s="188"/>
      <c r="AUU75" s="187"/>
      <c r="AVA75" s="188"/>
      <c r="AVB75" s="187"/>
      <c r="AVD75" s="168"/>
      <c r="AVE75" s="189"/>
      <c r="AVH75" s="188"/>
      <c r="AVI75" s="187"/>
      <c r="AVO75" s="188"/>
      <c r="AVP75" s="187"/>
      <c r="AVV75" s="188"/>
      <c r="AVW75" s="187"/>
      <c r="AWC75" s="188"/>
      <c r="AWD75" s="187"/>
      <c r="AWH75" s="168"/>
      <c r="AWI75" s="189"/>
      <c r="AWJ75" s="188"/>
      <c r="AWK75" s="187"/>
      <c r="AWQ75" s="188"/>
      <c r="AWR75" s="187"/>
      <c r="AWX75" s="188"/>
      <c r="AWY75" s="187"/>
      <c r="AXE75" s="188"/>
      <c r="AXF75" s="187"/>
      <c r="AXL75" s="188"/>
      <c r="AXM75" s="190"/>
      <c r="AXN75" s="189"/>
      <c r="AXS75" s="188"/>
      <c r="AXT75" s="187"/>
      <c r="AXZ75" s="188"/>
      <c r="AYA75" s="187"/>
      <c r="AYG75" s="188"/>
      <c r="AYH75" s="187"/>
      <c r="AYN75" s="188"/>
      <c r="AYO75" s="187"/>
      <c r="AYR75" s="168"/>
      <c r="AYS75" s="189"/>
      <c r="AYU75" s="188"/>
      <c r="AYV75" s="187"/>
      <c r="AZB75" s="188"/>
      <c r="AZC75" s="187"/>
      <c r="AZI75" s="188"/>
      <c r="AZJ75" s="187"/>
      <c r="AZP75" s="188"/>
      <c r="AZQ75" s="187"/>
      <c r="AZV75" s="168"/>
      <c r="AZW75" s="191"/>
      <c r="AZX75" s="187"/>
      <c r="BAD75" s="188"/>
      <c r="BAE75" s="187"/>
      <c r="BAK75" s="188"/>
      <c r="BAL75" s="187"/>
      <c r="BAR75" s="188"/>
      <c r="BAS75" s="187"/>
      <c r="BAY75" s="188"/>
      <c r="BAZ75" s="187"/>
      <c r="BBA75" s="168"/>
      <c r="BBB75" s="189"/>
      <c r="BBF75" s="188"/>
      <c r="BBG75" s="187"/>
      <c r="BBM75" s="188"/>
      <c r="BBN75" s="187"/>
      <c r="BBT75" s="188"/>
      <c r="BBU75" s="187"/>
      <c r="BCA75" s="188"/>
      <c r="BCB75" s="187"/>
      <c r="BCE75" s="168"/>
      <c r="BCF75" s="189"/>
      <c r="BCH75" s="188"/>
      <c r="BCI75" s="187"/>
      <c r="BCO75" s="188"/>
      <c r="BCP75" s="187"/>
      <c r="BCV75" s="188"/>
      <c r="BCW75" s="187"/>
      <c r="BDC75" s="188"/>
      <c r="BDD75" s="187"/>
      <c r="BDJ75" s="168"/>
      <c r="BDK75" s="189"/>
      <c r="BDQ75" s="188"/>
      <c r="BDR75" s="187"/>
      <c r="BDX75" s="188"/>
      <c r="BDY75" s="187"/>
      <c r="BEE75" s="188"/>
      <c r="BEF75" s="187"/>
      <c r="BEL75" s="188"/>
      <c r="BEM75" s="187"/>
      <c r="BEO75" s="168"/>
      <c r="BEP75" s="189"/>
      <c r="BES75" s="188"/>
      <c r="BET75" s="187"/>
      <c r="BEZ75" s="188"/>
      <c r="BFA75" s="187"/>
      <c r="BFG75" s="188"/>
      <c r="BFH75" s="187"/>
      <c r="BFN75" s="188"/>
      <c r="BFO75" s="187"/>
      <c r="BFQ75" s="168"/>
      <c r="BFR75" s="189"/>
      <c r="BFU75" s="188"/>
      <c r="BFV75" s="187"/>
      <c r="BGB75" s="188"/>
      <c r="BGC75" s="187"/>
      <c r="BGI75" s="188"/>
      <c r="BGJ75" s="187"/>
      <c r="BGP75" s="188"/>
      <c r="BGQ75" s="187"/>
      <c r="BGV75" s="168"/>
      <c r="BGW75" s="191"/>
      <c r="BGX75" s="187"/>
      <c r="BHD75" s="188"/>
      <c r="BHE75" s="187"/>
      <c r="BHK75" s="188"/>
      <c r="BHL75" s="187"/>
      <c r="BHR75" s="188"/>
      <c r="BHS75" s="187"/>
      <c r="BHY75" s="188"/>
      <c r="BHZ75" s="190"/>
      <c r="BIA75" s="189"/>
      <c r="BIF75" s="188"/>
      <c r="BIG75" s="187"/>
      <c r="BIM75" s="188"/>
      <c r="BIN75" s="187"/>
      <c r="BIT75" s="188"/>
      <c r="BIU75" s="187"/>
      <c r="BJA75" s="188"/>
      <c r="BJB75" s="187"/>
      <c r="BJE75" s="168"/>
      <c r="BJF75" s="189"/>
      <c r="BJH75" s="188"/>
      <c r="BJI75" s="187"/>
      <c r="BJO75" s="188"/>
      <c r="BJP75" s="187"/>
      <c r="BJV75" s="188"/>
      <c r="BJW75" s="187"/>
      <c r="BKC75" s="188"/>
      <c r="BKD75" s="187"/>
      <c r="BKI75" s="168"/>
      <c r="BKJ75" s="191"/>
      <c r="BKK75" s="187"/>
      <c r="BKQ75" s="188"/>
      <c r="BKR75" s="187"/>
      <c r="BKX75" s="188"/>
      <c r="BKY75" s="187"/>
      <c r="BLE75" s="188"/>
      <c r="BLF75" s="187"/>
      <c r="BLL75" s="188"/>
      <c r="BLM75" s="187"/>
      <c r="BLN75" s="168"/>
      <c r="BLO75" s="189"/>
      <c r="BLS75" s="188"/>
      <c r="BLT75" s="187"/>
      <c r="BLZ75" s="188"/>
      <c r="BMA75" s="187"/>
      <c r="BMG75" s="188"/>
      <c r="BMH75" s="187"/>
      <c r="BMN75" s="188"/>
      <c r="BMO75" s="187"/>
      <c r="BMS75" s="168"/>
      <c r="BMT75" s="189"/>
      <c r="BMU75" s="188"/>
      <c r="BMV75" s="187"/>
      <c r="BNB75" s="188"/>
      <c r="BNC75" s="187"/>
      <c r="BNI75" s="188"/>
      <c r="BNJ75" s="187"/>
      <c r="BNP75" s="188"/>
      <c r="BNQ75" s="187"/>
      <c r="BNW75" s="168"/>
      <c r="BNX75" s="189"/>
      <c r="BOD75" s="188"/>
      <c r="BOE75" s="187"/>
      <c r="BOK75" s="188"/>
      <c r="BOL75" s="187"/>
      <c r="BOR75" s="188"/>
      <c r="BOS75" s="187"/>
      <c r="BOY75" s="188"/>
      <c r="BOZ75" s="187"/>
      <c r="BPB75" s="168"/>
      <c r="BPC75" s="189"/>
      <c r="BPF75" s="188"/>
      <c r="BPG75" s="187"/>
      <c r="BPM75" s="188"/>
      <c r="BPN75" s="187"/>
      <c r="BPT75" s="188"/>
      <c r="BPU75" s="187"/>
      <c r="BQA75" s="188"/>
      <c r="BQB75" s="187"/>
      <c r="BQF75" s="168"/>
      <c r="BQG75" s="189"/>
      <c r="BQH75" s="188"/>
      <c r="BQI75" s="187"/>
      <c r="BQO75" s="188"/>
      <c r="BQP75" s="187"/>
      <c r="BQV75" s="188"/>
      <c r="BQW75" s="187"/>
      <c r="BRC75" s="188"/>
      <c r="BRD75" s="187"/>
      <c r="BRJ75" s="188"/>
      <c r="BRK75" s="190"/>
      <c r="BRL75" s="189"/>
      <c r="BRQ75" s="188"/>
      <c r="BRR75" s="187"/>
      <c r="BRX75" s="188"/>
      <c r="BRY75" s="187"/>
      <c r="BSE75" s="188"/>
      <c r="BSF75" s="187"/>
      <c r="BSL75" s="188"/>
      <c r="BSM75" s="187"/>
      <c r="BSP75" s="168"/>
      <c r="BSQ75" s="189"/>
      <c r="BSS75" s="188"/>
      <c r="BST75" s="187"/>
      <c r="BSZ75" s="188"/>
      <c r="BTA75" s="187"/>
      <c r="BTG75" s="188"/>
      <c r="BTH75" s="187"/>
      <c r="BTN75" s="188"/>
      <c r="BTO75" s="187"/>
      <c r="BTS75" s="168"/>
      <c r="BTT75" s="189"/>
      <c r="BTU75" s="188"/>
      <c r="BTV75" s="187"/>
      <c r="BUB75" s="188"/>
      <c r="BUC75" s="187"/>
      <c r="BUI75" s="188"/>
      <c r="BUJ75" s="187"/>
      <c r="BUP75" s="188"/>
      <c r="BUQ75" s="187"/>
      <c r="BUW75" s="188"/>
      <c r="BUX75" s="190"/>
      <c r="BUY75" s="189"/>
      <c r="BVD75" s="188"/>
      <c r="BVE75" s="187"/>
      <c r="BVK75" s="188"/>
      <c r="BVL75" s="187"/>
      <c r="BVR75" s="188"/>
      <c r="BVS75" s="187"/>
      <c r="BVY75" s="188"/>
      <c r="BVZ75" s="187"/>
      <c r="BWB75" s="168"/>
      <c r="BWC75" s="189"/>
      <c r="BWF75" s="188"/>
      <c r="BWG75" s="187"/>
      <c r="BWM75" s="188"/>
      <c r="BWN75" s="187"/>
      <c r="BWT75" s="188"/>
      <c r="BWU75" s="187"/>
      <c r="BXA75" s="188"/>
      <c r="BXB75" s="187"/>
      <c r="BXG75" s="168"/>
      <c r="BXH75" s="191"/>
      <c r="BXI75" s="187"/>
      <c r="BXO75" s="188"/>
      <c r="BXP75" s="187"/>
      <c r="BXV75" s="188"/>
      <c r="BXW75" s="187"/>
      <c r="BYC75" s="188"/>
      <c r="BYD75" s="187"/>
      <c r="BYJ75" s="188"/>
      <c r="BYK75" s="190"/>
      <c r="BYL75" s="189"/>
      <c r="BYQ75" s="188"/>
      <c r="BYR75" s="187"/>
      <c r="BYX75" s="188"/>
      <c r="BYY75" s="187"/>
      <c r="BZE75" s="188"/>
      <c r="BZF75" s="187"/>
      <c r="BZL75" s="188"/>
      <c r="BZM75" s="187"/>
      <c r="BZP75" s="168"/>
      <c r="BZQ75" s="189"/>
      <c r="BZS75" s="188"/>
      <c r="BZT75" s="187"/>
      <c r="BZZ75" s="188"/>
      <c r="CAA75" s="187"/>
      <c r="CAG75" s="188"/>
      <c r="CAH75" s="187"/>
      <c r="CAN75" s="188"/>
      <c r="CAO75" s="187"/>
      <c r="CAU75" s="168"/>
      <c r="CAV75" s="189"/>
      <c r="CBB75" s="188"/>
      <c r="CBC75" s="187"/>
      <c r="CBI75" s="188"/>
      <c r="CBJ75" s="187"/>
      <c r="CBP75" s="188"/>
      <c r="CBQ75" s="187"/>
      <c r="CBW75" s="188"/>
      <c r="CBX75" s="187"/>
      <c r="CBY75" s="168"/>
      <c r="CBZ75" s="189"/>
      <c r="CCD75" s="188"/>
      <c r="CCE75" s="187"/>
      <c r="CCK75" s="188"/>
      <c r="CCL75" s="187"/>
      <c r="CCR75" s="188"/>
      <c r="CCS75" s="187"/>
      <c r="CCY75" s="188"/>
      <c r="CCZ75" s="187"/>
      <c r="CDD75" s="168"/>
      <c r="CDE75" s="189"/>
      <c r="CDF75" s="188"/>
      <c r="CDG75" s="187"/>
      <c r="CDM75" s="188"/>
      <c r="CDN75" s="187"/>
      <c r="CDT75" s="188"/>
      <c r="CDU75" s="187"/>
      <c r="CEA75" s="188"/>
      <c r="CEB75" s="187"/>
      <c r="CEH75" s="168"/>
      <c r="CEI75" s="189"/>
      <c r="CEO75" s="188"/>
      <c r="CEP75" s="187"/>
      <c r="CEV75" s="188"/>
      <c r="CEW75" s="187"/>
      <c r="CFC75" s="188"/>
      <c r="CFD75" s="187"/>
      <c r="CFJ75" s="188"/>
      <c r="CFK75" s="187"/>
    </row>
    <row r="76" spans="1:1019 1025:2048 2054:2195">
      <c r="A76" s="164" t="s">
        <v>347</v>
      </c>
      <c r="D76" s="186"/>
      <c r="E76" s="186"/>
      <c r="K76" s="187"/>
      <c r="Q76" s="188"/>
      <c r="R76" s="187"/>
      <c r="X76" s="188"/>
      <c r="Y76" s="187"/>
      <c r="AE76" s="188"/>
      <c r="AF76" s="187"/>
      <c r="AJ76" s="168"/>
      <c r="AK76" s="189"/>
      <c r="AL76" s="188"/>
      <c r="AM76" s="187"/>
      <c r="AS76" s="188"/>
      <c r="AT76" s="187"/>
      <c r="AZ76" s="188"/>
      <c r="BA76" s="187"/>
      <c r="BG76" s="188"/>
      <c r="BH76" s="187"/>
      <c r="BL76" s="168"/>
      <c r="BM76" s="189"/>
      <c r="BN76" s="188"/>
      <c r="BO76" s="187"/>
      <c r="BU76" s="188"/>
      <c r="BV76" s="187"/>
      <c r="CB76" s="188"/>
      <c r="CC76" s="187"/>
      <c r="CI76" s="188"/>
      <c r="CJ76" s="187"/>
      <c r="CP76" s="188"/>
      <c r="CQ76" s="190"/>
      <c r="CR76" s="189"/>
      <c r="CW76" s="188"/>
      <c r="CX76" s="187"/>
      <c r="DD76" s="188"/>
      <c r="DE76" s="187"/>
      <c r="DK76" s="188"/>
      <c r="DL76" s="187"/>
      <c r="DR76" s="188"/>
      <c r="DS76" s="187"/>
      <c r="DU76" s="168"/>
      <c r="DV76" s="189"/>
      <c r="DY76" s="188"/>
      <c r="DZ76" s="187"/>
      <c r="EF76" s="188"/>
      <c r="EG76" s="187"/>
      <c r="EM76" s="188"/>
      <c r="EN76" s="187"/>
      <c r="ET76" s="188"/>
      <c r="EU76" s="187"/>
      <c r="EZ76" s="168"/>
      <c r="FA76" s="191"/>
      <c r="FB76" s="187"/>
      <c r="FH76" s="188"/>
      <c r="FI76" s="187"/>
      <c r="FO76" s="188"/>
      <c r="FP76" s="187"/>
      <c r="FV76" s="188"/>
      <c r="FW76" s="187"/>
      <c r="GC76" s="188"/>
      <c r="GD76" s="190"/>
      <c r="GE76" s="189"/>
      <c r="GJ76" s="188"/>
      <c r="GK76" s="187"/>
      <c r="GQ76" s="188"/>
      <c r="GR76" s="187"/>
      <c r="GX76" s="188"/>
      <c r="GY76" s="187"/>
      <c r="HE76" s="188"/>
      <c r="HF76" s="187"/>
      <c r="HI76" s="168"/>
      <c r="HJ76" s="189"/>
      <c r="HL76" s="188"/>
      <c r="HM76" s="187"/>
      <c r="HS76" s="188"/>
      <c r="HT76" s="187"/>
      <c r="HZ76" s="188"/>
      <c r="IA76" s="187"/>
      <c r="IG76" s="188"/>
      <c r="IH76" s="187"/>
      <c r="IN76" s="168"/>
      <c r="IO76" s="189"/>
      <c r="IU76" s="188"/>
      <c r="IV76" s="187"/>
      <c r="JB76" s="188"/>
      <c r="JC76" s="187"/>
      <c r="JI76" s="188"/>
      <c r="JJ76" s="187"/>
      <c r="JP76" s="188"/>
      <c r="JQ76" s="187"/>
      <c r="JR76" s="168"/>
      <c r="JS76" s="189"/>
      <c r="JW76" s="188"/>
      <c r="JX76" s="187"/>
      <c r="KD76" s="188"/>
      <c r="KE76" s="187"/>
      <c r="KK76" s="188"/>
      <c r="KL76" s="187"/>
      <c r="KR76" s="188"/>
      <c r="KS76" s="187"/>
      <c r="KW76" s="168"/>
      <c r="KX76" s="189"/>
      <c r="KY76" s="188"/>
      <c r="KZ76" s="187"/>
      <c r="LF76" s="188"/>
      <c r="LG76" s="187"/>
      <c r="LM76" s="188"/>
      <c r="LN76" s="187"/>
      <c r="LT76" s="188"/>
      <c r="LU76" s="187"/>
      <c r="MA76" s="168"/>
      <c r="MB76" s="189"/>
      <c r="MH76" s="188"/>
      <c r="MI76" s="187"/>
      <c r="MO76" s="188"/>
      <c r="MP76" s="187"/>
      <c r="MV76" s="188"/>
      <c r="MW76" s="187"/>
      <c r="NC76" s="188"/>
      <c r="ND76" s="187"/>
      <c r="NF76" s="168"/>
      <c r="NG76" s="189"/>
      <c r="NJ76" s="188"/>
      <c r="NK76" s="187"/>
      <c r="NQ76" s="188"/>
      <c r="NR76" s="187"/>
      <c r="NX76" s="188"/>
      <c r="NY76" s="187"/>
      <c r="OE76" s="188"/>
      <c r="OF76" s="187"/>
      <c r="OK76" s="168"/>
      <c r="OL76" s="191"/>
      <c r="OM76" s="187"/>
      <c r="OS76" s="188"/>
      <c r="OT76" s="187"/>
      <c r="OZ76" s="188"/>
      <c r="PA76" s="187"/>
      <c r="PG76" s="188"/>
      <c r="PH76" s="187"/>
      <c r="PN76" s="168"/>
      <c r="PO76" s="189"/>
      <c r="PU76" s="188"/>
      <c r="PV76" s="187"/>
      <c r="QB76" s="188"/>
      <c r="QC76" s="187"/>
      <c r="QI76" s="188"/>
      <c r="QJ76" s="187"/>
      <c r="QP76" s="188"/>
      <c r="QQ76" s="187"/>
      <c r="QS76" s="168"/>
      <c r="QT76" s="189"/>
      <c r="QW76" s="188"/>
      <c r="QX76" s="187"/>
      <c r="RD76" s="188"/>
      <c r="RE76" s="187"/>
      <c r="RK76" s="188"/>
      <c r="RL76" s="187"/>
      <c r="RR76" s="188"/>
      <c r="RS76" s="187"/>
      <c r="RW76" s="168"/>
      <c r="RX76" s="189"/>
      <c r="RY76" s="188"/>
      <c r="RZ76" s="187"/>
      <c r="SF76" s="188"/>
      <c r="SG76" s="187"/>
      <c r="SM76" s="188"/>
      <c r="SN76" s="187"/>
      <c r="ST76" s="188"/>
      <c r="SU76" s="187"/>
      <c r="TA76" s="188"/>
      <c r="TB76" s="190"/>
      <c r="TC76" s="189"/>
      <c r="TH76" s="188"/>
      <c r="TI76" s="187"/>
      <c r="TO76" s="188"/>
      <c r="TP76" s="187"/>
      <c r="TV76" s="188"/>
      <c r="TW76" s="187"/>
      <c r="UC76" s="188"/>
      <c r="UD76" s="187"/>
      <c r="UF76" s="168"/>
      <c r="UG76" s="189"/>
      <c r="UJ76" s="188"/>
      <c r="UK76" s="187"/>
      <c r="UQ76" s="188"/>
      <c r="UR76" s="187"/>
      <c r="UX76" s="188"/>
      <c r="UY76" s="187"/>
      <c r="VE76" s="188"/>
      <c r="VF76" s="187"/>
      <c r="VK76" s="168"/>
      <c r="VL76" s="191"/>
      <c r="VM76" s="187"/>
      <c r="VS76" s="188"/>
      <c r="VT76" s="187"/>
      <c r="VZ76" s="188"/>
      <c r="WA76" s="187"/>
      <c r="WG76" s="188"/>
      <c r="WH76" s="187"/>
      <c r="WN76" s="188"/>
      <c r="WO76" s="187"/>
      <c r="WP76" s="168"/>
      <c r="WQ76" s="189"/>
      <c r="WU76" s="188"/>
      <c r="WV76" s="187"/>
      <c r="XB76" s="188"/>
      <c r="XC76" s="187"/>
      <c r="XI76" s="188"/>
      <c r="XJ76" s="187"/>
      <c r="XP76" s="188"/>
      <c r="XQ76" s="187"/>
      <c r="XT76" s="168"/>
      <c r="XU76" s="189"/>
      <c r="XW76" s="188"/>
      <c r="XX76" s="187"/>
      <c r="YD76" s="188"/>
      <c r="YE76" s="187"/>
      <c r="YK76" s="188"/>
      <c r="YL76" s="187"/>
      <c r="YR76" s="188"/>
      <c r="YS76" s="187"/>
      <c r="YY76" s="168"/>
      <c r="YZ76" s="189"/>
      <c r="ZF76" s="188"/>
      <c r="ZG76" s="187"/>
      <c r="ZM76" s="188"/>
      <c r="ZN76" s="187"/>
      <c r="ZT76" s="188"/>
      <c r="ZU76" s="187"/>
      <c r="AAA76" s="188"/>
      <c r="AAB76" s="187"/>
      <c r="AAC76" s="168"/>
      <c r="AAD76" s="189"/>
      <c r="AAH76" s="188"/>
      <c r="AAI76" s="187"/>
      <c r="AAO76" s="188"/>
      <c r="AAP76" s="187"/>
      <c r="AAV76" s="188"/>
      <c r="AAW76" s="187"/>
      <c r="ABC76" s="188"/>
      <c r="ABD76" s="187"/>
      <c r="ABH76" s="168"/>
      <c r="ABI76" s="189"/>
      <c r="ABJ76" s="188"/>
      <c r="ABK76" s="187"/>
      <c r="ABQ76" s="188"/>
      <c r="ABR76" s="187"/>
      <c r="ABX76" s="188"/>
      <c r="ABY76" s="187"/>
      <c r="ACE76" s="188"/>
      <c r="ACF76" s="187"/>
      <c r="ACL76" s="188"/>
      <c r="ACM76" s="190"/>
      <c r="ACN76" s="189"/>
      <c r="ACS76" s="188"/>
      <c r="ACT76" s="187"/>
      <c r="ACZ76" s="188"/>
      <c r="ADA76" s="187"/>
      <c r="ADG76" s="188"/>
      <c r="ADH76" s="187"/>
      <c r="ADN76" s="188"/>
      <c r="ADO76" s="190"/>
      <c r="ADP76" s="189"/>
      <c r="ADU76" s="188"/>
      <c r="ADV76" s="187"/>
      <c r="AEB76" s="188"/>
      <c r="AEC76" s="187"/>
      <c r="AEI76" s="188"/>
      <c r="AEJ76" s="187"/>
      <c r="AEP76" s="188"/>
      <c r="AEQ76" s="187"/>
      <c r="AET76" s="168"/>
      <c r="AEU76" s="189"/>
      <c r="AEW76" s="188"/>
      <c r="AEX76" s="187"/>
      <c r="AFD76" s="188"/>
      <c r="AFE76" s="187"/>
      <c r="AFK76" s="188"/>
      <c r="AFL76" s="187"/>
      <c r="AFR76" s="188"/>
      <c r="AFS76" s="187"/>
      <c r="AFX76" s="168"/>
      <c r="AFY76" s="191"/>
      <c r="AFZ76" s="187"/>
      <c r="AGF76" s="188"/>
      <c r="AGG76" s="187"/>
      <c r="AGM76" s="188"/>
      <c r="AGN76" s="187"/>
      <c r="AGT76" s="188"/>
      <c r="AGU76" s="187"/>
      <c r="AHA76" s="188"/>
      <c r="AHB76" s="187"/>
      <c r="AHC76" s="168"/>
      <c r="AHD76" s="189"/>
      <c r="AHH76" s="188"/>
      <c r="AHI76" s="187"/>
      <c r="AHO76" s="188"/>
      <c r="AHP76" s="187"/>
      <c r="AHV76" s="188"/>
      <c r="AHW76" s="187"/>
      <c r="AIC76" s="188"/>
      <c r="AID76" s="187"/>
      <c r="AIG76" s="168"/>
      <c r="AIH76" s="189"/>
      <c r="AIJ76" s="188"/>
      <c r="AIK76" s="187"/>
      <c r="AIQ76" s="188"/>
      <c r="AIR76" s="187"/>
      <c r="AIX76" s="188"/>
      <c r="AIY76" s="187"/>
      <c r="AJE76" s="188"/>
      <c r="AJF76" s="187"/>
      <c r="AJL76" s="168"/>
      <c r="AJM76" s="189"/>
      <c r="AJS76" s="188"/>
      <c r="AJT76" s="187"/>
      <c r="AJZ76" s="188"/>
      <c r="AKA76" s="187"/>
      <c r="AKG76" s="188"/>
      <c r="AKH76" s="187"/>
      <c r="AKN76" s="188"/>
      <c r="AKO76" s="187"/>
      <c r="AKQ76" s="168"/>
      <c r="AKR76" s="189"/>
      <c r="AKU76" s="188"/>
      <c r="AKV76" s="187"/>
      <c r="ALB76" s="188"/>
      <c r="ALC76" s="187"/>
      <c r="ALI76" s="188"/>
      <c r="ALJ76" s="187"/>
      <c r="ALP76" s="188"/>
      <c r="ALQ76" s="187"/>
      <c r="ALU76" s="168"/>
      <c r="ALV76" s="189"/>
      <c r="ALW76" s="188"/>
      <c r="ALX76" s="187"/>
      <c r="AMD76" s="188"/>
      <c r="AME76" s="187"/>
      <c r="AMK76" s="188"/>
      <c r="AML76" s="187"/>
      <c r="AMR76" s="188"/>
      <c r="AMS76" s="187"/>
      <c r="AMY76" s="188"/>
      <c r="AMZ76" s="190"/>
      <c r="ANA76" s="189"/>
      <c r="ANF76" s="188"/>
      <c r="ANG76" s="187"/>
      <c r="ANM76" s="188"/>
      <c r="ANN76" s="187"/>
      <c r="ANT76" s="188"/>
      <c r="ANU76" s="187"/>
      <c r="AOA76" s="188"/>
      <c r="AOB76" s="187"/>
      <c r="AOD76" s="168"/>
      <c r="AOE76" s="189"/>
      <c r="AOH76" s="188"/>
      <c r="AOI76" s="187"/>
      <c r="AOO76" s="188"/>
      <c r="AOP76" s="187"/>
      <c r="AOV76" s="188"/>
      <c r="AOW76" s="187"/>
      <c r="APC76" s="188"/>
      <c r="APD76" s="187"/>
      <c r="API76" s="168"/>
      <c r="APJ76" s="191"/>
      <c r="APK76" s="187"/>
      <c r="APQ76" s="188"/>
      <c r="APR76" s="187"/>
      <c r="APX76" s="188"/>
      <c r="APY76" s="187"/>
      <c r="AQE76" s="188"/>
      <c r="AQF76" s="187"/>
      <c r="AQL76" s="188"/>
      <c r="AQM76" s="187"/>
      <c r="AQN76" s="168"/>
      <c r="AQO76" s="189"/>
      <c r="AQS76" s="188"/>
      <c r="AQT76" s="187"/>
      <c r="AQZ76" s="188"/>
      <c r="ARA76" s="187"/>
      <c r="ARG76" s="188"/>
      <c r="ARH76" s="187"/>
      <c r="ARN76" s="188"/>
      <c r="ARO76" s="187"/>
      <c r="ARP76" s="168"/>
      <c r="ARQ76" s="189"/>
      <c r="ARU76" s="188"/>
      <c r="ARV76" s="187"/>
      <c r="ASB76" s="188"/>
      <c r="ASC76" s="187"/>
      <c r="ASI76" s="188"/>
      <c r="ASJ76" s="187"/>
      <c r="ASP76" s="188"/>
      <c r="ASQ76" s="187"/>
      <c r="ASU76" s="168"/>
      <c r="ASV76" s="189"/>
      <c r="ASW76" s="188"/>
      <c r="ASX76" s="187"/>
      <c r="ATD76" s="188"/>
      <c r="ATE76" s="187"/>
      <c r="ATK76" s="188"/>
      <c r="ATL76" s="187"/>
      <c r="ATR76" s="188"/>
      <c r="ATS76" s="187"/>
      <c r="ATY76" s="168"/>
      <c r="ATZ76" s="189"/>
      <c r="AUF76" s="188"/>
      <c r="AUG76" s="187"/>
      <c r="AUM76" s="188"/>
      <c r="AUN76" s="187"/>
      <c r="AUT76" s="188"/>
      <c r="AUU76" s="187"/>
      <c r="AVA76" s="188"/>
      <c r="AVB76" s="187"/>
      <c r="AVD76" s="168"/>
      <c r="AVE76" s="189"/>
      <c r="AVH76" s="188"/>
      <c r="AVI76" s="187"/>
      <c r="AVO76" s="188"/>
      <c r="AVP76" s="187"/>
      <c r="AVV76" s="188"/>
      <c r="AVW76" s="187"/>
      <c r="AWC76" s="188"/>
      <c r="AWD76" s="187"/>
      <c r="AWH76" s="168"/>
      <c r="AWI76" s="189"/>
      <c r="AWJ76" s="188"/>
      <c r="AWK76" s="187"/>
      <c r="AWQ76" s="188"/>
      <c r="AWR76" s="187"/>
      <c r="AWX76" s="188"/>
      <c r="AWY76" s="187"/>
      <c r="AXE76" s="188"/>
      <c r="AXF76" s="187"/>
      <c r="AXL76" s="188"/>
      <c r="AXM76" s="190"/>
      <c r="AXN76" s="189"/>
      <c r="AXS76" s="188"/>
      <c r="AXT76" s="187"/>
      <c r="AXZ76" s="188"/>
      <c r="AYA76" s="187"/>
      <c r="AYG76" s="188"/>
      <c r="AYH76" s="187"/>
      <c r="AYN76" s="188"/>
      <c r="AYO76" s="187"/>
      <c r="AYR76" s="168"/>
      <c r="AYS76" s="189"/>
      <c r="AYU76" s="188"/>
      <c r="AYV76" s="187"/>
      <c r="AZB76" s="188"/>
      <c r="AZC76" s="187"/>
      <c r="AZI76" s="188"/>
      <c r="AZJ76" s="187"/>
      <c r="AZP76" s="188"/>
      <c r="AZQ76" s="187"/>
      <c r="AZV76" s="168"/>
      <c r="AZW76" s="191"/>
      <c r="AZX76" s="187"/>
      <c r="BAD76" s="188"/>
      <c r="BAE76" s="187"/>
      <c r="BAK76" s="188"/>
      <c r="BAL76" s="187"/>
      <c r="BAR76" s="188"/>
      <c r="BAS76" s="187"/>
      <c r="BAY76" s="188"/>
      <c r="BAZ76" s="187"/>
      <c r="BBA76" s="168"/>
      <c r="BBB76" s="189"/>
      <c r="BBF76" s="188"/>
      <c r="BBG76" s="187"/>
      <c r="BBM76" s="188"/>
      <c r="BBN76" s="187"/>
      <c r="BBT76" s="188"/>
      <c r="BBU76" s="187"/>
      <c r="BCA76" s="188"/>
      <c r="BCB76" s="187"/>
      <c r="BCE76" s="168"/>
      <c r="BCF76" s="189"/>
      <c r="BCH76" s="188"/>
      <c r="BCI76" s="187"/>
      <c r="BCO76" s="188"/>
      <c r="BCP76" s="187"/>
      <c r="BCV76" s="188"/>
      <c r="BCW76" s="187"/>
      <c r="BDC76" s="188"/>
      <c r="BDD76" s="187"/>
      <c r="BDJ76" s="168"/>
      <c r="BDK76" s="189"/>
      <c r="BDQ76" s="188"/>
      <c r="BDR76" s="187"/>
      <c r="BDX76" s="188"/>
      <c r="BDY76" s="187"/>
      <c r="BEE76" s="188"/>
      <c r="BEF76" s="187"/>
      <c r="BEL76" s="188"/>
      <c r="BEM76" s="187"/>
      <c r="BEO76" s="168"/>
      <c r="BEP76" s="189"/>
      <c r="BES76" s="188"/>
      <c r="BET76" s="187"/>
      <c r="BEZ76" s="188"/>
      <c r="BFA76" s="187"/>
      <c r="BFG76" s="188"/>
      <c r="BFH76" s="187"/>
      <c r="BFN76" s="188"/>
      <c r="BFO76" s="187"/>
      <c r="BFQ76" s="168"/>
      <c r="BFR76" s="189"/>
      <c r="BFU76" s="188"/>
      <c r="BFV76" s="187"/>
      <c r="BGB76" s="188"/>
      <c r="BGC76" s="187"/>
      <c r="BGI76" s="188"/>
      <c r="BGJ76" s="187"/>
      <c r="BGP76" s="188"/>
      <c r="BGQ76" s="187"/>
      <c r="BGV76" s="168"/>
      <c r="BGW76" s="191"/>
      <c r="BGX76" s="187"/>
      <c r="BHD76" s="188"/>
      <c r="BHE76" s="187"/>
      <c r="BHK76" s="188"/>
      <c r="BHL76" s="187"/>
      <c r="BHR76" s="188"/>
      <c r="BHS76" s="187"/>
      <c r="BHY76" s="188"/>
      <c r="BHZ76" s="190"/>
      <c r="BIA76" s="189"/>
      <c r="BIF76" s="188"/>
      <c r="BIG76" s="187"/>
      <c r="BIM76" s="188"/>
      <c r="BIN76" s="187"/>
      <c r="BIT76" s="188"/>
      <c r="BIU76" s="187"/>
      <c r="BJA76" s="188"/>
      <c r="BJB76" s="187"/>
      <c r="BJE76" s="168"/>
      <c r="BJF76" s="189"/>
      <c r="BJH76" s="188"/>
      <c r="BJI76" s="187"/>
      <c r="BJO76" s="188"/>
      <c r="BJP76" s="187"/>
      <c r="BJV76" s="188"/>
      <c r="BJW76" s="187"/>
      <c r="BKC76" s="188"/>
      <c r="BKD76" s="187"/>
      <c r="BKI76" s="168"/>
      <c r="BKJ76" s="191"/>
      <c r="BKK76" s="187"/>
      <c r="BKQ76" s="188"/>
      <c r="BKR76" s="187"/>
      <c r="BKX76" s="188"/>
      <c r="BKY76" s="187"/>
      <c r="BLE76" s="188"/>
      <c r="BLF76" s="187"/>
      <c r="BLL76" s="188"/>
      <c r="BLM76" s="187"/>
      <c r="BLN76" s="168"/>
      <c r="BLO76" s="189"/>
      <c r="BLS76" s="188"/>
      <c r="BLT76" s="187"/>
      <c r="BLZ76" s="188"/>
      <c r="BMA76" s="187"/>
      <c r="BMG76" s="188"/>
      <c r="BMH76" s="187"/>
      <c r="BMN76" s="188"/>
      <c r="BMO76" s="187"/>
      <c r="BMS76" s="168"/>
      <c r="BMT76" s="189"/>
      <c r="BMU76" s="188"/>
      <c r="BMV76" s="187"/>
      <c r="BNB76" s="188"/>
      <c r="BNC76" s="187"/>
      <c r="BNI76" s="188"/>
      <c r="BNJ76" s="187"/>
      <c r="BNP76" s="188"/>
      <c r="BNQ76" s="187"/>
      <c r="BNW76" s="168"/>
      <c r="BNX76" s="189"/>
      <c r="BOD76" s="188"/>
      <c r="BOE76" s="187"/>
      <c r="BOK76" s="188"/>
      <c r="BOL76" s="187"/>
      <c r="BOR76" s="188"/>
      <c r="BOS76" s="187"/>
      <c r="BOY76" s="188"/>
      <c r="BOZ76" s="187"/>
      <c r="BPB76" s="168"/>
      <c r="BPC76" s="189"/>
      <c r="BPF76" s="188"/>
      <c r="BPG76" s="187"/>
      <c r="BPM76" s="188"/>
      <c r="BPN76" s="187"/>
      <c r="BPT76" s="188"/>
      <c r="BPU76" s="187"/>
      <c r="BQA76" s="188"/>
      <c r="BQB76" s="187"/>
      <c r="BQF76" s="168"/>
      <c r="BQG76" s="189"/>
      <c r="BQH76" s="188"/>
      <c r="BQI76" s="187"/>
      <c r="BQO76" s="188"/>
      <c r="BQP76" s="187"/>
      <c r="BQV76" s="188"/>
      <c r="BQW76" s="187"/>
      <c r="BRC76" s="188"/>
      <c r="BRD76" s="187"/>
      <c r="BRJ76" s="188"/>
      <c r="BRK76" s="190"/>
      <c r="BRL76" s="189"/>
      <c r="BRQ76" s="188"/>
      <c r="BRR76" s="187"/>
      <c r="BRX76" s="188"/>
      <c r="BRY76" s="187"/>
      <c r="BSE76" s="188"/>
      <c r="BSF76" s="187"/>
      <c r="BSL76" s="188"/>
      <c r="BSM76" s="187"/>
      <c r="BSP76" s="168"/>
      <c r="BSQ76" s="189"/>
      <c r="BSS76" s="188"/>
      <c r="BST76" s="187"/>
      <c r="BSZ76" s="188"/>
      <c r="BTA76" s="187"/>
      <c r="BTG76" s="188"/>
      <c r="BTH76" s="187"/>
      <c r="BTN76" s="188"/>
      <c r="BTO76" s="187"/>
      <c r="BTS76" s="168"/>
      <c r="BTT76" s="189"/>
      <c r="BTU76" s="188"/>
      <c r="BTV76" s="187"/>
      <c r="BUB76" s="188"/>
      <c r="BUC76" s="187"/>
      <c r="BUI76" s="188"/>
      <c r="BUJ76" s="187"/>
      <c r="BUP76" s="188"/>
      <c r="BUQ76" s="187"/>
      <c r="BUW76" s="188"/>
      <c r="BUX76" s="190"/>
      <c r="BUY76" s="189"/>
      <c r="BVD76" s="188"/>
      <c r="BVE76" s="187"/>
      <c r="BVK76" s="188"/>
      <c r="BVL76" s="187"/>
      <c r="BVR76" s="188"/>
      <c r="BVS76" s="187"/>
      <c r="BVY76" s="188"/>
      <c r="BVZ76" s="187"/>
      <c r="BWB76" s="168"/>
      <c r="BWC76" s="189"/>
      <c r="BWF76" s="188"/>
      <c r="BWG76" s="187"/>
      <c r="BWM76" s="188"/>
      <c r="BWN76" s="187"/>
      <c r="BWT76" s="188"/>
      <c r="BWU76" s="187"/>
      <c r="BXA76" s="188"/>
      <c r="BXB76" s="187"/>
      <c r="BXG76" s="168"/>
      <c r="BXH76" s="191"/>
      <c r="BXI76" s="187"/>
      <c r="BXO76" s="188"/>
      <c r="BXP76" s="187"/>
      <c r="BXV76" s="188"/>
      <c r="BXW76" s="187"/>
      <c r="BYC76" s="188"/>
      <c r="BYD76" s="187"/>
      <c r="BYJ76" s="188"/>
      <c r="BYK76" s="190"/>
      <c r="BYL76" s="189"/>
      <c r="BYQ76" s="188"/>
      <c r="BYR76" s="187"/>
      <c r="BYX76" s="188"/>
      <c r="BYY76" s="187"/>
      <c r="BZE76" s="188"/>
      <c r="BZF76" s="187"/>
      <c r="BZL76" s="188"/>
      <c r="BZM76" s="187"/>
      <c r="BZP76" s="168"/>
      <c r="BZQ76" s="189"/>
      <c r="BZS76" s="188"/>
      <c r="BZT76" s="187"/>
      <c r="BZZ76" s="188"/>
      <c r="CAA76" s="187"/>
      <c r="CAG76" s="188"/>
      <c r="CAH76" s="187"/>
      <c r="CAN76" s="188"/>
      <c r="CAO76" s="187"/>
      <c r="CAU76" s="168"/>
      <c r="CAV76" s="189"/>
      <c r="CBB76" s="188"/>
      <c r="CBC76" s="187"/>
      <c r="CBI76" s="188"/>
      <c r="CBJ76" s="187"/>
      <c r="CBP76" s="188"/>
      <c r="CBQ76" s="187"/>
      <c r="CBW76" s="188"/>
      <c r="CBX76" s="187"/>
      <c r="CBY76" s="168"/>
      <c r="CBZ76" s="189"/>
      <c r="CCD76" s="188"/>
      <c r="CCE76" s="187"/>
      <c r="CCK76" s="188"/>
      <c r="CCL76" s="187"/>
      <c r="CCR76" s="188"/>
      <c r="CCS76" s="187"/>
      <c r="CCY76" s="188"/>
      <c r="CCZ76" s="187"/>
      <c r="CDD76" s="168"/>
      <c r="CDE76" s="189"/>
      <c r="CDF76" s="188"/>
      <c r="CDG76" s="187"/>
      <c r="CDM76" s="188"/>
      <c r="CDN76" s="187"/>
      <c r="CDT76" s="188"/>
      <c r="CDU76" s="187"/>
      <c r="CEA76" s="188"/>
      <c r="CEB76" s="187"/>
      <c r="CEH76" s="168"/>
      <c r="CEI76" s="189"/>
      <c r="CEO76" s="188"/>
      <c r="CEP76" s="187"/>
      <c r="CEV76" s="188"/>
      <c r="CEW76" s="187"/>
      <c r="CFC76" s="188"/>
      <c r="CFD76" s="187"/>
      <c r="CFJ76" s="188"/>
      <c r="CFK76" s="187"/>
    </row>
    <row r="77" spans="1:1019 1025:2048 2054:2195">
      <c r="A77" s="164" t="s">
        <v>348</v>
      </c>
      <c r="D77" s="186"/>
      <c r="E77" s="186"/>
      <c r="K77" s="187"/>
      <c r="Q77" s="188"/>
      <c r="R77" s="187"/>
      <c r="X77" s="188"/>
      <c r="Y77" s="187"/>
      <c r="AE77" s="188"/>
      <c r="AF77" s="187"/>
      <c r="AJ77" s="168"/>
      <c r="AK77" s="189"/>
      <c r="AL77" s="188"/>
      <c r="AM77" s="187"/>
      <c r="AS77" s="188"/>
      <c r="AT77" s="187"/>
      <c r="AZ77" s="188"/>
      <c r="BA77" s="187"/>
      <c r="BG77" s="188"/>
      <c r="BH77" s="187"/>
      <c r="BL77" s="168"/>
      <c r="BM77" s="189"/>
      <c r="BN77" s="188"/>
      <c r="BO77" s="187"/>
      <c r="BU77" s="188"/>
      <c r="BV77" s="187"/>
      <c r="CB77" s="188"/>
      <c r="CC77" s="187"/>
      <c r="CI77" s="188"/>
      <c r="CJ77" s="187"/>
      <c r="CP77" s="188"/>
      <c r="CQ77" s="190"/>
      <c r="CR77" s="189"/>
      <c r="CW77" s="188"/>
      <c r="CX77" s="187"/>
      <c r="DD77" s="188"/>
      <c r="DE77" s="187"/>
      <c r="DK77" s="188"/>
      <c r="DL77" s="187"/>
      <c r="DR77" s="188"/>
      <c r="DS77" s="187"/>
      <c r="DU77" s="168"/>
      <c r="DV77" s="189"/>
      <c r="DY77" s="188"/>
      <c r="DZ77" s="187"/>
      <c r="EF77" s="188"/>
      <c r="EG77" s="187"/>
      <c r="EM77" s="188"/>
      <c r="EN77" s="187"/>
      <c r="ET77" s="188"/>
      <c r="EU77" s="187"/>
      <c r="EZ77" s="168"/>
      <c r="FA77" s="191"/>
      <c r="FB77" s="187"/>
      <c r="FH77" s="188"/>
      <c r="FI77" s="187"/>
      <c r="FO77" s="188"/>
      <c r="FP77" s="187"/>
      <c r="FV77" s="188"/>
      <c r="FW77" s="187"/>
      <c r="GC77" s="188"/>
      <c r="GD77" s="190"/>
      <c r="GE77" s="189"/>
      <c r="GJ77" s="188"/>
      <c r="GK77" s="187"/>
      <c r="GQ77" s="188"/>
      <c r="GR77" s="187"/>
      <c r="GX77" s="188"/>
      <c r="GY77" s="187"/>
      <c r="HE77" s="188"/>
      <c r="HF77" s="187"/>
      <c r="HI77" s="168"/>
      <c r="HJ77" s="189"/>
      <c r="HL77" s="188"/>
      <c r="HM77" s="187"/>
      <c r="HS77" s="188"/>
      <c r="HT77" s="187"/>
      <c r="HZ77" s="188"/>
      <c r="IA77" s="187"/>
      <c r="IG77" s="188"/>
      <c r="IH77" s="187"/>
      <c r="IN77" s="168"/>
      <c r="IO77" s="189"/>
      <c r="IU77" s="188"/>
      <c r="IV77" s="187"/>
      <c r="JB77" s="188"/>
      <c r="JC77" s="187"/>
      <c r="JI77" s="188"/>
      <c r="JJ77" s="187"/>
      <c r="JP77" s="188"/>
      <c r="JQ77" s="187"/>
      <c r="JR77" s="168"/>
      <c r="JS77" s="189"/>
      <c r="JW77" s="188"/>
      <c r="JX77" s="187"/>
      <c r="KD77" s="188"/>
      <c r="KE77" s="187"/>
      <c r="KK77" s="188"/>
      <c r="KL77" s="187"/>
      <c r="KR77" s="188"/>
      <c r="KS77" s="187"/>
      <c r="KW77" s="168"/>
      <c r="KX77" s="189"/>
      <c r="KY77" s="188"/>
      <c r="KZ77" s="187"/>
      <c r="LF77" s="188"/>
      <c r="LG77" s="187"/>
      <c r="LM77" s="188"/>
      <c r="LN77" s="187"/>
      <c r="LT77" s="188"/>
      <c r="LU77" s="187"/>
      <c r="MA77" s="168"/>
      <c r="MB77" s="189"/>
      <c r="MH77" s="188"/>
      <c r="MI77" s="187"/>
      <c r="MO77" s="188"/>
      <c r="MP77" s="187"/>
      <c r="MV77" s="188"/>
      <c r="MW77" s="187"/>
      <c r="NC77" s="188"/>
      <c r="ND77" s="187"/>
      <c r="NF77" s="168"/>
      <c r="NG77" s="189"/>
      <c r="NJ77" s="188"/>
      <c r="NK77" s="187"/>
      <c r="NQ77" s="188"/>
      <c r="NR77" s="187"/>
      <c r="NX77" s="188"/>
      <c r="NY77" s="187"/>
      <c r="OE77" s="188"/>
      <c r="OF77" s="187"/>
      <c r="OK77" s="168"/>
      <c r="OL77" s="191"/>
      <c r="OM77" s="187"/>
      <c r="OS77" s="188"/>
      <c r="OT77" s="187"/>
      <c r="OZ77" s="188"/>
      <c r="PA77" s="187"/>
      <c r="PG77" s="188"/>
      <c r="PH77" s="187"/>
      <c r="PN77" s="168"/>
      <c r="PO77" s="189"/>
      <c r="PU77" s="188"/>
      <c r="PV77" s="187"/>
      <c r="QB77" s="188"/>
      <c r="QC77" s="187"/>
      <c r="QI77" s="188"/>
      <c r="QJ77" s="187"/>
      <c r="QP77" s="188"/>
      <c r="QQ77" s="187"/>
      <c r="QS77" s="168"/>
      <c r="QT77" s="189"/>
      <c r="QW77" s="188"/>
      <c r="QX77" s="187"/>
      <c r="RD77" s="188"/>
      <c r="RE77" s="187"/>
      <c r="RK77" s="188"/>
      <c r="RL77" s="187"/>
      <c r="RR77" s="188"/>
      <c r="RS77" s="187"/>
      <c r="RW77" s="168"/>
      <c r="RX77" s="189"/>
      <c r="RY77" s="188"/>
      <c r="RZ77" s="187"/>
      <c r="SF77" s="188"/>
      <c r="SG77" s="187"/>
      <c r="SM77" s="188"/>
      <c r="SN77" s="187"/>
      <c r="ST77" s="188"/>
      <c r="SU77" s="187"/>
      <c r="TA77" s="188"/>
      <c r="TB77" s="190"/>
      <c r="TC77" s="189"/>
      <c r="TH77" s="188"/>
      <c r="TI77" s="187"/>
      <c r="TO77" s="188"/>
      <c r="TP77" s="187"/>
      <c r="TV77" s="188"/>
      <c r="TW77" s="187"/>
      <c r="UC77" s="188"/>
      <c r="UD77" s="187"/>
      <c r="UF77" s="168"/>
      <c r="UG77" s="189"/>
      <c r="UJ77" s="188"/>
      <c r="UK77" s="187"/>
      <c r="UQ77" s="188"/>
      <c r="UR77" s="187"/>
      <c r="UX77" s="188"/>
      <c r="UY77" s="187"/>
      <c r="VE77" s="188"/>
      <c r="VF77" s="187"/>
      <c r="VK77" s="168"/>
      <c r="VL77" s="191"/>
      <c r="VM77" s="187"/>
      <c r="VS77" s="188"/>
      <c r="VT77" s="187"/>
      <c r="VZ77" s="188"/>
      <c r="WA77" s="187"/>
      <c r="WG77" s="188"/>
      <c r="WH77" s="187"/>
      <c r="WN77" s="188"/>
      <c r="WO77" s="187"/>
      <c r="WP77" s="168"/>
      <c r="WQ77" s="189"/>
      <c r="WU77" s="188"/>
      <c r="WV77" s="187"/>
      <c r="XB77" s="188"/>
      <c r="XC77" s="187"/>
      <c r="XI77" s="188"/>
      <c r="XJ77" s="187"/>
      <c r="XP77" s="188"/>
      <c r="XQ77" s="187"/>
      <c r="XT77" s="168"/>
      <c r="XU77" s="189"/>
      <c r="XW77" s="188"/>
      <c r="XX77" s="187"/>
      <c r="YD77" s="188"/>
      <c r="YE77" s="187"/>
      <c r="YK77" s="188"/>
      <c r="YL77" s="187"/>
      <c r="YR77" s="188"/>
      <c r="YS77" s="187"/>
      <c r="YY77" s="168"/>
      <c r="YZ77" s="189"/>
      <c r="ZF77" s="188"/>
      <c r="ZG77" s="187"/>
      <c r="ZM77" s="188"/>
      <c r="ZN77" s="187"/>
      <c r="ZT77" s="188"/>
      <c r="ZU77" s="187"/>
      <c r="AAA77" s="188"/>
      <c r="AAB77" s="187"/>
      <c r="AAC77" s="168"/>
      <c r="AAD77" s="189"/>
      <c r="AAH77" s="188"/>
      <c r="AAI77" s="187"/>
      <c r="AAO77" s="188"/>
      <c r="AAP77" s="187"/>
      <c r="AAV77" s="188"/>
      <c r="AAW77" s="187"/>
      <c r="ABC77" s="188"/>
      <c r="ABD77" s="187"/>
      <c r="ABH77" s="168"/>
      <c r="ABI77" s="189"/>
      <c r="ABJ77" s="188"/>
      <c r="ABK77" s="187"/>
      <c r="ABQ77" s="188"/>
      <c r="ABR77" s="187"/>
      <c r="ABX77" s="188"/>
      <c r="ABY77" s="187"/>
      <c r="ACE77" s="188"/>
      <c r="ACF77" s="187"/>
      <c r="ACL77" s="188"/>
      <c r="ACM77" s="190"/>
      <c r="ACN77" s="189"/>
      <c r="ACS77" s="188"/>
      <c r="ACT77" s="187"/>
      <c r="ACZ77" s="188"/>
      <c r="ADA77" s="187"/>
      <c r="ADG77" s="188"/>
      <c r="ADH77" s="187"/>
      <c r="ADN77" s="188"/>
      <c r="ADO77" s="190"/>
      <c r="ADP77" s="189"/>
      <c r="ADU77" s="188"/>
      <c r="ADV77" s="187"/>
      <c r="AEB77" s="188"/>
      <c r="AEC77" s="187"/>
      <c r="AEI77" s="188"/>
      <c r="AEJ77" s="187"/>
      <c r="AEP77" s="188"/>
      <c r="AEQ77" s="187"/>
      <c r="AET77" s="168"/>
      <c r="AEU77" s="189"/>
      <c r="AEW77" s="188"/>
      <c r="AEX77" s="187"/>
      <c r="AFD77" s="188"/>
      <c r="AFE77" s="187"/>
      <c r="AFK77" s="188"/>
      <c r="AFL77" s="187"/>
      <c r="AFR77" s="188"/>
      <c r="AFS77" s="187"/>
      <c r="AFX77" s="168"/>
      <c r="AFY77" s="191"/>
      <c r="AFZ77" s="187"/>
      <c r="AGF77" s="188"/>
      <c r="AGG77" s="187"/>
      <c r="AGM77" s="188"/>
      <c r="AGN77" s="187"/>
      <c r="AGT77" s="188"/>
      <c r="AGU77" s="187"/>
      <c r="AHA77" s="188"/>
      <c r="AHB77" s="187"/>
      <c r="AHC77" s="168"/>
      <c r="AHD77" s="189"/>
      <c r="AHH77" s="188"/>
      <c r="AHI77" s="187"/>
      <c r="AHO77" s="188"/>
      <c r="AHP77" s="187"/>
      <c r="AHV77" s="188"/>
      <c r="AHW77" s="187"/>
      <c r="AIC77" s="188"/>
      <c r="AID77" s="187"/>
      <c r="AIG77" s="168"/>
      <c r="AIH77" s="189"/>
      <c r="AIJ77" s="188"/>
      <c r="AIK77" s="187"/>
      <c r="AIQ77" s="188"/>
      <c r="AIR77" s="187"/>
      <c r="AIX77" s="188"/>
      <c r="AIY77" s="187"/>
      <c r="AJE77" s="188"/>
      <c r="AJF77" s="187"/>
      <c r="AJL77" s="168"/>
      <c r="AJM77" s="189"/>
      <c r="AJS77" s="188"/>
      <c r="AJT77" s="187"/>
      <c r="AJZ77" s="188"/>
      <c r="AKA77" s="187"/>
      <c r="AKG77" s="188"/>
      <c r="AKH77" s="187"/>
      <c r="AKN77" s="188"/>
      <c r="AKO77" s="187"/>
      <c r="AKQ77" s="168"/>
      <c r="AKR77" s="189"/>
      <c r="AKU77" s="188"/>
      <c r="AKV77" s="187"/>
      <c r="ALB77" s="188"/>
      <c r="ALC77" s="187"/>
      <c r="ALI77" s="188"/>
      <c r="ALJ77" s="187"/>
      <c r="ALP77" s="188"/>
      <c r="ALQ77" s="187"/>
      <c r="ALU77" s="168"/>
      <c r="ALV77" s="189"/>
      <c r="ALW77" s="188"/>
      <c r="ALX77" s="187"/>
      <c r="AMD77" s="188"/>
      <c r="AME77" s="187"/>
      <c r="AMK77" s="188"/>
      <c r="AML77" s="187"/>
      <c r="AMR77" s="188"/>
      <c r="AMS77" s="187"/>
      <c r="AMY77" s="188"/>
      <c r="AMZ77" s="190"/>
      <c r="ANA77" s="189"/>
      <c r="ANF77" s="188"/>
      <c r="ANG77" s="187"/>
      <c r="ANM77" s="188"/>
      <c r="ANN77" s="187"/>
      <c r="ANT77" s="188"/>
      <c r="ANU77" s="187"/>
      <c r="AOA77" s="188"/>
      <c r="AOB77" s="187"/>
      <c r="AOD77" s="168"/>
      <c r="AOE77" s="189"/>
      <c r="AOH77" s="188"/>
      <c r="AOI77" s="187"/>
      <c r="AOO77" s="188"/>
      <c r="AOP77" s="187"/>
      <c r="AOV77" s="188"/>
      <c r="AOW77" s="187"/>
      <c r="APC77" s="188"/>
      <c r="APD77" s="187"/>
      <c r="API77" s="168"/>
      <c r="APJ77" s="191"/>
      <c r="APK77" s="187"/>
      <c r="APQ77" s="188"/>
      <c r="APR77" s="187"/>
      <c r="APX77" s="188"/>
      <c r="APY77" s="187"/>
      <c r="AQE77" s="188"/>
      <c r="AQF77" s="187"/>
      <c r="AQL77" s="188"/>
      <c r="AQM77" s="187"/>
      <c r="AQN77" s="168"/>
      <c r="AQO77" s="189"/>
      <c r="AQS77" s="188"/>
      <c r="AQT77" s="187"/>
      <c r="AQZ77" s="188"/>
      <c r="ARA77" s="187"/>
      <c r="ARG77" s="188"/>
      <c r="ARH77" s="187"/>
      <c r="ARN77" s="188"/>
      <c r="ARO77" s="187"/>
      <c r="ARP77" s="168"/>
      <c r="ARQ77" s="189"/>
      <c r="ARU77" s="188"/>
      <c r="ARV77" s="187"/>
      <c r="ASB77" s="188"/>
      <c r="ASC77" s="187"/>
      <c r="ASI77" s="188"/>
      <c r="ASJ77" s="187"/>
      <c r="ASP77" s="188"/>
      <c r="ASQ77" s="187"/>
      <c r="ASU77" s="168"/>
      <c r="ASV77" s="189"/>
      <c r="ASW77" s="188"/>
      <c r="ASX77" s="187"/>
      <c r="ATD77" s="188"/>
      <c r="ATE77" s="187"/>
      <c r="ATK77" s="188"/>
      <c r="ATL77" s="187"/>
      <c r="ATR77" s="188"/>
      <c r="ATS77" s="187"/>
      <c r="ATY77" s="168"/>
      <c r="ATZ77" s="189"/>
      <c r="AUF77" s="188"/>
      <c r="AUG77" s="187"/>
      <c r="AUM77" s="188"/>
      <c r="AUN77" s="187"/>
      <c r="AUT77" s="188"/>
      <c r="AUU77" s="187"/>
      <c r="AVA77" s="188"/>
      <c r="AVB77" s="187"/>
      <c r="AVD77" s="168"/>
      <c r="AVE77" s="189"/>
      <c r="AVH77" s="188"/>
      <c r="AVI77" s="187"/>
      <c r="AVO77" s="188"/>
      <c r="AVP77" s="187"/>
      <c r="AVV77" s="188"/>
      <c r="AVW77" s="187"/>
      <c r="AWC77" s="188"/>
      <c r="AWD77" s="187"/>
      <c r="AWH77" s="168"/>
      <c r="AWI77" s="189"/>
      <c r="AWJ77" s="188"/>
      <c r="AWK77" s="187"/>
      <c r="AWQ77" s="188"/>
      <c r="AWR77" s="187"/>
      <c r="AWX77" s="188"/>
      <c r="AWY77" s="187"/>
      <c r="AXE77" s="188"/>
      <c r="AXF77" s="187"/>
      <c r="AXL77" s="188"/>
      <c r="AXM77" s="190"/>
      <c r="AXN77" s="189"/>
      <c r="AXS77" s="188"/>
      <c r="AXT77" s="187"/>
      <c r="AXZ77" s="188"/>
      <c r="AYA77" s="187"/>
      <c r="AYG77" s="188"/>
      <c r="AYH77" s="187"/>
      <c r="AYN77" s="188"/>
      <c r="AYO77" s="187"/>
      <c r="AYR77" s="168"/>
      <c r="AYS77" s="189"/>
      <c r="AYU77" s="188"/>
      <c r="AYV77" s="187"/>
      <c r="AZB77" s="188"/>
      <c r="AZC77" s="187"/>
      <c r="AZI77" s="188"/>
      <c r="AZJ77" s="187"/>
      <c r="AZP77" s="188"/>
      <c r="AZQ77" s="187"/>
      <c r="AZV77" s="168"/>
      <c r="AZW77" s="191"/>
      <c r="AZX77" s="187"/>
      <c r="BAD77" s="188"/>
      <c r="BAE77" s="187"/>
      <c r="BAK77" s="188"/>
      <c r="BAL77" s="187"/>
      <c r="BAR77" s="188"/>
      <c r="BAS77" s="187"/>
      <c r="BAY77" s="188"/>
      <c r="BAZ77" s="187"/>
      <c r="BBA77" s="168"/>
      <c r="BBB77" s="189"/>
      <c r="BBF77" s="188"/>
      <c r="BBG77" s="187"/>
      <c r="BBM77" s="188"/>
      <c r="BBN77" s="187"/>
      <c r="BBT77" s="188"/>
      <c r="BBU77" s="187"/>
      <c r="BCA77" s="188"/>
      <c r="BCB77" s="187"/>
      <c r="BCE77" s="168"/>
      <c r="BCF77" s="189"/>
      <c r="BCH77" s="188"/>
      <c r="BCI77" s="187"/>
      <c r="BCO77" s="188"/>
      <c r="BCP77" s="187"/>
      <c r="BCV77" s="188"/>
      <c r="BCW77" s="187"/>
      <c r="BDC77" s="188"/>
      <c r="BDD77" s="187"/>
      <c r="BDJ77" s="168"/>
      <c r="BDK77" s="189"/>
      <c r="BDQ77" s="188"/>
      <c r="BDR77" s="187"/>
      <c r="BDX77" s="188"/>
      <c r="BDY77" s="187"/>
      <c r="BEE77" s="188"/>
      <c r="BEF77" s="187"/>
      <c r="BEL77" s="188"/>
      <c r="BEM77" s="187"/>
      <c r="BEO77" s="168"/>
      <c r="BEP77" s="189"/>
      <c r="BES77" s="188"/>
      <c r="BET77" s="187"/>
      <c r="BEZ77" s="188"/>
      <c r="BFA77" s="187"/>
      <c r="BFG77" s="188"/>
      <c r="BFH77" s="187"/>
      <c r="BFN77" s="188"/>
      <c r="BFO77" s="187"/>
      <c r="BFQ77" s="168"/>
      <c r="BFR77" s="189"/>
      <c r="BFU77" s="188"/>
      <c r="BFV77" s="187"/>
      <c r="BGB77" s="188"/>
      <c r="BGC77" s="187"/>
      <c r="BGI77" s="188"/>
      <c r="BGJ77" s="187"/>
      <c r="BGP77" s="188"/>
      <c r="BGQ77" s="187"/>
      <c r="BGV77" s="168"/>
      <c r="BGW77" s="191"/>
      <c r="BGX77" s="187"/>
      <c r="BHD77" s="188"/>
      <c r="BHE77" s="187"/>
      <c r="BHK77" s="188"/>
      <c r="BHL77" s="187"/>
      <c r="BHR77" s="188"/>
      <c r="BHS77" s="187"/>
      <c r="BHY77" s="188"/>
      <c r="BHZ77" s="190"/>
      <c r="BIA77" s="189"/>
      <c r="BIF77" s="188"/>
      <c r="BIG77" s="187"/>
      <c r="BIM77" s="188"/>
      <c r="BIN77" s="187"/>
      <c r="BIT77" s="188"/>
      <c r="BIU77" s="187"/>
      <c r="BJA77" s="188"/>
      <c r="BJB77" s="187"/>
      <c r="BJE77" s="168"/>
      <c r="BJF77" s="189"/>
      <c r="BJH77" s="188"/>
      <c r="BJI77" s="187"/>
      <c r="BJO77" s="188"/>
      <c r="BJP77" s="187"/>
      <c r="BJV77" s="188"/>
      <c r="BJW77" s="187"/>
      <c r="BKC77" s="188"/>
      <c r="BKD77" s="187"/>
      <c r="BKI77" s="168"/>
      <c r="BKJ77" s="191"/>
      <c r="BKK77" s="187"/>
      <c r="BKQ77" s="188"/>
      <c r="BKR77" s="187"/>
      <c r="BKX77" s="188"/>
      <c r="BKY77" s="187"/>
      <c r="BLE77" s="188"/>
      <c r="BLF77" s="187"/>
      <c r="BLL77" s="188"/>
      <c r="BLM77" s="187"/>
      <c r="BLN77" s="168"/>
      <c r="BLO77" s="189"/>
      <c r="BLS77" s="188"/>
      <c r="BLT77" s="187"/>
      <c r="BLZ77" s="188"/>
      <c r="BMA77" s="187"/>
      <c r="BMG77" s="188"/>
      <c r="BMH77" s="187"/>
      <c r="BMN77" s="188"/>
      <c r="BMO77" s="187"/>
      <c r="BMS77" s="168"/>
      <c r="BMT77" s="189"/>
      <c r="BMU77" s="188"/>
      <c r="BMV77" s="187"/>
      <c r="BNB77" s="188"/>
      <c r="BNC77" s="187"/>
      <c r="BNI77" s="188"/>
      <c r="BNJ77" s="187"/>
      <c r="BNP77" s="188"/>
      <c r="BNQ77" s="187"/>
      <c r="BNW77" s="168"/>
      <c r="BNX77" s="189"/>
      <c r="BOD77" s="188"/>
      <c r="BOE77" s="187"/>
      <c r="BOK77" s="188"/>
      <c r="BOL77" s="187"/>
      <c r="BOR77" s="188"/>
      <c r="BOS77" s="187"/>
      <c r="BOY77" s="188"/>
      <c r="BOZ77" s="187"/>
      <c r="BPB77" s="168"/>
      <c r="BPC77" s="189"/>
      <c r="BPF77" s="188"/>
      <c r="BPG77" s="187"/>
      <c r="BPM77" s="188"/>
      <c r="BPN77" s="187"/>
      <c r="BPT77" s="188"/>
      <c r="BPU77" s="187"/>
      <c r="BQA77" s="188"/>
      <c r="BQB77" s="187"/>
      <c r="BQF77" s="168"/>
      <c r="BQG77" s="189"/>
      <c r="BQH77" s="188"/>
      <c r="BQI77" s="187"/>
      <c r="BQO77" s="188"/>
      <c r="BQP77" s="187"/>
      <c r="BQV77" s="188"/>
      <c r="BQW77" s="187"/>
      <c r="BRC77" s="188"/>
      <c r="BRD77" s="187"/>
      <c r="BRJ77" s="188"/>
      <c r="BRK77" s="190"/>
      <c r="BRL77" s="189"/>
      <c r="BRQ77" s="188"/>
      <c r="BRR77" s="187"/>
      <c r="BRX77" s="188"/>
      <c r="BRY77" s="187"/>
      <c r="BSE77" s="188"/>
      <c r="BSF77" s="187"/>
      <c r="BSL77" s="188"/>
      <c r="BSM77" s="187"/>
      <c r="BSP77" s="168"/>
      <c r="BSQ77" s="189"/>
      <c r="BSS77" s="188"/>
      <c r="BST77" s="187"/>
      <c r="BSZ77" s="188"/>
      <c r="BTA77" s="187"/>
      <c r="BTG77" s="188"/>
      <c r="BTH77" s="187"/>
      <c r="BTN77" s="188"/>
      <c r="BTO77" s="187"/>
      <c r="BTS77" s="168"/>
      <c r="BTT77" s="189"/>
      <c r="BTU77" s="188"/>
      <c r="BTV77" s="187"/>
      <c r="BUB77" s="188"/>
      <c r="BUC77" s="187"/>
      <c r="BUI77" s="188"/>
      <c r="BUJ77" s="187"/>
      <c r="BUP77" s="188"/>
      <c r="BUQ77" s="187"/>
      <c r="BUW77" s="188"/>
      <c r="BUX77" s="190"/>
      <c r="BUY77" s="189"/>
      <c r="BVD77" s="188"/>
      <c r="BVE77" s="187"/>
      <c r="BVK77" s="188"/>
      <c r="BVL77" s="187"/>
      <c r="BVR77" s="188"/>
      <c r="BVS77" s="187"/>
      <c r="BVY77" s="188"/>
      <c r="BVZ77" s="187"/>
      <c r="BWB77" s="168"/>
      <c r="BWC77" s="189"/>
      <c r="BWF77" s="188"/>
      <c r="BWG77" s="187"/>
      <c r="BWM77" s="188"/>
      <c r="BWN77" s="187"/>
      <c r="BWT77" s="188"/>
      <c r="BWU77" s="187"/>
      <c r="BXA77" s="188"/>
      <c r="BXB77" s="187"/>
      <c r="BXG77" s="168"/>
      <c r="BXH77" s="191"/>
      <c r="BXI77" s="187"/>
      <c r="BXO77" s="188"/>
      <c r="BXP77" s="187"/>
      <c r="BXV77" s="188"/>
      <c r="BXW77" s="187"/>
      <c r="BYC77" s="188"/>
      <c r="BYD77" s="187"/>
      <c r="BYJ77" s="188"/>
      <c r="BYK77" s="190"/>
      <c r="BYL77" s="189"/>
      <c r="BYQ77" s="188"/>
      <c r="BYR77" s="187"/>
      <c r="BYX77" s="188"/>
      <c r="BYY77" s="187"/>
      <c r="BZE77" s="188"/>
      <c r="BZF77" s="187"/>
      <c r="BZL77" s="188"/>
      <c r="BZM77" s="187"/>
      <c r="BZP77" s="168"/>
      <c r="BZQ77" s="189"/>
      <c r="BZS77" s="188"/>
      <c r="BZT77" s="187"/>
      <c r="BZZ77" s="188"/>
      <c r="CAA77" s="187"/>
      <c r="CAG77" s="188"/>
      <c r="CAH77" s="187"/>
      <c r="CAN77" s="188"/>
      <c r="CAO77" s="187"/>
      <c r="CAU77" s="168"/>
      <c r="CAV77" s="189"/>
      <c r="CBB77" s="188"/>
      <c r="CBC77" s="187"/>
      <c r="CBI77" s="188"/>
      <c r="CBJ77" s="187"/>
      <c r="CBP77" s="188"/>
      <c r="CBQ77" s="187"/>
      <c r="CBW77" s="188"/>
      <c r="CBX77" s="187"/>
      <c r="CBY77" s="168"/>
      <c r="CBZ77" s="189"/>
      <c r="CCD77" s="188"/>
      <c r="CCE77" s="187"/>
      <c r="CCK77" s="188"/>
      <c r="CCL77" s="187"/>
      <c r="CCR77" s="188"/>
      <c r="CCS77" s="187"/>
      <c r="CCY77" s="188"/>
      <c r="CCZ77" s="187"/>
      <c r="CDD77" s="168"/>
      <c r="CDE77" s="189"/>
      <c r="CDF77" s="188"/>
      <c r="CDG77" s="187"/>
      <c r="CDM77" s="188"/>
      <c r="CDN77" s="187"/>
      <c r="CDT77" s="188"/>
      <c r="CDU77" s="187"/>
      <c r="CEA77" s="188"/>
      <c r="CEB77" s="187"/>
      <c r="CEH77" s="168"/>
      <c r="CEI77" s="189"/>
      <c r="CEO77" s="188"/>
      <c r="CEP77" s="187"/>
      <c r="CEV77" s="188"/>
      <c r="CEW77" s="187"/>
      <c r="CFC77" s="188"/>
      <c r="CFD77" s="187"/>
      <c r="CFJ77" s="188"/>
      <c r="CFK77" s="187"/>
    </row>
    <row r="78" spans="1:1019 1025:2048 2054:2195">
      <c r="A78" s="164" t="s">
        <v>349</v>
      </c>
      <c r="D78" s="186"/>
      <c r="E78" s="186"/>
      <c r="K78" s="187"/>
      <c r="Q78" s="188"/>
      <c r="R78" s="187"/>
      <c r="X78" s="188"/>
      <c r="Y78" s="187"/>
      <c r="AE78" s="188"/>
      <c r="AF78" s="187"/>
      <c r="AJ78" s="168"/>
      <c r="AK78" s="189"/>
      <c r="AL78" s="188"/>
      <c r="AM78" s="187"/>
      <c r="AS78" s="188"/>
      <c r="AT78" s="187"/>
      <c r="AZ78" s="188"/>
      <c r="BA78" s="187"/>
      <c r="BG78" s="188"/>
      <c r="BH78" s="187"/>
      <c r="BL78" s="168"/>
      <c r="BM78" s="189"/>
      <c r="BN78" s="188"/>
      <c r="BO78" s="187"/>
      <c r="BU78" s="188"/>
      <c r="BV78" s="187"/>
      <c r="CB78" s="188"/>
      <c r="CC78" s="187"/>
      <c r="CI78" s="188"/>
      <c r="CJ78" s="187"/>
      <c r="CP78" s="188"/>
      <c r="CQ78" s="190"/>
      <c r="CR78" s="189"/>
      <c r="CW78" s="188"/>
      <c r="CX78" s="187"/>
      <c r="DD78" s="188"/>
      <c r="DE78" s="187"/>
      <c r="DK78" s="188"/>
      <c r="DL78" s="187"/>
      <c r="DR78" s="188"/>
      <c r="DS78" s="187"/>
      <c r="DU78" s="168"/>
      <c r="DV78" s="189"/>
      <c r="DY78" s="188"/>
      <c r="DZ78" s="187"/>
      <c r="EF78" s="188"/>
      <c r="EG78" s="187"/>
      <c r="EM78" s="188"/>
      <c r="EN78" s="187"/>
      <c r="ET78" s="188"/>
      <c r="EU78" s="187"/>
      <c r="EZ78" s="168"/>
      <c r="FA78" s="191"/>
      <c r="FB78" s="187"/>
      <c r="FH78" s="188"/>
      <c r="FI78" s="187"/>
      <c r="FO78" s="188"/>
      <c r="FP78" s="187"/>
      <c r="FV78" s="188"/>
      <c r="FW78" s="187"/>
      <c r="GC78" s="188"/>
      <c r="GD78" s="190"/>
      <c r="GE78" s="189"/>
      <c r="GJ78" s="188"/>
      <c r="GK78" s="187"/>
      <c r="GQ78" s="188"/>
      <c r="GR78" s="187"/>
      <c r="GX78" s="188"/>
      <c r="GY78" s="187"/>
      <c r="HE78" s="188"/>
      <c r="HF78" s="187"/>
      <c r="HI78" s="168"/>
      <c r="HJ78" s="189"/>
      <c r="HL78" s="188"/>
      <c r="HM78" s="187"/>
      <c r="HS78" s="188"/>
      <c r="HT78" s="187"/>
      <c r="HZ78" s="188"/>
      <c r="IA78" s="187"/>
      <c r="IG78" s="188"/>
      <c r="IH78" s="187"/>
      <c r="IN78" s="168"/>
      <c r="IO78" s="189"/>
      <c r="IU78" s="188"/>
      <c r="IV78" s="187"/>
      <c r="JB78" s="188"/>
      <c r="JC78" s="187"/>
      <c r="JI78" s="188"/>
      <c r="JJ78" s="187"/>
      <c r="JP78" s="188"/>
      <c r="JQ78" s="187"/>
      <c r="JR78" s="168"/>
      <c r="JS78" s="189"/>
      <c r="JW78" s="188"/>
      <c r="JX78" s="187"/>
      <c r="KD78" s="188"/>
      <c r="KE78" s="187"/>
      <c r="KK78" s="188"/>
      <c r="KL78" s="187"/>
      <c r="KR78" s="188"/>
      <c r="KS78" s="187"/>
      <c r="KW78" s="168"/>
      <c r="KX78" s="189"/>
      <c r="KY78" s="188"/>
      <c r="KZ78" s="187"/>
      <c r="LF78" s="188"/>
      <c r="LG78" s="187"/>
      <c r="LM78" s="188"/>
      <c r="LN78" s="187"/>
      <c r="LT78" s="188"/>
      <c r="LU78" s="187"/>
      <c r="MA78" s="168"/>
      <c r="MB78" s="189"/>
      <c r="MH78" s="188"/>
      <c r="MI78" s="187"/>
      <c r="MO78" s="188"/>
      <c r="MP78" s="187"/>
      <c r="MV78" s="188"/>
      <c r="MW78" s="187"/>
      <c r="NC78" s="188"/>
      <c r="ND78" s="187"/>
      <c r="NF78" s="168"/>
      <c r="NG78" s="189"/>
      <c r="NJ78" s="188"/>
      <c r="NK78" s="187"/>
      <c r="NQ78" s="188"/>
      <c r="NR78" s="187"/>
      <c r="NX78" s="188"/>
      <c r="NY78" s="187"/>
      <c r="OE78" s="188"/>
      <c r="OF78" s="187"/>
      <c r="OK78" s="168"/>
      <c r="OL78" s="191"/>
      <c r="OM78" s="187"/>
      <c r="OS78" s="188"/>
      <c r="OT78" s="187"/>
      <c r="OZ78" s="188"/>
      <c r="PA78" s="187"/>
      <c r="PG78" s="188"/>
      <c r="PH78" s="187"/>
      <c r="PN78" s="168"/>
      <c r="PO78" s="189"/>
      <c r="PU78" s="188"/>
      <c r="PV78" s="187"/>
      <c r="QB78" s="188"/>
      <c r="QC78" s="187"/>
      <c r="QI78" s="188"/>
      <c r="QJ78" s="187"/>
      <c r="QP78" s="188"/>
      <c r="QQ78" s="187"/>
      <c r="QS78" s="168"/>
      <c r="QT78" s="189"/>
      <c r="QW78" s="188"/>
      <c r="QX78" s="187"/>
      <c r="RD78" s="188"/>
      <c r="RE78" s="187"/>
      <c r="RK78" s="188"/>
      <c r="RL78" s="187"/>
      <c r="RR78" s="188"/>
      <c r="RS78" s="187"/>
      <c r="RW78" s="168"/>
      <c r="RX78" s="189"/>
      <c r="RY78" s="188"/>
      <c r="RZ78" s="187"/>
      <c r="SF78" s="188"/>
      <c r="SG78" s="187"/>
      <c r="SM78" s="188"/>
      <c r="SN78" s="187"/>
      <c r="ST78" s="188"/>
      <c r="SU78" s="187"/>
      <c r="TA78" s="188"/>
      <c r="TB78" s="190"/>
      <c r="TC78" s="189"/>
      <c r="TH78" s="188"/>
      <c r="TI78" s="187"/>
      <c r="TO78" s="188"/>
      <c r="TP78" s="187"/>
      <c r="TV78" s="188"/>
      <c r="TW78" s="187"/>
      <c r="UC78" s="188"/>
      <c r="UD78" s="187"/>
      <c r="UF78" s="168"/>
      <c r="UG78" s="189"/>
      <c r="UJ78" s="188"/>
      <c r="UK78" s="187"/>
      <c r="UQ78" s="188"/>
      <c r="UR78" s="187"/>
      <c r="UX78" s="188"/>
      <c r="UY78" s="187"/>
      <c r="VE78" s="188"/>
      <c r="VF78" s="187"/>
      <c r="VK78" s="168"/>
      <c r="VL78" s="191"/>
      <c r="VM78" s="187"/>
      <c r="VS78" s="188"/>
      <c r="VT78" s="187"/>
      <c r="VZ78" s="188"/>
      <c r="WA78" s="187"/>
      <c r="WG78" s="188"/>
      <c r="WH78" s="187"/>
      <c r="WN78" s="188"/>
      <c r="WO78" s="187"/>
      <c r="WP78" s="168"/>
      <c r="WQ78" s="189"/>
      <c r="WU78" s="188"/>
      <c r="WV78" s="187"/>
      <c r="XB78" s="188"/>
      <c r="XC78" s="187"/>
      <c r="XI78" s="188"/>
      <c r="XJ78" s="187"/>
      <c r="XP78" s="188"/>
      <c r="XQ78" s="187"/>
      <c r="XT78" s="168"/>
      <c r="XU78" s="189"/>
      <c r="XW78" s="188"/>
      <c r="XX78" s="187"/>
      <c r="YD78" s="188"/>
      <c r="YE78" s="187"/>
      <c r="YK78" s="188"/>
      <c r="YL78" s="187"/>
      <c r="YR78" s="188"/>
      <c r="YS78" s="187"/>
      <c r="YY78" s="168"/>
      <c r="YZ78" s="189"/>
      <c r="ZF78" s="188"/>
      <c r="ZG78" s="187"/>
      <c r="ZM78" s="188"/>
      <c r="ZN78" s="187"/>
      <c r="ZT78" s="188"/>
      <c r="ZU78" s="187"/>
      <c r="AAA78" s="188"/>
      <c r="AAB78" s="187"/>
      <c r="AAC78" s="168"/>
      <c r="AAD78" s="189"/>
      <c r="AAH78" s="188"/>
      <c r="AAI78" s="187"/>
      <c r="AAO78" s="188"/>
      <c r="AAP78" s="187"/>
      <c r="AAV78" s="188"/>
      <c r="AAW78" s="187"/>
      <c r="ABC78" s="188"/>
      <c r="ABD78" s="187"/>
      <c r="ABH78" s="168"/>
      <c r="ABI78" s="189"/>
      <c r="ABJ78" s="188"/>
      <c r="ABK78" s="187"/>
      <c r="ABQ78" s="188"/>
      <c r="ABR78" s="187"/>
      <c r="ABX78" s="188"/>
      <c r="ABY78" s="187"/>
      <c r="ACE78" s="188"/>
      <c r="ACF78" s="187"/>
      <c r="ACL78" s="188"/>
      <c r="ACM78" s="190"/>
      <c r="ACN78" s="189"/>
      <c r="ACS78" s="188"/>
      <c r="ACT78" s="187"/>
      <c r="ACZ78" s="188"/>
      <c r="ADA78" s="187"/>
      <c r="ADG78" s="188"/>
      <c r="ADH78" s="187"/>
      <c r="ADN78" s="188"/>
      <c r="ADO78" s="190"/>
      <c r="ADP78" s="189"/>
      <c r="ADU78" s="188"/>
      <c r="ADV78" s="187"/>
      <c r="AEB78" s="188"/>
      <c r="AEC78" s="187"/>
      <c r="AEI78" s="188"/>
      <c r="AEJ78" s="187"/>
      <c r="AEP78" s="188"/>
      <c r="AEQ78" s="187"/>
      <c r="AET78" s="168"/>
      <c r="AEU78" s="189"/>
      <c r="AEW78" s="188"/>
      <c r="AEX78" s="187"/>
      <c r="AFD78" s="188"/>
      <c r="AFE78" s="187"/>
      <c r="AFK78" s="188"/>
      <c r="AFL78" s="187"/>
      <c r="AFR78" s="188"/>
      <c r="AFS78" s="187"/>
      <c r="AFX78" s="168"/>
      <c r="AFY78" s="191"/>
      <c r="AFZ78" s="187"/>
      <c r="AGF78" s="188"/>
      <c r="AGG78" s="187"/>
      <c r="AGM78" s="188"/>
      <c r="AGN78" s="187"/>
      <c r="AGT78" s="188"/>
      <c r="AGU78" s="187"/>
      <c r="AHA78" s="188"/>
      <c r="AHB78" s="187"/>
      <c r="AHC78" s="168"/>
      <c r="AHD78" s="189"/>
      <c r="AHH78" s="188"/>
      <c r="AHI78" s="187"/>
      <c r="AHO78" s="188"/>
      <c r="AHP78" s="187"/>
      <c r="AHV78" s="188"/>
      <c r="AHW78" s="187"/>
      <c r="AIC78" s="188"/>
      <c r="AID78" s="187"/>
      <c r="AIG78" s="168"/>
      <c r="AIH78" s="189"/>
      <c r="AIJ78" s="188"/>
      <c r="AIK78" s="187"/>
      <c r="AIQ78" s="188"/>
      <c r="AIR78" s="187"/>
      <c r="AIX78" s="188"/>
      <c r="AIY78" s="187"/>
      <c r="AJE78" s="188"/>
      <c r="AJF78" s="187"/>
      <c r="AJL78" s="168"/>
      <c r="AJM78" s="189"/>
      <c r="AJS78" s="188"/>
      <c r="AJT78" s="187"/>
      <c r="AJZ78" s="188"/>
      <c r="AKA78" s="187"/>
      <c r="AKG78" s="188"/>
      <c r="AKH78" s="187"/>
      <c r="AKN78" s="188"/>
      <c r="AKO78" s="187"/>
      <c r="AKQ78" s="168"/>
      <c r="AKR78" s="189"/>
      <c r="AKU78" s="188"/>
      <c r="AKV78" s="187"/>
      <c r="ALB78" s="188"/>
      <c r="ALC78" s="187"/>
      <c r="ALI78" s="188"/>
      <c r="ALJ78" s="187"/>
      <c r="ALP78" s="188"/>
      <c r="ALQ78" s="187"/>
      <c r="ALU78" s="168"/>
      <c r="ALV78" s="189"/>
      <c r="ALW78" s="188"/>
      <c r="ALX78" s="187"/>
      <c r="AMD78" s="188"/>
      <c r="AME78" s="187"/>
      <c r="AMK78" s="188"/>
      <c r="AML78" s="187"/>
      <c r="AMR78" s="188"/>
      <c r="AMS78" s="187"/>
      <c r="AMY78" s="188"/>
      <c r="AMZ78" s="190"/>
      <c r="ANA78" s="189"/>
      <c r="ANF78" s="188"/>
      <c r="ANG78" s="187"/>
      <c r="ANM78" s="188"/>
      <c r="ANN78" s="187"/>
      <c r="ANT78" s="188"/>
      <c r="ANU78" s="187"/>
      <c r="AOA78" s="188"/>
      <c r="AOB78" s="187"/>
      <c r="AOD78" s="168"/>
      <c r="AOE78" s="189"/>
      <c r="AOH78" s="188"/>
      <c r="AOI78" s="187"/>
      <c r="AOO78" s="188"/>
      <c r="AOP78" s="187"/>
      <c r="AOV78" s="188"/>
      <c r="AOW78" s="187"/>
      <c r="APC78" s="188"/>
      <c r="APD78" s="187"/>
      <c r="API78" s="168"/>
      <c r="APJ78" s="191"/>
      <c r="APK78" s="187"/>
      <c r="APQ78" s="188"/>
      <c r="APR78" s="187"/>
      <c r="APX78" s="188"/>
      <c r="APY78" s="187"/>
      <c r="AQE78" s="188"/>
      <c r="AQF78" s="187"/>
      <c r="AQL78" s="188"/>
      <c r="AQM78" s="187"/>
      <c r="AQN78" s="168"/>
      <c r="AQO78" s="189"/>
      <c r="AQS78" s="188"/>
      <c r="AQT78" s="187"/>
      <c r="AQZ78" s="188"/>
      <c r="ARA78" s="187"/>
      <c r="ARG78" s="188"/>
      <c r="ARH78" s="187"/>
      <c r="ARN78" s="188"/>
      <c r="ARO78" s="187"/>
      <c r="ARP78" s="168"/>
      <c r="ARQ78" s="189"/>
      <c r="ARU78" s="188"/>
      <c r="ARV78" s="187"/>
      <c r="ASB78" s="188"/>
      <c r="ASC78" s="187"/>
      <c r="ASI78" s="188"/>
      <c r="ASJ78" s="187"/>
      <c r="ASP78" s="188"/>
      <c r="ASQ78" s="187"/>
      <c r="ASU78" s="168"/>
      <c r="ASV78" s="189"/>
      <c r="ASW78" s="188"/>
      <c r="ASX78" s="187"/>
      <c r="ATD78" s="188"/>
      <c r="ATE78" s="187"/>
      <c r="ATK78" s="188"/>
      <c r="ATL78" s="187"/>
      <c r="ATR78" s="188"/>
      <c r="ATS78" s="187"/>
      <c r="ATY78" s="168"/>
      <c r="ATZ78" s="189"/>
      <c r="AUF78" s="188"/>
      <c r="AUG78" s="187"/>
      <c r="AUM78" s="188"/>
      <c r="AUN78" s="187"/>
      <c r="AUT78" s="188"/>
      <c r="AUU78" s="187"/>
      <c r="AVA78" s="188"/>
      <c r="AVB78" s="187"/>
      <c r="AVD78" s="168"/>
      <c r="AVE78" s="189"/>
      <c r="AVH78" s="188"/>
      <c r="AVI78" s="187"/>
      <c r="AVO78" s="188"/>
      <c r="AVP78" s="187"/>
      <c r="AVV78" s="188"/>
      <c r="AVW78" s="187"/>
      <c r="AWC78" s="188"/>
      <c r="AWD78" s="187"/>
      <c r="AWH78" s="168"/>
      <c r="AWI78" s="189"/>
      <c r="AWJ78" s="188"/>
      <c r="AWK78" s="187"/>
      <c r="AWQ78" s="188"/>
      <c r="AWR78" s="187"/>
      <c r="AWX78" s="188"/>
      <c r="AWY78" s="187"/>
      <c r="AXE78" s="188"/>
      <c r="AXF78" s="187"/>
      <c r="AXL78" s="188"/>
      <c r="AXM78" s="190"/>
      <c r="AXN78" s="189"/>
      <c r="AXS78" s="188"/>
      <c r="AXT78" s="187"/>
      <c r="AXZ78" s="188"/>
      <c r="AYA78" s="187"/>
      <c r="AYG78" s="188"/>
      <c r="AYH78" s="187"/>
      <c r="AYN78" s="188"/>
      <c r="AYO78" s="187"/>
      <c r="AYR78" s="168"/>
      <c r="AYS78" s="189"/>
      <c r="AYU78" s="188"/>
      <c r="AYV78" s="187"/>
      <c r="AZB78" s="188"/>
      <c r="AZC78" s="187"/>
      <c r="AZI78" s="188"/>
      <c r="AZJ78" s="187"/>
      <c r="AZP78" s="188"/>
      <c r="AZQ78" s="187"/>
      <c r="AZV78" s="168"/>
      <c r="AZW78" s="191"/>
      <c r="AZX78" s="187"/>
      <c r="BAD78" s="188"/>
      <c r="BAE78" s="187"/>
      <c r="BAK78" s="188"/>
      <c r="BAL78" s="187"/>
      <c r="BAR78" s="188"/>
      <c r="BAS78" s="187"/>
      <c r="BAY78" s="188"/>
      <c r="BAZ78" s="187"/>
      <c r="BBA78" s="168"/>
      <c r="BBB78" s="189"/>
      <c r="BBF78" s="188"/>
      <c r="BBG78" s="187"/>
      <c r="BBM78" s="188"/>
      <c r="BBN78" s="187"/>
      <c r="BBT78" s="188"/>
      <c r="BBU78" s="187"/>
      <c r="BCA78" s="188"/>
      <c r="BCB78" s="187"/>
      <c r="BCE78" s="168"/>
      <c r="BCF78" s="189"/>
      <c r="BCH78" s="188"/>
      <c r="BCI78" s="187"/>
      <c r="BCO78" s="188"/>
      <c r="BCP78" s="187"/>
      <c r="BCV78" s="188"/>
      <c r="BCW78" s="187"/>
      <c r="BDC78" s="188"/>
      <c r="BDD78" s="187"/>
      <c r="BDJ78" s="168"/>
      <c r="BDK78" s="189"/>
      <c r="BDQ78" s="188"/>
      <c r="BDR78" s="187"/>
      <c r="BDX78" s="188"/>
      <c r="BDY78" s="187"/>
      <c r="BEE78" s="188"/>
      <c r="BEF78" s="187"/>
      <c r="BEL78" s="188"/>
      <c r="BEM78" s="187"/>
      <c r="BEO78" s="168"/>
      <c r="BEP78" s="189"/>
      <c r="BES78" s="188"/>
      <c r="BET78" s="187"/>
      <c r="BEZ78" s="188"/>
      <c r="BFA78" s="187"/>
      <c r="BFG78" s="188"/>
      <c r="BFH78" s="187"/>
      <c r="BFN78" s="188"/>
      <c r="BFO78" s="187"/>
      <c r="BFQ78" s="168"/>
      <c r="BFR78" s="189"/>
      <c r="BFU78" s="188"/>
      <c r="BFV78" s="187"/>
      <c r="BGB78" s="188"/>
      <c r="BGC78" s="187"/>
      <c r="BGI78" s="188"/>
      <c r="BGJ78" s="187"/>
      <c r="BGP78" s="188"/>
      <c r="BGQ78" s="187"/>
      <c r="BGV78" s="168"/>
      <c r="BGW78" s="191"/>
      <c r="BGX78" s="187"/>
      <c r="BHD78" s="188"/>
      <c r="BHE78" s="187"/>
      <c r="BHK78" s="188"/>
      <c r="BHL78" s="187"/>
      <c r="BHR78" s="188"/>
      <c r="BHS78" s="187"/>
      <c r="BHY78" s="188"/>
      <c r="BHZ78" s="190"/>
      <c r="BIA78" s="189"/>
      <c r="BIF78" s="188"/>
      <c r="BIG78" s="187"/>
      <c r="BIM78" s="188"/>
      <c r="BIN78" s="187"/>
      <c r="BIT78" s="188"/>
      <c r="BIU78" s="187"/>
      <c r="BJA78" s="188"/>
      <c r="BJB78" s="187"/>
      <c r="BJE78" s="168"/>
      <c r="BJF78" s="189"/>
      <c r="BJH78" s="188"/>
      <c r="BJI78" s="187"/>
      <c r="BJO78" s="188"/>
      <c r="BJP78" s="187"/>
      <c r="BJV78" s="188"/>
      <c r="BJW78" s="187"/>
      <c r="BKC78" s="188"/>
      <c r="BKD78" s="187"/>
      <c r="BKI78" s="168"/>
      <c r="BKJ78" s="191"/>
      <c r="BKK78" s="187"/>
      <c r="BKQ78" s="188"/>
      <c r="BKR78" s="187"/>
      <c r="BKX78" s="188"/>
      <c r="BKY78" s="187"/>
      <c r="BLE78" s="188"/>
      <c r="BLF78" s="187"/>
      <c r="BLL78" s="188"/>
      <c r="BLM78" s="187"/>
      <c r="BLN78" s="168"/>
      <c r="BLO78" s="189"/>
      <c r="BLS78" s="188"/>
      <c r="BLT78" s="187"/>
      <c r="BLZ78" s="188"/>
      <c r="BMA78" s="187"/>
      <c r="BMG78" s="188"/>
      <c r="BMH78" s="187"/>
      <c r="BMN78" s="188"/>
      <c r="BMO78" s="187"/>
      <c r="BMS78" s="168"/>
      <c r="BMT78" s="189"/>
      <c r="BMU78" s="188"/>
      <c r="BMV78" s="187"/>
      <c r="BNB78" s="188"/>
      <c r="BNC78" s="187"/>
      <c r="BNI78" s="188"/>
      <c r="BNJ78" s="187"/>
      <c r="BNP78" s="188"/>
      <c r="BNQ78" s="187"/>
      <c r="BNW78" s="168"/>
      <c r="BNX78" s="189"/>
      <c r="BOD78" s="188"/>
      <c r="BOE78" s="187"/>
      <c r="BOK78" s="188"/>
      <c r="BOL78" s="187"/>
      <c r="BOR78" s="188"/>
      <c r="BOS78" s="187"/>
      <c r="BOY78" s="188"/>
      <c r="BOZ78" s="187"/>
      <c r="BPB78" s="168"/>
      <c r="BPC78" s="189"/>
      <c r="BPF78" s="188"/>
      <c r="BPG78" s="187"/>
      <c r="BPM78" s="188"/>
      <c r="BPN78" s="187"/>
      <c r="BPT78" s="188"/>
      <c r="BPU78" s="187"/>
      <c r="BQA78" s="188"/>
      <c r="BQB78" s="187"/>
      <c r="BQF78" s="168"/>
      <c r="BQG78" s="189"/>
      <c r="BQH78" s="188"/>
      <c r="BQI78" s="187"/>
      <c r="BQO78" s="188"/>
      <c r="BQP78" s="187"/>
      <c r="BQV78" s="188"/>
      <c r="BQW78" s="187"/>
      <c r="BRC78" s="188"/>
      <c r="BRD78" s="187"/>
      <c r="BRJ78" s="188"/>
      <c r="BRK78" s="190"/>
      <c r="BRL78" s="189"/>
      <c r="BRQ78" s="188"/>
      <c r="BRR78" s="187"/>
      <c r="BRX78" s="188"/>
      <c r="BRY78" s="187"/>
      <c r="BSE78" s="188"/>
      <c r="BSF78" s="187"/>
      <c r="BSL78" s="188"/>
      <c r="BSM78" s="187"/>
      <c r="BSP78" s="168"/>
      <c r="BSQ78" s="189"/>
      <c r="BSS78" s="188"/>
      <c r="BST78" s="187"/>
      <c r="BSZ78" s="188"/>
      <c r="BTA78" s="187"/>
      <c r="BTG78" s="188"/>
      <c r="BTH78" s="187"/>
      <c r="BTN78" s="188"/>
      <c r="BTO78" s="187"/>
      <c r="BTS78" s="168"/>
      <c r="BTT78" s="189"/>
      <c r="BTU78" s="188"/>
      <c r="BTV78" s="187"/>
      <c r="BUB78" s="188"/>
      <c r="BUC78" s="187"/>
      <c r="BUI78" s="188"/>
      <c r="BUJ78" s="187"/>
      <c r="BUP78" s="188"/>
      <c r="BUQ78" s="187"/>
      <c r="BUW78" s="188"/>
      <c r="BUX78" s="190"/>
      <c r="BUY78" s="189"/>
      <c r="BVD78" s="188"/>
      <c r="BVE78" s="187"/>
      <c r="BVK78" s="188"/>
      <c r="BVL78" s="187"/>
      <c r="BVR78" s="188"/>
      <c r="BVS78" s="187"/>
      <c r="BVY78" s="188"/>
      <c r="BVZ78" s="187"/>
      <c r="BWB78" s="168"/>
      <c r="BWC78" s="189"/>
      <c r="BWF78" s="188"/>
      <c r="BWG78" s="187"/>
      <c r="BWM78" s="188"/>
      <c r="BWN78" s="187"/>
      <c r="BWT78" s="188"/>
      <c r="BWU78" s="187"/>
      <c r="BXA78" s="188"/>
      <c r="BXB78" s="187"/>
      <c r="BXG78" s="168"/>
      <c r="BXH78" s="191"/>
      <c r="BXI78" s="187"/>
      <c r="BXO78" s="188"/>
      <c r="BXP78" s="187"/>
      <c r="BXV78" s="188"/>
      <c r="BXW78" s="187"/>
      <c r="BYC78" s="188"/>
      <c r="BYD78" s="187"/>
      <c r="BYJ78" s="188"/>
      <c r="BYK78" s="190"/>
      <c r="BYL78" s="189"/>
      <c r="BYQ78" s="188"/>
      <c r="BYR78" s="187"/>
      <c r="BYX78" s="188"/>
      <c r="BYY78" s="187"/>
      <c r="BZE78" s="188"/>
      <c r="BZF78" s="187"/>
      <c r="BZL78" s="188"/>
      <c r="BZM78" s="187"/>
      <c r="BZP78" s="168"/>
      <c r="BZQ78" s="189"/>
      <c r="BZS78" s="188"/>
      <c r="BZT78" s="187"/>
      <c r="BZZ78" s="188"/>
      <c r="CAA78" s="187"/>
      <c r="CAG78" s="188"/>
      <c r="CAH78" s="187"/>
      <c r="CAN78" s="188"/>
      <c r="CAO78" s="187"/>
      <c r="CAU78" s="168"/>
      <c r="CAV78" s="189"/>
      <c r="CBB78" s="188"/>
      <c r="CBC78" s="187"/>
      <c r="CBI78" s="188"/>
      <c r="CBJ78" s="187"/>
      <c r="CBP78" s="188"/>
      <c r="CBQ78" s="187"/>
      <c r="CBW78" s="188"/>
      <c r="CBX78" s="187"/>
      <c r="CBY78" s="168"/>
      <c r="CBZ78" s="189"/>
      <c r="CCD78" s="188"/>
      <c r="CCE78" s="187"/>
      <c r="CCK78" s="188"/>
      <c r="CCL78" s="187"/>
      <c r="CCR78" s="188"/>
      <c r="CCS78" s="187"/>
      <c r="CCY78" s="188"/>
      <c r="CCZ78" s="187"/>
      <c r="CDD78" s="168"/>
      <c r="CDE78" s="189"/>
      <c r="CDF78" s="188"/>
      <c r="CDG78" s="187"/>
      <c r="CDM78" s="188"/>
      <c r="CDN78" s="187"/>
      <c r="CDT78" s="188"/>
      <c r="CDU78" s="187"/>
      <c r="CEA78" s="188"/>
      <c r="CEB78" s="187"/>
      <c r="CEH78" s="168"/>
      <c r="CEI78" s="189"/>
      <c r="CEO78" s="188"/>
      <c r="CEP78" s="187"/>
      <c r="CEV78" s="188"/>
      <c r="CEW78" s="187"/>
      <c r="CFC78" s="188"/>
      <c r="CFD78" s="187"/>
      <c r="CFJ78" s="188"/>
      <c r="CFK78" s="187"/>
    </row>
    <row r="79" spans="1:1019 1025:2048 2054:2195">
      <c r="A79" s="164" t="s">
        <v>350</v>
      </c>
      <c r="D79" s="186"/>
      <c r="E79" s="186"/>
      <c r="K79" s="187"/>
      <c r="Q79" s="188"/>
      <c r="R79" s="187"/>
      <c r="X79" s="188"/>
      <c r="Y79" s="187"/>
      <c r="AE79" s="188"/>
      <c r="AF79" s="187"/>
      <c r="AJ79" s="168"/>
      <c r="AK79" s="189"/>
      <c r="AL79" s="188"/>
      <c r="AM79" s="187"/>
      <c r="AS79" s="188"/>
      <c r="AT79" s="187"/>
      <c r="AZ79" s="188"/>
      <c r="BA79" s="187"/>
      <c r="BG79" s="188"/>
      <c r="BH79" s="187"/>
      <c r="BL79" s="168"/>
      <c r="BM79" s="189"/>
      <c r="BN79" s="188"/>
      <c r="BO79" s="187"/>
      <c r="BU79" s="188"/>
      <c r="BV79" s="187"/>
      <c r="CB79" s="188"/>
      <c r="CC79" s="187"/>
      <c r="CI79" s="188"/>
      <c r="CJ79" s="187"/>
      <c r="CP79" s="188"/>
      <c r="CQ79" s="190"/>
      <c r="CR79" s="189"/>
      <c r="CW79" s="188"/>
      <c r="CX79" s="187"/>
      <c r="DD79" s="188"/>
      <c r="DE79" s="187"/>
      <c r="DK79" s="188"/>
      <c r="DL79" s="187"/>
      <c r="DR79" s="188"/>
      <c r="DS79" s="187"/>
      <c r="DU79" s="168"/>
      <c r="DV79" s="189"/>
      <c r="DY79" s="188"/>
      <c r="DZ79" s="187"/>
      <c r="EF79" s="188"/>
      <c r="EG79" s="187"/>
      <c r="EM79" s="188"/>
      <c r="EN79" s="187"/>
      <c r="ET79" s="188"/>
      <c r="EU79" s="187"/>
      <c r="EZ79" s="168"/>
      <c r="FA79" s="191"/>
      <c r="FB79" s="187"/>
      <c r="FH79" s="188"/>
      <c r="FI79" s="187"/>
      <c r="FO79" s="188"/>
      <c r="FP79" s="187"/>
      <c r="FV79" s="188"/>
      <c r="FW79" s="187"/>
      <c r="GC79" s="188"/>
      <c r="GD79" s="190"/>
      <c r="GE79" s="189"/>
      <c r="GJ79" s="188"/>
      <c r="GK79" s="187"/>
      <c r="GQ79" s="188"/>
      <c r="GR79" s="187"/>
      <c r="GX79" s="188"/>
      <c r="GY79" s="187"/>
      <c r="HE79" s="188"/>
      <c r="HF79" s="187"/>
      <c r="HI79" s="168"/>
      <c r="HJ79" s="189"/>
      <c r="HL79" s="188"/>
      <c r="HM79" s="187"/>
      <c r="HS79" s="188"/>
      <c r="HT79" s="187"/>
      <c r="HZ79" s="188"/>
      <c r="IA79" s="187"/>
      <c r="IG79" s="188"/>
      <c r="IH79" s="187"/>
      <c r="IN79" s="168"/>
      <c r="IO79" s="189"/>
      <c r="IU79" s="188"/>
      <c r="IV79" s="187"/>
      <c r="JB79" s="188"/>
      <c r="JC79" s="187"/>
      <c r="JI79" s="188"/>
      <c r="JJ79" s="187"/>
      <c r="JP79" s="188"/>
      <c r="JQ79" s="187"/>
      <c r="JR79" s="168"/>
      <c r="JS79" s="189"/>
      <c r="JW79" s="188"/>
      <c r="JX79" s="187"/>
      <c r="KD79" s="188"/>
      <c r="KE79" s="187"/>
      <c r="KK79" s="188"/>
      <c r="KL79" s="187"/>
      <c r="KR79" s="188"/>
      <c r="KS79" s="187"/>
      <c r="KW79" s="168"/>
      <c r="KX79" s="189"/>
      <c r="KY79" s="188"/>
      <c r="KZ79" s="187"/>
      <c r="LF79" s="188"/>
      <c r="LG79" s="187"/>
      <c r="LM79" s="188"/>
      <c r="LN79" s="187"/>
      <c r="LT79" s="188"/>
      <c r="LU79" s="187"/>
      <c r="MA79" s="168"/>
      <c r="MB79" s="189"/>
      <c r="MH79" s="188"/>
      <c r="MI79" s="187"/>
      <c r="MO79" s="188"/>
      <c r="MP79" s="187"/>
      <c r="MV79" s="188"/>
      <c r="MW79" s="187"/>
      <c r="NC79" s="188"/>
      <c r="ND79" s="187"/>
      <c r="NF79" s="168"/>
      <c r="NG79" s="189"/>
      <c r="NJ79" s="188"/>
      <c r="NK79" s="187"/>
      <c r="NQ79" s="188"/>
      <c r="NR79" s="187"/>
      <c r="NX79" s="188"/>
      <c r="NY79" s="187"/>
      <c r="OE79" s="188"/>
      <c r="OF79" s="187"/>
      <c r="OK79" s="168"/>
      <c r="OL79" s="191"/>
      <c r="OM79" s="187"/>
      <c r="OS79" s="188"/>
      <c r="OT79" s="187"/>
      <c r="OZ79" s="188"/>
      <c r="PA79" s="187"/>
      <c r="PG79" s="188"/>
      <c r="PH79" s="187"/>
      <c r="PN79" s="168"/>
      <c r="PO79" s="189"/>
      <c r="PU79" s="188"/>
      <c r="PV79" s="187"/>
      <c r="QB79" s="188"/>
      <c r="QC79" s="187"/>
      <c r="QI79" s="188"/>
      <c r="QJ79" s="187"/>
      <c r="QP79" s="188"/>
      <c r="QQ79" s="187"/>
      <c r="QS79" s="168"/>
      <c r="QT79" s="189"/>
      <c r="QW79" s="188"/>
      <c r="QX79" s="187"/>
      <c r="RD79" s="188"/>
      <c r="RE79" s="187"/>
      <c r="RK79" s="188"/>
      <c r="RL79" s="187"/>
      <c r="RR79" s="188"/>
      <c r="RS79" s="187"/>
      <c r="RW79" s="168"/>
      <c r="RX79" s="189"/>
      <c r="RY79" s="188"/>
      <c r="RZ79" s="187"/>
      <c r="SF79" s="188"/>
      <c r="SG79" s="187"/>
      <c r="SM79" s="188"/>
      <c r="SN79" s="187"/>
      <c r="ST79" s="188"/>
      <c r="SU79" s="187"/>
      <c r="TA79" s="188"/>
      <c r="TB79" s="190"/>
      <c r="TC79" s="189"/>
      <c r="TH79" s="188"/>
      <c r="TI79" s="187"/>
      <c r="TO79" s="188"/>
      <c r="TP79" s="187"/>
      <c r="TV79" s="188"/>
      <c r="TW79" s="187"/>
      <c r="UC79" s="188"/>
      <c r="UD79" s="187"/>
      <c r="UF79" s="168"/>
      <c r="UG79" s="189"/>
      <c r="UJ79" s="188"/>
      <c r="UK79" s="187"/>
      <c r="UQ79" s="188"/>
      <c r="UR79" s="187"/>
      <c r="UX79" s="188"/>
      <c r="UY79" s="187"/>
      <c r="VE79" s="188"/>
      <c r="VF79" s="187"/>
      <c r="VK79" s="168"/>
      <c r="VL79" s="191"/>
      <c r="VM79" s="187"/>
      <c r="VS79" s="188"/>
      <c r="VT79" s="187"/>
      <c r="VZ79" s="188"/>
      <c r="WA79" s="187"/>
      <c r="WG79" s="188"/>
      <c r="WH79" s="187"/>
      <c r="WN79" s="188"/>
      <c r="WO79" s="187"/>
      <c r="WP79" s="168"/>
      <c r="WQ79" s="189"/>
      <c r="WU79" s="188"/>
      <c r="WV79" s="187"/>
      <c r="XB79" s="188"/>
      <c r="XC79" s="187"/>
      <c r="XI79" s="188"/>
      <c r="XJ79" s="187"/>
      <c r="XP79" s="188"/>
      <c r="XQ79" s="187"/>
      <c r="XT79" s="168"/>
      <c r="XU79" s="189"/>
      <c r="XW79" s="188"/>
      <c r="XX79" s="187"/>
      <c r="YD79" s="188"/>
      <c r="YE79" s="187"/>
      <c r="YK79" s="188"/>
      <c r="YL79" s="187"/>
      <c r="YR79" s="188"/>
      <c r="YS79" s="187"/>
      <c r="YY79" s="168"/>
      <c r="YZ79" s="189"/>
      <c r="ZF79" s="188"/>
      <c r="ZG79" s="187"/>
      <c r="ZM79" s="188"/>
      <c r="ZN79" s="187"/>
      <c r="ZT79" s="188"/>
      <c r="ZU79" s="187"/>
      <c r="AAA79" s="188"/>
      <c r="AAB79" s="187"/>
      <c r="AAC79" s="168"/>
      <c r="AAD79" s="189"/>
      <c r="AAH79" s="188"/>
      <c r="AAI79" s="187"/>
      <c r="AAO79" s="188"/>
      <c r="AAP79" s="187"/>
      <c r="AAV79" s="188"/>
      <c r="AAW79" s="187"/>
      <c r="ABC79" s="188"/>
      <c r="ABD79" s="187"/>
      <c r="ABH79" s="168"/>
      <c r="ABI79" s="189"/>
      <c r="ABJ79" s="188"/>
      <c r="ABK79" s="187"/>
      <c r="ABQ79" s="188"/>
      <c r="ABR79" s="187"/>
      <c r="ABX79" s="188"/>
      <c r="ABY79" s="187"/>
      <c r="ACE79" s="188"/>
      <c r="ACF79" s="187"/>
      <c r="ACL79" s="188"/>
      <c r="ACM79" s="190"/>
      <c r="ACN79" s="189"/>
      <c r="ACS79" s="188"/>
      <c r="ACT79" s="187"/>
      <c r="ACZ79" s="188"/>
      <c r="ADA79" s="187"/>
      <c r="ADG79" s="188"/>
      <c r="ADH79" s="187"/>
      <c r="ADN79" s="188"/>
      <c r="ADO79" s="190"/>
      <c r="ADP79" s="189"/>
      <c r="ADU79" s="188"/>
      <c r="ADV79" s="187"/>
      <c r="AEB79" s="188"/>
      <c r="AEC79" s="187"/>
      <c r="AEI79" s="188"/>
      <c r="AEJ79" s="187"/>
      <c r="AEP79" s="188"/>
      <c r="AEQ79" s="187"/>
      <c r="AET79" s="168"/>
      <c r="AEU79" s="189"/>
      <c r="AEW79" s="188"/>
      <c r="AEX79" s="187"/>
      <c r="AFD79" s="188"/>
      <c r="AFE79" s="187"/>
      <c r="AFK79" s="188"/>
      <c r="AFL79" s="187"/>
      <c r="AFR79" s="188"/>
      <c r="AFS79" s="187"/>
      <c r="AFX79" s="168"/>
      <c r="AFY79" s="191"/>
      <c r="AFZ79" s="187"/>
      <c r="AGF79" s="188"/>
      <c r="AGG79" s="187"/>
      <c r="AGM79" s="188"/>
      <c r="AGN79" s="187"/>
      <c r="AGT79" s="188"/>
      <c r="AGU79" s="187"/>
      <c r="AHA79" s="188"/>
      <c r="AHB79" s="187"/>
      <c r="AHC79" s="168"/>
      <c r="AHD79" s="189"/>
      <c r="AHH79" s="188"/>
      <c r="AHI79" s="187"/>
      <c r="AHO79" s="188"/>
      <c r="AHP79" s="187"/>
      <c r="AHV79" s="188"/>
      <c r="AHW79" s="187"/>
      <c r="AIC79" s="188"/>
      <c r="AID79" s="187"/>
      <c r="AIG79" s="168"/>
      <c r="AIH79" s="189"/>
      <c r="AIJ79" s="188"/>
      <c r="AIK79" s="187"/>
      <c r="AIQ79" s="188"/>
      <c r="AIR79" s="187"/>
      <c r="AIX79" s="188"/>
      <c r="AIY79" s="187"/>
      <c r="AJE79" s="188"/>
      <c r="AJF79" s="187"/>
      <c r="AJL79" s="168"/>
      <c r="AJM79" s="189"/>
      <c r="AJS79" s="188"/>
      <c r="AJT79" s="187"/>
      <c r="AJZ79" s="188"/>
      <c r="AKA79" s="187"/>
      <c r="AKG79" s="188"/>
      <c r="AKH79" s="187"/>
      <c r="AKN79" s="188"/>
      <c r="AKO79" s="187"/>
      <c r="AKQ79" s="168"/>
      <c r="AKR79" s="189"/>
      <c r="AKU79" s="188"/>
      <c r="AKV79" s="187"/>
      <c r="ALB79" s="188"/>
      <c r="ALC79" s="187"/>
      <c r="ALI79" s="188"/>
      <c r="ALJ79" s="187"/>
      <c r="ALP79" s="188"/>
      <c r="ALQ79" s="187"/>
      <c r="ALU79" s="168"/>
      <c r="ALV79" s="189"/>
      <c r="ALW79" s="188"/>
      <c r="ALX79" s="187"/>
      <c r="AMD79" s="188"/>
      <c r="AME79" s="187"/>
      <c r="AMK79" s="188"/>
      <c r="AML79" s="187"/>
      <c r="AMR79" s="188"/>
      <c r="AMS79" s="187"/>
      <c r="AMY79" s="188"/>
      <c r="AMZ79" s="190"/>
      <c r="ANA79" s="189"/>
      <c r="ANF79" s="188"/>
      <c r="ANG79" s="187"/>
      <c r="ANM79" s="188"/>
      <c r="ANN79" s="187"/>
      <c r="ANT79" s="188"/>
      <c r="ANU79" s="187"/>
      <c r="AOA79" s="188"/>
      <c r="AOB79" s="187"/>
      <c r="AOD79" s="168"/>
      <c r="AOE79" s="189"/>
      <c r="AOH79" s="188"/>
      <c r="AOI79" s="187"/>
      <c r="AOO79" s="188"/>
      <c r="AOP79" s="187"/>
      <c r="AOV79" s="188"/>
      <c r="AOW79" s="187"/>
      <c r="APC79" s="188"/>
      <c r="APD79" s="187"/>
      <c r="API79" s="168"/>
      <c r="APJ79" s="191"/>
      <c r="APK79" s="187"/>
      <c r="APQ79" s="188"/>
      <c r="APR79" s="187"/>
      <c r="APX79" s="188"/>
      <c r="APY79" s="187"/>
      <c r="AQE79" s="188"/>
      <c r="AQF79" s="187"/>
      <c r="AQL79" s="188"/>
      <c r="AQM79" s="187"/>
      <c r="AQN79" s="168"/>
      <c r="AQO79" s="189"/>
      <c r="AQS79" s="188"/>
      <c r="AQT79" s="187"/>
      <c r="AQZ79" s="188"/>
      <c r="ARA79" s="187"/>
      <c r="ARG79" s="188"/>
      <c r="ARH79" s="187"/>
      <c r="ARN79" s="188"/>
      <c r="ARO79" s="187"/>
      <c r="ARP79" s="168"/>
      <c r="ARQ79" s="189"/>
      <c r="ARU79" s="188"/>
      <c r="ARV79" s="187"/>
      <c r="ASB79" s="188"/>
      <c r="ASC79" s="187"/>
      <c r="ASI79" s="188"/>
      <c r="ASJ79" s="187"/>
      <c r="ASP79" s="188"/>
      <c r="ASQ79" s="187"/>
      <c r="ASU79" s="168"/>
      <c r="ASV79" s="189"/>
      <c r="ASW79" s="188"/>
      <c r="ASX79" s="187"/>
      <c r="ATD79" s="188"/>
      <c r="ATE79" s="187"/>
      <c r="ATK79" s="188"/>
      <c r="ATL79" s="187"/>
      <c r="ATR79" s="188"/>
      <c r="ATS79" s="187"/>
      <c r="ATY79" s="168"/>
      <c r="ATZ79" s="189"/>
      <c r="AUF79" s="188"/>
      <c r="AUG79" s="187"/>
      <c r="AUM79" s="188"/>
      <c r="AUN79" s="187"/>
      <c r="AUT79" s="188"/>
      <c r="AUU79" s="187"/>
      <c r="AVA79" s="188"/>
      <c r="AVB79" s="187"/>
      <c r="AVD79" s="168"/>
      <c r="AVE79" s="189"/>
      <c r="AVH79" s="188"/>
      <c r="AVI79" s="187"/>
      <c r="AVO79" s="188"/>
      <c r="AVP79" s="187"/>
      <c r="AVV79" s="188"/>
      <c r="AVW79" s="187"/>
      <c r="AWC79" s="188"/>
      <c r="AWD79" s="187"/>
      <c r="AWH79" s="168"/>
      <c r="AWI79" s="189"/>
      <c r="AWJ79" s="188"/>
      <c r="AWK79" s="187"/>
      <c r="AWQ79" s="188"/>
      <c r="AWR79" s="187"/>
      <c r="AWX79" s="188"/>
      <c r="AWY79" s="187"/>
      <c r="AXE79" s="188"/>
      <c r="AXF79" s="187"/>
      <c r="AXL79" s="188"/>
      <c r="AXM79" s="190"/>
      <c r="AXN79" s="189"/>
      <c r="AXS79" s="188"/>
      <c r="AXT79" s="187"/>
      <c r="AXZ79" s="188"/>
      <c r="AYA79" s="187"/>
      <c r="AYG79" s="188"/>
      <c r="AYH79" s="187"/>
      <c r="AYN79" s="188"/>
      <c r="AYO79" s="187"/>
      <c r="AYR79" s="168"/>
      <c r="AYS79" s="189"/>
      <c r="AYU79" s="188"/>
      <c r="AYV79" s="187"/>
      <c r="AZB79" s="188"/>
      <c r="AZC79" s="187"/>
      <c r="AZI79" s="188"/>
      <c r="AZJ79" s="187"/>
      <c r="AZP79" s="188"/>
      <c r="AZQ79" s="187"/>
      <c r="AZV79" s="168"/>
      <c r="AZW79" s="191"/>
      <c r="AZX79" s="187"/>
      <c r="BAD79" s="188"/>
      <c r="BAE79" s="187"/>
      <c r="BAK79" s="188"/>
      <c r="BAL79" s="187"/>
      <c r="BAR79" s="188"/>
      <c r="BAS79" s="187"/>
      <c r="BAY79" s="188"/>
      <c r="BAZ79" s="187"/>
      <c r="BBA79" s="168"/>
      <c r="BBB79" s="189"/>
      <c r="BBF79" s="188"/>
      <c r="BBG79" s="187"/>
      <c r="BBM79" s="188"/>
      <c r="BBN79" s="187"/>
      <c r="BBT79" s="188"/>
      <c r="BBU79" s="187"/>
      <c r="BCA79" s="188"/>
      <c r="BCB79" s="187"/>
      <c r="BCE79" s="168"/>
      <c r="BCF79" s="189"/>
      <c r="BCH79" s="188"/>
      <c r="BCI79" s="187"/>
      <c r="BCO79" s="188"/>
      <c r="BCP79" s="187"/>
      <c r="BCV79" s="188"/>
      <c r="BCW79" s="187"/>
      <c r="BDC79" s="188"/>
      <c r="BDD79" s="187"/>
      <c r="BDJ79" s="168"/>
      <c r="BDK79" s="189"/>
      <c r="BDQ79" s="188"/>
      <c r="BDR79" s="187"/>
      <c r="BDX79" s="188"/>
      <c r="BDY79" s="187"/>
      <c r="BEE79" s="188"/>
      <c r="BEF79" s="187"/>
      <c r="BEL79" s="188"/>
      <c r="BEM79" s="187"/>
      <c r="BEO79" s="168"/>
      <c r="BEP79" s="189"/>
      <c r="BES79" s="188"/>
      <c r="BET79" s="187"/>
      <c r="BEZ79" s="188"/>
      <c r="BFA79" s="187"/>
      <c r="BFG79" s="188"/>
      <c r="BFH79" s="187"/>
      <c r="BFN79" s="188"/>
      <c r="BFO79" s="187"/>
      <c r="BFQ79" s="168"/>
      <c r="BFR79" s="189"/>
      <c r="BFU79" s="188"/>
      <c r="BFV79" s="187"/>
      <c r="BGB79" s="188"/>
      <c r="BGC79" s="187"/>
      <c r="BGI79" s="188"/>
      <c r="BGJ79" s="187"/>
      <c r="BGP79" s="188"/>
      <c r="BGQ79" s="187"/>
      <c r="BGV79" s="168"/>
      <c r="BGW79" s="191"/>
      <c r="BGX79" s="187"/>
      <c r="BHD79" s="188"/>
      <c r="BHE79" s="187"/>
      <c r="BHK79" s="188"/>
      <c r="BHL79" s="187"/>
      <c r="BHR79" s="188"/>
      <c r="BHS79" s="187"/>
      <c r="BHY79" s="188"/>
      <c r="BHZ79" s="190"/>
      <c r="BIA79" s="189"/>
      <c r="BIF79" s="188"/>
      <c r="BIG79" s="187"/>
      <c r="BIM79" s="188"/>
      <c r="BIN79" s="187"/>
      <c r="BIT79" s="188"/>
      <c r="BIU79" s="187"/>
      <c r="BJA79" s="188"/>
      <c r="BJB79" s="187"/>
      <c r="BJE79" s="168"/>
      <c r="BJF79" s="189"/>
      <c r="BJH79" s="188"/>
      <c r="BJI79" s="187"/>
      <c r="BJO79" s="188"/>
      <c r="BJP79" s="187"/>
      <c r="BJV79" s="188"/>
      <c r="BJW79" s="187"/>
      <c r="BKC79" s="188"/>
      <c r="BKD79" s="187"/>
      <c r="BKI79" s="168"/>
      <c r="BKJ79" s="191"/>
      <c r="BKK79" s="187"/>
      <c r="BKQ79" s="188"/>
      <c r="BKR79" s="187"/>
      <c r="BKX79" s="188"/>
      <c r="BKY79" s="187"/>
      <c r="BLE79" s="188"/>
      <c r="BLF79" s="187"/>
      <c r="BLL79" s="188"/>
      <c r="BLM79" s="187"/>
      <c r="BLN79" s="168"/>
      <c r="BLO79" s="189"/>
      <c r="BLS79" s="188"/>
      <c r="BLT79" s="187"/>
      <c r="BLZ79" s="188"/>
      <c r="BMA79" s="187"/>
      <c r="BMG79" s="188"/>
      <c r="BMH79" s="187"/>
      <c r="BMN79" s="188"/>
      <c r="BMO79" s="187"/>
      <c r="BMS79" s="168"/>
      <c r="BMT79" s="189"/>
      <c r="BMU79" s="188"/>
      <c r="BMV79" s="187"/>
      <c r="BNB79" s="188"/>
      <c r="BNC79" s="187"/>
      <c r="BNI79" s="188"/>
      <c r="BNJ79" s="187"/>
      <c r="BNP79" s="188"/>
      <c r="BNQ79" s="187"/>
      <c r="BNW79" s="168"/>
      <c r="BNX79" s="189"/>
      <c r="BOD79" s="188"/>
      <c r="BOE79" s="187"/>
      <c r="BOK79" s="188"/>
      <c r="BOL79" s="187"/>
      <c r="BOR79" s="188"/>
      <c r="BOS79" s="187"/>
      <c r="BOY79" s="188"/>
      <c r="BOZ79" s="187"/>
      <c r="BPB79" s="168"/>
      <c r="BPC79" s="189"/>
      <c r="BPF79" s="188"/>
      <c r="BPG79" s="187"/>
      <c r="BPM79" s="188"/>
      <c r="BPN79" s="187"/>
      <c r="BPT79" s="188"/>
      <c r="BPU79" s="187"/>
      <c r="BQA79" s="188"/>
      <c r="BQB79" s="187"/>
      <c r="BQF79" s="168"/>
      <c r="BQG79" s="189"/>
      <c r="BQH79" s="188"/>
      <c r="BQI79" s="187"/>
      <c r="BQO79" s="188"/>
      <c r="BQP79" s="187"/>
      <c r="BQV79" s="188"/>
      <c r="BQW79" s="187"/>
      <c r="BRC79" s="188"/>
      <c r="BRD79" s="187"/>
      <c r="BRJ79" s="188"/>
      <c r="BRK79" s="190"/>
      <c r="BRL79" s="189"/>
      <c r="BRQ79" s="188"/>
      <c r="BRR79" s="187"/>
      <c r="BRX79" s="188"/>
      <c r="BRY79" s="187"/>
      <c r="BSE79" s="188"/>
      <c r="BSF79" s="187"/>
      <c r="BSL79" s="188"/>
      <c r="BSM79" s="187"/>
      <c r="BSP79" s="168"/>
      <c r="BSQ79" s="189"/>
      <c r="BSS79" s="188"/>
      <c r="BST79" s="187"/>
      <c r="BSZ79" s="188"/>
      <c r="BTA79" s="187"/>
      <c r="BTG79" s="188"/>
      <c r="BTH79" s="187"/>
      <c r="BTN79" s="188"/>
      <c r="BTO79" s="187"/>
      <c r="BTS79" s="168"/>
      <c r="BTT79" s="189"/>
      <c r="BTU79" s="188"/>
      <c r="BTV79" s="187"/>
      <c r="BUB79" s="188"/>
      <c r="BUC79" s="187"/>
      <c r="BUI79" s="188"/>
      <c r="BUJ79" s="187"/>
      <c r="BUP79" s="188"/>
      <c r="BUQ79" s="187"/>
      <c r="BUW79" s="188"/>
      <c r="BUX79" s="190"/>
      <c r="BUY79" s="189"/>
      <c r="BVD79" s="188"/>
      <c r="BVE79" s="187"/>
      <c r="BVK79" s="188"/>
      <c r="BVL79" s="187"/>
      <c r="BVR79" s="188"/>
      <c r="BVS79" s="187"/>
      <c r="BVY79" s="188"/>
      <c r="BVZ79" s="187"/>
      <c r="BWB79" s="168"/>
      <c r="BWC79" s="189"/>
      <c r="BWF79" s="188"/>
      <c r="BWG79" s="187"/>
      <c r="BWM79" s="188"/>
      <c r="BWN79" s="187"/>
      <c r="BWT79" s="188"/>
      <c r="BWU79" s="187"/>
      <c r="BXA79" s="188"/>
      <c r="BXB79" s="187"/>
      <c r="BXG79" s="168"/>
      <c r="BXH79" s="191"/>
      <c r="BXI79" s="187"/>
      <c r="BXO79" s="188"/>
      <c r="BXP79" s="187"/>
      <c r="BXV79" s="188"/>
      <c r="BXW79" s="187"/>
      <c r="BYC79" s="188"/>
      <c r="BYD79" s="187"/>
      <c r="BYJ79" s="188"/>
      <c r="BYK79" s="190"/>
      <c r="BYL79" s="189"/>
      <c r="BYQ79" s="188"/>
      <c r="BYR79" s="187"/>
      <c r="BYX79" s="188"/>
      <c r="BYY79" s="187"/>
      <c r="BZE79" s="188"/>
      <c r="BZF79" s="187"/>
      <c r="BZL79" s="188"/>
      <c r="BZM79" s="187"/>
      <c r="BZP79" s="168"/>
      <c r="BZQ79" s="189"/>
      <c r="BZS79" s="188"/>
      <c r="BZT79" s="187"/>
      <c r="BZZ79" s="188"/>
      <c r="CAA79" s="187"/>
      <c r="CAG79" s="188"/>
      <c r="CAH79" s="187"/>
      <c r="CAN79" s="188"/>
      <c r="CAO79" s="187"/>
      <c r="CAU79" s="168"/>
      <c r="CAV79" s="189"/>
      <c r="CBB79" s="188"/>
      <c r="CBC79" s="187"/>
      <c r="CBI79" s="188"/>
      <c r="CBJ79" s="187"/>
      <c r="CBP79" s="188"/>
      <c r="CBQ79" s="187"/>
      <c r="CBW79" s="188"/>
      <c r="CBX79" s="187"/>
      <c r="CBY79" s="168"/>
      <c r="CBZ79" s="189"/>
      <c r="CCD79" s="188"/>
      <c r="CCE79" s="187"/>
      <c r="CCK79" s="188"/>
      <c r="CCL79" s="187"/>
      <c r="CCR79" s="188"/>
      <c r="CCS79" s="187"/>
      <c r="CCY79" s="188"/>
      <c r="CCZ79" s="187"/>
      <c r="CDD79" s="168"/>
      <c r="CDE79" s="189"/>
      <c r="CDF79" s="188"/>
      <c r="CDG79" s="187"/>
      <c r="CDM79" s="188"/>
      <c r="CDN79" s="187"/>
      <c r="CDT79" s="188"/>
      <c r="CDU79" s="187"/>
      <c r="CEA79" s="188"/>
      <c r="CEB79" s="187"/>
      <c r="CEH79" s="168"/>
      <c r="CEI79" s="189"/>
      <c r="CEO79" s="188"/>
      <c r="CEP79" s="187"/>
      <c r="CEV79" s="188"/>
      <c r="CEW79" s="187"/>
      <c r="CFC79" s="188"/>
      <c r="CFD79" s="187"/>
      <c r="CFJ79" s="188"/>
      <c r="CFK79" s="187"/>
    </row>
    <row r="80" spans="1:1019 1025:2048 2054:2195">
      <c r="A80" s="164" t="s">
        <v>351</v>
      </c>
      <c r="D80" s="186"/>
      <c r="E80" s="186"/>
      <c r="K80" s="187"/>
      <c r="Q80" s="188"/>
      <c r="R80" s="187"/>
      <c r="X80" s="188"/>
      <c r="Y80" s="187"/>
      <c r="AE80" s="188"/>
      <c r="AF80" s="187"/>
      <c r="AJ80" s="168"/>
      <c r="AK80" s="189"/>
      <c r="AL80" s="188"/>
      <c r="AM80" s="187"/>
      <c r="AS80" s="188"/>
      <c r="AT80" s="187"/>
      <c r="AZ80" s="188"/>
      <c r="BA80" s="187"/>
      <c r="BG80" s="188"/>
      <c r="BH80" s="187"/>
      <c r="BL80" s="168"/>
      <c r="BM80" s="189"/>
      <c r="BN80" s="188"/>
      <c r="BO80" s="187"/>
      <c r="BU80" s="188"/>
      <c r="BV80" s="187"/>
      <c r="CB80" s="188"/>
      <c r="CC80" s="187"/>
      <c r="CI80" s="188"/>
      <c r="CJ80" s="187"/>
      <c r="CP80" s="188"/>
      <c r="CQ80" s="190"/>
      <c r="CR80" s="189"/>
      <c r="CW80" s="188"/>
      <c r="CX80" s="187"/>
      <c r="DD80" s="188"/>
      <c r="DE80" s="187"/>
      <c r="DK80" s="188"/>
      <c r="DL80" s="187"/>
      <c r="DR80" s="188"/>
      <c r="DS80" s="187"/>
      <c r="DU80" s="168"/>
      <c r="DV80" s="189"/>
      <c r="DY80" s="188"/>
      <c r="DZ80" s="187"/>
      <c r="EF80" s="188"/>
      <c r="EG80" s="187"/>
      <c r="EM80" s="188"/>
      <c r="EN80" s="187"/>
      <c r="ET80" s="188"/>
      <c r="EU80" s="187"/>
      <c r="EZ80" s="168"/>
      <c r="FA80" s="191"/>
      <c r="FB80" s="187"/>
      <c r="FH80" s="188"/>
      <c r="FI80" s="187"/>
      <c r="FO80" s="188"/>
      <c r="FP80" s="187"/>
      <c r="FV80" s="188"/>
      <c r="FW80" s="187"/>
      <c r="GC80" s="188"/>
      <c r="GD80" s="190"/>
      <c r="GE80" s="189"/>
      <c r="GJ80" s="188"/>
      <c r="GK80" s="187"/>
      <c r="GQ80" s="188"/>
      <c r="GR80" s="187"/>
      <c r="GX80" s="188"/>
      <c r="GY80" s="187"/>
      <c r="HE80" s="188"/>
      <c r="HF80" s="187"/>
      <c r="HI80" s="168"/>
      <c r="HJ80" s="189"/>
      <c r="HL80" s="188"/>
      <c r="HM80" s="187"/>
      <c r="HS80" s="188"/>
      <c r="HT80" s="187"/>
      <c r="HZ80" s="188"/>
      <c r="IA80" s="187"/>
      <c r="IG80" s="188"/>
      <c r="IH80" s="187"/>
      <c r="IN80" s="168"/>
      <c r="IO80" s="189"/>
      <c r="IU80" s="188"/>
      <c r="IV80" s="187"/>
      <c r="JB80" s="188"/>
      <c r="JC80" s="187"/>
      <c r="JI80" s="188"/>
      <c r="JJ80" s="187"/>
      <c r="JP80" s="188"/>
      <c r="JQ80" s="187"/>
      <c r="JR80" s="168"/>
      <c r="JS80" s="189"/>
      <c r="JW80" s="188"/>
      <c r="JX80" s="187"/>
      <c r="KD80" s="188"/>
      <c r="KE80" s="187"/>
      <c r="KK80" s="188"/>
      <c r="KL80" s="187"/>
      <c r="KR80" s="188"/>
      <c r="KS80" s="187"/>
      <c r="KW80" s="168"/>
      <c r="KX80" s="189"/>
      <c r="KY80" s="188"/>
      <c r="KZ80" s="187"/>
      <c r="LF80" s="188"/>
      <c r="LG80" s="187"/>
      <c r="LM80" s="188"/>
      <c r="LN80" s="187"/>
      <c r="LT80" s="188"/>
      <c r="LU80" s="187"/>
      <c r="MA80" s="168"/>
      <c r="MB80" s="189"/>
      <c r="MH80" s="188"/>
      <c r="MI80" s="187"/>
      <c r="MO80" s="188"/>
      <c r="MP80" s="187"/>
      <c r="MV80" s="188"/>
      <c r="MW80" s="187"/>
      <c r="NC80" s="188"/>
      <c r="ND80" s="187"/>
      <c r="NF80" s="168"/>
      <c r="NG80" s="189"/>
      <c r="NJ80" s="188"/>
      <c r="NK80" s="187"/>
      <c r="NQ80" s="188"/>
      <c r="NR80" s="187"/>
      <c r="NX80" s="188"/>
      <c r="NY80" s="187"/>
      <c r="OE80" s="188"/>
      <c r="OF80" s="187"/>
      <c r="OK80" s="168"/>
      <c r="OL80" s="191"/>
      <c r="OM80" s="187"/>
      <c r="OS80" s="188"/>
      <c r="OT80" s="187"/>
      <c r="OZ80" s="188"/>
      <c r="PA80" s="187"/>
      <c r="PG80" s="188"/>
      <c r="PH80" s="187"/>
      <c r="PN80" s="168"/>
      <c r="PO80" s="189"/>
      <c r="PU80" s="188"/>
      <c r="PV80" s="187"/>
      <c r="QB80" s="188"/>
      <c r="QC80" s="187"/>
      <c r="QI80" s="188"/>
      <c r="QJ80" s="187"/>
      <c r="QP80" s="188"/>
      <c r="QQ80" s="187"/>
      <c r="QS80" s="168"/>
      <c r="QT80" s="189"/>
      <c r="QW80" s="188"/>
      <c r="QX80" s="187"/>
      <c r="RD80" s="188"/>
      <c r="RE80" s="187"/>
      <c r="RK80" s="188"/>
      <c r="RL80" s="187"/>
      <c r="RR80" s="188"/>
      <c r="RS80" s="187"/>
      <c r="RW80" s="168"/>
      <c r="RX80" s="189"/>
      <c r="RY80" s="188"/>
      <c r="RZ80" s="187"/>
      <c r="SF80" s="188"/>
      <c r="SG80" s="187"/>
      <c r="SM80" s="188"/>
      <c r="SN80" s="187"/>
      <c r="ST80" s="188"/>
      <c r="SU80" s="187"/>
      <c r="TA80" s="188"/>
      <c r="TB80" s="190"/>
      <c r="TC80" s="189"/>
      <c r="TH80" s="188"/>
      <c r="TI80" s="187"/>
      <c r="TO80" s="188"/>
      <c r="TP80" s="187"/>
      <c r="TV80" s="188"/>
      <c r="TW80" s="187"/>
      <c r="UC80" s="188"/>
      <c r="UD80" s="187"/>
      <c r="UF80" s="168"/>
      <c r="UG80" s="189"/>
      <c r="UJ80" s="188"/>
      <c r="UK80" s="187"/>
      <c r="UQ80" s="188"/>
      <c r="UR80" s="187"/>
      <c r="UX80" s="188"/>
      <c r="UY80" s="187"/>
      <c r="VE80" s="188"/>
      <c r="VF80" s="187"/>
      <c r="VK80" s="168"/>
      <c r="VL80" s="191"/>
      <c r="VM80" s="187"/>
      <c r="VS80" s="188"/>
      <c r="VT80" s="187"/>
      <c r="VZ80" s="188"/>
      <c r="WA80" s="187"/>
      <c r="WG80" s="188"/>
      <c r="WH80" s="187"/>
      <c r="WN80" s="188"/>
      <c r="WO80" s="187"/>
      <c r="WP80" s="168"/>
      <c r="WQ80" s="189"/>
      <c r="WU80" s="188"/>
      <c r="WV80" s="187"/>
      <c r="XB80" s="188"/>
      <c r="XC80" s="187"/>
      <c r="XI80" s="188"/>
      <c r="XJ80" s="187"/>
      <c r="XP80" s="188"/>
      <c r="XQ80" s="187"/>
      <c r="XT80" s="168"/>
      <c r="XU80" s="189"/>
      <c r="XW80" s="188"/>
      <c r="XX80" s="187"/>
      <c r="YD80" s="188"/>
      <c r="YE80" s="187"/>
      <c r="YK80" s="188"/>
      <c r="YL80" s="187"/>
      <c r="YR80" s="188"/>
      <c r="YS80" s="187"/>
      <c r="YY80" s="168"/>
      <c r="YZ80" s="189"/>
      <c r="ZF80" s="188"/>
      <c r="ZG80" s="187"/>
      <c r="ZM80" s="188"/>
      <c r="ZN80" s="187"/>
      <c r="ZT80" s="188"/>
      <c r="ZU80" s="187"/>
      <c r="AAA80" s="188"/>
      <c r="AAB80" s="187"/>
      <c r="AAC80" s="168"/>
      <c r="AAD80" s="189"/>
      <c r="AAH80" s="188"/>
      <c r="AAI80" s="187"/>
      <c r="AAO80" s="188"/>
      <c r="AAP80" s="187"/>
      <c r="AAV80" s="188"/>
      <c r="AAW80" s="187"/>
      <c r="ABC80" s="188"/>
      <c r="ABD80" s="187"/>
      <c r="ABH80" s="168"/>
      <c r="ABI80" s="189"/>
      <c r="ABJ80" s="188"/>
      <c r="ABK80" s="187"/>
      <c r="ABQ80" s="188"/>
      <c r="ABR80" s="187"/>
      <c r="ABX80" s="188"/>
      <c r="ABY80" s="187"/>
      <c r="ACE80" s="188"/>
      <c r="ACF80" s="187"/>
      <c r="ACL80" s="188"/>
      <c r="ACM80" s="190"/>
      <c r="ACN80" s="189"/>
      <c r="ACS80" s="188"/>
      <c r="ACT80" s="187"/>
      <c r="ACZ80" s="188"/>
      <c r="ADA80" s="187"/>
      <c r="ADG80" s="188"/>
      <c r="ADH80" s="187"/>
      <c r="ADN80" s="188"/>
      <c r="ADO80" s="190"/>
      <c r="ADP80" s="189"/>
      <c r="ADU80" s="188"/>
      <c r="ADV80" s="187"/>
      <c r="AEB80" s="188"/>
      <c r="AEC80" s="187"/>
      <c r="AEI80" s="188"/>
      <c r="AEJ80" s="187"/>
      <c r="AEP80" s="188"/>
      <c r="AEQ80" s="187"/>
      <c r="AET80" s="168"/>
      <c r="AEU80" s="189"/>
      <c r="AEW80" s="188"/>
      <c r="AEX80" s="187"/>
      <c r="AFD80" s="188"/>
      <c r="AFE80" s="187"/>
      <c r="AFK80" s="188"/>
      <c r="AFL80" s="187"/>
      <c r="AFR80" s="188"/>
      <c r="AFS80" s="187"/>
      <c r="AFX80" s="168"/>
      <c r="AFY80" s="191"/>
      <c r="AFZ80" s="187"/>
      <c r="AGF80" s="188"/>
      <c r="AGG80" s="187"/>
      <c r="AGM80" s="188"/>
      <c r="AGN80" s="187"/>
      <c r="AGT80" s="188"/>
      <c r="AGU80" s="187"/>
      <c r="AHA80" s="188"/>
      <c r="AHB80" s="187"/>
      <c r="AHC80" s="168"/>
      <c r="AHD80" s="189"/>
      <c r="AHH80" s="188"/>
      <c r="AHI80" s="187"/>
      <c r="AHO80" s="188"/>
      <c r="AHP80" s="187"/>
      <c r="AHV80" s="188"/>
      <c r="AHW80" s="187"/>
      <c r="AIC80" s="188"/>
      <c r="AID80" s="187"/>
      <c r="AIG80" s="168"/>
      <c r="AIH80" s="189"/>
      <c r="AIJ80" s="188"/>
      <c r="AIK80" s="187"/>
      <c r="AIQ80" s="188"/>
      <c r="AIR80" s="187"/>
      <c r="AIX80" s="188"/>
      <c r="AIY80" s="187"/>
      <c r="AJE80" s="188"/>
      <c r="AJF80" s="187"/>
      <c r="AJL80" s="168"/>
      <c r="AJM80" s="189"/>
      <c r="AJS80" s="188"/>
      <c r="AJT80" s="187"/>
      <c r="AJZ80" s="188"/>
      <c r="AKA80" s="187"/>
      <c r="AKG80" s="188"/>
      <c r="AKH80" s="187"/>
      <c r="AKN80" s="188"/>
      <c r="AKO80" s="187"/>
      <c r="AKQ80" s="168"/>
      <c r="AKR80" s="189"/>
      <c r="AKU80" s="188"/>
      <c r="AKV80" s="187"/>
      <c r="ALB80" s="188"/>
      <c r="ALC80" s="187"/>
      <c r="ALI80" s="188"/>
      <c r="ALJ80" s="187"/>
      <c r="ALP80" s="188"/>
      <c r="ALQ80" s="187"/>
      <c r="ALU80" s="168"/>
      <c r="ALV80" s="189"/>
      <c r="ALW80" s="188"/>
      <c r="ALX80" s="187"/>
      <c r="AMD80" s="188"/>
      <c r="AME80" s="187"/>
      <c r="AMK80" s="188"/>
      <c r="AML80" s="187"/>
      <c r="AMR80" s="188"/>
      <c r="AMS80" s="187"/>
      <c r="AMY80" s="188"/>
      <c r="AMZ80" s="190"/>
      <c r="ANA80" s="189"/>
      <c r="ANF80" s="188"/>
      <c r="ANG80" s="187"/>
      <c r="ANM80" s="188"/>
      <c r="ANN80" s="187"/>
      <c r="ANT80" s="188"/>
      <c r="ANU80" s="187"/>
      <c r="AOA80" s="188"/>
      <c r="AOB80" s="187"/>
      <c r="AOD80" s="168"/>
      <c r="AOE80" s="189"/>
      <c r="AOH80" s="188"/>
      <c r="AOI80" s="187"/>
      <c r="AOO80" s="188"/>
      <c r="AOP80" s="187"/>
      <c r="AOV80" s="188"/>
      <c r="AOW80" s="187"/>
      <c r="APC80" s="188"/>
      <c r="APD80" s="187"/>
      <c r="API80" s="168"/>
      <c r="APJ80" s="191"/>
      <c r="APK80" s="187"/>
      <c r="APQ80" s="188"/>
      <c r="APR80" s="187"/>
      <c r="APX80" s="188"/>
      <c r="APY80" s="187"/>
      <c r="AQE80" s="188"/>
      <c r="AQF80" s="187"/>
      <c r="AQL80" s="188"/>
      <c r="AQM80" s="187"/>
      <c r="AQN80" s="168"/>
      <c r="AQO80" s="189"/>
      <c r="AQS80" s="188"/>
      <c r="AQT80" s="187"/>
      <c r="AQZ80" s="188"/>
      <c r="ARA80" s="187"/>
      <c r="ARG80" s="188"/>
      <c r="ARH80" s="187"/>
      <c r="ARN80" s="188"/>
      <c r="ARO80" s="187"/>
      <c r="ARP80" s="168"/>
      <c r="ARQ80" s="189"/>
      <c r="ARU80" s="188"/>
      <c r="ARV80" s="187"/>
      <c r="ASB80" s="188"/>
      <c r="ASC80" s="187"/>
      <c r="ASI80" s="188"/>
      <c r="ASJ80" s="187"/>
      <c r="ASP80" s="188"/>
      <c r="ASQ80" s="187"/>
      <c r="ASU80" s="168"/>
      <c r="ASV80" s="189"/>
      <c r="ASW80" s="188"/>
      <c r="ASX80" s="187"/>
      <c r="ATD80" s="188"/>
      <c r="ATE80" s="187"/>
      <c r="ATK80" s="188"/>
      <c r="ATL80" s="187"/>
      <c r="ATR80" s="188"/>
      <c r="ATS80" s="187"/>
      <c r="ATY80" s="168"/>
      <c r="ATZ80" s="189"/>
      <c r="AUF80" s="188"/>
      <c r="AUG80" s="187"/>
      <c r="AUM80" s="188"/>
      <c r="AUN80" s="187"/>
      <c r="AUT80" s="188"/>
      <c r="AUU80" s="187"/>
      <c r="AVA80" s="188"/>
      <c r="AVB80" s="187"/>
      <c r="AVD80" s="168"/>
      <c r="AVE80" s="189"/>
      <c r="AVH80" s="188"/>
      <c r="AVI80" s="187"/>
      <c r="AVO80" s="188"/>
      <c r="AVP80" s="187"/>
      <c r="AVV80" s="188"/>
      <c r="AVW80" s="187"/>
      <c r="AWC80" s="188"/>
      <c r="AWD80" s="187"/>
      <c r="AWH80" s="168"/>
      <c r="AWI80" s="189"/>
      <c r="AWJ80" s="188"/>
      <c r="AWK80" s="187"/>
      <c r="AWQ80" s="188"/>
      <c r="AWR80" s="187"/>
      <c r="AWX80" s="188"/>
      <c r="AWY80" s="187"/>
      <c r="AXE80" s="188"/>
      <c r="AXF80" s="187"/>
      <c r="AXL80" s="188"/>
      <c r="AXM80" s="190"/>
      <c r="AXN80" s="189"/>
      <c r="AXS80" s="188"/>
      <c r="AXT80" s="187"/>
      <c r="AXZ80" s="188"/>
      <c r="AYA80" s="187"/>
      <c r="AYG80" s="188"/>
      <c r="AYH80" s="187"/>
      <c r="AYN80" s="188"/>
      <c r="AYO80" s="187"/>
      <c r="AYR80" s="168"/>
      <c r="AYS80" s="189"/>
      <c r="AYU80" s="188"/>
      <c r="AYV80" s="187"/>
      <c r="AZB80" s="188"/>
      <c r="AZC80" s="187"/>
      <c r="AZI80" s="188"/>
      <c r="AZJ80" s="187"/>
      <c r="AZP80" s="188"/>
      <c r="AZQ80" s="187"/>
      <c r="AZV80" s="168"/>
      <c r="AZW80" s="191"/>
      <c r="AZX80" s="187"/>
      <c r="BAD80" s="188"/>
      <c r="BAE80" s="187"/>
      <c r="BAK80" s="188"/>
      <c r="BAL80" s="187"/>
      <c r="BAR80" s="188"/>
      <c r="BAS80" s="187"/>
      <c r="BAY80" s="188"/>
      <c r="BAZ80" s="187"/>
      <c r="BBA80" s="168"/>
      <c r="BBB80" s="189"/>
      <c r="BBF80" s="188"/>
      <c r="BBG80" s="187"/>
      <c r="BBM80" s="188"/>
      <c r="BBN80" s="187"/>
      <c r="BBT80" s="188"/>
      <c r="BBU80" s="187"/>
      <c r="BCA80" s="188"/>
      <c r="BCB80" s="187"/>
      <c r="BCE80" s="168"/>
      <c r="BCF80" s="189"/>
      <c r="BCH80" s="188"/>
      <c r="BCI80" s="187"/>
      <c r="BCO80" s="188"/>
      <c r="BCP80" s="187"/>
      <c r="BCV80" s="188"/>
      <c r="BCW80" s="187"/>
      <c r="BDC80" s="188"/>
      <c r="BDD80" s="187"/>
      <c r="BDJ80" s="168"/>
      <c r="BDK80" s="189"/>
      <c r="BDQ80" s="188"/>
      <c r="BDR80" s="187"/>
      <c r="BDX80" s="188"/>
      <c r="BDY80" s="187"/>
      <c r="BEE80" s="188"/>
      <c r="BEF80" s="187"/>
      <c r="BEL80" s="188"/>
      <c r="BEM80" s="187"/>
      <c r="BEO80" s="168"/>
      <c r="BEP80" s="189"/>
      <c r="BES80" s="188"/>
      <c r="BET80" s="187"/>
      <c r="BEZ80" s="188"/>
      <c r="BFA80" s="187"/>
      <c r="BFG80" s="188"/>
      <c r="BFH80" s="187"/>
      <c r="BFN80" s="188"/>
      <c r="BFO80" s="187"/>
      <c r="BFQ80" s="168"/>
      <c r="BFR80" s="189"/>
      <c r="BFU80" s="188"/>
      <c r="BFV80" s="187"/>
      <c r="BGB80" s="188"/>
      <c r="BGC80" s="187"/>
      <c r="BGI80" s="188"/>
      <c r="BGJ80" s="187"/>
      <c r="BGP80" s="188"/>
      <c r="BGQ80" s="187"/>
      <c r="BGV80" s="168"/>
      <c r="BGW80" s="191"/>
      <c r="BGX80" s="187"/>
      <c r="BHD80" s="188"/>
      <c r="BHE80" s="187"/>
      <c r="BHK80" s="188"/>
      <c r="BHL80" s="187"/>
      <c r="BHR80" s="188"/>
      <c r="BHS80" s="187"/>
      <c r="BHY80" s="188"/>
      <c r="BHZ80" s="190"/>
      <c r="BIA80" s="189"/>
      <c r="BIF80" s="188"/>
      <c r="BIG80" s="187"/>
      <c r="BIM80" s="188"/>
      <c r="BIN80" s="187"/>
      <c r="BIT80" s="188"/>
      <c r="BIU80" s="187"/>
      <c r="BJA80" s="188"/>
      <c r="BJB80" s="187"/>
      <c r="BJE80" s="168"/>
      <c r="BJF80" s="189"/>
      <c r="BJH80" s="188"/>
      <c r="BJI80" s="187"/>
      <c r="BJO80" s="188"/>
      <c r="BJP80" s="187"/>
      <c r="BJV80" s="188"/>
      <c r="BJW80" s="187"/>
      <c r="BKC80" s="188"/>
      <c r="BKD80" s="187"/>
      <c r="BKI80" s="168"/>
      <c r="BKJ80" s="191"/>
      <c r="BKK80" s="187"/>
      <c r="BKQ80" s="188"/>
      <c r="BKR80" s="187"/>
      <c r="BKX80" s="188"/>
      <c r="BKY80" s="187"/>
      <c r="BLE80" s="188"/>
      <c r="BLF80" s="187"/>
      <c r="BLL80" s="188"/>
      <c r="BLM80" s="187"/>
      <c r="BLN80" s="168"/>
      <c r="BLO80" s="189"/>
      <c r="BLS80" s="188"/>
      <c r="BLT80" s="187"/>
      <c r="BLZ80" s="188"/>
      <c r="BMA80" s="187"/>
      <c r="BMG80" s="188"/>
      <c r="BMH80" s="187"/>
      <c r="BMN80" s="188"/>
      <c r="BMO80" s="187"/>
      <c r="BMS80" s="168"/>
      <c r="BMT80" s="189"/>
      <c r="BMU80" s="188"/>
      <c r="BMV80" s="187"/>
      <c r="BNB80" s="188"/>
      <c r="BNC80" s="187"/>
      <c r="BNI80" s="188"/>
      <c r="BNJ80" s="187"/>
      <c r="BNP80" s="188"/>
      <c r="BNQ80" s="187"/>
      <c r="BNW80" s="168"/>
      <c r="BNX80" s="189"/>
      <c r="BOD80" s="188"/>
      <c r="BOE80" s="187"/>
      <c r="BOK80" s="188"/>
      <c r="BOL80" s="187"/>
      <c r="BOR80" s="188"/>
      <c r="BOS80" s="187"/>
      <c r="BOY80" s="188"/>
      <c r="BOZ80" s="187"/>
      <c r="BPB80" s="168"/>
      <c r="BPC80" s="189"/>
      <c r="BPF80" s="188"/>
      <c r="BPG80" s="187"/>
      <c r="BPM80" s="188"/>
      <c r="BPN80" s="187"/>
      <c r="BPT80" s="188"/>
      <c r="BPU80" s="187"/>
      <c r="BQA80" s="188"/>
      <c r="BQB80" s="187"/>
      <c r="BQF80" s="168"/>
      <c r="BQG80" s="189"/>
      <c r="BQH80" s="188"/>
      <c r="BQI80" s="187"/>
      <c r="BQO80" s="188"/>
      <c r="BQP80" s="187"/>
      <c r="BQV80" s="188"/>
      <c r="BQW80" s="187"/>
      <c r="BRC80" s="188"/>
      <c r="BRD80" s="187"/>
      <c r="BRJ80" s="188"/>
      <c r="BRK80" s="190"/>
      <c r="BRL80" s="189"/>
      <c r="BRQ80" s="188"/>
      <c r="BRR80" s="187"/>
      <c r="BRX80" s="188"/>
      <c r="BRY80" s="187"/>
      <c r="BSE80" s="188"/>
      <c r="BSF80" s="187"/>
      <c r="BSL80" s="188"/>
      <c r="BSM80" s="187"/>
      <c r="BSP80" s="168"/>
      <c r="BSQ80" s="189"/>
      <c r="BSS80" s="188"/>
      <c r="BST80" s="187"/>
      <c r="BSZ80" s="188"/>
      <c r="BTA80" s="187"/>
      <c r="BTG80" s="188"/>
      <c r="BTH80" s="187"/>
      <c r="BTN80" s="188"/>
      <c r="BTO80" s="187"/>
      <c r="BTS80" s="168"/>
      <c r="BTT80" s="189"/>
      <c r="BTU80" s="188"/>
      <c r="BTV80" s="187"/>
      <c r="BUB80" s="188"/>
      <c r="BUC80" s="187"/>
      <c r="BUI80" s="188"/>
      <c r="BUJ80" s="187"/>
      <c r="BUP80" s="188"/>
      <c r="BUQ80" s="187"/>
      <c r="BUW80" s="188"/>
      <c r="BUX80" s="190"/>
      <c r="BUY80" s="189"/>
      <c r="BVD80" s="188"/>
      <c r="BVE80" s="187"/>
      <c r="BVK80" s="188"/>
      <c r="BVL80" s="187"/>
      <c r="BVR80" s="188"/>
      <c r="BVS80" s="187"/>
      <c r="BVY80" s="188"/>
      <c r="BVZ80" s="187"/>
      <c r="BWB80" s="168"/>
      <c r="BWC80" s="189"/>
      <c r="BWF80" s="188"/>
      <c r="BWG80" s="187"/>
      <c r="BWM80" s="188"/>
      <c r="BWN80" s="187"/>
      <c r="BWT80" s="188"/>
      <c r="BWU80" s="187"/>
      <c r="BXA80" s="188"/>
      <c r="BXB80" s="187"/>
      <c r="BXG80" s="168"/>
      <c r="BXH80" s="191"/>
      <c r="BXI80" s="187"/>
      <c r="BXO80" s="188"/>
      <c r="BXP80" s="187"/>
      <c r="BXV80" s="188"/>
      <c r="BXW80" s="187"/>
      <c r="BYC80" s="188"/>
      <c r="BYD80" s="187"/>
      <c r="BYJ80" s="188"/>
      <c r="BYK80" s="190"/>
      <c r="BYL80" s="189"/>
      <c r="BYQ80" s="188"/>
      <c r="BYR80" s="187"/>
      <c r="BYX80" s="188"/>
      <c r="BYY80" s="187"/>
      <c r="BZE80" s="188"/>
      <c r="BZF80" s="187"/>
      <c r="BZL80" s="188"/>
      <c r="BZM80" s="187"/>
      <c r="BZP80" s="168"/>
      <c r="BZQ80" s="189"/>
      <c r="BZS80" s="188"/>
      <c r="BZT80" s="187"/>
      <c r="BZZ80" s="188"/>
      <c r="CAA80" s="187"/>
      <c r="CAG80" s="188"/>
      <c r="CAH80" s="187"/>
      <c r="CAN80" s="188"/>
      <c r="CAO80" s="187"/>
      <c r="CAU80" s="168"/>
      <c r="CAV80" s="189"/>
      <c r="CBB80" s="188"/>
      <c r="CBC80" s="187"/>
      <c r="CBI80" s="188"/>
      <c r="CBJ80" s="187"/>
      <c r="CBP80" s="188"/>
      <c r="CBQ80" s="187"/>
      <c r="CBW80" s="188"/>
      <c r="CBX80" s="187"/>
      <c r="CBY80" s="168"/>
      <c r="CBZ80" s="189"/>
      <c r="CCD80" s="188"/>
      <c r="CCE80" s="187"/>
      <c r="CCK80" s="188"/>
      <c r="CCL80" s="187"/>
      <c r="CCR80" s="188"/>
      <c r="CCS80" s="187"/>
      <c r="CCY80" s="188"/>
      <c r="CCZ80" s="187"/>
      <c r="CDD80" s="168"/>
      <c r="CDE80" s="189"/>
      <c r="CDF80" s="188"/>
      <c r="CDG80" s="187"/>
      <c r="CDM80" s="188"/>
      <c r="CDN80" s="187"/>
      <c r="CDT80" s="188"/>
      <c r="CDU80" s="187"/>
      <c r="CEA80" s="188"/>
      <c r="CEB80" s="187"/>
      <c r="CEH80" s="168"/>
      <c r="CEI80" s="189"/>
      <c r="CEO80" s="188"/>
      <c r="CEP80" s="187"/>
      <c r="CEV80" s="188"/>
      <c r="CEW80" s="187"/>
      <c r="CFC80" s="188"/>
      <c r="CFD80" s="187"/>
      <c r="CFJ80" s="188"/>
      <c r="CFK80" s="187"/>
    </row>
    <row r="81" spans="1:1019 1025:2048 2054:2195">
      <c r="D81" s="186"/>
      <c r="E81" s="186"/>
      <c r="K81" s="187"/>
      <c r="Q81" s="188"/>
      <c r="R81" s="187"/>
      <c r="X81" s="188"/>
      <c r="Y81" s="187"/>
      <c r="AE81" s="188"/>
      <c r="AF81" s="187"/>
      <c r="AJ81" s="168"/>
      <c r="AK81" s="189"/>
      <c r="AL81" s="188"/>
      <c r="AM81" s="187"/>
      <c r="AS81" s="188"/>
      <c r="AT81" s="187"/>
      <c r="AZ81" s="188"/>
      <c r="BA81" s="187"/>
      <c r="BG81" s="188"/>
      <c r="BH81" s="187"/>
      <c r="BL81" s="168"/>
      <c r="BM81" s="189"/>
      <c r="BN81" s="188"/>
      <c r="BO81" s="187"/>
      <c r="BU81" s="188"/>
      <c r="BV81" s="187"/>
      <c r="CB81" s="188"/>
      <c r="CC81" s="187"/>
      <c r="CI81" s="188"/>
      <c r="CJ81" s="187"/>
      <c r="CP81" s="188"/>
      <c r="CQ81" s="190"/>
      <c r="CR81" s="189"/>
      <c r="CW81" s="188"/>
      <c r="CX81" s="187"/>
      <c r="DD81" s="188"/>
      <c r="DE81" s="187"/>
      <c r="DK81" s="188"/>
      <c r="DL81" s="187"/>
      <c r="DR81" s="188"/>
      <c r="DS81" s="187"/>
      <c r="DU81" s="168"/>
      <c r="DV81" s="189"/>
      <c r="DY81" s="188"/>
      <c r="DZ81" s="187"/>
      <c r="EF81" s="188"/>
      <c r="EG81" s="187"/>
      <c r="EM81" s="188"/>
      <c r="EN81" s="187"/>
      <c r="ET81" s="188"/>
      <c r="EU81" s="187"/>
      <c r="EZ81" s="168"/>
      <c r="FA81" s="191"/>
      <c r="FB81" s="187"/>
      <c r="FH81" s="188"/>
      <c r="FI81" s="187"/>
      <c r="FO81" s="188"/>
      <c r="FP81" s="187"/>
      <c r="FV81" s="188"/>
      <c r="FW81" s="187"/>
      <c r="GC81" s="188"/>
      <c r="GD81" s="190"/>
      <c r="GE81" s="189"/>
      <c r="GJ81" s="188"/>
      <c r="GK81" s="187"/>
      <c r="GQ81" s="188"/>
      <c r="GR81" s="187"/>
      <c r="GX81" s="188"/>
      <c r="GY81" s="187"/>
      <c r="HE81" s="188"/>
      <c r="HF81" s="187"/>
      <c r="HI81" s="168"/>
      <c r="HJ81" s="189"/>
      <c r="HL81" s="188"/>
      <c r="HM81" s="187"/>
      <c r="HS81" s="188"/>
      <c r="HT81" s="187"/>
      <c r="HZ81" s="188"/>
      <c r="IA81" s="187"/>
      <c r="IG81" s="188"/>
      <c r="IH81" s="187"/>
      <c r="IN81" s="168"/>
      <c r="IO81" s="189"/>
      <c r="IU81" s="188"/>
      <c r="IV81" s="187"/>
      <c r="JB81" s="188"/>
      <c r="JC81" s="187"/>
      <c r="JI81" s="188"/>
      <c r="JJ81" s="187"/>
      <c r="JP81" s="188"/>
      <c r="JQ81" s="187"/>
      <c r="JR81" s="168"/>
      <c r="JS81" s="189"/>
      <c r="JW81" s="188"/>
      <c r="JX81" s="187"/>
      <c r="KD81" s="188"/>
      <c r="KE81" s="187"/>
      <c r="KK81" s="188"/>
      <c r="KL81" s="187"/>
      <c r="KR81" s="188"/>
      <c r="KS81" s="187"/>
      <c r="KW81" s="168"/>
      <c r="KX81" s="189"/>
      <c r="KY81" s="188"/>
      <c r="KZ81" s="187"/>
      <c r="LF81" s="188"/>
      <c r="LG81" s="187"/>
      <c r="LM81" s="188"/>
      <c r="LN81" s="187"/>
      <c r="LT81" s="188"/>
      <c r="LU81" s="187"/>
      <c r="MA81" s="168"/>
      <c r="MB81" s="189"/>
      <c r="MH81" s="188"/>
      <c r="MI81" s="187"/>
      <c r="MO81" s="188"/>
      <c r="MP81" s="187"/>
      <c r="MV81" s="188"/>
      <c r="MW81" s="187"/>
      <c r="NC81" s="188"/>
      <c r="ND81" s="187"/>
      <c r="NF81" s="168"/>
      <c r="NG81" s="189"/>
      <c r="NJ81" s="188"/>
      <c r="NK81" s="187"/>
      <c r="NQ81" s="188"/>
      <c r="NR81" s="187"/>
      <c r="NX81" s="188"/>
      <c r="NY81" s="187"/>
      <c r="OE81" s="188"/>
      <c r="OF81" s="187"/>
      <c r="OK81" s="168"/>
      <c r="OL81" s="191"/>
      <c r="OM81" s="187"/>
      <c r="OS81" s="188"/>
      <c r="OT81" s="187"/>
      <c r="OZ81" s="188"/>
      <c r="PA81" s="187"/>
      <c r="PG81" s="188"/>
      <c r="PH81" s="187"/>
      <c r="PN81" s="168"/>
      <c r="PO81" s="189"/>
      <c r="PU81" s="188"/>
      <c r="PV81" s="187"/>
      <c r="QB81" s="188"/>
      <c r="QC81" s="187"/>
      <c r="QI81" s="188"/>
      <c r="QJ81" s="187"/>
      <c r="QP81" s="188"/>
      <c r="QQ81" s="187"/>
      <c r="QS81" s="168"/>
      <c r="QT81" s="189"/>
      <c r="QW81" s="188"/>
      <c r="QX81" s="187"/>
      <c r="RD81" s="188"/>
      <c r="RE81" s="187"/>
      <c r="RK81" s="188"/>
      <c r="RL81" s="187"/>
      <c r="RR81" s="188"/>
      <c r="RS81" s="187"/>
      <c r="RW81" s="168"/>
      <c r="RX81" s="189"/>
      <c r="RY81" s="188"/>
      <c r="RZ81" s="187"/>
      <c r="SF81" s="188"/>
      <c r="SG81" s="187"/>
      <c r="SM81" s="188"/>
      <c r="SN81" s="187"/>
      <c r="ST81" s="188"/>
      <c r="SU81" s="187"/>
      <c r="TA81" s="188"/>
      <c r="TB81" s="190"/>
      <c r="TC81" s="189"/>
      <c r="TH81" s="188"/>
      <c r="TI81" s="187"/>
      <c r="TO81" s="188"/>
      <c r="TP81" s="187"/>
      <c r="TV81" s="188"/>
      <c r="TW81" s="187"/>
      <c r="UC81" s="188"/>
      <c r="UD81" s="187"/>
      <c r="UF81" s="168"/>
      <c r="UG81" s="189"/>
      <c r="UJ81" s="188"/>
      <c r="UK81" s="187"/>
      <c r="UQ81" s="188"/>
      <c r="UR81" s="187"/>
      <c r="UX81" s="188"/>
      <c r="UY81" s="187"/>
      <c r="VE81" s="188"/>
      <c r="VF81" s="187"/>
      <c r="VK81" s="168"/>
      <c r="VL81" s="191"/>
      <c r="VM81" s="187"/>
      <c r="VS81" s="188"/>
      <c r="VT81" s="187"/>
      <c r="VZ81" s="188"/>
      <c r="WA81" s="187"/>
      <c r="WG81" s="188"/>
      <c r="WH81" s="187"/>
      <c r="WN81" s="188"/>
      <c r="WO81" s="187"/>
      <c r="WP81" s="168"/>
      <c r="WQ81" s="189"/>
      <c r="WU81" s="188"/>
      <c r="WV81" s="187"/>
      <c r="XB81" s="188"/>
      <c r="XC81" s="187"/>
      <c r="XI81" s="188"/>
      <c r="XJ81" s="187"/>
      <c r="XP81" s="188"/>
      <c r="XQ81" s="187"/>
      <c r="XT81" s="168"/>
      <c r="XU81" s="189"/>
      <c r="XW81" s="188"/>
      <c r="XX81" s="187"/>
      <c r="YD81" s="188"/>
      <c r="YE81" s="187"/>
      <c r="YK81" s="188"/>
      <c r="YL81" s="187"/>
      <c r="YR81" s="188"/>
      <c r="YS81" s="187"/>
      <c r="YY81" s="168"/>
      <c r="YZ81" s="189"/>
      <c r="ZF81" s="188"/>
      <c r="ZG81" s="187"/>
      <c r="ZM81" s="188"/>
      <c r="ZN81" s="187"/>
      <c r="ZT81" s="188"/>
      <c r="ZU81" s="187"/>
      <c r="AAA81" s="188"/>
      <c r="AAB81" s="187"/>
      <c r="AAC81" s="168"/>
      <c r="AAD81" s="189"/>
      <c r="AAH81" s="188"/>
      <c r="AAI81" s="187"/>
      <c r="AAO81" s="188"/>
      <c r="AAP81" s="187"/>
      <c r="AAV81" s="188"/>
      <c r="AAW81" s="187"/>
      <c r="ABC81" s="188"/>
      <c r="ABD81" s="187"/>
      <c r="ABH81" s="168"/>
      <c r="ABI81" s="189"/>
      <c r="ABJ81" s="188"/>
      <c r="ABK81" s="187"/>
      <c r="ABQ81" s="188"/>
      <c r="ABR81" s="187"/>
      <c r="ABX81" s="188"/>
      <c r="ABY81" s="187"/>
      <c r="ACE81" s="188"/>
      <c r="ACF81" s="187"/>
      <c r="ACL81" s="188"/>
      <c r="ACM81" s="190"/>
      <c r="ACN81" s="189"/>
      <c r="ACS81" s="188"/>
      <c r="ACT81" s="187"/>
      <c r="ACZ81" s="188"/>
      <c r="ADA81" s="187"/>
      <c r="ADG81" s="188"/>
      <c r="ADH81" s="187"/>
      <c r="ADN81" s="188"/>
      <c r="ADO81" s="190"/>
      <c r="ADP81" s="189"/>
      <c r="ADU81" s="188"/>
      <c r="ADV81" s="187"/>
      <c r="AEB81" s="188"/>
      <c r="AEC81" s="187"/>
      <c r="AEI81" s="188"/>
      <c r="AEJ81" s="187"/>
      <c r="AEP81" s="188"/>
      <c r="AEQ81" s="187"/>
      <c r="AET81" s="168"/>
      <c r="AEU81" s="189"/>
      <c r="AEW81" s="188"/>
      <c r="AEX81" s="187"/>
      <c r="AFD81" s="188"/>
      <c r="AFE81" s="187"/>
      <c r="AFK81" s="188"/>
      <c r="AFL81" s="187"/>
      <c r="AFR81" s="188"/>
      <c r="AFS81" s="187"/>
      <c r="AFX81" s="168"/>
      <c r="AFY81" s="191"/>
      <c r="AFZ81" s="187"/>
      <c r="AGF81" s="188"/>
      <c r="AGG81" s="187"/>
      <c r="AGM81" s="188"/>
      <c r="AGN81" s="187"/>
      <c r="AGT81" s="188"/>
      <c r="AGU81" s="187"/>
      <c r="AHA81" s="188"/>
      <c r="AHB81" s="187"/>
      <c r="AHC81" s="168"/>
      <c r="AHD81" s="189"/>
      <c r="AHH81" s="188"/>
      <c r="AHI81" s="187"/>
      <c r="AHO81" s="188"/>
      <c r="AHP81" s="187"/>
      <c r="AHV81" s="188"/>
      <c r="AHW81" s="187"/>
      <c r="AIC81" s="188"/>
      <c r="AID81" s="187"/>
      <c r="AIG81" s="168"/>
      <c r="AIH81" s="189"/>
      <c r="AIJ81" s="188"/>
      <c r="AIK81" s="187"/>
      <c r="AIQ81" s="188"/>
      <c r="AIR81" s="187"/>
      <c r="AIX81" s="188"/>
      <c r="AIY81" s="187"/>
      <c r="AJE81" s="188"/>
      <c r="AJF81" s="187"/>
      <c r="AJL81" s="168"/>
      <c r="AJM81" s="189"/>
      <c r="AJS81" s="188"/>
      <c r="AJT81" s="187"/>
      <c r="AJZ81" s="188"/>
      <c r="AKA81" s="187"/>
      <c r="AKG81" s="188"/>
      <c r="AKH81" s="187"/>
      <c r="AKN81" s="188"/>
      <c r="AKO81" s="187"/>
      <c r="AKQ81" s="168"/>
      <c r="AKR81" s="189"/>
      <c r="AKU81" s="188"/>
      <c r="AKV81" s="187"/>
      <c r="ALB81" s="188"/>
      <c r="ALC81" s="187"/>
      <c r="ALI81" s="188"/>
      <c r="ALJ81" s="187"/>
      <c r="ALP81" s="188"/>
      <c r="ALQ81" s="187"/>
      <c r="ALU81" s="168"/>
      <c r="ALV81" s="189"/>
      <c r="ALW81" s="188"/>
      <c r="ALX81" s="187"/>
      <c r="AMD81" s="188"/>
      <c r="AME81" s="187"/>
      <c r="AMK81" s="188"/>
      <c r="AML81" s="187"/>
      <c r="AMR81" s="188"/>
      <c r="AMS81" s="187"/>
      <c r="AMY81" s="188"/>
      <c r="AMZ81" s="190"/>
      <c r="ANA81" s="189"/>
      <c r="ANF81" s="188"/>
      <c r="ANG81" s="187"/>
      <c r="ANM81" s="188"/>
      <c r="ANN81" s="187"/>
      <c r="ANT81" s="188"/>
      <c r="ANU81" s="187"/>
      <c r="AOA81" s="188"/>
      <c r="AOB81" s="187"/>
      <c r="AOD81" s="168"/>
      <c r="AOE81" s="189"/>
      <c r="AOH81" s="188"/>
      <c r="AOI81" s="187"/>
      <c r="AOO81" s="188"/>
      <c r="AOP81" s="187"/>
      <c r="AOV81" s="188"/>
      <c r="AOW81" s="187"/>
      <c r="APC81" s="188"/>
      <c r="APD81" s="187"/>
      <c r="API81" s="168"/>
      <c r="APJ81" s="191"/>
      <c r="APK81" s="187"/>
      <c r="APQ81" s="188"/>
      <c r="APR81" s="187"/>
      <c r="APX81" s="188"/>
      <c r="APY81" s="187"/>
      <c r="AQE81" s="188"/>
      <c r="AQF81" s="187"/>
      <c r="AQL81" s="188"/>
      <c r="AQM81" s="187"/>
      <c r="AQN81" s="168"/>
      <c r="AQO81" s="189"/>
      <c r="AQS81" s="188"/>
      <c r="AQT81" s="187"/>
      <c r="AQZ81" s="188"/>
      <c r="ARA81" s="187"/>
      <c r="ARG81" s="188"/>
      <c r="ARH81" s="187"/>
      <c r="ARN81" s="188"/>
      <c r="ARO81" s="187"/>
      <c r="ARP81" s="168"/>
      <c r="ARQ81" s="189"/>
      <c r="ARU81" s="188"/>
      <c r="ARV81" s="187"/>
      <c r="ASB81" s="188"/>
      <c r="ASC81" s="187"/>
      <c r="ASI81" s="188"/>
      <c r="ASJ81" s="187"/>
      <c r="ASP81" s="188"/>
      <c r="ASQ81" s="187"/>
      <c r="ASU81" s="168"/>
      <c r="ASV81" s="189"/>
      <c r="ASW81" s="188"/>
      <c r="ASX81" s="187"/>
      <c r="ATD81" s="188"/>
      <c r="ATE81" s="187"/>
      <c r="ATK81" s="188"/>
      <c r="ATL81" s="187"/>
      <c r="ATR81" s="188"/>
      <c r="ATS81" s="187"/>
      <c r="ATY81" s="168"/>
      <c r="ATZ81" s="189"/>
      <c r="AUF81" s="188"/>
      <c r="AUG81" s="187"/>
      <c r="AUM81" s="188"/>
      <c r="AUN81" s="187"/>
      <c r="AUT81" s="188"/>
      <c r="AUU81" s="187"/>
      <c r="AVA81" s="188"/>
      <c r="AVB81" s="187"/>
      <c r="AVD81" s="168"/>
      <c r="AVE81" s="189"/>
      <c r="AVH81" s="188"/>
      <c r="AVI81" s="187"/>
      <c r="AVO81" s="188"/>
      <c r="AVP81" s="187"/>
      <c r="AVV81" s="188"/>
      <c r="AVW81" s="187"/>
      <c r="AWC81" s="188"/>
      <c r="AWD81" s="187"/>
      <c r="AWH81" s="168"/>
      <c r="AWI81" s="189"/>
      <c r="AWJ81" s="188"/>
      <c r="AWK81" s="187"/>
      <c r="AWQ81" s="188"/>
      <c r="AWR81" s="187"/>
      <c r="AWX81" s="188"/>
      <c r="AWY81" s="187"/>
      <c r="AXE81" s="188"/>
      <c r="AXF81" s="187"/>
      <c r="AXL81" s="188"/>
      <c r="AXM81" s="190"/>
      <c r="AXN81" s="189"/>
      <c r="AXS81" s="188"/>
      <c r="AXT81" s="187"/>
      <c r="AXZ81" s="188"/>
      <c r="AYA81" s="187"/>
      <c r="AYG81" s="188"/>
      <c r="AYH81" s="187"/>
      <c r="AYN81" s="188"/>
      <c r="AYO81" s="187"/>
      <c r="AYR81" s="168"/>
      <c r="AYS81" s="189"/>
      <c r="AYU81" s="188"/>
      <c r="AYV81" s="187"/>
      <c r="AZB81" s="188"/>
      <c r="AZC81" s="187"/>
      <c r="AZI81" s="188"/>
      <c r="AZJ81" s="187"/>
      <c r="AZP81" s="188"/>
      <c r="AZQ81" s="187"/>
      <c r="AZV81" s="168"/>
      <c r="AZW81" s="191"/>
      <c r="AZX81" s="187"/>
      <c r="BAD81" s="188"/>
      <c r="BAE81" s="187"/>
      <c r="BAK81" s="188"/>
      <c r="BAL81" s="187"/>
      <c r="BAR81" s="188"/>
      <c r="BAS81" s="187"/>
      <c r="BAY81" s="188"/>
      <c r="BAZ81" s="187"/>
      <c r="BBA81" s="168"/>
      <c r="BBB81" s="189"/>
      <c r="BBF81" s="188"/>
      <c r="BBG81" s="187"/>
      <c r="BBM81" s="188"/>
      <c r="BBN81" s="187"/>
      <c r="BBT81" s="188"/>
      <c r="BBU81" s="187"/>
      <c r="BCA81" s="188"/>
      <c r="BCB81" s="187"/>
      <c r="BCE81" s="168"/>
      <c r="BCF81" s="189"/>
      <c r="BCH81" s="188"/>
      <c r="BCI81" s="187"/>
      <c r="BCO81" s="188"/>
      <c r="BCP81" s="187"/>
      <c r="BCV81" s="188"/>
      <c r="BCW81" s="187"/>
      <c r="BDC81" s="188"/>
      <c r="BDD81" s="187"/>
      <c r="BDJ81" s="168"/>
      <c r="BDK81" s="189"/>
      <c r="BDQ81" s="188"/>
      <c r="BDR81" s="187"/>
      <c r="BDX81" s="188"/>
      <c r="BDY81" s="187"/>
      <c r="BEE81" s="188"/>
      <c r="BEF81" s="187"/>
      <c r="BEL81" s="188"/>
      <c r="BEM81" s="187"/>
      <c r="BEO81" s="168"/>
      <c r="BEP81" s="189"/>
      <c r="BES81" s="188"/>
      <c r="BET81" s="187"/>
      <c r="BEZ81" s="188"/>
      <c r="BFA81" s="187"/>
      <c r="BFG81" s="188"/>
      <c r="BFH81" s="187"/>
      <c r="BFN81" s="188"/>
      <c r="BFO81" s="187"/>
      <c r="BFQ81" s="168"/>
      <c r="BFR81" s="189"/>
      <c r="BFU81" s="188"/>
      <c r="BFV81" s="187"/>
      <c r="BGB81" s="188"/>
      <c r="BGC81" s="187"/>
      <c r="BGI81" s="188"/>
      <c r="BGJ81" s="187"/>
      <c r="BGP81" s="188"/>
      <c r="BGQ81" s="187"/>
      <c r="BGV81" s="168"/>
      <c r="BGW81" s="191"/>
      <c r="BGX81" s="187"/>
      <c r="BHD81" s="188"/>
      <c r="BHE81" s="187"/>
      <c r="BHK81" s="188"/>
      <c r="BHL81" s="187"/>
      <c r="BHR81" s="188"/>
      <c r="BHS81" s="187"/>
      <c r="BHY81" s="188"/>
      <c r="BHZ81" s="190"/>
      <c r="BIA81" s="189"/>
      <c r="BIF81" s="188"/>
      <c r="BIG81" s="187"/>
      <c r="BIM81" s="188"/>
      <c r="BIN81" s="187"/>
      <c r="BIT81" s="188"/>
      <c r="BIU81" s="187"/>
      <c r="BJA81" s="188"/>
      <c r="BJB81" s="187"/>
      <c r="BJE81" s="168"/>
      <c r="BJF81" s="189"/>
      <c r="BJH81" s="188"/>
      <c r="BJI81" s="187"/>
      <c r="BJO81" s="188"/>
      <c r="BJP81" s="187"/>
      <c r="BJV81" s="188"/>
      <c r="BJW81" s="187"/>
      <c r="BKC81" s="188"/>
      <c r="BKD81" s="187"/>
      <c r="BKI81" s="168"/>
      <c r="BKJ81" s="191"/>
      <c r="BKK81" s="187"/>
      <c r="BKQ81" s="188"/>
      <c r="BKR81" s="187"/>
      <c r="BKX81" s="188"/>
      <c r="BKY81" s="187"/>
      <c r="BLE81" s="188"/>
      <c r="BLF81" s="187"/>
      <c r="BLL81" s="188"/>
      <c r="BLM81" s="187"/>
      <c r="BLN81" s="168"/>
      <c r="BLO81" s="189"/>
      <c r="BLS81" s="188"/>
      <c r="BLT81" s="187"/>
      <c r="BLZ81" s="188"/>
      <c r="BMA81" s="187"/>
      <c r="BMG81" s="188"/>
      <c r="BMH81" s="187"/>
      <c r="BMN81" s="188"/>
      <c r="BMO81" s="187"/>
      <c r="BMS81" s="168"/>
      <c r="BMT81" s="189"/>
      <c r="BMU81" s="188"/>
      <c r="BMV81" s="187"/>
      <c r="BNB81" s="188"/>
      <c r="BNC81" s="187"/>
      <c r="BNI81" s="188"/>
      <c r="BNJ81" s="187"/>
      <c r="BNP81" s="188"/>
      <c r="BNQ81" s="187"/>
      <c r="BNW81" s="168"/>
      <c r="BNX81" s="189"/>
      <c r="BOD81" s="188"/>
      <c r="BOE81" s="187"/>
      <c r="BOK81" s="188"/>
      <c r="BOL81" s="187"/>
      <c r="BOR81" s="188"/>
      <c r="BOS81" s="187"/>
      <c r="BOY81" s="188"/>
      <c r="BOZ81" s="187"/>
      <c r="BPB81" s="168"/>
      <c r="BPC81" s="189"/>
      <c r="BPF81" s="188"/>
      <c r="BPG81" s="187"/>
      <c r="BPM81" s="188"/>
      <c r="BPN81" s="187"/>
      <c r="BPT81" s="188"/>
      <c r="BPU81" s="187"/>
      <c r="BQA81" s="188"/>
      <c r="BQB81" s="187"/>
      <c r="BQF81" s="168"/>
      <c r="BQG81" s="189"/>
      <c r="BQH81" s="188"/>
      <c r="BQI81" s="187"/>
      <c r="BQO81" s="188"/>
      <c r="BQP81" s="187"/>
      <c r="BQV81" s="188"/>
      <c r="BQW81" s="187"/>
      <c r="BRC81" s="188"/>
      <c r="BRD81" s="187"/>
      <c r="BRJ81" s="188"/>
      <c r="BRK81" s="190"/>
      <c r="BRL81" s="189"/>
      <c r="BRQ81" s="188"/>
      <c r="BRR81" s="187"/>
      <c r="BRX81" s="188"/>
      <c r="BRY81" s="187"/>
      <c r="BSE81" s="188"/>
      <c r="BSF81" s="187"/>
      <c r="BSL81" s="188"/>
      <c r="BSM81" s="187"/>
      <c r="BSP81" s="168"/>
      <c r="BSQ81" s="189"/>
      <c r="BSS81" s="188"/>
      <c r="BST81" s="187"/>
      <c r="BSZ81" s="188"/>
      <c r="BTA81" s="187"/>
      <c r="BTG81" s="188"/>
      <c r="BTH81" s="187"/>
      <c r="BTN81" s="188"/>
      <c r="BTO81" s="187"/>
      <c r="BTS81" s="168"/>
      <c r="BTT81" s="189"/>
      <c r="BTU81" s="188"/>
      <c r="BTV81" s="187"/>
      <c r="BUB81" s="188"/>
      <c r="BUC81" s="187"/>
      <c r="BUI81" s="188"/>
      <c r="BUJ81" s="187"/>
      <c r="BUP81" s="188"/>
      <c r="BUQ81" s="187"/>
      <c r="BUW81" s="188"/>
      <c r="BUX81" s="190"/>
      <c r="BUY81" s="189"/>
      <c r="BVD81" s="188"/>
      <c r="BVE81" s="187"/>
      <c r="BVK81" s="188"/>
      <c r="BVL81" s="187"/>
      <c r="BVR81" s="188"/>
      <c r="BVS81" s="187"/>
      <c r="BVY81" s="188"/>
      <c r="BVZ81" s="187"/>
      <c r="BWB81" s="168"/>
      <c r="BWC81" s="189"/>
      <c r="BWF81" s="188"/>
      <c r="BWG81" s="187"/>
      <c r="BWM81" s="188"/>
      <c r="BWN81" s="187"/>
      <c r="BWT81" s="188"/>
      <c r="BWU81" s="187"/>
      <c r="BXA81" s="188"/>
      <c r="BXB81" s="187"/>
      <c r="BXG81" s="168"/>
      <c r="BXH81" s="191"/>
      <c r="BXI81" s="187"/>
      <c r="BXO81" s="188"/>
      <c r="BXP81" s="187"/>
      <c r="BXV81" s="188"/>
      <c r="BXW81" s="187"/>
      <c r="BYC81" s="188"/>
      <c r="BYD81" s="187"/>
      <c r="BYJ81" s="188"/>
      <c r="BYK81" s="190"/>
      <c r="BYL81" s="189"/>
      <c r="BYQ81" s="188"/>
      <c r="BYR81" s="187"/>
      <c r="BYX81" s="188"/>
      <c r="BYY81" s="187"/>
      <c r="BZE81" s="188"/>
      <c r="BZF81" s="187"/>
      <c r="BZL81" s="188"/>
      <c r="BZM81" s="187"/>
      <c r="BZP81" s="168"/>
      <c r="BZQ81" s="189"/>
      <c r="BZS81" s="188"/>
      <c r="BZT81" s="187"/>
      <c r="BZZ81" s="188"/>
      <c r="CAA81" s="187"/>
      <c r="CAG81" s="188"/>
      <c r="CAH81" s="187"/>
      <c r="CAN81" s="188"/>
      <c r="CAO81" s="187"/>
      <c r="CAU81" s="168"/>
      <c r="CAV81" s="189"/>
      <c r="CBB81" s="188"/>
      <c r="CBC81" s="187"/>
      <c r="CBI81" s="188"/>
      <c r="CBJ81" s="187"/>
      <c r="CBP81" s="188"/>
      <c r="CBQ81" s="187"/>
      <c r="CBW81" s="188"/>
      <c r="CBX81" s="187"/>
      <c r="CBY81" s="168"/>
      <c r="CBZ81" s="189"/>
      <c r="CCD81" s="188"/>
      <c r="CCE81" s="187"/>
      <c r="CCK81" s="188"/>
      <c r="CCL81" s="187"/>
      <c r="CCR81" s="188"/>
      <c r="CCS81" s="187"/>
      <c r="CCY81" s="188"/>
      <c r="CCZ81" s="187"/>
      <c r="CDD81" s="168"/>
      <c r="CDE81" s="189"/>
      <c r="CDF81" s="188"/>
      <c r="CDG81" s="187"/>
      <c r="CDM81" s="188"/>
      <c r="CDN81" s="187"/>
      <c r="CDT81" s="188"/>
      <c r="CDU81" s="187"/>
      <c r="CEA81" s="188"/>
      <c r="CEB81" s="187"/>
      <c r="CEH81" s="168"/>
      <c r="CEI81" s="189"/>
      <c r="CEO81" s="188"/>
      <c r="CEP81" s="187"/>
      <c r="CEV81" s="188"/>
      <c r="CEW81" s="187"/>
      <c r="CFC81" s="188"/>
      <c r="CFD81" s="187"/>
      <c r="CFJ81" s="188"/>
      <c r="CFK81" s="187"/>
    </row>
    <row r="82" spans="1:1019 1025:2048 2054:2195">
      <c r="D82" s="186"/>
      <c r="E82" s="186"/>
      <c r="K82" s="187"/>
      <c r="Q82" s="188"/>
      <c r="R82" s="187"/>
      <c r="X82" s="188"/>
      <c r="Y82" s="187"/>
      <c r="AE82" s="188"/>
      <c r="AF82" s="187"/>
      <c r="AJ82" s="168"/>
      <c r="AK82" s="189"/>
      <c r="AL82" s="188"/>
      <c r="AM82" s="187"/>
      <c r="AS82" s="188"/>
      <c r="AT82" s="187"/>
      <c r="AZ82" s="188"/>
      <c r="BA82" s="187"/>
      <c r="BG82" s="188"/>
      <c r="BH82" s="187"/>
      <c r="BL82" s="168"/>
      <c r="BM82" s="189"/>
      <c r="BN82" s="188"/>
      <c r="BO82" s="187"/>
      <c r="BU82" s="188"/>
      <c r="BV82" s="187"/>
      <c r="CB82" s="188"/>
      <c r="CC82" s="187"/>
      <c r="CI82" s="188"/>
      <c r="CJ82" s="187"/>
      <c r="CP82" s="188"/>
      <c r="CQ82" s="190"/>
      <c r="CR82" s="189"/>
      <c r="CW82" s="188"/>
      <c r="CX82" s="187"/>
      <c r="DD82" s="188"/>
      <c r="DE82" s="187"/>
      <c r="DK82" s="188"/>
      <c r="DL82" s="187"/>
      <c r="DR82" s="188"/>
      <c r="DS82" s="187"/>
      <c r="DU82" s="168"/>
      <c r="DV82" s="189"/>
      <c r="DY82" s="188"/>
      <c r="DZ82" s="187"/>
      <c r="EF82" s="188"/>
      <c r="EG82" s="187"/>
      <c r="EM82" s="188"/>
      <c r="EN82" s="187"/>
      <c r="ET82" s="188"/>
      <c r="EU82" s="187"/>
      <c r="EZ82" s="168"/>
      <c r="FA82" s="191"/>
      <c r="FB82" s="187"/>
      <c r="FH82" s="188"/>
      <c r="FI82" s="187"/>
      <c r="FO82" s="188"/>
      <c r="FP82" s="187"/>
      <c r="FV82" s="188"/>
      <c r="FW82" s="187"/>
      <c r="GC82" s="188"/>
      <c r="GD82" s="190"/>
      <c r="GE82" s="189"/>
      <c r="GJ82" s="188"/>
      <c r="GK82" s="187"/>
      <c r="GQ82" s="188"/>
      <c r="GR82" s="187"/>
      <c r="GX82" s="188"/>
      <c r="GY82" s="187"/>
      <c r="HE82" s="188"/>
      <c r="HF82" s="187"/>
      <c r="HI82" s="168"/>
      <c r="HJ82" s="189"/>
      <c r="HL82" s="188"/>
      <c r="HM82" s="187"/>
      <c r="HS82" s="188"/>
      <c r="HT82" s="187"/>
      <c r="HZ82" s="188"/>
      <c r="IA82" s="187"/>
      <c r="IG82" s="188"/>
      <c r="IH82" s="187"/>
      <c r="IN82" s="168"/>
      <c r="IO82" s="189"/>
      <c r="IU82" s="188"/>
      <c r="IV82" s="187"/>
      <c r="JB82" s="188"/>
      <c r="JC82" s="187"/>
      <c r="JI82" s="188"/>
      <c r="JJ82" s="187"/>
      <c r="JP82" s="188"/>
      <c r="JQ82" s="187"/>
      <c r="JR82" s="168"/>
      <c r="JS82" s="189"/>
      <c r="JW82" s="188"/>
      <c r="JX82" s="187"/>
      <c r="KD82" s="188"/>
      <c r="KE82" s="187"/>
      <c r="KK82" s="188"/>
      <c r="KL82" s="187"/>
      <c r="KR82" s="188"/>
      <c r="KS82" s="187"/>
      <c r="KW82" s="168"/>
      <c r="KX82" s="189"/>
      <c r="KY82" s="188"/>
      <c r="KZ82" s="187"/>
      <c r="LF82" s="188"/>
      <c r="LG82" s="187"/>
      <c r="LM82" s="188"/>
      <c r="LN82" s="187"/>
      <c r="LT82" s="188"/>
      <c r="LU82" s="187"/>
      <c r="MA82" s="168"/>
      <c r="MB82" s="189"/>
      <c r="MH82" s="188"/>
      <c r="MI82" s="187"/>
      <c r="MO82" s="188"/>
      <c r="MP82" s="187"/>
      <c r="MV82" s="188"/>
      <c r="MW82" s="187"/>
      <c r="NC82" s="188"/>
      <c r="ND82" s="187"/>
      <c r="NF82" s="168"/>
      <c r="NG82" s="189"/>
      <c r="NJ82" s="188"/>
      <c r="NK82" s="187"/>
      <c r="NQ82" s="188"/>
      <c r="NR82" s="187"/>
      <c r="NX82" s="188"/>
      <c r="NY82" s="187"/>
      <c r="OE82" s="188"/>
      <c r="OF82" s="187"/>
      <c r="OK82" s="168"/>
      <c r="OL82" s="191"/>
      <c r="OM82" s="187"/>
      <c r="OS82" s="188"/>
      <c r="OT82" s="187"/>
      <c r="OZ82" s="188"/>
      <c r="PA82" s="187"/>
      <c r="PG82" s="188"/>
      <c r="PH82" s="187"/>
      <c r="PN82" s="168"/>
      <c r="PO82" s="189"/>
      <c r="PU82" s="188"/>
      <c r="PV82" s="187"/>
      <c r="QB82" s="188"/>
      <c r="QC82" s="187"/>
      <c r="QI82" s="188"/>
      <c r="QJ82" s="187"/>
      <c r="QP82" s="188"/>
      <c r="QQ82" s="187"/>
      <c r="QS82" s="168"/>
      <c r="QT82" s="189"/>
      <c r="QW82" s="188"/>
      <c r="QX82" s="187"/>
      <c r="RD82" s="188"/>
      <c r="RE82" s="187"/>
      <c r="RK82" s="188"/>
      <c r="RL82" s="187"/>
      <c r="RR82" s="188"/>
      <c r="RS82" s="187"/>
      <c r="RW82" s="168"/>
      <c r="RX82" s="189"/>
      <c r="RY82" s="188"/>
      <c r="RZ82" s="187"/>
      <c r="SF82" s="188"/>
      <c r="SG82" s="187"/>
      <c r="SM82" s="188"/>
      <c r="SN82" s="187"/>
      <c r="ST82" s="188"/>
      <c r="SU82" s="187"/>
      <c r="TA82" s="188"/>
      <c r="TB82" s="190"/>
      <c r="TC82" s="189"/>
      <c r="TH82" s="188"/>
      <c r="TI82" s="187"/>
      <c r="TO82" s="188"/>
      <c r="TP82" s="187"/>
      <c r="TV82" s="188"/>
      <c r="TW82" s="187"/>
      <c r="UC82" s="188"/>
      <c r="UD82" s="187"/>
      <c r="UF82" s="168"/>
      <c r="UG82" s="189"/>
      <c r="UJ82" s="188"/>
      <c r="UK82" s="187"/>
      <c r="UQ82" s="188"/>
      <c r="UR82" s="187"/>
      <c r="UX82" s="188"/>
      <c r="UY82" s="187"/>
      <c r="VE82" s="188"/>
      <c r="VF82" s="187"/>
      <c r="VK82" s="168"/>
      <c r="VL82" s="191"/>
      <c r="VM82" s="187"/>
      <c r="VS82" s="188"/>
      <c r="VT82" s="187"/>
      <c r="VZ82" s="188"/>
      <c r="WA82" s="187"/>
      <c r="WG82" s="188"/>
      <c r="WH82" s="187"/>
      <c r="WN82" s="188"/>
      <c r="WO82" s="187"/>
      <c r="WP82" s="168"/>
      <c r="WQ82" s="189"/>
      <c r="WU82" s="188"/>
      <c r="WV82" s="187"/>
      <c r="XB82" s="188"/>
      <c r="XC82" s="187"/>
      <c r="XI82" s="188"/>
      <c r="XJ82" s="187"/>
      <c r="XP82" s="188"/>
      <c r="XQ82" s="187"/>
      <c r="XT82" s="168"/>
      <c r="XU82" s="189"/>
      <c r="XW82" s="188"/>
      <c r="XX82" s="187"/>
      <c r="YD82" s="188"/>
      <c r="YE82" s="187"/>
      <c r="YK82" s="188"/>
      <c r="YL82" s="187"/>
      <c r="YR82" s="188"/>
      <c r="YS82" s="187"/>
      <c r="YY82" s="168"/>
      <c r="YZ82" s="189"/>
      <c r="ZF82" s="188"/>
      <c r="ZG82" s="187"/>
      <c r="ZM82" s="188"/>
      <c r="ZN82" s="187"/>
      <c r="ZT82" s="188"/>
      <c r="ZU82" s="187"/>
      <c r="AAA82" s="188"/>
      <c r="AAB82" s="187"/>
      <c r="AAC82" s="168"/>
      <c r="AAD82" s="189"/>
      <c r="AAH82" s="188"/>
      <c r="AAI82" s="187"/>
      <c r="AAO82" s="188"/>
      <c r="AAP82" s="187"/>
      <c r="AAV82" s="188"/>
      <c r="AAW82" s="187"/>
      <c r="ABC82" s="188"/>
      <c r="ABD82" s="187"/>
      <c r="ABH82" s="168"/>
      <c r="ABI82" s="189"/>
      <c r="ABJ82" s="188"/>
      <c r="ABK82" s="187"/>
      <c r="ABQ82" s="188"/>
      <c r="ABR82" s="187"/>
      <c r="ABX82" s="188"/>
      <c r="ABY82" s="187"/>
      <c r="ACE82" s="188"/>
      <c r="ACF82" s="187"/>
      <c r="ACL82" s="188"/>
      <c r="ACM82" s="190"/>
      <c r="ACN82" s="189"/>
      <c r="ACS82" s="188"/>
      <c r="ACT82" s="187"/>
      <c r="ACZ82" s="188"/>
      <c r="ADA82" s="187"/>
      <c r="ADG82" s="188"/>
      <c r="ADH82" s="187"/>
      <c r="ADN82" s="188"/>
      <c r="ADO82" s="190"/>
      <c r="ADP82" s="189"/>
      <c r="ADU82" s="188"/>
      <c r="ADV82" s="187"/>
      <c r="AEB82" s="188"/>
      <c r="AEC82" s="187"/>
      <c r="AEI82" s="188"/>
      <c r="AEJ82" s="187"/>
      <c r="AEP82" s="188"/>
      <c r="AEQ82" s="187"/>
      <c r="AET82" s="168"/>
      <c r="AEU82" s="189"/>
      <c r="AEW82" s="188"/>
      <c r="AEX82" s="187"/>
      <c r="AFD82" s="188"/>
      <c r="AFE82" s="187"/>
      <c r="AFK82" s="188"/>
      <c r="AFL82" s="187"/>
      <c r="AFR82" s="188"/>
      <c r="AFS82" s="187"/>
      <c r="AFX82" s="168"/>
      <c r="AFY82" s="191"/>
      <c r="AFZ82" s="187"/>
      <c r="AGF82" s="188"/>
      <c r="AGG82" s="187"/>
      <c r="AGM82" s="188"/>
      <c r="AGN82" s="187"/>
      <c r="AGT82" s="188"/>
      <c r="AGU82" s="187"/>
      <c r="AHA82" s="188"/>
      <c r="AHB82" s="187"/>
      <c r="AHC82" s="168"/>
      <c r="AHD82" s="189"/>
      <c r="AHH82" s="188"/>
      <c r="AHI82" s="187"/>
      <c r="AHO82" s="188"/>
      <c r="AHP82" s="187"/>
      <c r="AHV82" s="188"/>
      <c r="AHW82" s="187"/>
      <c r="AIC82" s="188"/>
      <c r="AID82" s="187"/>
      <c r="AIG82" s="168"/>
      <c r="AIH82" s="189"/>
      <c r="AIJ82" s="188"/>
      <c r="AIK82" s="187"/>
      <c r="AIQ82" s="188"/>
      <c r="AIR82" s="187"/>
      <c r="AIX82" s="188"/>
      <c r="AIY82" s="187"/>
      <c r="AJE82" s="188"/>
      <c r="AJF82" s="187"/>
      <c r="AJL82" s="168"/>
      <c r="AJM82" s="189"/>
      <c r="AJS82" s="188"/>
      <c r="AJT82" s="187"/>
      <c r="AJZ82" s="188"/>
      <c r="AKA82" s="187"/>
      <c r="AKG82" s="188"/>
      <c r="AKH82" s="187"/>
      <c r="AKN82" s="188"/>
      <c r="AKO82" s="187"/>
      <c r="AKQ82" s="168"/>
      <c r="AKR82" s="189"/>
      <c r="AKU82" s="188"/>
      <c r="AKV82" s="187"/>
      <c r="ALB82" s="188"/>
      <c r="ALC82" s="187"/>
      <c r="ALI82" s="188"/>
      <c r="ALJ82" s="187"/>
      <c r="ALP82" s="188"/>
      <c r="ALQ82" s="187"/>
      <c r="ALU82" s="168"/>
      <c r="ALV82" s="189"/>
      <c r="ALW82" s="188"/>
      <c r="ALX82" s="187"/>
      <c r="AMD82" s="188"/>
      <c r="AME82" s="187"/>
      <c r="AMK82" s="188"/>
      <c r="AML82" s="187"/>
      <c r="AMR82" s="188"/>
      <c r="AMS82" s="187"/>
      <c r="AMY82" s="188"/>
      <c r="AMZ82" s="190"/>
      <c r="ANA82" s="189"/>
      <c r="ANF82" s="188"/>
      <c r="ANG82" s="187"/>
      <c r="ANM82" s="188"/>
      <c r="ANN82" s="187"/>
      <c r="ANT82" s="188"/>
      <c r="ANU82" s="187"/>
      <c r="AOA82" s="188"/>
      <c r="AOB82" s="187"/>
      <c r="AOD82" s="168"/>
      <c r="AOE82" s="189"/>
      <c r="AOH82" s="188"/>
      <c r="AOI82" s="187"/>
      <c r="AOO82" s="188"/>
      <c r="AOP82" s="187"/>
      <c r="AOV82" s="188"/>
      <c r="AOW82" s="187"/>
      <c r="APC82" s="188"/>
      <c r="APD82" s="187"/>
      <c r="API82" s="168"/>
      <c r="APJ82" s="191"/>
      <c r="APK82" s="187"/>
      <c r="APQ82" s="188"/>
      <c r="APR82" s="187"/>
      <c r="APX82" s="188"/>
      <c r="APY82" s="187"/>
      <c r="AQE82" s="188"/>
      <c r="AQF82" s="187"/>
      <c r="AQL82" s="188"/>
      <c r="AQM82" s="187"/>
      <c r="AQN82" s="168"/>
      <c r="AQO82" s="189"/>
      <c r="AQS82" s="188"/>
      <c r="AQT82" s="187"/>
      <c r="AQZ82" s="188"/>
      <c r="ARA82" s="187"/>
      <c r="ARG82" s="188"/>
      <c r="ARH82" s="187"/>
      <c r="ARN82" s="188"/>
      <c r="ARO82" s="187"/>
      <c r="ARP82" s="168"/>
      <c r="ARQ82" s="189"/>
      <c r="ARU82" s="188"/>
      <c r="ARV82" s="187"/>
      <c r="ASB82" s="188"/>
      <c r="ASC82" s="187"/>
      <c r="ASI82" s="188"/>
      <c r="ASJ82" s="187"/>
      <c r="ASP82" s="188"/>
      <c r="ASQ82" s="187"/>
      <c r="ASU82" s="168"/>
      <c r="ASV82" s="189"/>
      <c r="ASW82" s="188"/>
      <c r="ASX82" s="187"/>
      <c r="ATD82" s="188"/>
      <c r="ATE82" s="187"/>
      <c r="ATK82" s="188"/>
      <c r="ATL82" s="187"/>
      <c r="ATR82" s="188"/>
      <c r="ATS82" s="187"/>
      <c r="ATY82" s="168"/>
      <c r="ATZ82" s="189"/>
      <c r="AUF82" s="188"/>
      <c r="AUG82" s="187"/>
      <c r="AUM82" s="188"/>
      <c r="AUN82" s="187"/>
      <c r="AUT82" s="188"/>
      <c r="AUU82" s="187"/>
      <c r="AVA82" s="188"/>
      <c r="AVB82" s="187"/>
      <c r="AVD82" s="168"/>
      <c r="AVE82" s="189"/>
      <c r="AVH82" s="188"/>
      <c r="AVI82" s="187"/>
      <c r="AVO82" s="188"/>
      <c r="AVP82" s="187"/>
      <c r="AVV82" s="188"/>
      <c r="AVW82" s="187"/>
      <c r="AWC82" s="188"/>
      <c r="AWD82" s="187"/>
      <c r="AWH82" s="168"/>
      <c r="AWI82" s="189"/>
      <c r="AWJ82" s="188"/>
      <c r="AWK82" s="187"/>
      <c r="AWQ82" s="188"/>
      <c r="AWR82" s="187"/>
      <c r="AWX82" s="188"/>
      <c r="AWY82" s="187"/>
      <c r="AXE82" s="188"/>
      <c r="AXF82" s="187"/>
      <c r="AXL82" s="188"/>
      <c r="AXM82" s="190"/>
      <c r="AXN82" s="189"/>
      <c r="AXS82" s="188"/>
      <c r="AXT82" s="187"/>
      <c r="AXZ82" s="188"/>
      <c r="AYA82" s="187"/>
      <c r="AYG82" s="188"/>
      <c r="AYH82" s="187"/>
      <c r="AYN82" s="188"/>
      <c r="AYO82" s="187"/>
      <c r="AYR82" s="168"/>
      <c r="AYS82" s="189"/>
      <c r="AYU82" s="188"/>
      <c r="AYV82" s="187"/>
      <c r="AZB82" s="188"/>
      <c r="AZC82" s="187"/>
      <c r="AZI82" s="188"/>
      <c r="AZJ82" s="187"/>
      <c r="AZP82" s="188"/>
      <c r="AZQ82" s="187"/>
      <c r="AZV82" s="168"/>
      <c r="AZW82" s="191"/>
      <c r="AZX82" s="187"/>
      <c r="BAD82" s="188"/>
      <c r="BAE82" s="187"/>
      <c r="BAK82" s="188"/>
      <c r="BAL82" s="187"/>
      <c r="BAR82" s="188"/>
      <c r="BAS82" s="187"/>
      <c r="BAY82" s="188"/>
      <c r="BAZ82" s="187"/>
      <c r="BBA82" s="168"/>
      <c r="BBB82" s="189"/>
      <c r="BBF82" s="188"/>
      <c r="BBG82" s="187"/>
      <c r="BBM82" s="188"/>
      <c r="BBN82" s="187"/>
      <c r="BBT82" s="188"/>
      <c r="BBU82" s="187"/>
      <c r="BCA82" s="188"/>
      <c r="BCB82" s="187"/>
      <c r="BCE82" s="168"/>
      <c r="BCF82" s="189"/>
      <c r="BCH82" s="188"/>
      <c r="BCI82" s="187"/>
      <c r="BCO82" s="188"/>
      <c r="BCP82" s="187"/>
      <c r="BCV82" s="188"/>
      <c r="BCW82" s="187"/>
      <c r="BDC82" s="188"/>
      <c r="BDD82" s="187"/>
      <c r="BDJ82" s="168"/>
      <c r="BDK82" s="189"/>
      <c r="BDQ82" s="188"/>
      <c r="BDR82" s="187"/>
      <c r="BDX82" s="188"/>
      <c r="BDY82" s="187"/>
      <c r="BEE82" s="188"/>
      <c r="BEF82" s="187"/>
      <c r="BEL82" s="188"/>
      <c r="BEM82" s="187"/>
      <c r="BEO82" s="168"/>
      <c r="BEP82" s="189"/>
      <c r="BES82" s="188"/>
      <c r="BET82" s="187"/>
      <c r="BEZ82" s="188"/>
      <c r="BFA82" s="187"/>
      <c r="BFG82" s="188"/>
      <c r="BFH82" s="187"/>
      <c r="BFN82" s="188"/>
      <c r="BFO82" s="187"/>
      <c r="BFQ82" s="168"/>
      <c r="BFR82" s="189"/>
      <c r="BFU82" s="188"/>
      <c r="BFV82" s="187"/>
      <c r="BGB82" s="188"/>
      <c r="BGC82" s="187"/>
      <c r="BGI82" s="188"/>
      <c r="BGJ82" s="187"/>
      <c r="BGP82" s="188"/>
      <c r="BGQ82" s="187"/>
      <c r="BGV82" s="168"/>
      <c r="BGW82" s="191"/>
      <c r="BGX82" s="187"/>
      <c r="BHD82" s="188"/>
      <c r="BHE82" s="187"/>
      <c r="BHK82" s="188"/>
      <c r="BHL82" s="187"/>
      <c r="BHR82" s="188"/>
      <c r="BHS82" s="187"/>
      <c r="BHY82" s="188"/>
      <c r="BHZ82" s="190"/>
      <c r="BIA82" s="189"/>
      <c r="BIF82" s="188"/>
      <c r="BIG82" s="187"/>
      <c r="BIM82" s="188"/>
      <c r="BIN82" s="187"/>
      <c r="BIT82" s="188"/>
      <c r="BIU82" s="187"/>
      <c r="BJA82" s="188"/>
      <c r="BJB82" s="187"/>
      <c r="BJE82" s="168"/>
      <c r="BJF82" s="189"/>
      <c r="BJH82" s="188"/>
      <c r="BJI82" s="187"/>
      <c r="BJO82" s="188"/>
      <c r="BJP82" s="187"/>
      <c r="BJV82" s="188"/>
      <c r="BJW82" s="187"/>
      <c r="BKC82" s="188"/>
      <c r="BKD82" s="187"/>
      <c r="BKI82" s="168"/>
      <c r="BKJ82" s="191"/>
      <c r="BKK82" s="187"/>
      <c r="BKQ82" s="188"/>
      <c r="BKR82" s="187"/>
      <c r="BKX82" s="188"/>
      <c r="BKY82" s="187"/>
      <c r="BLE82" s="188"/>
      <c r="BLF82" s="187"/>
      <c r="BLL82" s="188"/>
      <c r="BLM82" s="187"/>
      <c r="BLN82" s="168"/>
      <c r="BLO82" s="189"/>
      <c r="BLS82" s="188"/>
      <c r="BLT82" s="187"/>
      <c r="BLZ82" s="188"/>
      <c r="BMA82" s="187"/>
      <c r="BMG82" s="188"/>
      <c r="BMH82" s="187"/>
      <c r="BMN82" s="188"/>
      <c r="BMO82" s="187"/>
      <c r="BMS82" s="168"/>
      <c r="BMT82" s="189"/>
      <c r="BMU82" s="188"/>
      <c r="BMV82" s="187"/>
      <c r="BNB82" s="188"/>
      <c r="BNC82" s="187"/>
      <c r="BNI82" s="188"/>
      <c r="BNJ82" s="187"/>
      <c r="BNP82" s="188"/>
      <c r="BNQ82" s="187"/>
      <c r="BNW82" s="168"/>
      <c r="BNX82" s="189"/>
      <c r="BOD82" s="188"/>
      <c r="BOE82" s="187"/>
      <c r="BOK82" s="188"/>
      <c r="BOL82" s="187"/>
      <c r="BOR82" s="188"/>
      <c r="BOS82" s="187"/>
      <c r="BOY82" s="188"/>
      <c r="BOZ82" s="187"/>
      <c r="BPB82" s="168"/>
      <c r="BPC82" s="189"/>
      <c r="BPF82" s="188"/>
      <c r="BPG82" s="187"/>
      <c r="BPM82" s="188"/>
      <c r="BPN82" s="187"/>
      <c r="BPT82" s="188"/>
      <c r="BPU82" s="187"/>
      <c r="BQA82" s="188"/>
      <c r="BQB82" s="187"/>
      <c r="BQF82" s="168"/>
      <c r="BQG82" s="189"/>
      <c r="BQH82" s="188"/>
      <c r="BQI82" s="187"/>
      <c r="BQO82" s="188"/>
      <c r="BQP82" s="187"/>
      <c r="BQV82" s="188"/>
      <c r="BQW82" s="187"/>
      <c r="BRC82" s="188"/>
      <c r="BRD82" s="187"/>
      <c r="BRJ82" s="188"/>
      <c r="BRK82" s="190"/>
      <c r="BRL82" s="189"/>
      <c r="BRQ82" s="188"/>
      <c r="BRR82" s="187"/>
      <c r="BRX82" s="188"/>
      <c r="BRY82" s="187"/>
      <c r="BSE82" s="188"/>
      <c r="BSF82" s="187"/>
      <c r="BSL82" s="188"/>
      <c r="BSM82" s="187"/>
      <c r="BSP82" s="168"/>
      <c r="BSQ82" s="189"/>
      <c r="BSS82" s="188"/>
      <c r="BST82" s="187"/>
      <c r="BSZ82" s="188"/>
      <c r="BTA82" s="187"/>
      <c r="BTG82" s="188"/>
      <c r="BTH82" s="187"/>
      <c r="BTN82" s="188"/>
      <c r="BTO82" s="187"/>
      <c r="BTS82" s="168"/>
      <c r="BTT82" s="189"/>
      <c r="BTU82" s="188"/>
      <c r="BTV82" s="187"/>
      <c r="BUB82" s="188"/>
      <c r="BUC82" s="187"/>
      <c r="BUI82" s="188"/>
      <c r="BUJ82" s="187"/>
      <c r="BUP82" s="188"/>
      <c r="BUQ82" s="187"/>
      <c r="BUW82" s="188"/>
      <c r="BUX82" s="190"/>
      <c r="BUY82" s="189"/>
      <c r="BVD82" s="188"/>
      <c r="BVE82" s="187"/>
      <c r="BVK82" s="188"/>
      <c r="BVL82" s="187"/>
      <c r="BVR82" s="188"/>
      <c r="BVS82" s="187"/>
      <c r="BVY82" s="188"/>
      <c r="BVZ82" s="187"/>
      <c r="BWB82" s="168"/>
      <c r="BWC82" s="189"/>
      <c r="BWF82" s="188"/>
      <c r="BWG82" s="187"/>
      <c r="BWM82" s="188"/>
      <c r="BWN82" s="187"/>
      <c r="BWT82" s="188"/>
      <c r="BWU82" s="187"/>
      <c r="BXA82" s="188"/>
      <c r="BXB82" s="187"/>
      <c r="BXG82" s="168"/>
      <c r="BXH82" s="191"/>
      <c r="BXI82" s="187"/>
      <c r="BXO82" s="188"/>
      <c r="BXP82" s="187"/>
      <c r="BXV82" s="188"/>
      <c r="BXW82" s="187"/>
      <c r="BYC82" s="188"/>
      <c r="BYD82" s="187"/>
      <c r="BYJ82" s="188"/>
      <c r="BYK82" s="190"/>
      <c r="BYL82" s="189"/>
      <c r="BYQ82" s="188"/>
      <c r="BYR82" s="187"/>
      <c r="BYX82" s="188"/>
      <c r="BYY82" s="187"/>
      <c r="BZE82" s="188"/>
      <c r="BZF82" s="187"/>
      <c r="BZL82" s="188"/>
      <c r="BZM82" s="187"/>
      <c r="BZP82" s="168"/>
      <c r="BZQ82" s="189"/>
      <c r="BZS82" s="188"/>
      <c r="BZT82" s="187"/>
      <c r="BZZ82" s="188"/>
      <c r="CAA82" s="187"/>
      <c r="CAG82" s="188"/>
      <c r="CAH82" s="187"/>
      <c r="CAN82" s="188"/>
      <c r="CAO82" s="187"/>
      <c r="CAU82" s="168"/>
      <c r="CAV82" s="189"/>
      <c r="CBB82" s="188"/>
      <c r="CBC82" s="187"/>
      <c r="CBI82" s="188"/>
      <c r="CBJ82" s="187"/>
      <c r="CBP82" s="188"/>
      <c r="CBQ82" s="187"/>
      <c r="CBW82" s="188"/>
      <c r="CBX82" s="187"/>
      <c r="CBY82" s="168"/>
      <c r="CBZ82" s="189"/>
      <c r="CCD82" s="188"/>
      <c r="CCE82" s="187"/>
      <c r="CCK82" s="188"/>
      <c r="CCL82" s="187"/>
      <c r="CCR82" s="188"/>
      <c r="CCS82" s="187"/>
      <c r="CCY82" s="188"/>
      <c r="CCZ82" s="187"/>
      <c r="CDD82" s="168"/>
      <c r="CDE82" s="189"/>
      <c r="CDF82" s="188"/>
      <c r="CDG82" s="187"/>
      <c r="CDM82" s="188"/>
      <c r="CDN82" s="187"/>
      <c r="CDT82" s="188"/>
      <c r="CDU82" s="187"/>
      <c r="CEA82" s="188"/>
      <c r="CEB82" s="187"/>
      <c r="CEH82" s="168"/>
      <c r="CEI82" s="189"/>
      <c r="CEO82" s="188"/>
      <c r="CEP82" s="187"/>
      <c r="CEV82" s="188"/>
      <c r="CEW82" s="187"/>
      <c r="CFC82" s="188"/>
      <c r="CFD82" s="187"/>
      <c r="CFJ82" s="188"/>
      <c r="CFK82" s="187"/>
    </row>
    <row r="83" spans="1:1019 1025:2048 2054:2195">
      <c r="A83" s="164" t="s">
        <v>352</v>
      </c>
      <c r="C83" s="164" t="s">
        <v>353</v>
      </c>
      <c r="D83" s="186">
        <v>44649</v>
      </c>
      <c r="E83" s="186">
        <v>44653</v>
      </c>
      <c r="K83" s="187"/>
      <c r="Q83" s="188"/>
      <c r="R83" s="187"/>
      <c r="X83" s="188"/>
      <c r="Y83" s="187"/>
      <c r="AE83" s="188"/>
      <c r="AF83" s="187"/>
      <c r="AJ83" s="168"/>
      <c r="AK83" s="189"/>
      <c r="AL83" s="188"/>
      <c r="AM83" s="187"/>
      <c r="AS83" s="188"/>
      <c r="AT83" s="187"/>
      <c r="AZ83" s="188"/>
      <c r="BA83" s="187"/>
      <c r="BG83" s="188"/>
      <c r="BH83" s="187"/>
      <c r="BL83" s="168"/>
      <c r="BM83" s="189"/>
      <c r="BN83" s="188"/>
      <c r="BO83" s="187"/>
      <c r="BU83" s="188"/>
      <c r="BV83" s="187"/>
      <c r="CB83" s="188"/>
      <c r="CC83" s="187"/>
      <c r="CI83" s="188"/>
      <c r="CJ83" s="187"/>
      <c r="CP83" s="188"/>
      <c r="CQ83" s="190"/>
      <c r="CR83" s="189"/>
      <c r="CW83" s="188"/>
      <c r="CX83" s="187"/>
      <c r="DD83" s="188"/>
      <c r="DE83" s="187"/>
      <c r="DK83" s="188"/>
      <c r="DL83" s="187"/>
      <c r="DR83" s="188"/>
      <c r="DS83" s="187"/>
      <c r="DU83" s="168"/>
      <c r="DV83" s="189"/>
      <c r="DY83" s="188"/>
      <c r="DZ83" s="187"/>
      <c r="EF83" s="188"/>
      <c r="EG83" s="187"/>
      <c r="EM83" s="188"/>
      <c r="EN83" s="187"/>
      <c r="ET83" s="188"/>
      <c r="EU83" s="187"/>
      <c r="EZ83" s="168"/>
      <c r="FA83" s="191"/>
      <c r="FB83" s="187"/>
      <c r="FH83" s="188"/>
      <c r="FI83" s="187"/>
      <c r="FO83" s="188"/>
      <c r="FP83" s="187"/>
      <c r="FV83" s="188"/>
      <c r="FW83" s="187"/>
      <c r="GC83" s="188"/>
      <c r="GD83" s="190"/>
      <c r="GE83" s="189"/>
      <c r="GJ83" s="188"/>
      <c r="GK83" s="187"/>
      <c r="GQ83" s="188"/>
      <c r="GR83" s="187"/>
      <c r="GX83" s="188"/>
      <c r="GY83" s="187"/>
      <c r="HE83" s="188"/>
      <c r="HF83" s="187"/>
      <c r="HI83" s="168"/>
      <c r="HJ83" s="189"/>
      <c r="HL83" s="188"/>
      <c r="HM83" s="187"/>
      <c r="HS83" s="188"/>
      <c r="HT83" s="187"/>
      <c r="HZ83" s="188"/>
      <c r="IA83" s="187"/>
      <c r="IG83" s="188"/>
      <c r="IH83" s="187"/>
      <c r="IN83" s="168"/>
      <c r="IO83" s="189"/>
      <c r="IU83" s="188"/>
      <c r="IV83" s="187"/>
      <c r="JB83" s="188"/>
      <c r="JC83" s="187"/>
      <c r="JI83" s="188"/>
      <c r="JJ83" s="187"/>
      <c r="JP83" s="188"/>
      <c r="JQ83" s="187"/>
      <c r="JR83" s="168"/>
      <c r="JS83" s="189"/>
      <c r="JW83" s="188"/>
      <c r="JX83" s="187"/>
      <c r="KD83" s="188"/>
      <c r="KE83" s="187"/>
      <c r="KK83" s="188"/>
      <c r="KL83" s="187"/>
      <c r="KR83" s="188"/>
      <c r="KS83" s="187"/>
      <c r="KW83" s="168"/>
      <c r="KX83" s="189"/>
      <c r="KY83" s="188"/>
      <c r="KZ83" s="187"/>
      <c r="LF83" s="188"/>
      <c r="LG83" s="187"/>
      <c r="LM83" s="188"/>
      <c r="LN83" s="187"/>
      <c r="LT83" s="188"/>
      <c r="LU83" s="187"/>
      <c r="MA83" s="168"/>
      <c r="MB83" s="189"/>
      <c r="MH83" s="188"/>
      <c r="MI83" s="187"/>
      <c r="MO83" s="188"/>
      <c r="MP83" s="187"/>
      <c r="MV83" s="188"/>
      <c r="MW83" s="187"/>
      <c r="NC83" s="188"/>
      <c r="ND83" s="187"/>
      <c r="NF83" s="168"/>
      <c r="NG83" s="189"/>
      <c r="NJ83" s="188"/>
      <c r="NK83" s="187"/>
      <c r="NQ83" s="188"/>
      <c r="NR83" s="187"/>
      <c r="NX83" s="188"/>
      <c r="NY83" s="187"/>
      <c r="OE83" s="188"/>
      <c r="OF83" s="187"/>
      <c r="OK83" s="168"/>
      <c r="OL83" s="191"/>
      <c r="OM83" s="187"/>
      <c r="OS83" s="188"/>
      <c r="OT83" s="187"/>
      <c r="OZ83" s="188"/>
      <c r="PA83" s="187"/>
      <c r="PG83" s="188"/>
      <c r="PH83" s="187"/>
      <c r="PN83" s="168"/>
      <c r="PO83" s="189"/>
      <c r="PU83" s="188"/>
      <c r="PV83" s="187"/>
      <c r="QB83" s="188"/>
      <c r="QC83" s="187"/>
      <c r="QI83" s="188"/>
      <c r="QJ83" s="187"/>
      <c r="QP83" s="188"/>
      <c r="QQ83" s="187"/>
      <c r="QS83" s="168"/>
      <c r="QT83" s="189"/>
      <c r="QW83" s="188"/>
      <c r="QX83" s="187"/>
      <c r="RD83" s="188"/>
      <c r="RE83" s="187"/>
      <c r="RK83" s="188"/>
      <c r="RL83" s="187"/>
      <c r="RR83" s="188"/>
      <c r="RS83" s="187"/>
      <c r="RW83" s="168"/>
      <c r="RX83" s="189"/>
      <c r="RY83" s="188"/>
      <c r="RZ83" s="187"/>
      <c r="SF83" s="188"/>
      <c r="SG83" s="187"/>
      <c r="SM83" s="188"/>
      <c r="SN83" s="187"/>
      <c r="ST83" s="188"/>
      <c r="SU83" s="187"/>
      <c r="TA83" s="188"/>
      <c r="TB83" s="190"/>
      <c r="TC83" s="189"/>
      <c r="TH83" s="188"/>
      <c r="TI83" s="187"/>
      <c r="TO83" s="188"/>
      <c r="TP83" s="187"/>
      <c r="TV83" s="188"/>
      <c r="TW83" s="187"/>
      <c r="UC83" s="188"/>
      <c r="UD83" s="187"/>
      <c r="UF83" s="168"/>
      <c r="UG83" s="189"/>
      <c r="UJ83" s="188"/>
      <c r="UK83" s="187"/>
      <c r="UQ83" s="188"/>
      <c r="UR83" s="187"/>
      <c r="UX83" s="188"/>
      <c r="UY83" s="187"/>
      <c r="VE83" s="188"/>
      <c r="VF83" s="187"/>
      <c r="VK83" s="168"/>
      <c r="VL83" s="191"/>
      <c r="VM83" s="187"/>
      <c r="VS83" s="188"/>
      <c r="VT83" s="187"/>
      <c r="VZ83" s="188"/>
      <c r="WA83" s="187"/>
      <c r="WG83" s="188"/>
      <c r="WH83" s="187"/>
      <c r="WN83" s="188"/>
      <c r="WO83" s="187"/>
      <c r="WP83" s="168"/>
      <c r="WQ83" s="189"/>
      <c r="WU83" s="188"/>
      <c r="WV83" s="187"/>
      <c r="XB83" s="188"/>
      <c r="XC83" s="187"/>
      <c r="XI83" s="188"/>
      <c r="XJ83" s="187"/>
      <c r="XP83" s="188"/>
      <c r="XQ83" s="187"/>
      <c r="XT83" s="168"/>
      <c r="XU83" s="189"/>
      <c r="XW83" s="188"/>
      <c r="XX83" s="187"/>
      <c r="YD83" s="188"/>
      <c r="YE83" s="187"/>
      <c r="YK83" s="188"/>
      <c r="YL83" s="187"/>
      <c r="YR83" s="188"/>
      <c r="YS83" s="187"/>
      <c r="YY83" s="168"/>
      <c r="YZ83" s="189"/>
      <c r="ZF83" s="188"/>
      <c r="ZG83" s="187"/>
      <c r="ZM83" s="188"/>
      <c r="ZN83" s="187"/>
      <c r="ZT83" s="188"/>
      <c r="ZU83" s="187"/>
      <c r="AAA83" s="188"/>
      <c r="AAB83" s="187"/>
      <c r="AAC83" s="168"/>
      <c r="AAD83" s="189"/>
      <c r="AAH83" s="188"/>
      <c r="AAI83" s="187"/>
      <c r="AAO83" s="188"/>
      <c r="AAP83" s="187"/>
      <c r="AAV83" s="188"/>
      <c r="AAW83" s="187"/>
      <c r="ABC83" s="188"/>
      <c r="ABD83" s="187"/>
      <c r="ABH83" s="168"/>
      <c r="ABI83" s="189"/>
      <c r="ABJ83" s="188"/>
      <c r="ABK83" s="187"/>
      <c r="ABQ83" s="188"/>
      <c r="ABR83" s="187"/>
      <c r="ABX83" s="188"/>
      <c r="ABY83" s="187"/>
      <c r="ACE83" s="188"/>
      <c r="ACF83" s="187"/>
      <c r="ACL83" s="188"/>
      <c r="ACM83" s="190"/>
      <c r="ACN83" s="189"/>
      <c r="ACS83" s="188"/>
      <c r="ACT83" s="187"/>
      <c r="ACZ83" s="188"/>
      <c r="ADA83" s="187"/>
      <c r="ADG83" s="188"/>
      <c r="ADH83" s="187"/>
      <c r="ADN83" s="188"/>
      <c r="ADO83" s="190"/>
      <c r="ADP83" s="189"/>
      <c r="ADU83" s="188"/>
      <c r="ADV83" s="187"/>
      <c r="AEB83" s="188"/>
      <c r="AEC83" s="187"/>
      <c r="AEI83" s="188"/>
      <c r="AEJ83" s="187"/>
      <c r="AEP83" s="188"/>
      <c r="AEQ83" s="187"/>
      <c r="AET83" s="168"/>
      <c r="AEU83" s="189"/>
      <c r="AEW83" s="188"/>
      <c r="AEX83" s="187"/>
      <c r="AFD83" s="188"/>
      <c r="AFE83" s="187"/>
      <c r="AFK83" s="188"/>
      <c r="AFL83" s="187"/>
      <c r="AFR83" s="188"/>
      <c r="AFS83" s="187"/>
      <c r="AFX83" s="168"/>
      <c r="AFY83" s="191"/>
      <c r="AFZ83" s="187"/>
      <c r="AGF83" s="188"/>
      <c r="AGG83" s="187"/>
      <c r="AGM83" s="188"/>
      <c r="AGN83" s="187"/>
      <c r="AGT83" s="188"/>
      <c r="AGU83" s="187"/>
      <c r="AHA83" s="188"/>
      <c r="AHB83" s="187"/>
      <c r="AHC83" s="168"/>
      <c r="AHD83" s="189"/>
      <c r="AHH83" s="188"/>
      <c r="AHI83" s="187"/>
      <c r="AHO83" s="188"/>
      <c r="AHP83" s="187"/>
      <c r="AHV83" s="188"/>
      <c r="AHW83" s="187"/>
      <c r="AIC83" s="188"/>
      <c r="AID83" s="187"/>
      <c r="AIG83" s="168"/>
      <c r="AIH83" s="189"/>
      <c r="AIJ83" s="188"/>
      <c r="AIK83" s="187"/>
      <c r="AIQ83" s="188"/>
      <c r="AIR83" s="187"/>
      <c r="AIX83" s="188"/>
      <c r="AIY83" s="187"/>
      <c r="AJE83" s="188"/>
      <c r="AJF83" s="187"/>
      <c r="AJL83" s="168"/>
      <c r="AJM83" s="189"/>
      <c r="AJS83" s="188"/>
      <c r="AJT83" s="187"/>
      <c r="AJZ83" s="188"/>
      <c r="AKA83" s="187"/>
      <c r="AKG83" s="188"/>
      <c r="AKH83" s="187"/>
      <c r="AKN83" s="188"/>
      <c r="AKO83" s="187"/>
      <c r="AKQ83" s="168"/>
      <c r="AKR83" s="189"/>
      <c r="AKU83" s="188"/>
      <c r="AKV83" s="187"/>
      <c r="ALB83" s="188"/>
      <c r="ALC83" s="187"/>
      <c r="ALI83" s="188"/>
      <c r="ALJ83" s="187"/>
      <c r="ALP83" s="188"/>
      <c r="ALQ83" s="187"/>
      <c r="ALU83" s="168"/>
      <c r="ALV83" s="189"/>
      <c r="ALW83" s="188"/>
      <c r="ALX83" s="187"/>
      <c r="AMD83" s="188"/>
      <c r="AME83" s="187"/>
      <c r="AMK83" s="188"/>
      <c r="AML83" s="187"/>
      <c r="AMR83" s="188"/>
      <c r="AMS83" s="187"/>
      <c r="AMY83" s="188"/>
      <c r="AMZ83" s="190"/>
      <c r="ANA83" s="189"/>
      <c r="ANF83" s="188"/>
      <c r="ANG83" s="187"/>
      <c r="ANM83" s="188"/>
      <c r="ANN83" s="187"/>
      <c r="ANT83" s="188"/>
      <c r="ANU83" s="187"/>
      <c r="AOA83" s="188"/>
      <c r="AOB83" s="187"/>
      <c r="AOD83" s="168"/>
      <c r="AOE83" s="189"/>
      <c r="AOH83" s="188"/>
      <c r="AOI83" s="187"/>
      <c r="AOO83" s="188"/>
      <c r="AOP83" s="187"/>
      <c r="AOV83" s="188"/>
      <c r="AOW83" s="187"/>
      <c r="APC83" s="188"/>
      <c r="APD83" s="187"/>
      <c r="API83" s="168"/>
      <c r="APJ83" s="191"/>
      <c r="APK83" s="187"/>
      <c r="APQ83" s="188"/>
      <c r="APR83" s="187"/>
      <c r="APX83" s="188"/>
      <c r="APY83" s="187"/>
      <c r="AQE83" s="188"/>
      <c r="AQF83" s="187"/>
      <c r="AQL83" s="188"/>
      <c r="AQM83" s="187"/>
      <c r="AQN83" s="168"/>
      <c r="AQO83" s="189"/>
      <c r="AQS83" s="188"/>
      <c r="AQT83" s="187"/>
      <c r="AQZ83" s="188"/>
      <c r="ARA83" s="187"/>
      <c r="ARG83" s="188"/>
      <c r="ARH83" s="187"/>
      <c r="ARN83" s="188"/>
      <c r="ARO83" s="187"/>
      <c r="ARP83" s="168"/>
      <c r="ARQ83" s="189"/>
      <c r="ARU83" s="188"/>
      <c r="ARV83" s="187"/>
      <c r="ASB83" s="188"/>
      <c r="ASC83" s="187"/>
      <c r="ASI83" s="188"/>
      <c r="ASJ83" s="187"/>
      <c r="ASP83" s="188"/>
      <c r="ASQ83" s="187"/>
      <c r="ASS83" s="164">
        <v>1</v>
      </c>
      <c r="AST83" s="164">
        <v>1</v>
      </c>
      <c r="ASU83" s="168">
        <v>1</v>
      </c>
      <c r="ASV83" s="189">
        <v>1</v>
      </c>
      <c r="ASW83" s="188">
        <v>1</v>
      </c>
      <c r="ASX83" s="187"/>
      <c r="ATD83" s="188"/>
      <c r="ATE83" s="187"/>
      <c r="ATK83" s="188"/>
      <c r="ATL83" s="187"/>
      <c r="ATR83" s="188"/>
      <c r="ATS83" s="187"/>
      <c r="ATY83" s="168"/>
      <c r="ATZ83" s="189"/>
      <c r="AUF83" s="188"/>
      <c r="AUG83" s="187"/>
      <c r="AUM83" s="188"/>
      <c r="AUN83" s="187"/>
      <c r="AUT83" s="188"/>
      <c r="AUU83" s="187"/>
      <c r="AVA83" s="188"/>
      <c r="AVB83" s="187"/>
      <c r="AVD83" s="168"/>
      <c r="AVE83" s="189"/>
      <c r="AVH83" s="188"/>
      <c r="AVI83" s="187"/>
      <c r="AVO83" s="188"/>
      <c r="AVP83" s="187"/>
      <c r="AVV83" s="188"/>
      <c r="AVW83" s="187"/>
      <c r="AWC83" s="188"/>
      <c r="AWD83" s="187"/>
      <c r="AWH83" s="168"/>
      <c r="AWI83" s="189"/>
      <c r="AWJ83" s="188"/>
      <c r="AWK83" s="187"/>
      <c r="AWQ83" s="188"/>
      <c r="AWR83" s="187"/>
      <c r="AWX83" s="188"/>
      <c r="AWY83" s="187"/>
      <c r="AXE83" s="188"/>
      <c r="AXF83" s="187"/>
      <c r="AXL83" s="188"/>
      <c r="AXM83" s="190"/>
      <c r="AXN83" s="189"/>
      <c r="AXS83" s="188"/>
      <c r="AXT83" s="187"/>
      <c r="AXZ83" s="188"/>
      <c r="AYA83" s="187"/>
      <c r="AYG83" s="188"/>
      <c r="AYH83" s="187"/>
      <c r="AYN83" s="188"/>
      <c r="AYO83" s="187"/>
      <c r="AYR83" s="168"/>
      <c r="AYS83" s="189"/>
      <c r="AYU83" s="188"/>
      <c r="AYV83" s="187"/>
      <c r="AZB83" s="188"/>
      <c r="AZC83" s="187"/>
      <c r="AZI83" s="188"/>
      <c r="AZJ83" s="187"/>
      <c r="AZP83" s="188"/>
      <c r="AZQ83" s="187"/>
      <c r="AZV83" s="168"/>
      <c r="AZW83" s="191"/>
      <c r="AZX83" s="187"/>
      <c r="BAD83" s="188"/>
      <c r="BAE83" s="187"/>
      <c r="BAK83" s="188"/>
      <c r="BAL83" s="187"/>
      <c r="BAR83" s="188"/>
      <c r="BAS83" s="187"/>
      <c r="BAY83" s="188"/>
      <c r="BAZ83" s="187"/>
      <c r="BBA83" s="168"/>
      <c r="BBB83" s="189"/>
      <c r="BBF83" s="188"/>
      <c r="BBG83" s="187"/>
      <c r="BBM83" s="188"/>
      <c r="BBN83" s="187"/>
      <c r="BBT83" s="188"/>
      <c r="BBU83" s="187"/>
      <c r="BCA83" s="188"/>
      <c r="BCB83" s="187"/>
      <c r="BCE83" s="168"/>
      <c r="BCF83" s="189"/>
      <c r="BCH83" s="188"/>
      <c r="BCI83" s="187"/>
      <c r="BCO83" s="188"/>
      <c r="BCP83" s="187"/>
      <c r="BCV83" s="188"/>
      <c r="BCW83" s="187"/>
      <c r="BDC83" s="188"/>
      <c r="BDD83" s="187"/>
      <c r="BDJ83" s="168"/>
      <c r="BDK83" s="189"/>
      <c r="BDQ83" s="188"/>
      <c r="BDR83" s="187"/>
      <c r="BDX83" s="188"/>
      <c r="BDY83" s="187"/>
      <c r="BEE83" s="188"/>
      <c r="BEF83" s="187"/>
      <c r="BEL83" s="188"/>
      <c r="BEM83" s="187"/>
      <c r="BEO83" s="168"/>
      <c r="BEP83" s="189"/>
      <c r="BES83" s="188"/>
      <c r="BET83" s="187"/>
      <c r="BEZ83" s="188"/>
      <c r="BFA83" s="187"/>
      <c r="BFG83" s="188"/>
      <c r="BFH83" s="187"/>
      <c r="BFN83" s="188"/>
      <c r="BFO83" s="187"/>
      <c r="BFQ83" s="168"/>
      <c r="BFR83" s="189"/>
      <c r="BFU83" s="188"/>
      <c r="BFV83" s="187"/>
      <c r="BGB83" s="188"/>
      <c r="BGC83" s="187"/>
      <c r="BGI83" s="188"/>
      <c r="BGJ83" s="187"/>
      <c r="BGP83" s="188"/>
      <c r="BGQ83" s="187"/>
      <c r="BGV83" s="168"/>
      <c r="BGW83" s="191"/>
      <c r="BGX83" s="187"/>
      <c r="BHD83" s="188"/>
      <c r="BHE83" s="187"/>
      <c r="BHK83" s="188"/>
      <c r="BHL83" s="187"/>
      <c r="BHR83" s="188"/>
      <c r="BHS83" s="187"/>
      <c r="BHY83" s="188"/>
      <c r="BHZ83" s="190"/>
      <c r="BIA83" s="189"/>
      <c r="BIF83" s="188"/>
      <c r="BIG83" s="187"/>
      <c r="BIM83" s="188"/>
      <c r="BIN83" s="187"/>
      <c r="BIT83" s="188"/>
      <c r="BIU83" s="187"/>
      <c r="BJA83" s="188"/>
      <c r="BJB83" s="187"/>
      <c r="BJE83" s="168"/>
      <c r="BJF83" s="189"/>
      <c r="BJH83" s="188"/>
      <c r="BJI83" s="187"/>
      <c r="BJO83" s="188"/>
      <c r="BJP83" s="187"/>
      <c r="BJV83" s="188"/>
      <c r="BJW83" s="187"/>
      <c r="BKC83" s="188"/>
      <c r="BKD83" s="187"/>
      <c r="BKI83" s="168"/>
      <c r="BKJ83" s="191"/>
      <c r="BKK83" s="187"/>
      <c r="BKQ83" s="188"/>
      <c r="BKR83" s="187"/>
      <c r="BKX83" s="188"/>
      <c r="BKY83" s="187"/>
      <c r="BLE83" s="188"/>
      <c r="BLF83" s="187"/>
      <c r="BLL83" s="188"/>
      <c r="BLM83" s="187"/>
      <c r="BLN83" s="168"/>
      <c r="BLO83" s="189"/>
      <c r="BLS83" s="188"/>
      <c r="BLT83" s="187"/>
      <c r="BLZ83" s="188"/>
      <c r="BMA83" s="187"/>
      <c r="BMG83" s="188"/>
      <c r="BMH83" s="187"/>
      <c r="BMN83" s="188"/>
      <c r="BMO83" s="187"/>
      <c r="BMS83" s="168"/>
      <c r="BMT83" s="189"/>
      <c r="BMU83" s="188"/>
      <c r="BMV83" s="187"/>
      <c r="BNB83" s="188"/>
      <c r="BNC83" s="187"/>
      <c r="BNI83" s="188"/>
      <c r="BNJ83" s="187"/>
      <c r="BNP83" s="188"/>
      <c r="BNQ83" s="187"/>
      <c r="BNW83" s="168"/>
      <c r="BNX83" s="189"/>
      <c r="BOD83" s="188"/>
      <c r="BOE83" s="187"/>
      <c r="BOK83" s="188"/>
      <c r="BOL83" s="187"/>
      <c r="BOR83" s="188"/>
      <c r="BOS83" s="187"/>
      <c r="BOY83" s="188"/>
      <c r="BOZ83" s="187"/>
      <c r="BPB83" s="168"/>
      <c r="BPC83" s="189"/>
      <c r="BPF83" s="188"/>
      <c r="BPG83" s="187"/>
      <c r="BPM83" s="188"/>
      <c r="BPN83" s="187"/>
      <c r="BPT83" s="188"/>
      <c r="BPU83" s="187"/>
      <c r="BQA83" s="188"/>
      <c r="BQB83" s="187"/>
      <c r="BQF83" s="168"/>
      <c r="BQG83" s="189"/>
      <c r="BQH83" s="188"/>
      <c r="BQI83" s="187"/>
      <c r="BQO83" s="188"/>
      <c r="BQP83" s="187"/>
      <c r="BQV83" s="188"/>
      <c r="BQW83" s="187"/>
      <c r="BRC83" s="188"/>
      <c r="BRD83" s="187"/>
      <c r="BRJ83" s="188"/>
      <c r="BRK83" s="190"/>
      <c r="BRL83" s="189"/>
      <c r="BRQ83" s="188"/>
      <c r="BRR83" s="187"/>
      <c r="BRX83" s="188"/>
      <c r="BRY83" s="187"/>
      <c r="BSE83" s="188"/>
      <c r="BSF83" s="187"/>
      <c r="BSL83" s="188"/>
      <c r="BSM83" s="187"/>
      <c r="BSP83" s="168"/>
      <c r="BSQ83" s="189"/>
      <c r="BSS83" s="188"/>
      <c r="BST83" s="187"/>
      <c r="BSZ83" s="188"/>
      <c r="BTA83" s="187"/>
      <c r="BTG83" s="188"/>
      <c r="BTH83" s="187"/>
      <c r="BTN83" s="188"/>
      <c r="BTO83" s="187"/>
      <c r="BTS83" s="168"/>
      <c r="BTT83" s="189"/>
      <c r="BTU83" s="188"/>
      <c r="BTV83" s="187"/>
      <c r="BUB83" s="188"/>
      <c r="BUC83" s="187"/>
      <c r="BUI83" s="188"/>
      <c r="BUJ83" s="187"/>
      <c r="BUP83" s="188"/>
      <c r="BUQ83" s="187"/>
      <c r="BUW83" s="188"/>
      <c r="BUX83" s="190"/>
      <c r="BUY83" s="189"/>
      <c r="BVD83" s="188"/>
      <c r="BVE83" s="187"/>
      <c r="BVK83" s="188"/>
      <c r="BVL83" s="187"/>
      <c r="BVR83" s="188"/>
      <c r="BVS83" s="187"/>
      <c r="BVY83" s="188"/>
      <c r="BVZ83" s="187"/>
      <c r="BWB83" s="168"/>
      <c r="BWC83" s="189"/>
      <c r="BWF83" s="188"/>
      <c r="BWG83" s="187"/>
      <c r="BWM83" s="188"/>
      <c r="BWN83" s="187"/>
      <c r="BWT83" s="188"/>
      <c r="BWU83" s="187"/>
      <c r="BXA83" s="188"/>
      <c r="BXB83" s="187"/>
      <c r="BXG83" s="168"/>
      <c r="BXH83" s="191"/>
      <c r="BXI83" s="187"/>
      <c r="BXO83" s="188"/>
      <c r="BXP83" s="187"/>
      <c r="BXV83" s="188"/>
      <c r="BXW83" s="187"/>
      <c r="BYC83" s="188"/>
      <c r="BYD83" s="187"/>
      <c r="BYJ83" s="188"/>
      <c r="BYK83" s="190"/>
      <c r="BYL83" s="189"/>
      <c r="BYQ83" s="188"/>
      <c r="BYR83" s="187"/>
      <c r="BYX83" s="188"/>
      <c r="BYY83" s="187"/>
      <c r="BZE83" s="188"/>
      <c r="BZF83" s="187"/>
      <c r="BZL83" s="188"/>
      <c r="BZM83" s="187"/>
      <c r="BZP83" s="168"/>
      <c r="BZQ83" s="189"/>
      <c r="BZS83" s="188"/>
      <c r="BZT83" s="187"/>
      <c r="BZZ83" s="188"/>
      <c r="CAA83" s="187"/>
      <c r="CAG83" s="188"/>
      <c r="CAH83" s="187"/>
      <c r="CAN83" s="188"/>
      <c r="CAO83" s="187"/>
      <c r="CAU83" s="168"/>
      <c r="CAV83" s="189"/>
      <c r="CBB83" s="188"/>
      <c r="CBC83" s="187"/>
      <c r="CBI83" s="188"/>
      <c r="CBJ83" s="187"/>
      <c r="CBP83" s="188"/>
      <c r="CBQ83" s="187"/>
      <c r="CBW83" s="188"/>
      <c r="CBX83" s="187"/>
      <c r="CBY83" s="168"/>
      <c r="CBZ83" s="189"/>
      <c r="CCD83" s="188"/>
      <c r="CCE83" s="187"/>
      <c r="CCK83" s="188"/>
      <c r="CCL83" s="187"/>
      <c r="CCR83" s="188"/>
      <c r="CCS83" s="187"/>
      <c r="CCY83" s="188"/>
      <c r="CCZ83" s="187"/>
      <c r="CDD83" s="168"/>
      <c r="CDE83" s="189"/>
      <c r="CDF83" s="188"/>
      <c r="CDG83" s="187"/>
      <c r="CDM83" s="188"/>
      <c r="CDN83" s="187"/>
      <c r="CDT83" s="188"/>
      <c r="CDU83" s="187"/>
      <c r="CEA83" s="188"/>
      <c r="CEB83" s="187"/>
      <c r="CEH83" s="168"/>
      <c r="CEI83" s="189"/>
      <c r="CEO83" s="188"/>
      <c r="CEP83" s="187"/>
      <c r="CEV83" s="188"/>
      <c r="CEW83" s="187"/>
      <c r="CFC83" s="188"/>
      <c r="CFD83" s="187"/>
      <c r="CFJ83" s="188"/>
      <c r="CFK83" s="187"/>
    </row>
    <row r="84" spans="1:1019 1025:2048 2054:2195">
      <c r="A84" s="164" t="s">
        <v>354</v>
      </c>
      <c r="D84" s="186"/>
      <c r="E84" s="186"/>
      <c r="K84" s="187"/>
      <c r="Q84" s="188"/>
      <c r="R84" s="187"/>
      <c r="X84" s="188"/>
      <c r="Y84" s="187"/>
      <c r="AE84" s="188"/>
      <c r="AF84" s="187"/>
      <c r="AJ84" s="168"/>
      <c r="AK84" s="189"/>
      <c r="AL84" s="188"/>
      <c r="AM84" s="187"/>
      <c r="AS84" s="188"/>
      <c r="AT84" s="187"/>
      <c r="AZ84" s="188"/>
      <c r="BA84" s="187"/>
      <c r="BG84" s="188"/>
      <c r="BH84" s="187"/>
      <c r="BL84" s="168"/>
      <c r="BM84" s="189"/>
      <c r="BN84" s="188"/>
      <c r="BO84" s="187"/>
      <c r="BU84" s="188"/>
      <c r="BV84" s="187"/>
      <c r="CB84" s="188"/>
      <c r="CC84" s="187"/>
      <c r="CI84" s="188"/>
      <c r="CJ84" s="187"/>
      <c r="CP84" s="188"/>
      <c r="CQ84" s="190"/>
      <c r="CR84" s="189"/>
      <c r="CW84" s="188"/>
      <c r="CX84" s="187"/>
      <c r="DD84" s="188"/>
      <c r="DE84" s="187"/>
      <c r="DK84" s="188"/>
      <c r="DL84" s="187"/>
      <c r="DR84" s="188"/>
      <c r="DS84" s="187"/>
      <c r="DU84" s="168"/>
      <c r="DV84" s="189"/>
      <c r="DY84" s="188"/>
      <c r="DZ84" s="187"/>
      <c r="EF84" s="188"/>
      <c r="EG84" s="187"/>
      <c r="EM84" s="188"/>
      <c r="EN84" s="187"/>
      <c r="ET84" s="188"/>
      <c r="EU84" s="187"/>
      <c r="EZ84" s="168"/>
      <c r="FA84" s="191"/>
      <c r="FB84" s="187"/>
      <c r="FH84" s="188"/>
      <c r="FI84" s="187"/>
      <c r="FO84" s="188"/>
      <c r="FP84" s="187"/>
      <c r="FV84" s="188"/>
      <c r="FW84" s="187"/>
      <c r="GC84" s="188"/>
      <c r="GD84" s="190"/>
      <c r="GE84" s="189"/>
      <c r="GJ84" s="188"/>
      <c r="GK84" s="187"/>
      <c r="GQ84" s="188"/>
      <c r="GR84" s="187"/>
      <c r="GX84" s="188"/>
      <c r="GY84" s="187"/>
      <c r="HE84" s="188"/>
      <c r="HF84" s="187"/>
      <c r="HI84" s="168"/>
      <c r="HJ84" s="189"/>
      <c r="HL84" s="188"/>
      <c r="HM84" s="187"/>
      <c r="HS84" s="188"/>
      <c r="HT84" s="187"/>
      <c r="HZ84" s="188"/>
      <c r="IA84" s="187"/>
      <c r="IG84" s="188"/>
      <c r="IH84" s="187"/>
      <c r="IN84" s="168"/>
      <c r="IO84" s="189"/>
      <c r="IU84" s="188"/>
      <c r="IV84" s="187"/>
      <c r="JB84" s="188"/>
      <c r="JC84" s="187"/>
      <c r="JI84" s="188"/>
      <c r="JJ84" s="187"/>
      <c r="JP84" s="188"/>
      <c r="JQ84" s="187"/>
      <c r="JR84" s="168"/>
      <c r="JS84" s="189"/>
      <c r="JW84" s="188"/>
      <c r="JX84" s="187"/>
      <c r="KD84" s="188"/>
      <c r="KE84" s="187"/>
      <c r="KK84" s="188"/>
      <c r="KL84" s="187"/>
      <c r="KR84" s="188"/>
      <c r="KS84" s="187"/>
      <c r="KW84" s="168"/>
      <c r="KX84" s="189"/>
      <c r="KY84" s="188"/>
      <c r="KZ84" s="187"/>
      <c r="LF84" s="188"/>
      <c r="LG84" s="187"/>
      <c r="LM84" s="188"/>
      <c r="LN84" s="187"/>
      <c r="LT84" s="188"/>
      <c r="LU84" s="187"/>
      <c r="MA84" s="168"/>
      <c r="MB84" s="189"/>
      <c r="MH84" s="188"/>
      <c r="MI84" s="187"/>
      <c r="MO84" s="188"/>
      <c r="MP84" s="187"/>
      <c r="MV84" s="188"/>
      <c r="MW84" s="187"/>
      <c r="NC84" s="188"/>
      <c r="ND84" s="187"/>
      <c r="NF84" s="168"/>
      <c r="NG84" s="189"/>
      <c r="NJ84" s="188"/>
      <c r="NK84" s="187"/>
      <c r="NQ84" s="188"/>
      <c r="NR84" s="187"/>
      <c r="NX84" s="188"/>
      <c r="NY84" s="187"/>
      <c r="OE84" s="188"/>
      <c r="OF84" s="187"/>
      <c r="OK84" s="168"/>
      <c r="OL84" s="191"/>
      <c r="OM84" s="187"/>
      <c r="OS84" s="188"/>
      <c r="OT84" s="187"/>
      <c r="OZ84" s="188"/>
      <c r="PA84" s="187"/>
      <c r="PG84" s="188"/>
      <c r="PH84" s="187"/>
      <c r="PN84" s="168"/>
      <c r="PO84" s="189"/>
      <c r="PU84" s="188"/>
      <c r="PV84" s="187"/>
      <c r="QB84" s="188"/>
      <c r="QC84" s="187"/>
      <c r="QI84" s="188"/>
      <c r="QJ84" s="187"/>
      <c r="QP84" s="188"/>
      <c r="QQ84" s="187"/>
      <c r="QS84" s="168"/>
      <c r="QT84" s="189"/>
      <c r="QW84" s="188"/>
      <c r="QX84" s="187"/>
      <c r="RD84" s="188"/>
      <c r="RE84" s="187"/>
      <c r="RK84" s="188"/>
      <c r="RL84" s="187"/>
      <c r="RR84" s="188"/>
      <c r="RS84" s="187"/>
      <c r="RW84" s="168"/>
      <c r="RX84" s="189"/>
      <c r="RY84" s="188"/>
      <c r="RZ84" s="187"/>
      <c r="SF84" s="188"/>
      <c r="SG84" s="187"/>
      <c r="SM84" s="188"/>
      <c r="SN84" s="187"/>
      <c r="ST84" s="188"/>
      <c r="SU84" s="187"/>
      <c r="TA84" s="188"/>
      <c r="TB84" s="190"/>
      <c r="TC84" s="189"/>
      <c r="TH84" s="188"/>
      <c r="TI84" s="187"/>
      <c r="TO84" s="188"/>
      <c r="TP84" s="187"/>
      <c r="TV84" s="188"/>
      <c r="TW84" s="187"/>
      <c r="UC84" s="188"/>
      <c r="UD84" s="187"/>
      <c r="UF84" s="168"/>
      <c r="UG84" s="189"/>
      <c r="UJ84" s="188"/>
      <c r="UK84" s="187"/>
      <c r="UQ84" s="188"/>
      <c r="UR84" s="187"/>
      <c r="UX84" s="188"/>
      <c r="UY84" s="187"/>
      <c r="VE84" s="188"/>
      <c r="VF84" s="187"/>
      <c r="VK84" s="168"/>
      <c r="VL84" s="191"/>
      <c r="VM84" s="187"/>
      <c r="VS84" s="188"/>
      <c r="VT84" s="187"/>
      <c r="VZ84" s="188"/>
      <c r="WA84" s="187"/>
      <c r="WG84" s="188"/>
      <c r="WH84" s="187"/>
      <c r="WN84" s="188"/>
      <c r="WO84" s="187"/>
      <c r="WP84" s="168"/>
      <c r="WQ84" s="189"/>
      <c r="WU84" s="188"/>
      <c r="WV84" s="187"/>
      <c r="XB84" s="188"/>
      <c r="XC84" s="187"/>
      <c r="XI84" s="188"/>
      <c r="XJ84" s="187"/>
      <c r="XP84" s="188"/>
      <c r="XQ84" s="187"/>
      <c r="XT84" s="168"/>
      <c r="XU84" s="189"/>
      <c r="XW84" s="188"/>
      <c r="XX84" s="187"/>
      <c r="YD84" s="188"/>
      <c r="YE84" s="187"/>
      <c r="YK84" s="188"/>
      <c r="YL84" s="187"/>
      <c r="YR84" s="188"/>
      <c r="YS84" s="187"/>
      <c r="YY84" s="168"/>
      <c r="YZ84" s="189"/>
      <c r="ZF84" s="188"/>
      <c r="ZG84" s="187"/>
      <c r="ZM84" s="188"/>
      <c r="ZN84" s="187"/>
      <c r="ZT84" s="188"/>
      <c r="ZU84" s="187"/>
      <c r="AAA84" s="188"/>
      <c r="AAB84" s="187"/>
      <c r="AAC84" s="168"/>
      <c r="AAD84" s="189"/>
      <c r="AAH84" s="188"/>
      <c r="AAI84" s="187"/>
      <c r="AAO84" s="188"/>
      <c r="AAP84" s="187"/>
      <c r="AAV84" s="188"/>
      <c r="AAW84" s="187"/>
      <c r="ABC84" s="188"/>
      <c r="ABD84" s="187"/>
      <c r="ABH84" s="168"/>
      <c r="ABI84" s="189"/>
      <c r="ABJ84" s="188"/>
      <c r="ABK84" s="187"/>
      <c r="ABQ84" s="188"/>
      <c r="ABR84" s="187"/>
      <c r="ABX84" s="188"/>
      <c r="ABY84" s="187"/>
      <c r="ACE84" s="188"/>
      <c r="ACF84" s="187"/>
      <c r="ACL84" s="188"/>
      <c r="ACM84" s="190"/>
      <c r="ACN84" s="189"/>
      <c r="ACS84" s="188"/>
      <c r="ACT84" s="187"/>
      <c r="ACZ84" s="188"/>
      <c r="ADA84" s="187"/>
      <c r="ADG84" s="188"/>
      <c r="ADH84" s="187"/>
      <c r="ADN84" s="188"/>
      <c r="ADO84" s="190"/>
      <c r="ADP84" s="189"/>
      <c r="ADU84" s="188"/>
      <c r="ADV84" s="187"/>
      <c r="AEB84" s="188"/>
      <c r="AEC84" s="187"/>
      <c r="AEI84" s="188"/>
      <c r="AEJ84" s="187"/>
      <c r="AEP84" s="188"/>
      <c r="AEQ84" s="187"/>
      <c r="AET84" s="168"/>
      <c r="AEU84" s="189"/>
      <c r="AEW84" s="188"/>
      <c r="AEX84" s="187"/>
      <c r="AFD84" s="188"/>
      <c r="AFE84" s="187"/>
      <c r="AFK84" s="188"/>
      <c r="AFL84" s="187"/>
      <c r="AFR84" s="188"/>
      <c r="AFS84" s="187"/>
      <c r="AFX84" s="168"/>
      <c r="AFY84" s="191"/>
      <c r="AFZ84" s="187"/>
      <c r="AGF84" s="188"/>
      <c r="AGG84" s="187"/>
      <c r="AGM84" s="188"/>
      <c r="AGN84" s="187"/>
      <c r="AGT84" s="188"/>
      <c r="AGU84" s="187"/>
      <c r="AHA84" s="188"/>
      <c r="AHB84" s="187"/>
      <c r="AHC84" s="168"/>
      <c r="AHD84" s="189"/>
      <c r="AHH84" s="188"/>
      <c r="AHI84" s="187"/>
      <c r="AHO84" s="188"/>
      <c r="AHP84" s="187"/>
      <c r="AHV84" s="188"/>
      <c r="AHW84" s="187"/>
      <c r="AIC84" s="188"/>
      <c r="AID84" s="187"/>
      <c r="AIG84" s="168"/>
      <c r="AIH84" s="189"/>
      <c r="AIJ84" s="188"/>
      <c r="AIK84" s="187"/>
      <c r="AIQ84" s="188"/>
      <c r="AIR84" s="187"/>
      <c r="AIX84" s="188"/>
      <c r="AIY84" s="187"/>
      <c r="AJE84" s="188"/>
      <c r="AJF84" s="187"/>
      <c r="AJL84" s="168"/>
      <c r="AJM84" s="189"/>
      <c r="AJS84" s="188"/>
      <c r="AJT84" s="187"/>
      <c r="AJZ84" s="188"/>
      <c r="AKA84" s="187"/>
      <c r="AKG84" s="188"/>
      <c r="AKH84" s="187"/>
      <c r="AKN84" s="188"/>
      <c r="AKO84" s="187"/>
      <c r="AKQ84" s="168"/>
      <c r="AKR84" s="189"/>
      <c r="AKU84" s="188"/>
      <c r="AKV84" s="187"/>
      <c r="ALB84" s="188"/>
      <c r="ALC84" s="187"/>
      <c r="ALI84" s="188"/>
      <c r="ALJ84" s="187"/>
      <c r="ALP84" s="188"/>
      <c r="ALQ84" s="187"/>
      <c r="ALU84" s="168"/>
      <c r="ALV84" s="189"/>
      <c r="ALW84" s="188"/>
      <c r="ALX84" s="187"/>
      <c r="AMD84" s="188"/>
      <c r="AME84" s="187"/>
      <c r="AMK84" s="188"/>
      <c r="AML84" s="187"/>
      <c r="AMR84" s="188"/>
      <c r="AMS84" s="187"/>
      <c r="AMY84" s="188"/>
      <c r="AMZ84" s="190"/>
      <c r="ANA84" s="189"/>
      <c r="ANF84" s="188"/>
      <c r="ANG84" s="187"/>
      <c r="ANM84" s="188"/>
      <c r="ANN84" s="187"/>
      <c r="ANT84" s="188"/>
      <c r="ANU84" s="187"/>
      <c r="AOA84" s="188"/>
      <c r="AOB84" s="187"/>
      <c r="AOD84" s="168"/>
      <c r="AOE84" s="189"/>
      <c r="AOH84" s="188"/>
      <c r="AOI84" s="187"/>
      <c r="AOO84" s="188"/>
      <c r="AOP84" s="187"/>
      <c r="AOV84" s="188"/>
      <c r="AOW84" s="187"/>
      <c r="APC84" s="188"/>
      <c r="APD84" s="187"/>
      <c r="API84" s="168"/>
      <c r="APJ84" s="191"/>
      <c r="APK84" s="187"/>
      <c r="APQ84" s="188"/>
      <c r="APR84" s="187"/>
      <c r="APX84" s="188"/>
      <c r="APY84" s="187"/>
      <c r="AQE84" s="188"/>
      <c r="AQF84" s="187"/>
      <c r="AQL84" s="188"/>
      <c r="AQM84" s="187"/>
      <c r="AQN84" s="168"/>
      <c r="AQO84" s="189"/>
      <c r="AQS84" s="188"/>
      <c r="AQT84" s="187"/>
      <c r="AQZ84" s="188"/>
      <c r="ARA84" s="187"/>
      <c r="ARG84" s="188"/>
      <c r="ARH84" s="187"/>
      <c r="ARN84" s="188"/>
      <c r="ARO84" s="187"/>
      <c r="ARP84" s="168"/>
      <c r="ARQ84" s="189"/>
      <c r="ARU84" s="188"/>
      <c r="ARV84" s="187"/>
      <c r="ASB84" s="188"/>
      <c r="ASC84" s="187"/>
      <c r="ASI84" s="188"/>
      <c r="ASJ84" s="187"/>
      <c r="ASP84" s="188"/>
      <c r="ASQ84" s="187"/>
      <c r="ASU84" s="168"/>
      <c r="ASV84" s="189"/>
      <c r="ASW84" s="188"/>
      <c r="ASX84" s="187"/>
      <c r="ATD84" s="188"/>
      <c r="ATE84" s="187"/>
      <c r="ATK84" s="188"/>
      <c r="ATL84" s="187"/>
      <c r="ATR84" s="188"/>
      <c r="ATS84" s="187"/>
      <c r="ATY84" s="168"/>
      <c r="ATZ84" s="189"/>
      <c r="AUF84" s="188"/>
      <c r="AUG84" s="187"/>
      <c r="AUM84" s="188"/>
      <c r="AUN84" s="187"/>
      <c r="AUT84" s="188"/>
      <c r="AUU84" s="187"/>
      <c r="AVA84" s="188"/>
      <c r="AVB84" s="187"/>
      <c r="AVD84" s="168"/>
      <c r="AVE84" s="189"/>
      <c r="AVH84" s="188"/>
      <c r="AVI84" s="187"/>
      <c r="AVO84" s="188"/>
      <c r="AVP84" s="187"/>
      <c r="AVV84" s="188"/>
      <c r="AVW84" s="187"/>
      <c r="AWC84" s="188"/>
      <c r="AWD84" s="187"/>
      <c r="AWH84" s="168"/>
      <c r="AWI84" s="189"/>
      <c r="AWJ84" s="188"/>
      <c r="AWK84" s="187"/>
      <c r="AWQ84" s="188"/>
      <c r="AWR84" s="187"/>
      <c r="AWX84" s="188"/>
      <c r="AWY84" s="187"/>
      <c r="AXE84" s="188"/>
      <c r="AXF84" s="187"/>
      <c r="AXL84" s="188"/>
      <c r="AXM84" s="190"/>
      <c r="AXN84" s="189"/>
      <c r="AXS84" s="188"/>
      <c r="AXT84" s="187"/>
      <c r="AXZ84" s="188"/>
      <c r="AYA84" s="187"/>
      <c r="AYG84" s="188"/>
      <c r="AYH84" s="187"/>
      <c r="AYN84" s="188"/>
      <c r="AYO84" s="187"/>
      <c r="AYR84" s="168"/>
      <c r="AYS84" s="189"/>
      <c r="AYU84" s="188"/>
      <c r="AYV84" s="187"/>
      <c r="AZB84" s="188"/>
      <c r="AZC84" s="187"/>
      <c r="AZI84" s="188"/>
      <c r="AZJ84" s="187"/>
      <c r="AZP84" s="188"/>
      <c r="AZQ84" s="187"/>
      <c r="AZV84" s="168"/>
      <c r="AZW84" s="191"/>
      <c r="AZX84" s="187"/>
      <c r="BAD84" s="188"/>
      <c r="BAE84" s="187"/>
      <c r="BAK84" s="188"/>
      <c r="BAL84" s="187"/>
      <c r="BAR84" s="188"/>
      <c r="BAS84" s="187"/>
      <c r="BAY84" s="188"/>
      <c r="BAZ84" s="187"/>
      <c r="BBA84" s="168"/>
      <c r="BBB84" s="189"/>
      <c r="BBF84" s="188"/>
      <c r="BBG84" s="187"/>
      <c r="BBM84" s="188"/>
      <c r="BBN84" s="187"/>
      <c r="BBT84" s="188"/>
      <c r="BBU84" s="187"/>
      <c r="BCA84" s="188"/>
      <c r="BCB84" s="187"/>
      <c r="BCE84" s="168"/>
      <c r="BCF84" s="189"/>
      <c r="BCH84" s="188"/>
      <c r="BCI84" s="187"/>
      <c r="BCO84" s="188"/>
      <c r="BCP84" s="187"/>
      <c r="BCV84" s="188"/>
      <c r="BCW84" s="187"/>
      <c r="BDC84" s="188"/>
      <c r="BDD84" s="187"/>
      <c r="BDJ84" s="168"/>
      <c r="BDK84" s="189"/>
      <c r="BDQ84" s="188"/>
      <c r="BDR84" s="187"/>
      <c r="BDX84" s="188"/>
      <c r="BDY84" s="187"/>
      <c r="BEE84" s="188"/>
      <c r="BEF84" s="187"/>
      <c r="BEL84" s="188"/>
      <c r="BEM84" s="187"/>
      <c r="BEO84" s="168"/>
      <c r="BEP84" s="189"/>
      <c r="BES84" s="188"/>
      <c r="BET84" s="187"/>
      <c r="BEZ84" s="188"/>
      <c r="BFA84" s="187"/>
      <c r="BFG84" s="188"/>
      <c r="BFH84" s="187"/>
      <c r="BFN84" s="188"/>
      <c r="BFO84" s="187"/>
      <c r="BFQ84" s="168"/>
      <c r="BFR84" s="189"/>
      <c r="BFU84" s="188"/>
      <c r="BFV84" s="187"/>
      <c r="BGB84" s="188"/>
      <c r="BGC84" s="187"/>
      <c r="BGI84" s="188"/>
      <c r="BGJ84" s="187"/>
      <c r="BGP84" s="188"/>
      <c r="BGQ84" s="187"/>
      <c r="BGV84" s="168"/>
      <c r="BGW84" s="191"/>
      <c r="BGX84" s="187"/>
      <c r="BHD84" s="188"/>
      <c r="BHE84" s="187"/>
      <c r="BHK84" s="188"/>
      <c r="BHL84" s="187"/>
      <c r="BHR84" s="188"/>
      <c r="BHS84" s="187"/>
      <c r="BHY84" s="188"/>
      <c r="BHZ84" s="190"/>
      <c r="BIA84" s="189"/>
      <c r="BIF84" s="188"/>
      <c r="BIG84" s="187"/>
      <c r="BIM84" s="188"/>
      <c r="BIN84" s="187"/>
      <c r="BIT84" s="188"/>
      <c r="BIU84" s="187"/>
      <c r="BJA84" s="188"/>
      <c r="BJB84" s="187"/>
      <c r="BJE84" s="168"/>
      <c r="BJF84" s="189"/>
      <c r="BJH84" s="188"/>
      <c r="BJI84" s="187"/>
      <c r="BJO84" s="188"/>
      <c r="BJP84" s="187"/>
      <c r="BJV84" s="188"/>
      <c r="BJW84" s="187"/>
      <c r="BKC84" s="188"/>
      <c r="BKD84" s="187"/>
      <c r="BKI84" s="168"/>
      <c r="BKJ84" s="191"/>
      <c r="BKK84" s="187"/>
      <c r="BKQ84" s="188"/>
      <c r="BKR84" s="187"/>
      <c r="BKX84" s="188"/>
      <c r="BKY84" s="187"/>
      <c r="BLE84" s="188"/>
      <c r="BLF84" s="187"/>
      <c r="BLL84" s="188"/>
      <c r="BLM84" s="187"/>
      <c r="BLN84" s="168"/>
      <c r="BLO84" s="189"/>
      <c r="BLS84" s="188"/>
      <c r="BLT84" s="187"/>
      <c r="BLZ84" s="188"/>
      <c r="BMA84" s="187"/>
      <c r="BMG84" s="188"/>
      <c r="BMH84" s="187"/>
      <c r="BMN84" s="188"/>
      <c r="BMO84" s="187"/>
      <c r="BMS84" s="168"/>
      <c r="BMT84" s="189"/>
      <c r="BMU84" s="188"/>
      <c r="BMV84" s="187"/>
      <c r="BNB84" s="188"/>
      <c r="BNC84" s="187"/>
      <c r="BNI84" s="188"/>
      <c r="BNJ84" s="187"/>
      <c r="BNP84" s="188"/>
      <c r="BNQ84" s="187"/>
      <c r="BNW84" s="168"/>
      <c r="BNX84" s="189"/>
      <c r="BOD84" s="188"/>
      <c r="BOE84" s="187"/>
      <c r="BOK84" s="188"/>
      <c r="BOL84" s="187"/>
      <c r="BOR84" s="188"/>
      <c r="BOS84" s="187"/>
      <c r="BOY84" s="188"/>
      <c r="BOZ84" s="187"/>
      <c r="BPB84" s="168"/>
      <c r="BPC84" s="189"/>
      <c r="BPF84" s="188"/>
      <c r="BPG84" s="187"/>
      <c r="BPM84" s="188"/>
      <c r="BPN84" s="187"/>
      <c r="BPT84" s="188"/>
      <c r="BPU84" s="187"/>
      <c r="BQA84" s="188"/>
      <c r="BQB84" s="187"/>
      <c r="BQF84" s="168"/>
      <c r="BQG84" s="189"/>
      <c r="BQH84" s="188"/>
      <c r="BQI84" s="187"/>
      <c r="BQO84" s="188"/>
      <c r="BQP84" s="187"/>
      <c r="BQV84" s="188"/>
      <c r="BQW84" s="187"/>
      <c r="BRC84" s="188"/>
      <c r="BRD84" s="187"/>
      <c r="BRJ84" s="188"/>
      <c r="BRK84" s="190"/>
      <c r="BRL84" s="189"/>
      <c r="BRQ84" s="188"/>
      <c r="BRR84" s="187"/>
      <c r="BRX84" s="188"/>
      <c r="BRY84" s="187"/>
      <c r="BSE84" s="188"/>
      <c r="BSF84" s="187"/>
      <c r="BSL84" s="188"/>
      <c r="BSM84" s="187"/>
      <c r="BSP84" s="168"/>
      <c r="BSQ84" s="189"/>
      <c r="BSS84" s="188"/>
      <c r="BST84" s="187"/>
      <c r="BSZ84" s="188"/>
      <c r="BTA84" s="187"/>
      <c r="BTG84" s="188"/>
      <c r="BTH84" s="187"/>
      <c r="BTN84" s="188"/>
      <c r="BTO84" s="187"/>
      <c r="BTS84" s="168"/>
      <c r="BTT84" s="189"/>
      <c r="BTU84" s="188"/>
      <c r="BTV84" s="187"/>
      <c r="BUB84" s="188"/>
      <c r="BUC84" s="187"/>
      <c r="BUI84" s="188"/>
      <c r="BUJ84" s="187"/>
      <c r="BUP84" s="188"/>
      <c r="BUQ84" s="187"/>
      <c r="BUW84" s="188"/>
      <c r="BUX84" s="190"/>
      <c r="BUY84" s="189"/>
      <c r="BVD84" s="188"/>
      <c r="BVE84" s="187"/>
      <c r="BVK84" s="188"/>
      <c r="BVL84" s="187"/>
      <c r="BVR84" s="188"/>
      <c r="BVS84" s="187"/>
      <c r="BVY84" s="188"/>
      <c r="BVZ84" s="187"/>
      <c r="BWB84" s="168"/>
      <c r="BWC84" s="189"/>
      <c r="BWF84" s="188"/>
      <c r="BWG84" s="187"/>
      <c r="BWM84" s="188"/>
      <c r="BWN84" s="187"/>
      <c r="BWT84" s="188"/>
      <c r="BWU84" s="187"/>
      <c r="BXA84" s="188"/>
      <c r="BXB84" s="187"/>
      <c r="BXG84" s="168"/>
      <c r="BXH84" s="191"/>
      <c r="BXI84" s="187"/>
      <c r="BXO84" s="188"/>
      <c r="BXP84" s="187"/>
      <c r="BXV84" s="188"/>
      <c r="BXW84" s="187"/>
      <c r="BYC84" s="188"/>
      <c r="BYD84" s="187"/>
      <c r="BYJ84" s="188"/>
      <c r="BYK84" s="190"/>
      <c r="BYL84" s="189"/>
      <c r="BYQ84" s="188"/>
      <c r="BYR84" s="187"/>
      <c r="BYX84" s="188"/>
      <c r="BYY84" s="187"/>
      <c r="BZE84" s="188"/>
      <c r="BZF84" s="187"/>
      <c r="BZL84" s="188"/>
      <c r="BZM84" s="187"/>
      <c r="BZP84" s="168"/>
      <c r="BZQ84" s="189"/>
      <c r="BZS84" s="188"/>
      <c r="BZT84" s="187"/>
      <c r="BZZ84" s="188"/>
      <c r="CAA84" s="187"/>
      <c r="CAG84" s="188"/>
      <c r="CAH84" s="187"/>
      <c r="CAN84" s="188"/>
      <c r="CAO84" s="187"/>
      <c r="CAU84" s="168"/>
      <c r="CAV84" s="189"/>
      <c r="CBB84" s="188"/>
      <c r="CBC84" s="187"/>
      <c r="CBI84" s="188"/>
      <c r="CBJ84" s="187"/>
      <c r="CBP84" s="188"/>
      <c r="CBQ84" s="187"/>
      <c r="CBW84" s="188"/>
      <c r="CBX84" s="187"/>
      <c r="CBY84" s="168"/>
      <c r="CBZ84" s="189"/>
      <c r="CCD84" s="188"/>
      <c r="CCE84" s="187"/>
      <c r="CCK84" s="188"/>
      <c r="CCL84" s="187"/>
      <c r="CCR84" s="188"/>
      <c r="CCS84" s="187"/>
      <c r="CCY84" s="188"/>
      <c r="CCZ84" s="187"/>
      <c r="CDD84" s="168"/>
      <c r="CDE84" s="189"/>
      <c r="CDF84" s="188"/>
      <c r="CDG84" s="187"/>
      <c r="CDM84" s="188"/>
      <c r="CDN84" s="187"/>
      <c r="CDT84" s="188"/>
      <c r="CDU84" s="187"/>
      <c r="CEA84" s="188"/>
      <c r="CEB84" s="187"/>
      <c r="CEH84" s="168"/>
      <c r="CEI84" s="189"/>
      <c r="CEO84" s="188"/>
      <c r="CEP84" s="187"/>
      <c r="CEV84" s="188"/>
      <c r="CEW84" s="187"/>
      <c r="CFC84" s="188"/>
      <c r="CFD84" s="187"/>
      <c r="CFJ84" s="188"/>
      <c r="CFK84" s="187"/>
    </row>
    <row r="85" spans="1:1019 1025:2048 2054:2195">
      <c r="A85" s="164" t="s">
        <v>355</v>
      </c>
      <c r="D85" s="186"/>
      <c r="E85" s="186"/>
      <c r="K85" s="187"/>
      <c r="Q85" s="188"/>
      <c r="R85" s="187"/>
      <c r="X85" s="188"/>
      <c r="Y85" s="187"/>
      <c r="AE85" s="188"/>
      <c r="AF85" s="187"/>
      <c r="AJ85" s="168"/>
      <c r="AK85" s="189"/>
      <c r="AL85" s="188"/>
      <c r="AM85" s="187"/>
      <c r="AS85" s="188"/>
      <c r="AT85" s="187"/>
      <c r="AZ85" s="188"/>
      <c r="BA85" s="187"/>
      <c r="BG85" s="188"/>
      <c r="BH85" s="187"/>
      <c r="BL85" s="168"/>
      <c r="BM85" s="189"/>
      <c r="BN85" s="188"/>
      <c r="BO85" s="187"/>
      <c r="BU85" s="188"/>
      <c r="BV85" s="187"/>
      <c r="CB85" s="188"/>
      <c r="CC85" s="187"/>
      <c r="CI85" s="188"/>
      <c r="CJ85" s="187"/>
      <c r="CP85" s="188"/>
      <c r="CQ85" s="190"/>
      <c r="CR85" s="189"/>
      <c r="CW85" s="188"/>
      <c r="CX85" s="187"/>
      <c r="DD85" s="188"/>
      <c r="DE85" s="187"/>
      <c r="DK85" s="188"/>
      <c r="DL85" s="187"/>
      <c r="DR85" s="188"/>
      <c r="DS85" s="187"/>
      <c r="DU85" s="168"/>
      <c r="DV85" s="189"/>
      <c r="DY85" s="188"/>
      <c r="DZ85" s="187"/>
      <c r="EF85" s="188"/>
      <c r="EG85" s="187"/>
      <c r="EM85" s="188"/>
      <c r="EN85" s="187"/>
      <c r="ET85" s="188"/>
      <c r="EU85" s="187"/>
      <c r="EZ85" s="168"/>
      <c r="FA85" s="191"/>
      <c r="FB85" s="187"/>
      <c r="FH85" s="188"/>
      <c r="FI85" s="187"/>
      <c r="FO85" s="188"/>
      <c r="FP85" s="187"/>
      <c r="FV85" s="188"/>
      <c r="FW85" s="187"/>
      <c r="GC85" s="188"/>
      <c r="GD85" s="190"/>
      <c r="GE85" s="189"/>
      <c r="GJ85" s="188"/>
      <c r="GK85" s="187"/>
      <c r="GQ85" s="188"/>
      <c r="GR85" s="187"/>
      <c r="GX85" s="188"/>
      <c r="GY85" s="187"/>
      <c r="HE85" s="188"/>
      <c r="HF85" s="187"/>
      <c r="HI85" s="168"/>
      <c r="HJ85" s="189"/>
      <c r="HL85" s="188"/>
      <c r="HM85" s="187"/>
      <c r="HS85" s="188"/>
      <c r="HT85" s="187"/>
      <c r="HZ85" s="188"/>
      <c r="IA85" s="187"/>
      <c r="IG85" s="188"/>
      <c r="IH85" s="187"/>
      <c r="IN85" s="168"/>
      <c r="IO85" s="189"/>
      <c r="IU85" s="188"/>
      <c r="IV85" s="187"/>
      <c r="JB85" s="188"/>
      <c r="JC85" s="187"/>
      <c r="JI85" s="188"/>
      <c r="JJ85" s="187"/>
      <c r="JP85" s="188"/>
      <c r="JQ85" s="187"/>
      <c r="JR85" s="168"/>
      <c r="JS85" s="189"/>
      <c r="JW85" s="188"/>
      <c r="JX85" s="187"/>
      <c r="KD85" s="188"/>
      <c r="KE85" s="187"/>
      <c r="KK85" s="188"/>
      <c r="KL85" s="187"/>
      <c r="KR85" s="188"/>
      <c r="KS85" s="187"/>
      <c r="KW85" s="168"/>
      <c r="KX85" s="189"/>
      <c r="KY85" s="188"/>
      <c r="KZ85" s="187"/>
      <c r="LF85" s="188"/>
      <c r="LG85" s="187"/>
      <c r="LM85" s="188"/>
      <c r="LN85" s="187"/>
      <c r="LT85" s="188"/>
      <c r="LU85" s="187"/>
      <c r="MA85" s="168"/>
      <c r="MB85" s="189"/>
      <c r="MH85" s="188"/>
      <c r="MI85" s="187"/>
      <c r="MO85" s="188"/>
      <c r="MP85" s="187"/>
      <c r="MV85" s="188"/>
      <c r="MW85" s="187"/>
      <c r="NC85" s="188"/>
      <c r="ND85" s="187"/>
      <c r="NF85" s="168"/>
      <c r="NG85" s="189"/>
      <c r="NJ85" s="188"/>
      <c r="NK85" s="187"/>
      <c r="NQ85" s="188"/>
      <c r="NR85" s="187"/>
      <c r="NX85" s="188"/>
      <c r="NY85" s="187"/>
      <c r="OE85" s="188"/>
      <c r="OF85" s="187"/>
      <c r="OK85" s="168"/>
      <c r="OL85" s="191"/>
      <c r="OM85" s="187"/>
      <c r="OS85" s="188"/>
      <c r="OT85" s="187"/>
      <c r="OZ85" s="188"/>
      <c r="PA85" s="187"/>
      <c r="PG85" s="188"/>
      <c r="PH85" s="187"/>
      <c r="PN85" s="168"/>
      <c r="PO85" s="189"/>
      <c r="PU85" s="188"/>
      <c r="PV85" s="187"/>
      <c r="QB85" s="188"/>
      <c r="QC85" s="187"/>
      <c r="QI85" s="188"/>
      <c r="QJ85" s="187"/>
      <c r="QP85" s="188"/>
      <c r="QQ85" s="187"/>
      <c r="QS85" s="168"/>
      <c r="QT85" s="189"/>
      <c r="QW85" s="188"/>
      <c r="QX85" s="187"/>
      <c r="RD85" s="188"/>
      <c r="RE85" s="187"/>
      <c r="RK85" s="188"/>
      <c r="RL85" s="187"/>
      <c r="RR85" s="188"/>
      <c r="RS85" s="187"/>
      <c r="RW85" s="168"/>
      <c r="RX85" s="189"/>
      <c r="RY85" s="188"/>
      <c r="RZ85" s="187"/>
      <c r="SF85" s="188"/>
      <c r="SG85" s="187"/>
      <c r="SM85" s="188"/>
      <c r="SN85" s="187"/>
      <c r="ST85" s="188"/>
      <c r="SU85" s="187"/>
      <c r="TA85" s="188"/>
      <c r="TB85" s="190"/>
      <c r="TC85" s="189"/>
      <c r="TH85" s="188"/>
      <c r="TI85" s="187"/>
      <c r="TO85" s="188"/>
      <c r="TP85" s="187"/>
      <c r="TV85" s="188"/>
      <c r="TW85" s="187"/>
      <c r="UC85" s="188"/>
      <c r="UD85" s="187"/>
      <c r="UF85" s="168"/>
      <c r="UG85" s="189"/>
      <c r="UJ85" s="188"/>
      <c r="UK85" s="187"/>
      <c r="UQ85" s="188"/>
      <c r="UR85" s="187"/>
      <c r="UX85" s="188"/>
      <c r="UY85" s="187"/>
      <c r="VE85" s="188"/>
      <c r="VF85" s="187"/>
      <c r="VK85" s="168"/>
      <c r="VL85" s="191"/>
      <c r="VM85" s="187"/>
      <c r="VS85" s="188"/>
      <c r="VT85" s="187"/>
      <c r="VZ85" s="188"/>
      <c r="WA85" s="187"/>
      <c r="WG85" s="188"/>
      <c r="WH85" s="187"/>
      <c r="WN85" s="188"/>
      <c r="WO85" s="187"/>
      <c r="WP85" s="168"/>
      <c r="WQ85" s="189"/>
      <c r="WU85" s="188"/>
      <c r="WV85" s="187"/>
      <c r="XB85" s="188"/>
      <c r="XC85" s="187"/>
      <c r="XI85" s="188"/>
      <c r="XJ85" s="187"/>
      <c r="XP85" s="188"/>
      <c r="XQ85" s="187"/>
      <c r="XT85" s="168"/>
      <c r="XU85" s="189"/>
      <c r="XW85" s="188"/>
      <c r="XX85" s="187"/>
      <c r="YD85" s="188"/>
      <c r="YE85" s="187"/>
      <c r="YK85" s="188"/>
      <c r="YL85" s="187"/>
      <c r="YR85" s="188"/>
      <c r="YS85" s="187"/>
      <c r="YY85" s="168"/>
      <c r="YZ85" s="189"/>
      <c r="ZF85" s="188"/>
      <c r="ZG85" s="187"/>
      <c r="ZM85" s="188"/>
      <c r="ZN85" s="187"/>
      <c r="ZT85" s="188"/>
      <c r="ZU85" s="187"/>
      <c r="AAA85" s="188"/>
      <c r="AAB85" s="187"/>
      <c r="AAC85" s="168"/>
      <c r="AAD85" s="189"/>
      <c r="AAH85" s="188"/>
      <c r="AAI85" s="187"/>
      <c r="AAO85" s="188"/>
      <c r="AAP85" s="187"/>
      <c r="AAV85" s="188"/>
      <c r="AAW85" s="187"/>
      <c r="ABC85" s="188"/>
      <c r="ABD85" s="187"/>
      <c r="ABH85" s="168"/>
      <c r="ABI85" s="189"/>
      <c r="ABJ85" s="188"/>
      <c r="ABK85" s="187"/>
      <c r="ABQ85" s="188"/>
      <c r="ABR85" s="187"/>
      <c r="ABX85" s="188"/>
      <c r="ABY85" s="187"/>
      <c r="ACE85" s="188"/>
      <c r="ACF85" s="187"/>
      <c r="ACL85" s="188"/>
      <c r="ACM85" s="190"/>
      <c r="ACN85" s="189"/>
      <c r="ACS85" s="188"/>
      <c r="ACT85" s="187"/>
      <c r="ACZ85" s="188"/>
      <c r="ADA85" s="187"/>
      <c r="ADG85" s="188"/>
      <c r="ADH85" s="187"/>
      <c r="ADN85" s="188"/>
      <c r="ADO85" s="190"/>
      <c r="ADP85" s="189"/>
      <c r="ADU85" s="188"/>
      <c r="ADV85" s="187"/>
      <c r="AEB85" s="188"/>
      <c r="AEC85" s="187"/>
      <c r="AEI85" s="188"/>
      <c r="AEJ85" s="187"/>
      <c r="AEP85" s="188"/>
      <c r="AEQ85" s="187"/>
      <c r="AET85" s="168"/>
      <c r="AEU85" s="189"/>
      <c r="AEW85" s="188"/>
      <c r="AEX85" s="187"/>
      <c r="AFD85" s="188"/>
      <c r="AFE85" s="187"/>
      <c r="AFK85" s="188"/>
      <c r="AFL85" s="187"/>
      <c r="AFR85" s="188"/>
      <c r="AFS85" s="187"/>
      <c r="AFX85" s="168"/>
      <c r="AFY85" s="191"/>
      <c r="AFZ85" s="187"/>
      <c r="AGF85" s="188"/>
      <c r="AGG85" s="187"/>
      <c r="AGM85" s="188"/>
      <c r="AGN85" s="187"/>
      <c r="AGT85" s="188"/>
      <c r="AGU85" s="187"/>
      <c r="AHA85" s="188"/>
      <c r="AHB85" s="187"/>
      <c r="AHC85" s="168"/>
      <c r="AHD85" s="189"/>
      <c r="AHH85" s="188"/>
      <c r="AHI85" s="187"/>
      <c r="AHO85" s="188"/>
      <c r="AHP85" s="187"/>
      <c r="AHV85" s="188"/>
      <c r="AHW85" s="187"/>
      <c r="AIC85" s="188"/>
      <c r="AID85" s="187"/>
      <c r="AIG85" s="168"/>
      <c r="AIH85" s="189"/>
      <c r="AIJ85" s="188"/>
      <c r="AIK85" s="187"/>
      <c r="AIQ85" s="188"/>
      <c r="AIR85" s="187"/>
      <c r="AIX85" s="188"/>
      <c r="AIY85" s="187"/>
      <c r="AJE85" s="188"/>
      <c r="AJF85" s="187"/>
      <c r="AJL85" s="168"/>
      <c r="AJM85" s="189"/>
      <c r="AJS85" s="188"/>
      <c r="AJT85" s="187"/>
      <c r="AJZ85" s="188"/>
      <c r="AKA85" s="187"/>
      <c r="AKG85" s="188"/>
      <c r="AKH85" s="187"/>
      <c r="AKN85" s="188"/>
      <c r="AKO85" s="187"/>
      <c r="AKQ85" s="168"/>
      <c r="AKR85" s="189"/>
      <c r="AKU85" s="188"/>
      <c r="AKV85" s="187"/>
      <c r="ALB85" s="188"/>
      <c r="ALC85" s="187"/>
      <c r="ALI85" s="188"/>
      <c r="ALJ85" s="187"/>
      <c r="ALP85" s="188"/>
      <c r="ALQ85" s="187"/>
      <c r="ALU85" s="168"/>
      <c r="ALV85" s="189"/>
      <c r="ALW85" s="188"/>
      <c r="ALX85" s="187"/>
      <c r="AMD85" s="188"/>
      <c r="AME85" s="187"/>
      <c r="AMK85" s="188"/>
      <c r="AML85" s="187"/>
      <c r="AMR85" s="188"/>
      <c r="AMS85" s="187"/>
      <c r="AMY85" s="188"/>
      <c r="AMZ85" s="190"/>
      <c r="ANA85" s="189"/>
      <c r="ANF85" s="188"/>
      <c r="ANG85" s="187"/>
      <c r="ANM85" s="188"/>
      <c r="ANN85" s="187"/>
      <c r="ANT85" s="188"/>
      <c r="ANU85" s="187"/>
      <c r="AOA85" s="188"/>
      <c r="AOB85" s="187"/>
      <c r="AOD85" s="168"/>
      <c r="AOE85" s="189"/>
      <c r="AOH85" s="188"/>
      <c r="AOI85" s="187"/>
      <c r="AOO85" s="188"/>
      <c r="AOP85" s="187"/>
      <c r="AOV85" s="188"/>
      <c r="AOW85" s="187"/>
      <c r="APC85" s="188"/>
      <c r="APD85" s="187"/>
      <c r="API85" s="168"/>
      <c r="APJ85" s="191"/>
      <c r="APK85" s="187"/>
      <c r="APQ85" s="188"/>
      <c r="APR85" s="187"/>
      <c r="APX85" s="188"/>
      <c r="APY85" s="187"/>
      <c r="AQE85" s="188"/>
      <c r="AQF85" s="187"/>
      <c r="AQL85" s="188"/>
      <c r="AQM85" s="187"/>
      <c r="AQN85" s="168"/>
      <c r="AQO85" s="189"/>
      <c r="AQS85" s="188"/>
      <c r="AQT85" s="187"/>
      <c r="AQZ85" s="188"/>
      <c r="ARA85" s="187"/>
      <c r="ARG85" s="188"/>
      <c r="ARH85" s="187"/>
      <c r="ARN85" s="188"/>
      <c r="ARO85" s="187"/>
      <c r="ARP85" s="168"/>
      <c r="ARQ85" s="189"/>
      <c r="ARU85" s="188"/>
      <c r="ARV85" s="187"/>
      <c r="ASB85" s="188"/>
      <c r="ASC85" s="187"/>
      <c r="ASI85" s="188"/>
      <c r="ASJ85" s="187"/>
      <c r="ASP85" s="188"/>
      <c r="ASQ85" s="187"/>
      <c r="ASU85" s="168"/>
      <c r="ASV85" s="189"/>
      <c r="ASW85" s="188"/>
      <c r="ASX85" s="187"/>
      <c r="ATD85" s="188"/>
      <c r="ATE85" s="187"/>
      <c r="ATK85" s="188"/>
      <c r="ATL85" s="187"/>
      <c r="ATR85" s="188"/>
      <c r="ATS85" s="187"/>
      <c r="ATY85" s="168"/>
      <c r="ATZ85" s="189"/>
      <c r="AUF85" s="188"/>
      <c r="AUG85" s="187"/>
      <c r="AUM85" s="188"/>
      <c r="AUN85" s="187"/>
      <c r="AUT85" s="188"/>
      <c r="AUU85" s="187"/>
      <c r="AVA85" s="188"/>
      <c r="AVB85" s="187"/>
      <c r="AVD85" s="168"/>
      <c r="AVE85" s="189"/>
      <c r="AVH85" s="188"/>
      <c r="AVI85" s="187"/>
      <c r="AVO85" s="188"/>
      <c r="AVP85" s="187"/>
      <c r="AVV85" s="188"/>
      <c r="AVW85" s="187"/>
      <c r="AWC85" s="188"/>
      <c r="AWD85" s="187"/>
      <c r="AWH85" s="168"/>
      <c r="AWI85" s="189"/>
      <c r="AWJ85" s="188"/>
      <c r="AWK85" s="187"/>
      <c r="AWQ85" s="188"/>
      <c r="AWR85" s="187"/>
      <c r="AWX85" s="188"/>
      <c r="AWY85" s="187"/>
      <c r="AXE85" s="188"/>
      <c r="AXF85" s="187"/>
      <c r="AXL85" s="188"/>
      <c r="AXM85" s="190"/>
      <c r="AXN85" s="189"/>
      <c r="AXS85" s="188"/>
      <c r="AXT85" s="187"/>
      <c r="AXZ85" s="188"/>
      <c r="AYA85" s="187"/>
      <c r="AYG85" s="188"/>
      <c r="AYH85" s="187"/>
      <c r="AYN85" s="188"/>
      <c r="AYO85" s="187"/>
      <c r="AYR85" s="168"/>
      <c r="AYS85" s="189"/>
      <c r="AYU85" s="188"/>
      <c r="AYV85" s="187"/>
      <c r="AZB85" s="188"/>
      <c r="AZC85" s="187"/>
      <c r="AZI85" s="188"/>
      <c r="AZJ85" s="187"/>
      <c r="AZP85" s="188"/>
      <c r="AZQ85" s="187"/>
      <c r="AZV85" s="168"/>
      <c r="AZW85" s="191"/>
      <c r="AZX85" s="187"/>
      <c r="BAD85" s="188"/>
      <c r="BAE85" s="187"/>
      <c r="BAK85" s="188"/>
      <c r="BAL85" s="187"/>
      <c r="BAR85" s="188"/>
      <c r="BAS85" s="187"/>
      <c r="BAY85" s="188"/>
      <c r="BAZ85" s="187"/>
      <c r="BBA85" s="168"/>
      <c r="BBB85" s="189"/>
      <c r="BBF85" s="188"/>
      <c r="BBG85" s="187"/>
      <c r="BBM85" s="188"/>
      <c r="BBN85" s="187"/>
      <c r="BBT85" s="188"/>
      <c r="BBU85" s="187"/>
      <c r="BCA85" s="188"/>
      <c r="BCB85" s="187"/>
      <c r="BCE85" s="168"/>
      <c r="BCF85" s="189"/>
      <c r="BCH85" s="188"/>
      <c r="BCI85" s="187"/>
      <c r="BCO85" s="188"/>
      <c r="BCP85" s="187"/>
      <c r="BCV85" s="188"/>
      <c r="BCW85" s="187"/>
      <c r="BDC85" s="188"/>
      <c r="BDD85" s="187"/>
      <c r="BDJ85" s="168"/>
      <c r="BDK85" s="189"/>
      <c r="BDQ85" s="188"/>
      <c r="BDR85" s="187"/>
      <c r="BDX85" s="188"/>
      <c r="BDY85" s="187"/>
      <c r="BEE85" s="188"/>
      <c r="BEF85" s="187"/>
      <c r="BEL85" s="188"/>
      <c r="BEM85" s="187"/>
      <c r="BEO85" s="168"/>
      <c r="BEP85" s="189"/>
      <c r="BES85" s="188"/>
      <c r="BET85" s="187"/>
      <c r="BEZ85" s="188"/>
      <c r="BFA85" s="187"/>
      <c r="BFG85" s="188"/>
      <c r="BFH85" s="187"/>
      <c r="BFN85" s="188"/>
      <c r="BFO85" s="187"/>
      <c r="BFQ85" s="168"/>
      <c r="BFR85" s="189"/>
      <c r="BFU85" s="188"/>
      <c r="BFV85" s="187"/>
      <c r="BGB85" s="188"/>
      <c r="BGC85" s="187"/>
      <c r="BGI85" s="188"/>
      <c r="BGJ85" s="187"/>
      <c r="BGP85" s="188"/>
      <c r="BGQ85" s="187"/>
      <c r="BGV85" s="168"/>
      <c r="BGW85" s="191"/>
      <c r="BGX85" s="187"/>
      <c r="BHD85" s="188"/>
      <c r="BHE85" s="187"/>
      <c r="BHK85" s="188"/>
      <c r="BHL85" s="187"/>
      <c r="BHR85" s="188"/>
      <c r="BHS85" s="187"/>
      <c r="BHY85" s="188"/>
      <c r="BHZ85" s="190"/>
      <c r="BIA85" s="189"/>
      <c r="BIF85" s="188"/>
      <c r="BIG85" s="187"/>
      <c r="BIM85" s="188"/>
      <c r="BIN85" s="187"/>
      <c r="BIT85" s="188"/>
      <c r="BIU85" s="187"/>
      <c r="BJA85" s="188"/>
      <c r="BJB85" s="187"/>
      <c r="BJE85" s="168"/>
      <c r="BJF85" s="189"/>
      <c r="BJH85" s="188"/>
      <c r="BJI85" s="187"/>
      <c r="BJO85" s="188"/>
      <c r="BJP85" s="187"/>
      <c r="BJV85" s="188"/>
      <c r="BJW85" s="187"/>
      <c r="BKC85" s="188"/>
      <c r="BKD85" s="187"/>
      <c r="BKI85" s="168"/>
      <c r="BKJ85" s="191"/>
      <c r="BKK85" s="187"/>
      <c r="BKQ85" s="188"/>
      <c r="BKR85" s="187"/>
      <c r="BKX85" s="188"/>
      <c r="BKY85" s="187"/>
      <c r="BLE85" s="188"/>
      <c r="BLF85" s="187"/>
      <c r="BLL85" s="188"/>
      <c r="BLM85" s="187"/>
      <c r="BLN85" s="168"/>
      <c r="BLO85" s="189"/>
      <c r="BLS85" s="188"/>
      <c r="BLT85" s="187"/>
      <c r="BLZ85" s="188"/>
      <c r="BMA85" s="187"/>
      <c r="BMG85" s="188"/>
      <c r="BMH85" s="187"/>
      <c r="BMN85" s="188"/>
      <c r="BMO85" s="187"/>
      <c r="BMS85" s="168"/>
      <c r="BMT85" s="189"/>
      <c r="BMU85" s="188"/>
      <c r="BMV85" s="187"/>
      <c r="BNB85" s="188"/>
      <c r="BNC85" s="187"/>
      <c r="BNI85" s="188"/>
      <c r="BNJ85" s="187"/>
      <c r="BNP85" s="188"/>
      <c r="BNQ85" s="187"/>
      <c r="BNW85" s="168"/>
      <c r="BNX85" s="189"/>
      <c r="BOD85" s="188"/>
      <c r="BOE85" s="187"/>
      <c r="BOK85" s="188"/>
      <c r="BOL85" s="187"/>
      <c r="BOR85" s="188"/>
      <c r="BOS85" s="187"/>
      <c r="BOY85" s="188"/>
      <c r="BOZ85" s="187"/>
      <c r="BPB85" s="168"/>
      <c r="BPC85" s="189"/>
      <c r="BPF85" s="188"/>
      <c r="BPG85" s="187"/>
      <c r="BPM85" s="188"/>
      <c r="BPN85" s="187"/>
      <c r="BPT85" s="188"/>
      <c r="BPU85" s="187"/>
      <c r="BQA85" s="188"/>
      <c r="BQB85" s="187"/>
      <c r="BQF85" s="168"/>
      <c r="BQG85" s="189"/>
      <c r="BQH85" s="188"/>
      <c r="BQI85" s="187"/>
      <c r="BQO85" s="188"/>
      <c r="BQP85" s="187"/>
      <c r="BQV85" s="188"/>
      <c r="BQW85" s="187"/>
      <c r="BRC85" s="188"/>
      <c r="BRD85" s="187"/>
      <c r="BRJ85" s="188"/>
      <c r="BRK85" s="190"/>
      <c r="BRL85" s="189"/>
      <c r="BRQ85" s="188"/>
      <c r="BRR85" s="187"/>
      <c r="BRX85" s="188"/>
      <c r="BRY85" s="187"/>
      <c r="BSE85" s="188"/>
      <c r="BSF85" s="187"/>
      <c r="BSL85" s="188"/>
      <c r="BSM85" s="187"/>
      <c r="BSP85" s="168"/>
      <c r="BSQ85" s="189"/>
      <c r="BSS85" s="188"/>
      <c r="BST85" s="187"/>
      <c r="BSZ85" s="188"/>
      <c r="BTA85" s="187"/>
      <c r="BTG85" s="188"/>
      <c r="BTH85" s="187"/>
      <c r="BTN85" s="188"/>
      <c r="BTO85" s="187"/>
      <c r="BTS85" s="168"/>
      <c r="BTT85" s="189"/>
      <c r="BTU85" s="188"/>
      <c r="BTV85" s="187"/>
      <c r="BUB85" s="188"/>
      <c r="BUC85" s="187"/>
      <c r="BUI85" s="188"/>
      <c r="BUJ85" s="187"/>
      <c r="BUP85" s="188"/>
      <c r="BUQ85" s="187"/>
      <c r="BUW85" s="188"/>
      <c r="BUX85" s="190"/>
      <c r="BUY85" s="189"/>
      <c r="BVD85" s="188"/>
      <c r="BVE85" s="187"/>
      <c r="BVK85" s="188"/>
      <c r="BVL85" s="187"/>
      <c r="BVR85" s="188"/>
      <c r="BVS85" s="187"/>
      <c r="BVY85" s="188"/>
      <c r="BVZ85" s="187"/>
      <c r="BWB85" s="168"/>
      <c r="BWC85" s="189"/>
      <c r="BWF85" s="188"/>
      <c r="BWG85" s="187"/>
      <c r="BWM85" s="188"/>
      <c r="BWN85" s="187"/>
      <c r="BWT85" s="188"/>
      <c r="BWU85" s="187"/>
      <c r="BXA85" s="188"/>
      <c r="BXB85" s="187"/>
      <c r="BXG85" s="168"/>
      <c r="BXH85" s="191"/>
      <c r="BXI85" s="187"/>
      <c r="BXO85" s="188"/>
      <c r="BXP85" s="187"/>
      <c r="BXV85" s="188"/>
      <c r="BXW85" s="187"/>
      <c r="BYC85" s="188"/>
      <c r="BYD85" s="187"/>
      <c r="BYJ85" s="188"/>
      <c r="BYK85" s="190"/>
      <c r="BYL85" s="189"/>
      <c r="BYQ85" s="188"/>
      <c r="BYR85" s="187"/>
      <c r="BYX85" s="188"/>
      <c r="BYY85" s="187"/>
      <c r="BZE85" s="188"/>
      <c r="BZF85" s="187"/>
      <c r="BZL85" s="188"/>
      <c r="BZM85" s="187"/>
      <c r="BZP85" s="168"/>
      <c r="BZQ85" s="189"/>
      <c r="BZS85" s="188"/>
      <c r="BZT85" s="187"/>
      <c r="BZZ85" s="188"/>
      <c r="CAA85" s="187"/>
      <c r="CAG85" s="188"/>
      <c r="CAH85" s="187"/>
      <c r="CAN85" s="188"/>
      <c r="CAO85" s="187"/>
      <c r="CAU85" s="168"/>
      <c r="CAV85" s="189"/>
      <c r="CBB85" s="188"/>
      <c r="CBC85" s="187"/>
      <c r="CBI85" s="188"/>
      <c r="CBJ85" s="187"/>
      <c r="CBP85" s="188"/>
      <c r="CBQ85" s="187"/>
      <c r="CBW85" s="188"/>
      <c r="CBX85" s="187"/>
      <c r="CBY85" s="168"/>
      <c r="CBZ85" s="189"/>
      <c r="CCD85" s="188"/>
      <c r="CCE85" s="187"/>
      <c r="CCK85" s="188"/>
      <c r="CCL85" s="187"/>
      <c r="CCR85" s="188"/>
      <c r="CCS85" s="187"/>
      <c r="CCY85" s="188"/>
      <c r="CCZ85" s="187"/>
      <c r="CDD85" s="168"/>
      <c r="CDE85" s="189"/>
      <c r="CDF85" s="188"/>
      <c r="CDG85" s="187"/>
      <c r="CDM85" s="188"/>
      <c r="CDN85" s="187"/>
      <c r="CDT85" s="188"/>
      <c r="CDU85" s="187"/>
      <c r="CEA85" s="188"/>
      <c r="CEB85" s="187"/>
      <c r="CEH85" s="168"/>
      <c r="CEI85" s="189"/>
      <c r="CEO85" s="188"/>
      <c r="CEP85" s="187"/>
      <c r="CEV85" s="188"/>
      <c r="CEW85" s="187"/>
      <c r="CFC85" s="188"/>
      <c r="CFD85" s="187"/>
      <c r="CFJ85" s="188"/>
      <c r="CFK85" s="187"/>
    </row>
    <row r="86" spans="1:1019 1025:2048 2054:2195">
      <c r="A86" s="164" t="s">
        <v>356</v>
      </c>
      <c r="D86" s="186"/>
      <c r="E86" s="186"/>
      <c r="K86" s="187"/>
      <c r="Q86" s="188"/>
      <c r="R86" s="187"/>
      <c r="X86" s="188"/>
      <c r="Y86" s="187"/>
      <c r="AE86" s="188"/>
      <c r="AF86" s="187"/>
      <c r="AJ86" s="168"/>
      <c r="AK86" s="189"/>
      <c r="AL86" s="188"/>
      <c r="AM86" s="187"/>
      <c r="AS86" s="188"/>
      <c r="AT86" s="187"/>
      <c r="AZ86" s="188"/>
      <c r="BA86" s="187"/>
      <c r="BG86" s="188"/>
      <c r="BH86" s="187"/>
      <c r="BL86" s="168"/>
      <c r="BM86" s="189"/>
      <c r="BN86" s="188"/>
      <c r="BO86" s="187"/>
      <c r="BU86" s="188"/>
      <c r="BV86" s="187"/>
      <c r="CB86" s="188"/>
      <c r="CC86" s="187"/>
      <c r="CI86" s="188"/>
      <c r="CJ86" s="187"/>
      <c r="CP86" s="188"/>
      <c r="CQ86" s="190"/>
      <c r="CR86" s="189"/>
      <c r="CW86" s="188"/>
      <c r="CX86" s="187"/>
      <c r="DD86" s="188"/>
      <c r="DE86" s="187"/>
      <c r="DK86" s="188"/>
      <c r="DL86" s="187"/>
      <c r="DR86" s="188"/>
      <c r="DS86" s="187"/>
      <c r="DU86" s="168"/>
      <c r="DV86" s="189"/>
      <c r="DY86" s="188"/>
      <c r="DZ86" s="187"/>
      <c r="EF86" s="188"/>
      <c r="EG86" s="187"/>
      <c r="EM86" s="188"/>
      <c r="EN86" s="187"/>
      <c r="ET86" s="188"/>
      <c r="EU86" s="187"/>
      <c r="EZ86" s="168"/>
      <c r="FA86" s="191"/>
      <c r="FB86" s="187"/>
      <c r="FH86" s="188"/>
      <c r="FI86" s="187"/>
      <c r="FO86" s="188"/>
      <c r="FP86" s="187"/>
      <c r="FV86" s="188"/>
      <c r="FW86" s="187"/>
      <c r="GC86" s="188"/>
      <c r="GD86" s="190"/>
      <c r="GE86" s="189"/>
      <c r="GJ86" s="188"/>
      <c r="GK86" s="187"/>
      <c r="GQ86" s="188"/>
      <c r="GR86" s="187"/>
      <c r="GX86" s="188"/>
      <c r="GY86" s="187"/>
      <c r="HE86" s="188"/>
      <c r="HF86" s="187"/>
      <c r="HI86" s="168"/>
      <c r="HJ86" s="189"/>
      <c r="HL86" s="188"/>
      <c r="HM86" s="187"/>
      <c r="HS86" s="188"/>
      <c r="HT86" s="187"/>
      <c r="HZ86" s="188"/>
      <c r="IA86" s="187"/>
      <c r="IG86" s="188"/>
      <c r="IH86" s="187"/>
      <c r="IN86" s="168"/>
      <c r="IO86" s="189"/>
      <c r="IU86" s="188"/>
      <c r="IV86" s="187"/>
      <c r="JB86" s="188"/>
      <c r="JC86" s="187"/>
      <c r="JI86" s="188"/>
      <c r="JJ86" s="187"/>
      <c r="JP86" s="188"/>
      <c r="JQ86" s="187"/>
      <c r="JR86" s="168"/>
      <c r="JS86" s="189"/>
      <c r="JW86" s="188"/>
      <c r="JX86" s="187"/>
      <c r="KD86" s="188"/>
      <c r="KE86" s="187"/>
      <c r="KK86" s="188"/>
      <c r="KL86" s="187"/>
      <c r="KR86" s="188"/>
      <c r="KS86" s="187"/>
      <c r="KW86" s="168"/>
      <c r="KX86" s="189"/>
      <c r="KY86" s="188"/>
      <c r="KZ86" s="187"/>
      <c r="LF86" s="188"/>
      <c r="LG86" s="187"/>
      <c r="LM86" s="188"/>
      <c r="LN86" s="187"/>
      <c r="LT86" s="188"/>
      <c r="LU86" s="187"/>
      <c r="MA86" s="168"/>
      <c r="MB86" s="189"/>
      <c r="MH86" s="188"/>
      <c r="MI86" s="187"/>
      <c r="MO86" s="188"/>
      <c r="MP86" s="187"/>
      <c r="MV86" s="188"/>
      <c r="MW86" s="187"/>
      <c r="NC86" s="188"/>
      <c r="ND86" s="187"/>
      <c r="NF86" s="168"/>
      <c r="NG86" s="189"/>
      <c r="NJ86" s="188"/>
      <c r="NK86" s="187"/>
      <c r="NQ86" s="188"/>
      <c r="NR86" s="187"/>
      <c r="NX86" s="188"/>
      <c r="NY86" s="187"/>
      <c r="OE86" s="188"/>
      <c r="OF86" s="187"/>
      <c r="OK86" s="168"/>
      <c r="OL86" s="191"/>
      <c r="OM86" s="187"/>
      <c r="OS86" s="188"/>
      <c r="OT86" s="187"/>
      <c r="OZ86" s="188"/>
      <c r="PA86" s="187"/>
      <c r="PG86" s="188"/>
      <c r="PH86" s="187"/>
      <c r="PN86" s="168"/>
      <c r="PO86" s="189"/>
      <c r="PU86" s="188"/>
      <c r="PV86" s="187"/>
      <c r="QB86" s="188"/>
      <c r="QC86" s="187"/>
      <c r="QI86" s="188"/>
      <c r="QJ86" s="187"/>
      <c r="QP86" s="188"/>
      <c r="QQ86" s="187"/>
      <c r="QS86" s="168"/>
      <c r="QT86" s="189"/>
      <c r="QW86" s="188"/>
      <c r="QX86" s="187"/>
      <c r="RD86" s="188"/>
      <c r="RE86" s="187"/>
      <c r="RK86" s="188"/>
      <c r="RL86" s="187"/>
      <c r="RR86" s="188"/>
      <c r="RS86" s="187"/>
      <c r="RW86" s="168"/>
      <c r="RX86" s="189"/>
      <c r="RY86" s="188"/>
      <c r="RZ86" s="187"/>
      <c r="SF86" s="188"/>
      <c r="SG86" s="187"/>
      <c r="SM86" s="188"/>
      <c r="SN86" s="187"/>
      <c r="ST86" s="188"/>
      <c r="SU86" s="187"/>
      <c r="TA86" s="188"/>
      <c r="TB86" s="190"/>
      <c r="TC86" s="189"/>
      <c r="TH86" s="188"/>
      <c r="TI86" s="187"/>
      <c r="TO86" s="188"/>
      <c r="TP86" s="187"/>
      <c r="TV86" s="188"/>
      <c r="TW86" s="187"/>
      <c r="UC86" s="188"/>
      <c r="UD86" s="187"/>
      <c r="UF86" s="168"/>
      <c r="UG86" s="189"/>
      <c r="UJ86" s="188"/>
      <c r="UK86" s="187"/>
      <c r="UQ86" s="188"/>
      <c r="UR86" s="187"/>
      <c r="UX86" s="188"/>
      <c r="UY86" s="187"/>
      <c r="VE86" s="188"/>
      <c r="VF86" s="187"/>
      <c r="VK86" s="168"/>
      <c r="VL86" s="191"/>
      <c r="VM86" s="187"/>
      <c r="VS86" s="188"/>
      <c r="VT86" s="187"/>
      <c r="VZ86" s="188"/>
      <c r="WA86" s="187"/>
      <c r="WG86" s="188"/>
      <c r="WH86" s="187"/>
      <c r="WN86" s="188"/>
      <c r="WO86" s="187"/>
      <c r="WP86" s="168"/>
      <c r="WQ86" s="189"/>
      <c r="WU86" s="188"/>
      <c r="WV86" s="187"/>
      <c r="XB86" s="188"/>
      <c r="XC86" s="187"/>
      <c r="XI86" s="188"/>
      <c r="XJ86" s="187"/>
      <c r="XP86" s="188"/>
      <c r="XQ86" s="187"/>
      <c r="XT86" s="168"/>
      <c r="XU86" s="189"/>
      <c r="XW86" s="188"/>
      <c r="XX86" s="187"/>
      <c r="YD86" s="188"/>
      <c r="YE86" s="187"/>
      <c r="YK86" s="188"/>
      <c r="YL86" s="187"/>
      <c r="YR86" s="188"/>
      <c r="YS86" s="187"/>
      <c r="YY86" s="168"/>
      <c r="YZ86" s="189"/>
      <c r="ZF86" s="188"/>
      <c r="ZG86" s="187"/>
      <c r="ZM86" s="188"/>
      <c r="ZN86" s="187"/>
      <c r="ZT86" s="188"/>
      <c r="ZU86" s="187"/>
      <c r="AAA86" s="188"/>
      <c r="AAB86" s="187"/>
      <c r="AAC86" s="168"/>
      <c r="AAD86" s="189"/>
      <c r="AAH86" s="188"/>
      <c r="AAI86" s="187"/>
      <c r="AAO86" s="188"/>
      <c r="AAP86" s="187"/>
      <c r="AAV86" s="188"/>
      <c r="AAW86" s="187"/>
      <c r="ABC86" s="188"/>
      <c r="ABD86" s="187"/>
      <c r="ABH86" s="168"/>
      <c r="ABI86" s="189"/>
      <c r="ABJ86" s="188"/>
      <c r="ABK86" s="187"/>
      <c r="ABQ86" s="188"/>
      <c r="ABR86" s="187"/>
      <c r="ABX86" s="188"/>
      <c r="ABY86" s="187"/>
      <c r="ACE86" s="188"/>
      <c r="ACF86" s="187"/>
      <c r="ACL86" s="188"/>
      <c r="ACM86" s="190"/>
      <c r="ACN86" s="189"/>
      <c r="ACS86" s="188"/>
      <c r="ACT86" s="187"/>
      <c r="ACZ86" s="188"/>
      <c r="ADA86" s="187"/>
      <c r="ADG86" s="188"/>
      <c r="ADH86" s="187"/>
      <c r="ADN86" s="188"/>
      <c r="ADO86" s="190"/>
      <c r="ADP86" s="189"/>
      <c r="ADU86" s="188"/>
      <c r="ADV86" s="187"/>
      <c r="AEB86" s="188"/>
      <c r="AEC86" s="187"/>
      <c r="AEI86" s="188"/>
      <c r="AEJ86" s="187"/>
      <c r="AEP86" s="188"/>
      <c r="AEQ86" s="187"/>
      <c r="AET86" s="168"/>
      <c r="AEU86" s="189"/>
      <c r="AEW86" s="188"/>
      <c r="AEX86" s="187"/>
      <c r="AFD86" s="188"/>
      <c r="AFE86" s="187"/>
      <c r="AFK86" s="188"/>
      <c r="AFL86" s="187"/>
      <c r="AFR86" s="188"/>
      <c r="AFS86" s="187"/>
      <c r="AFX86" s="168"/>
      <c r="AFY86" s="191"/>
      <c r="AFZ86" s="187"/>
      <c r="AGF86" s="188"/>
      <c r="AGG86" s="187"/>
      <c r="AGM86" s="188"/>
      <c r="AGN86" s="187"/>
      <c r="AGT86" s="188"/>
      <c r="AGU86" s="187"/>
      <c r="AHA86" s="188"/>
      <c r="AHB86" s="187"/>
      <c r="AHC86" s="168"/>
      <c r="AHD86" s="189"/>
      <c r="AHH86" s="188"/>
      <c r="AHI86" s="187"/>
      <c r="AHO86" s="188"/>
      <c r="AHP86" s="187"/>
      <c r="AHV86" s="188"/>
      <c r="AHW86" s="187"/>
      <c r="AIC86" s="188"/>
      <c r="AID86" s="187"/>
      <c r="AIG86" s="168"/>
      <c r="AIH86" s="189"/>
      <c r="AIJ86" s="188"/>
      <c r="AIK86" s="187"/>
      <c r="AIQ86" s="188"/>
      <c r="AIR86" s="187"/>
      <c r="AIX86" s="188"/>
      <c r="AIY86" s="187"/>
      <c r="AJE86" s="188"/>
      <c r="AJF86" s="187"/>
      <c r="AJL86" s="168"/>
      <c r="AJM86" s="189"/>
      <c r="AJS86" s="188"/>
      <c r="AJT86" s="187"/>
      <c r="AJZ86" s="188"/>
      <c r="AKA86" s="187"/>
      <c r="AKG86" s="188"/>
      <c r="AKH86" s="187"/>
      <c r="AKN86" s="188"/>
      <c r="AKO86" s="187"/>
      <c r="AKQ86" s="168"/>
      <c r="AKR86" s="189"/>
      <c r="AKU86" s="188"/>
      <c r="AKV86" s="187"/>
      <c r="ALB86" s="188"/>
      <c r="ALC86" s="187"/>
      <c r="ALI86" s="188"/>
      <c r="ALJ86" s="187"/>
      <c r="ALP86" s="188"/>
      <c r="ALQ86" s="187"/>
      <c r="ALU86" s="168"/>
      <c r="ALV86" s="189"/>
      <c r="ALW86" s="188"/>
      <c r="ALX86" s="187"/>
      <c r="AMD86" s="188"/>
      <c r="AME86" s="187"/>
      <c r="AMK86" s="188"/>
      <c r="AML86" s="187"/>
      <c r="AMR86" s="188"/>
      <c r="AMS86" s="187"/>
      <c r="AMY86" s="188"/>
      <c r="AMZ86" s="190"/>
      <c r="ANA86" s="189"/>
      <c r="ANF86" s="188"/>
      <c r="ANG86" s="187"/>
      <c r="ANM86" s="188"/>
      <c r="ANN86" s="187"/>
      <c r="ANT86" s="188"/>
      <c r="ANU86" s="187"/>
      <c r="AOA86" s="188"/>
      <c r="AOB86" s="187"/>
      <c r="AOD86" s="168"/>
      <c r="AOE86" s="189"/>
      <c r="AOH86" s="188"/>
      <c r="AOI86" s="187"/>
      <c r="AOO86" s="188"/>
      <c r="AOP86" s="187"/>
      <c r="AOV86" s="188"/>
      <c r="AOW86" s="187"/>
      <c r="APC86" s="188"/>
      <c r="APD86" s="187"/>
      <c r="API86" s="168"/>
      <c r="APJ86" s="191"/>
      <c r="APK86" s="187"/>
      <c r="APQ86" s="188"/>
      <c r="APR86" s="187"/>
      <c r="APX86" s="188"/>
      <c r="APY86" s="187"/>
      <c r="AQE86" s="188"/>
      <c r="AQF86" s="187"/>
      <c r="AQL86" s="188"/>
      <c r="AQM86" s="187"/>
      <c r="AQN86" s="168"/>
      <c r="AQO86" s="189"/>
      <c r="AQS86" s="188"/>
      <c r="AQT86" s="187"/>
      <c r="AQZ86" s="188"/>
      <c r="ARA86" s="187"/>
      <c r="ARG86" s="188"/>
      <c r="ARH86" s="187"/>
      <c r="ARN86" s="188"/>
      <c r="ARO86" s="187"/>
      <c r="ARP86" s="168"/>
      <c r="ARQ86" s="189"/>
      <c r="ARU86" s="188"/>
      <c r="ARV86" s="187"/>
      <c r="ASB86" s="188"/>
      <c r="ASC86" s="187"/>
      <c r="ASI86" s="188"/>
      <c r="ASJ86" s="187"/>
      <c r="ASP86" s="188"/>
      <c r="ASQ86" s="187"/>
      <c r="ASU86" s="168"/>
      <c r="ASV86" s="189"/>
      <c r="ASW86" s="188"/>
      <c r="ASX86" s="187"/>
      <c r="ATD86" s="188"/>
      <c r="ATE86" s="187"/>
      <c r="ATK86" s="188"/>
      <c r="ATL86" s="187"/>
      <c r="ATR86" s="188"/>
      <c r="ATS86" s="187"/>
      <c r="ATY86" s="168"/>
      <c r="ATZ86" s="189"/>
      <c r="AUF86" s="188"/>
      <c r="AUG86" s="187"/>
      <c r="AUM86" s="188"/>
      <c r="AUN86" s="187"/>
      <c r="AUT86" s="188"/>
      <c r="AUU86" s="187"/>
      <c r="AVA86" s="188"/>
      <c r="AVB86" s="187"/>
      <c r="AVD86" s="168"/>
      <c r="AVE86" s="189"/>
      <c r="AVH86" s="188"/>
      <c r="AVI86" s="187"/>
      <c r="AVO86" s="188"/>
      <c r="AVP86" s="187"/>
      <c r="AVV86" s="188"/>
      <c r="AVW86" s="187"/>
      <c r="AWC86" s="188"/>
      <c r="AWD86" s="187"/>
      <c r="AWH86" s="168"/>
      <c r="AWI86" s="189"/>
      <c r="AWJ86" s="188"/>
      <c r="AWK86" s="187"/>
      <c r="AWQ86" s="188"/>
      <c r="AWR86" s="187"/>
      <c r="AWX86" s="188"/>
      <c r="AWY86" s="187"/>
      <c r="AXE86" s="188"/>
      <c r="AXF86" s="187"/>
      <c r="AXL86" s="188"/>
      <c r="AXM86" s="190"/>
      <c r="AXN86" s="189"/>
      <c r="AXS86" s="188"/>
      <c r="AXT86" s="187"/>
      <c r="AXZ86" s="188"/>
      <c r="AYA86" s="187"/>
      <c r="AYG86" s="188"/>
      <c r="AYH86" s="187"/>
      <c r="AYN86" s="188"/>
      <c r="AYO86" s="187"/>
      <c r="AYR86" s="168"/>
      <c r="AYS86" s="189"/>
      <c r="AYU86" s="188"/>
      <c r="AYV86" s="187"/>
      <c r="AZB86" s="188"/>
      <c r="AZC86" s="187"/>
      <c r="AZI86" s="188"/>
      <c r="AZJ86" s="187"/>
      <c r="AZP86" s="188"/>
      <c r="AZQ86" s="187"/>
      <c r="AZV86" s="168"/>
      <c r="AZW86" s="191"/>
      <c r="AZX86" s="187"/>
      <c r="BAD86" s="188"/>
      <c r="BAE86" s="187"/>
      <c r="BAK86" s="188"/>
      <c r="BAL86" s="187"/>
      <c r="BAR86" s="188"/>
      <c r="BAS86" s="187"/>
      <c r="BAY86" s="188"/>
      <c r="BAZ86" s="187"/>
      <c r="BBA86" s="168"/>
      <c r="BBB86" s="189"/>
      <c r="BBF86" s="188"/>
      <c r="BBG86" s="187"/>
      <c r="BBM86" s="188"/>
      <c r="BBN86" s="187"/>
      <c r="BBT86" s="188"/>
      <c r="BBU86" s="187"/>
      <c r="BCA86" s="188"/>
      <c r="BCB86" s="187"/>
      <c r="BCE86" s="168"/>
      <c r="BCF86" s="189"/>
      <c r="BCH86" s="188"/>
      <c r="BCI86" s="187"/>
      <c r="BCO86" s="188"/>
      <c r="BCP86" s="187"/>
      <c r="BCV86" s="188"/>
      <c r="BCW86" s="187"/>
      <c r="BDC86" s="188"/>
      <c r="BDD86" s="187"/>
      <c r="BDJ86" s="168"/>
      <c r="BDK86" s="189"/>
      <c r="BDQ86" s="188"/>
      <c r="BDR86" s="187"/>
      <c r="BDX86" s="188"/>
      <c r="BDY86" s="187"/>
      <c r="BEE86" s="188"/>
      <c r="BEF86" s="187"/>
      <c r="BEL86" s="188"/>
      <c r="BEM86" s="187"/>
      <c r="BEO86" s="168"/>
      <c r="BEP86" s="189"/>
      <c r="BES86" s="188"/>
      <c r="BET86" s="187"/>
      <c r="BEZ86" s="188"/>
      <c r="BFA86" s="187"/>
      <c r="BFG86" s="188"/>
      <c r="BFH86" s="187"/>
      <c r="BFN86" s="188"/>
      <c r="BFO86" s="187"/>
      <c r="BFQ86" s="168"/>
      <c r="BFR86" s="189"/>
      <c r="BFU86" s="188"/>
      <c r="BFV86" s="187"/>
      <c r="BGB86" s="188"/>
      <c r="BGC86" s="187"/>
      <c r="BGI86" s="188"/>
      <c r="BGJ86" s="187"/>
      <c r="BGP86" s="188"/>
      <c r="BGQ86" s="187"/>
      <c r="BGV86" s="168"/>
      <c r="BGW86" s="191"/>
      <c r="BGX86" s="187"/>
      <c r="BHD86" s="188"/>
      <c r="BHE86" s="187"/>
      <c r="BHK86" s="188"/>
      <c r="BHL86" s="187"/>
      <c r="BHR86" s="188"/>
      <c r="BHS86" s="187"/>
      <c r="BHY86" s="188"/>
      <c r="BHZ86" s="190"/>
      <c r="BIA86" s="189"/>
      <c r="BIF86" s="188"/>
      <c r="BIG86" s="187"/>
      <c r="BIM86" s="188"/>
      <c r="BIN86" s="187"/>
      <c r="BIT86" s="188"/>
      <c r="BIU86" s="187"/>
      <c r="BJA86" s="188"/>
      <c r="BJB86" s="187"/>
      <c r="BJE86" s="168"/>
      <c r="BJF86" s="189"/>
      <c r="BJH86" s="188"/>
      <c r="BJI86" s="187"/>
      <c r="BJO86" s="188"/>
      <c r="BJP86" s="187"/>
      <c r="BJV86" s="188"/>
      <c r="BJW86" s="187"/>
      <c r="BKC86" s="188"/>
      <c r="BKD86" s="187"/>
      <c r="BKI86" s="168"/>
      <c r="BKJ86" s="191"/>
      <c r="BKK86" s="187"/>
      <c r="BKQ86" s="188"/>
      <c r="BKR86" s="187"/>
      <c r="BKX86" s="188"/>
      <c r="BKY86" s="187"/>
      <c r="BLE86" s="188"/>
      <c r="BLF86" s="187"/>
      <c r="BLL86" s="188"/>
      <c r="BLM86" s="187"/>
      <c r="BLN86" s="168"/>
      <c r="BLO86" s="189"/>
      <c r="BLS86" s="188"/>
      <c r="BLT86" s="187"/>
      <c r="BLZ86" s="188"/>
      <c r="BMA86" s="187"/>
      <c r="BMG86" s="188"/>
      <c r="BMH86" s="187"/>
      <c r="BMN86" s="188"/>
      <c r="BMO86" s="187"/>
      <c r="BMS86" s="168"/>
      <c r="BMT86" s="189"/>
      <c r="BMU86" s="188"/>
      <c r="BMV86" s="187"/>
      <c r="BNB86" s="188"/>
      <c r="BNC86" s="187"/>
      <c r="BNI86" s="188"/>
      <c r="BNJ86" s="187"/>
      <c r="BNP86" s="188"/>
      <c r="BNQ86" s="187"/>
      <c r="BNW86" s="168"/>
      <c r="BNX86" s="189"/>
      <c r="BOD86" s="188"/>
      <c r="BOE86" s="187"/>
      <c r="BOK86" s="188"/>
      <c r="BOL86" s="187"/>
      <c r="BOR86" s="188"/>
      <c r="BOS86" s="187"/>
      <c r="BOY86" s="188"/>
      <c r="BOZ86" s="187"/>
      <c r="BPB86" s="168"/>
      <c r="BPC86" s="189"/>
      <c r="BPF86" s="188"/>
      <c r="BPG86" s="187"/>
      <c r="BPM86" s="188"/>
      <c r="BPN86" s="187"/>
      <c r="BPT86" s="188"/>
      <c r="BPU86" s="187"/>
      <c r="BQA86" s="188"/>
      <c r="BQB86" s="187"/>
      <c r="BQF86" s="168"/>
      <c r="BQG86" s="189"/>
      <c r="BQH86" s="188"/>
      <c r="BQI86" s="187"/>
      <c r="BQO86" s="188"/>
      <c r="BQP86" s="187"/>
      <c r="BQV86" s="188"/>
      <c r="BQW86" s="187"/>
      <c r="BRC86" s="188"/>
      <c r="BRD86" s="187"/>
      <c r="BRJ86" s="188"/>
      <c r="BRK86" s="190"/>
      <c r="BRL86" s="189"/>
      <c r="BRQ86" s="188"/>
      <c r="BRR86" s="187"/>
      <c r="BRX86" s="188"/>
      <c r="BRY86" s="187"/>
      <c r="BSE86" s="188"/>
      <c r="BSF86" s="187"/>
      <c r="BSL86" s="188"/>
      <c r="BSM86" s="187"/>
      <c r="BSP86" s="168"/>
      <c r="BSQ86" s="189"/>
      <c r="BSS86" s="188"/>
      <c r="BST86" s="187"/>
      <c r="BSZ86" s="188"/>
      <c r="BTA86" s="187"/>
      <c r="BTG86" s="188"/>
      <c r="BTH86" s="187"/>
      <c r="BTN86" s="188"/>
      <c r="BTO86" s="187"/>
      <c r="BTS86" s="168"/>
      <c r="BTT86" s="189"/>
      <c r="BTU86" s="188"/>
      <c r="BTV86" s="187"/>
      <c r="BUB86" s="188"/>
      <c r="BUC86" s="187"/>
      <c r="BUI86" s="188"/>
      <c r="BUJ86" s="187"/>
      <c r="BUP86" s="188"/>
      <c r="BUQ86" s="187"/>
      <c r="BUW86" s="188"/>
      <c r="BUX86" s="190"/>
      <c r="BUY86" s="189"/>
      <c r="BVD86" s="188"/>
      <c r="BVE86" s="187"/>
      <c r="BVK86" s="188"/>
      <c r="BVL86" s="187"/>
      <c r="BVR86" s="188"/>
      <c r="BVS86" s="187"/>
      <c r="BVY86" s="188"/>
      <c r="BVZ86" s="187"/>
      <c r="BWB86" s="168"/>
      <c r="BWC86" s="189"/>
      <c r="BWF86" s="188"/>
      <c r="BWG86" s="187"/>
      <c r="BWM86" s="188"/>
      <c r="BWN86" s="187"/>
      <c r="BWT86" s="188"/>
      <c r="BWU86" s="187"/>
      <c r="BXA86" s="188"/>
      <c r="BXB86" s="187"/>
      <c r="BXG86" s="168"/>
      <c r="BXH86" s="191"/>
      <c r="BXI86" s="187"/>
      <c r="BXO86" s="188"/>
      <c r="BXP86" s="187"/>
      <c r="BXV86" s="188"/>
      <c r="BXW86" s="187"/>
      <c r="BYC86" s="188"/>
      <c r="BYD86" s="187"/>
      <c r="BYJ86" s="188"/>
      <c r="BYK86" s="190"/>
      <c r="BYL86" s="189"/>
      <c r="BYQ86" s="188"/>
      <c r="BYR86" s="187"/>
      <c r="BYX86" s="188"/>
      <c r="BYY86" s="187"/>
      <c r="BZE86" s="188"/>
      <c r="BZF86" s="187"/>
      <c r="BZL86" s="188"/>
      <c r="BZM86" s="187"/>
      <c r="BZP86" s="168"/>
      <c r="BZQ86" s="189"/>
      <c r="BZS86" s="188"/>
      <c r="BZT86" s="187"/>
      <c r="BZZ86" s="188"/>
      <c r="CAA86" s="187"/>
      <c r="CAG86" s="188"/>
      <c r="CAH86" s="187"/>
      <c r="CAN86" s="188"/>
      <c r="CAO86" s="187"/>
      <c r="CAU86" s="168"/>
      <c r="CAV86" s="189"/>
      <c r="CBB86" s="188"/>
      <c r="CBC86" s="187"/>
      <c r="CBI86" s="188"/>
      <c r="CBJ86" s="187"/>
      <c r="CBP86" s="188"/>
      <c r="CBQ86" s="187"/>
      <c r="CBW86" s="188"/>
      <c r="CBX86" s="187"/>
      <c r="CBY86" s="168"/>
      <c r="CBZ86" s="189"/>
      <c r="CCD86" s="188"/>
      <c r="CCE86" s="187"/>
      <c r="CCK86" s="188"/>
      <c r="CCL86" s="187"/>
      <c r="CCR86" s="188"/>
      <c r="CCS86" s="187"/>
      <c r="CCY86" s="188"/>
      <c r="CCZ86" s="187"/>
      <c r="CDD86" s="168"/>
      <c r="CDE86" s="189"/>
      <c r="CDF86" s="188"/>
      <c r="CDG86" s="187"/>
      <c r="CDM86" s="188"/>
      <c r="CDN86" s="187"/>
      <c r="CDT86" s="188"/>
      <c r="CDU86" s="187"/>
      <c r="CEA86" s="188"/>
      <c r="CEB86" s="187"/>
      <c r="CEH86" s="168"/>
      <c r="CEI86" s="189"/>
      <c r="CEO86" s="188"/>
      <c r="CEP86" s="187"/>
      <c r="CEV86" s="188"/>
      <c r="CEW86" s="187"/>
      <c r="CFC86" s="188"/>
      <c r="CFD86" s="187"/>
      <c r="CFJ86" s="188"/>
      <c r="CFK86" s="187"/>
    </row>
    <row r="87" spans="1:1019 1025:2048 2054:2195">
      <c r="A87" s="164" t="s">
        <v>357</v>
      </c>
      <c r="D87" s="186"/>
      <c r="E87" s="186"/>
      <c r="K87" s="187"/>
      <c r="Q87" s="188"/>
      <c r="R87" s="187"/>
      <c r="X87" s="188"/>
      <c r="Y87" s="187"/>
      <c r="AE87" s="188"/>
      <c r="AF87" s="187"/>
      <c r="AJ87" s="168"/>
      <c r="AK87" s="189"/>
      <c r="AL87" s="188"/>
      <c r="AM87" s="187"/>
      <c r="AS87" s="188"/>
      <c r="AT87" s="187"/>
      <c r="AZ87" s="188"/>
      <c r="BA87" s="187"/>
      <c r="BG87" s="188"/>
      <c r="BH87" s="187"/>
      <c r="BL87" s="168"/>
      <c r="BM87" s="189"/>
      <c r="BN87" s="188"/>
      <c r="BO87" s="187"/>
      <c r="BU87" s="188"/>
      <c r="BV87" s="187"/>
      <c r="CB87" s="188"/>
      <c r="CC87" s="187"/>
      <c r="CI87" s="188"/>
      <c r="CJ87" s="187"/>
      <c r="CP87" s="188"/>
      <c r="CQ87" s="190"/>
      <c r="CR87" s="189"/>
      <c r="CW87" s="188"/>
      <c r="CX87" s="187"/>
      <c r="DD87" s="188"/>
      <c r="DE87" s="187"/>
      <c r="DK87" s="188"/>
      <c r="DL87" s="187"/>
      <c r="DR87" s="188"/>
      <c r="DS87" s="187"/>
      <c r="DU87" s="168"/>
      <c r="DV87" s="189"/>
      <c r="DY87" s="188"/>
      <c r="DZ87" s="187"/>
      <c r="EF87" s="188"/>
      <c r="EG87" s="187"/>
      <c r="EM87" s="188"/>
      <c r="EN87" s="187"/>
      <c r="ET87" s="188"/>
      <c r="EU87" s="187"/>
      <c r="EZ87" s="168"/>
      <c r="FA87" s="191"/>
      <c r="FB87" s="187"/>
      <c r="FH87" s="188"/>
      <c r="FI87" s="187"/>
      <c r="FO87" s="188"/>
      <c r="FP87" s="187"/>
      <c r="FV87" s="188"/>
      <c r="FW87" s="187"/>
      <c r="GC87" s="188"/>
      <c r="GD87" s="190"/>
      <c r="GE87" s="189"/>
      <c r="GJ87" s="188"/>
      <c r="GK87" s="187"/>
      <c r="GQ87" s="188"/>
      <c r="GR87" s="187"/>
      <c r="GX87" s="188"/>
      <c r="GY87" s="187"/>
      <c r="HE87" s="188"/>
      <c r="HF87" s="187"/>
      <c r="HI87" s="168"/>
      <c r="HJ87" s="189"/>
      <c r="HL87" s="188"/>
      <c r="HM87" s="187"/>
      <c r="HS87" s="188"/>
      <c r="HT87" s="187"/>
      <c r="HZ87" s="188"/>
      <c r="IA87" s="187"/>
      <c r="IG87" s="188"/>
      <c r="IH87" s="187"/>
      <c r="IN87" s="168"/>
      <c r="IO87" s="189"/>
      <c r="IU87" s="188"/>
      <c r="IV87" s="187"/>
      <c r="JB87" s="188"/>
      <c r="JC87" s="187"/>
      <c r="JI87" s="188"/>
      <c r="JJ87" s="187"/>
      <c r="JP87" s="188"/>
      <c r="JQ87" s="187"/>
      <c r="JR87" s="168"/>
      <c r="JS87" s="189"/>
      <c r="JW87" s="188"/>
      <c r="JX87" s="187"/>
      <c r="KD87" s="188"/>
      <c r="KE87" s="187"/>
      <c r="KK87" s="188"/>
      <c r="KL87" s="187"/>
      <c r="KR87" s="188"/>
      <c r="KS87" s="187"/>
      <c r="KW87" s="168"/>
      <c r="KX87" s="189"/>
      <c r="KY87" s="188"/>
      <c r="KZ87" s="187"/>
      <c r="LF87" s="188"/>
      <c r="LG87" s="187"/>
      <c r="LM87" s="188"/>
      <c r="LN87" s="187"/>
      <c r="LT87" s="188"/>
      <c r="LU87" s="187"/>
      <c r="MA87" s="168"/>
      <c r="MB87" s="189"/>
      <c r="MH87" s="188"/>
      <c r="MI87" s="187"/>
      <c r="MO87" s="188"/>
      <c r="MP87" s="187"/>
      <c r="MV87" s="188"/>
      <c r="MW87" s="187"/>
      <c r="NC87" s="188"/>
      <c r="ND87" s="187"/>
      <c r="NF87" s="168"/>
      <c r="NG87" s="189"/>
      <c r="NJ87" s="188"/>
      <c r="NK87" s="187"/>
      <c r="NQ87" s="188"/>
      <c r="NR87" s="187"/>
      <c r="NX87" s="188"/>
      <c r="NY87" s="187"/>
      <c r="OE87" s="188"/>
      <c r="OF87" s="187"/>
      <c r="OK87" s="168"/>
      <c r="OL87" s="191"/>
      <c r="OM87" s="187"/>
      <c r="OS87" s="188"/>
      <c r="OT87" s="187"/>
      <c r="OZ87" s="188"/>
      <c r="PA87" s="187"/>
      <c r="PG87" s="188"/>
      <c r="PH87" s="187"/>
      <c r="PN87" s="168"/>
      <c r="PO87" s="189"/>
      <c r="PU87" s="188"/>
      <c r="PV87" s="187"/>
      <c r="QB87" s="188"/>
      <c r="QC87" s="187"/>
      <c r="QI87" s="188"/>
      <c r="QJ87" s="187"/>
      <c r="QP87" s="188"/>
      <c r="QQ87" s="187"/>
      <c r="QS87" s="168"/>
      <c r="QT87" s="189"/>
      <c r="QW87" s="188"/>
      <c r="QX87" s="187"/>
      <c r="RD87" s="188"/>
      <c r="RE87" s="187"/>
      <c r="RK87" s="188"/>
      <c r="RL87" s="187"/>
      <c r="RR87" s="188"/>
      <c r="RS87" s="187"/>
      <c r="RW87" s="168"/>
      <c r="RX87" s="189"/>
      <c r="RY87" s="188"/>
      <c r="RZ87" s="187"/>
      <c r="SF87" s="188"/>
      <c r="SG87" s="187"/>
      <c r="SM87" s="188"/>
      <c r="SN87" s="187"/>
      <c r="ST87" s="188"/>
      <c r="SU87" s="187"/>
      <c r="TA87" s="188"/>
      <c r="TB87" s="190"/>
      <c r="TC87" s="189"/>
      <c r="TH87" s="188"/>
      <c r="TI87" s="187"/>
      <c r="TO87" s="188"/>
      <c r="TP87" s="187"/>
      <c r="TV87" s="188"/>
      <c r="TW87" s="187"/>
      <c r="UC87" s="188"/>
      <c r="UD87" s="187"/>
      <c r="UF87" s="168"/>
      <c r="UG87" s="189"/>
      <c r="UJ87" s="188"/>
      <c r="UK87" s="187"/>
      <c r="UQ87" s="188"/>
      <c r="UR87" s="187"/>
      <c r="UX87" s="188"/>
      <c r="UY87" s="187"/>
      <c r="VE87" s="188"/>
      <c r="VF87" s="187"/>
      <c r="VK87" s="168"/>
      <c r="VL87" s="191"/>
      <c r="VM87" s="187"/>
      <c r="VS87" s="188"/>
      <c r="VT87" s="187"/>
      <c r="VZ87" s="188"/>
      <c r="WA87" s="187"/>
      <c r="WG87" s="188"/>
      <c r="WH87" s="187"/>
      <c r="WN87" s="188"/>
      <c r="WO87" s="187"/>
      <c r="WP87" s="168"/>
      <c r="WQ87" s="189"/>
      <c r="WU87" s="188"/>
      <c r="WV87" s="187"/>
      <c r="XB87" s="188"/>
      <c r="XC87" s="187"/>
      <c r="XI87" s="188"/>
      <c r="XJ87" s="187"/>
      <c r="XP87" s="188"/>
      <c r="XQ87" s="187"/>
      <c r="XT87" s="168"/>
      <c r="XU87" s="189"/>
      <c r="XW87" s="188"/>
      <c r="XX87" s="187"/>
      <c r="YD87" s="188"/>
      <c r="YE87" s="187"/>
      <c r="YK87" s="188"/>
      <c r="YL87" s="187"/>
      <c r="YR87" s="188"/>
      <c r="YS87" s="187"/>
      <c r="YY87" s="168"/>
      <c r="YZ87" s="189"/>
      <c r="ZF87" s="188"/>
      <c r="ZG87" s="187"/>
      <c r="ZM87" s="188"/>
      <c r="ZN87" s="187"/>
      <c r="ZT87" s="188"/>
      <c r="ZU87" s="187"/>
      <c r="AAA87" s="188"/>
      <c r="AAB87" s="187"/>
      <c r="AAC87" s="168"/>
      <c r="AAD87" s="189"/>
      <c r="AAH87" s="188"/>
      <c r="AAI87" s="187"/>
      <c r="AAO87" s="188"/>
      <c r="AAP87" s="187"/>
      <c r="AAV87" s="188"/>
      <c r="AAW87" s="187"/>
      <c r="ABC87" s="188"/>
      <c r="ABD87" s="187"/>
      <c r="ABH87" s="168"/>
      <c r="ABI87" s="189"/>
      <c r="ABJ87" s="188"/>
      <c r="ABK87" s="187"/>
      <c r="ABQ87" s="188"/>
      <c r="ABR87" s="187"/>
      <c r="ABX87" s="188"/>
      <c r="ABY87" s="187"/>
      <c r="ACE87" s="188"/>
      <c r="ACF87" s="187"/>
      <c r="ACL87" s="188"/>
      <c r="ACM87" s="190"/>
      <c r="ACN87" s="189"/>
      <c r="ACS87" s="188"/>
      <c r="ACT87" s="187"/>
      <c r="ACZ87" s="188"/>
      <c r="ADA87" s="187"/>
      <c r="ADG87" s="188"/>
      <c r="ADH87" s="187"/>
      <c r="ADN87" s="188"/>
      <c r="ADO87" s="190"/>
      <c r="ADP87" s="189"/>
      <c r="ADU87" s="188"/>
      <c r="ADV87" s="187"/>
      <c r="AEB87" s="188"/>
      <c r="AEC87" s="187"/>
      <c r="AEI87" s="188"/>
      <c r="AEJ87" s="187"/>
      <c r="AEP87" s="188"/>
      <c r="AEQ87" s="187"/>
      <c r="AET87" s="168"/>
      <c r="AEU87" s="189"/>
      <c r="AEW87" s="188"/>
      <c r="AEX87" s="187"/>
      <c r="AFD87" s="188"/>
      <c r="AFE87" s="187"/>
      <c r="AFK87" s="188"/>
      <c r="AFL87" s="187"/>
      <c r="AFR87" s="188"/>
      <c r="AFS87" s="187"/>
      <c r="AFX87" s="168"/>
      <c r="AFY87" s="191"/>
      <c r="AFZ87" s="187"/>
      <c r="AGF87" s="188"/>
      <c r="AGG87" s="187"/>
      <c r="AGM87" s="188"/>
      <c r="AGN87" s="187"/>
      <c r="AGT87" s="188"/>
      <c r="AGU87" s="187"/>
      <c r="AHA87" s="188"/>
      <c r="AHB87" s="187"/>
      <c r="AHC87" s="168"/>
      <c r="AHD87" s="189"/>
      <c r="AHH87" s="188"/>
      <c r="AHI87" s="187"/>
      <c r="AHO87" s="188"/>
      <c r="AHP87" s="187"/>
      <c r="AHV87" s="188"/>
      <c r="AHW87" s="187"/>
      <c r="AIC87" s="188"/>
      <c r="AID87" s="187"/>
      <c r="AIG87" s="168"/>
      <c r="AIH87" s="189"/>
      <c r="AIJ87" s="188"/>
      <c r="AIK87" s="187"/>
      <c r="AIQ87" s="188"/>
      <c r="AIR87" s="187"/>
      <c r="AIX87" s="188"/>
      <c r="AIY87" s="187"/>
      <c r="AJE87" s="188"/>
      <c r="AJF87" s="187"/>
      <c r="AJL87" s="168"/>
      <c r="AJM87" s="189"/>
      <c r="AJS87" s="188"/>
      <c r="AJT87" s="187"/>
      <c r="AJZ87" s="188"/>
      <c r="AKA87" s="187"/>
      <c r="AKG87" s="188"/>
      <c r="AKH87" s="187"/>
      <c r="AKN87" s="188"/>
      <c r="AKO87" s="187"/>
      <c r="AKQ87" s="168"/>
      <c r="AKR87" s="189"/>
      <c r="AKU87" s="188"/>
      <c r="AKV87" s="187"/>
      <c r="ALB87" s="188"/>
      <c r="ALC87" s="187"/>
      <c r="ALI87" s="188"/>
      <c r="ALJ87" s="187"/>
      <c r="ALP87" s="188"/>
      <c r="ALQ87" s="187"/>
      <c r="ALU87" s="168"/>
      <c r="ALV87" s="189"/>
      <c r="ALW87" s="188"/>
      <c r="ALX87" s="187"/>
      <c r="AMD87" s="188"/>
      <c r="AME87" s="187"/>
      <c r="AMK87" s="188"/>
      <c r="AML87" s="187"/>
      <c r="AMR87" s="188"/>
      <c r="AMS87" s="187"/>
      <c r="AMY87" s="188"/>
      <c r="AMZ87" s="190"/>
      <c r="ANA87" s="189"/>
      <c r="ANF87" s="188"/>
      <c r="ANG87" s="187"/>
      <c r="ANM87" s="188"/>
      <c r="ANN87" s="187"/>
      <c r="ANT87" s="188"/>
      <c r="ANU87" s="187"/>
      <c r="AOA87" s="188"/>
      <c r="AOB87" s="187"/>
      <c r="AOD87" s="168"/>
      <c r="AOE87" s="189"/>
      <c r="AOH87" s="188"/>
      <c r="AOI87" s="187"/>
      <c r="AOO87" s="188"/>
      <c r="AOP87" s="187"/>
      <c r="AOV87" s="188"/>
      <c r="AOW87" s="187"/>
      <c r="APC87" s="188"/>
      <c r="APD87" s="187"/>
      <c r="API87" s="168"/>
      <c r="APJ87" s="191"/>
      <c r="APK87" s="187"/>
      <c r="APQ87" s="188"/>
      <c r="APR87" s="187"/>
      <c r="APX87" s="188"/>
      <c r="APY87" s="187"/>
      <c r="AQE87" s="188"/>
      <c r="AQF87" s="187"/>
      <c r="AQL87" s="188"/>
      <c r="AQM87" s="187"/>
      <c r="AQN87" s="168"/>
      <c r="AQO87" s="189"/>
      <c r="AQS87" s="188"/>
      <c r="AQT87" s="187"/>
      <c r="AQZ87" s="188"/>
      <c r="ARA87" s="187"/>
      <c r="ARG87" s="188"/>
      <c r="ARH87" s="187"/>
      <c r="ARN87" s="188"/>
      <c r="ARO87" s="187"/>
      <c r="ARP87" s="168"/>
      <c r="ARQ87" s="189"/>
      <c r="ARU87" s="188"/>
      <c r="ARV87" s="187"/>
      <c r="ASB87" s="188"/>
      <c r="ASC87" s="187"/>
      <c r="ASI87" s="188"/>
      <c r="ASJ87" s="187"/>
      <c r="ASP87" s="188"/>
      <c r="ASQ87" s="187"/>
      <c r="ASU87" s="168"/>
      <c r="ASV87" s="189"/>
      <c r="ASW87" s="188"/>
      <c r="ASX87" s="187"/>
      <c r="ATD87" s="188"/>
      <c r="ATE87" s="187"/>
      <c r="ATK87" s="188"/>
      <c r="ATL87" s="187"/>
      <c r="ATR87" s="188"/>
      <c r="ATS87" s="187"/>
      <c r="ATY87" s="168"/>
      <c r="ATZ87" s="189"/>
      <c r="AUF87" s="188"/>
      <c r="AUG87" s="187"/>
      <c r="AUM87" s="188"/>
      <c r="AUN87" s="187"/>
      <c r="AUT87" s="188"/>
      <c r="AUU87" s="187"/>
      <c r="AVA87" s="188"/>
      <c r="AVB87" s="187"/>
      <c r="AVD87" s="168"/>
      <c r="AVE87" s="189"/>
      <c r="AVH87" s="188"/>
      <c r="AVI87" s="187"/>
      <c r="AVO87" s="188"/>
      <c r="AVP87" s="187"/>
      <c r="AVV87" s="188"/>
      <c r="AVW87" s="187"/>
      <c r="AWC87" s="188"/>
      <c r="AWD87" s="187"/>
      <c r="AWH87" s="168"/>
      <c r="AWI87" s="189"/>
      <c r="AWJ87" s="188"/>
      <c r="AWK87" s="187"/>
      <c r="AWQ87" s="188"/>
      <c r="AWR87" s="187"/>
      <c r="AWX87" s="188"/>
      <c r="AWY87" s="187"/>
      <c r="AXE87" s="188"/>
      <c r="AXF87" s="187"/>
      <c r="AXL87" s="188"/>
      <c r="AXM87" s="190"/>
      <c r="AXN87" s="189"/>
      <c r="AXS87" s="188"/>
      <c r="AXT87" s="187"/>
      <c r="AXZ87" s="188"/>
      <c r="AYA87" s="187"/>
      <c r="AYG87" s="188"/>
      <c r="AYH87" s="187"/>
      <c r="AYN87" s="188"/>
      <c r="AYO87" s="187"/>
      <c r="AYR87" s="168"/>
      <c r="AYS87" s="189"/>
      <c r="AYU87" s="188"/>
      <c r="AYV87" s="187"/>
      <c r="AZB87" s="188"/>
      <c r="AZC87" s="187"/>
      <c r="AZI87" s="188"/>
      <c r="AZJ87" s="187"/>
      <c r="AZP87" s="188"/>
      <c r="AZQ87" s="187"/>
      <c r="AZV87" s="168"/>
      <c r="AZW87" s="191"/>
      <c r="AZX87" s="187"/>
      <c r="BAD87" s="188"/>
      <c r="BAE87" s="187"/>
      <c r="BAK87" s="188"/>
      <c r="BAL87" s="187"/>
      <c r="BAR87" s="188"/>
      <c r="BAS87" s="187"/>
      <c r="BAY87" s="188"/>
      <c r="BAZ87" s="187"/>
      <c r="BBA87" s="168"/>
      <c r="BBB87" s="189"/>
      <c r="BBF87" s="188"/>
      <c r="BBG87" s="187"/>
      <c r="BBM87" s="188"/>
      <c r="BBN87" s="187"/>
      <c r="BBT87" s="188"/>
      <c r="BBU87" s="187"/>
      <c r="BCA87" s="188"/>
      <c r="BCB87" s="187"/>
      <c r="BCE87" s="168"/>
      <c r="BCF87" s="189"/>
      <c r="BCH87" s="188"/>
      <c r="BCI87" s="187"/>
      <c r="BCO87" s="188"/>
      <c r="BCP87" s="187"/>
      <c r="BCV87" s="188"/>
      <c r="BCW87" s="187"/>
      <c r="BDC87" s="188"/>
      <c r="BDD87" s="187"/>
      <c r="BDJ87" s="168"/>
      <c r="BDK87" s="189"/>
      <c r="BDQ87" s="188"/>
      <c r="BDR87" s="187"/>
      <c r="BDX87" s="188"/>
      <c r="BDY87" s="187"/>
      <c r="BEE87" s="188"/>
      <c r="BEF87" s="187"/>
      <c r="BEL87" s="188"/>
      <c r="BEM87" s="187"/>
      <c r="BEO87" s="168"/>
      <c r="BEP87" s="189"/>
      <c r="BES87" s="188"/>
      <c r="BET87" s="187"/>
      <c r="BEZ87" s="188"/>
      <c r="BFA87" s="187"/>
      <c r="BFG87" s="188"/>
      <c r="BFH87" s="187"/>
      <c r="BFN87" s="188"/>
      <c r="BFO87" s="187"/>
      <c r="BFQ87" s="168"/>
      <c r="BFR87" s="189"/>
      <c r="BFU87" s="188"/>
      <c r="BFV87" s="187"/>
      <c r="BGB87" s="188"/>
      <c r="BGC87" s="187"/>
      <c r="BGI87" s="188"/>
      <c r="BGJ87" s="187"/>
      <c r="BGP87" s="188"/>
      <c r="BGQ87" s="187"/>
      <c r="BGV87" s="168"/>
      <c r="BGW87" s="191"/>
      <c r="BGX87" s="187"/>
      <c r="BHD87" s="188"/>
      <c r="BHE87" s="187"/>
      <c r="BHK87" s="188"/>
      <c r="BHL87" s="187"/>
      <c r="BHR87" s="188"/>
      <c r="BHS87" s="187"/>
      <c r="BHY87" s="188"/>
      <c r="BHZ87" s="190"/>
      <c r="BIA87" s="189"/>
      <c r="BIF87" s="188"/>
      <c r="BIG87" s="187"/>
      <c r="BIM87" s="188"/>
      <c r="BIN87" s="187"/>
      <c r="BIT87" s="188"/>
      <c r="BIU87" s="187"/>
      <c r="BJA87" s="188"/>
      <c r="BJB87" s="187"/>
      <c r="BJE87" s="168"/>
      <c r="BJF87" s="189"/>
      <c r="BJH87" s="188"/>
      <c r="BJI87" s="187"/>
      <c r="BJO87" s="188"/>
      <c r="BJP87" s="187"/>
      <c r="BJV87" s="188"/>
      <c r="BJW87" s="187"/>
      <c r="BKC87" s="188"/>
      <c r="BKD87" s="187"/>
      <c r="BKI87" s="168"/>
      <c r="BKJ87" s="191"/>
      <c r="BKK87" s="187"/>
      <c r="BKQ87" s="188"/>
      <c r="BKR87" s="187"/>
      <c r="BKX87" s="188"/>
      <c r="BKY87" s="187"/>
      <c r="BLE87" s="188"/>
      <c r="BLF87" s="187"/>
      <c r="BLL87" s="188"/>
      <c r="BLM87" s="187"/>
      <c r="BLN87" s="168"/>
      <c r="BLO87" s="189"/>
      <c r="BLS87" s="188"/>
      <c r="BLT87" s="187"/>
      <c r="BLZ87" s="188"/>
      <c r="BMA87" s="187"/>
      <c r="BMG87" s="188"/>
      <c r="BMH87" s="187"/>
      <c r="BMN87" s="188"/>
      <c r="BMO87" s="187"/>
      <c r="BMS87" s="168"/>
      <c r="BMT87" s="189"/>
      <c r="BMU87" s="188"/>
      <c r="BMV87" s="187"/>
      <c r="BNB87" s="188"/>
      <c r="BNC87" s="187"/>
      <c r="BNI87" s="188"/>
      <c r="BNJ87" s="187"/>
      <c r="BNP87" s="188"/>
      <c r="BNQ87" s="187"/>
      <c r="BNW87" s="168"/>
      <c r="BNX87" s="189"/>
      <c r="BOD87" s="188"/>
      <c r="BOE87" s="187"/>
      <c r="BOK87" s="188"/>
      <c r="BOL87" s="187"/>
      <c r="BOR87" s="188"/>
      <c r="BOS87" s="187"/>
      <c r="BOY87" s="188"/>
      <c r="BOZ87" s="187"/>
      <c r="BPB87" s="168"/>
      <c r="BPC87" s="189"/>
      <c r="BPF87" s="188"/>
      <c r="BPG87" s="187"/>
      <c r="BPM87" s="188"/>
      <c r="BPN87" s="187"/>
      <c r="BPT87" s="188"/>
      <c r="BPU87" s="187"/>
      <c r="BQA87" s="188"/>
      <c r="BQB87" s="187"/>
      <c r="BQF87" s="168"/>
      <c r="BQG87" s="189"/>
      <c r="BQH87" s="188"/>
      <c r="BQI87" s="187"/>
      <c r="BQO87" s="188"/>
      <c r="BQP87" s="187"/>
      <c r="BQV87" s="188"/>
      <c r="BQW87" s="187"/>
      <c r="BRC87" s="188"/>
      <c r="BRD87" s="187"/>
      <c r="BRJ87" s="188"/>
      <c r="BRK87" s="190"/>
      <c r="BRL87" s="189"/>
      <c r="BRQ87" s="188"/>
      <c r="BRR87" s="187"/>
      <c r="BRX87" s="188"/>
      <c r="BRY87" s="187"/>
      <c r="BSE87" s="188"/>
      <c r="BSF87" s="187"/>
      <c r="BSL87" s="188"/>
      <c r="BSM87" s="187"/>
      <c r="BSP87" s="168"/>
      <c r="BSQ87" s="189"/>
      <c r="BSS87" s="188"/>
      <c r="BST87" s="187"/>
      <c r="BSZ87" s="188"/>
      <c r="BTA87" s="187"/>
      <c r="BTG87" s="188"/>
      <c r="BTH87" s="187"/>
      <c r="BTN87" s="188"/>
      <c r="BTO87" s="187"/>
      <c r="BTS87" s="168"/>
      <c r="BTT87" s="189"/>
      <c r="BTU87" s="188"/>
      <c r="BTV87" s="187"/>
      <c r="BUB87" s="188"/>
      <c r="BUC87" s="187"/>
      <c r="BUI87" s="188"/>
      <c r="BUJ87" s="187"/>
      <c r="BUP87" s="188"/>
      <c r="BUQ87" s="187"/>
      <c r="BUW87" s="188"/>
      <c r="BUX87" s="190"/>
      <c r="BUY87" s="189"/>
      <c r="BVD87" s="188"/>
      <c r="BVE87" s="187"/>
      <c r="BVK87" s="188"/>
      <c r="BVL87" s="187"/>
      <c r="BVR87" s="188"/>
      <c r="BVS87" s="187"/>
      <c r="BVY87" s="188"/>
      <c r="BVZ87" s="187"/>
      <c r="BWB87" s="168"/>
      <c r="BWC87" s="189"/>
      <c r="BWF87" s="188"/>
      <c r="BWG87" s="187"/>
      <c r="BWM87" s="188"/>
      <c r="BWN87" s="187"/>
      <c r="BWT87" s="188"/>
      <c r="BWU87" s="187"/>
      <c r="BXA87" s="188"/>
      <c r="BXB87" s="187"/>
      <c r="BXG87" s="168"/>
      <c r="BXH87" s="191"/>
      <c r="BXI87" s="187"/>
      <c r="BXO87" s="188"/>
      <c r="BXP87" s="187"/>
      <c r="BXV87" s="188"/>
      <c r="BXW87" s="187"/>
      <c r="BYC87" s="188"/>
      <c r="BYD87" s="187"/>
      <c r="BYJ87" s="188"/>
      <c r="BYK87" s="190"/>
      <c r="BYL87" s="189"/>
      <c r="BYQ87" s="188"/>
      <c r="BYR87" s="187"/>
      <c r="BYX87" s="188"/>
      <c r="BYY87" s="187"/>
      <c r="BZE87" s="188"/>
      <c r="BZF87" s="187"/>
      <c r="BZL87" s="188"/>
      <c r="BZM87" s="187"/>
      <c r="BZP87" s="168"/>
      <c r="BZQ87" s="189"/>
      <c r="BZS87" s="188"/>
      <c r="BZT87" s="187"/>
      <c r="BZZ87" s="188"/>
      <c r="CAA87" s="187"/>
      <c r="CAG87" s="188"/>
      <c r="CAH87" s="187"/>
      <c r="CAN87" s="188"/>
      <c r="CAO87" s="187"/>
      <c r="CAU87" s="168"/>
      <c r="CAV87" s="189"/>
      <c r="CBB87" s="188"/>
      <c r="CBC87" s="187"/>
      <c r="CBI87" s="188"/>
      <c r="CBJ87" s="187"/>
      <c r="CBP87" s="188"/>
      <c r="CBQ87" s="187"/>
      <c r="CBW87" s="188"/>
      <c r="CBX87" s="187"/>
      <c r="CBY87" s="168"/>
      <c r="CBZ87" s="189"/>
      <c r="CCD87" s="188"/>
      <c r="CCE87" s="187"/>
      <c r="CCK87" s="188"/>
      <c r="CCL87" s="187"/>
      <c r="CCR87" s="188"/>
      <c r="CCS87" s="187"/>
      <c r="CCY87" s="188"/>
      <c r="CCZ87" s="187"/>
      <c r="CDD87" s="168"/>
      <c r="CDE87" s="189"/>
      <c r="CDF87" s="188"/>
      <c r="CDG87" s="187"/>
      <c r="CDM87" s="188"/>
      <c r="CDN87" s="187"/>
      <c r="CDT87" s="188"/>
      <c r="CDU87" s="187"/>
      <c r="CEA87" s="188"/>
      <c r="CEB87" s="187"/>
      <c r="CEH87" s="168"/>
      <c r="CEI87" s="189"/>
      <c r="CEO87" s="188"/>
      <c r="CEP87" s="187"/>
      <c r="CEV87" s="188"/>
      <c r="CEW87" s="187"/>
      <c r="CFC87" s="188"/>
      <c r="CFD87" s="187"/>
      <c r="CFJ87" s="188"/>
      <c r="CFK87" s="187"/>
    </row>
    <row r="88" spans="1:1019 1025:2048 2054:2195">
      <c r="A88" s="164" t="s">
        <v>358</v>
      </c>
      <c r="D88" s="186"/>
      <c r="E88" s="186"/>
      <c r="K88" s="187"/>
      <c r="Q88" s="188"/>
      <c r="R88" s="187"/>
      <c r="X88" s="188"/>
      <c r="Y88" s="187"/>
      <c r="AE88" s="188"/>
      <c r="AF88" s="187"/>
      <c r="AJ88" s="168"/>
      <c r="AK88" s="189"/>
      <c r="AL88" s="188"/>
      <c r="AM88" s="187"/>
      <c r="AS88" s="188"/>
      <c r="AT88" s="187"/>
      <c r="AZ88" s="188"/>
      <c r="BA88" s="187"/>
      <c r="BG88" s="188"/>
      <c r="BH88" s="187"/>
      <c r="BL88" s="168"/>
      <c r="BM88" s="189"/>
      <c r="BN88" s="188"/>
      <c r="BO88" s="187"/>
      <c r="BU88" s="188"/>
      <c r="BV88" s="187"/>
      <c r="CB88" s="188"/>
      <c r="CC88" s="187"/>
      <c r="CI88" s="188"/>
      <c r="CJ88" s="187"/>
      <c r="CP88" s="188"/>
      <c r="CQ88" s="190"/>
      <c r="CR88" s="189"/>
      <c r="CW88" s="188"/>
      <c r="CX88" s="187"/>
      <c r="DD88" s="188"/>
      <c r="DE88" s="187"/>
      <c r="DK88" s="188"/>
      <c r="DL88" s="187"/>
      <c r="DR88" s="188"/>
      <c r="DS88" s="187"/>
      <c r="DU88" s="168"/>
      <c r="DV88" s="189"/>
      <c r="DY88" s="188"/>
      <c r="DZ88" s="187"/>
      <c r="EF88" s="188"/>
      <c r="EG88" s="187"/>
      <c r="EM88" s="188"/>
      <c r="EN88" s="187"/>
      <c r="ET88" s="188"/>
      <c r="EU88" s="187"/>
      <c r="EZ88" s="168"/>
      <c r="FA88" s="191"/>
      <c r="FB88" s="187"/>
      <c r="FH88" s="188"/>
      <c r="FI88" s="187"/>
      <c r="FO88" s="188"/>
      <c r="FP88" s="187"/>
      <c r="FV88" s="188"/>
      <c r="FW88" s="187"/>
      <c r="GC88" s="188"/>
      <c r="GD88" s="190"/>
      <c r="GE88" s="189"/>
      <c r="GJ88" s="188"/>
      <c r="GK88" s="187"/>
      <c r="GQ88" s="188"/>
      <c r="GR88" s="187"/>
      <c r="GX88" s="188"/>
      <c r="GY88" s="187"/>
      <c r="HE88" s="188"/>
      <c r="HF88" s="187"/>
      <c r="HI88" s="168"/>
      <c r="HJ88" s="189"/>
      <c r="HL88" s="188"/>
      <c r="HM88" s="187"/>
      <c r="HS88" s="188"/>
      <c r="HT88" s="187"/>
      <c r="HZ88" s="188"/>
      <c r="IA88" s="187"/>
      <c r="IG88" s="188"/>
      <c r="IH88" s="187"/>
      <c r="IN88" s="168"/>
      <c r="IO88" s="189"/>
      <c r="IU88" s="188"/>
      <c r="IV88" s="187"/>
      <c r="JB88" s="188"/>
      <c r="JC88" s="187"/>
      <c r="JI88" s="188"/>
      <c r="JJ88" s="187"/>
      <c r="JP88" s="188"/>
      <c r="JQ88" s="187"/>
      <c r="JR88" s="168"/>
      <c r="JS88" s="189"/>
      <c r="JW88" s="188"/>
      <c r="JX88" s="187"/>
      <c r="KD88" s="188"/>
      <c r="KE88" s="187"/>
      <c r="KK88" s="188"/>
      <c r="KL88" s="187"/>
      <c r="KR88" s="188"/>
      <c r="KS88" s="187"/>
      <c r="KW88" s="168"/>
      <c r="KX88" s="189"/>
      <c r="KY88" s="188"/>
      <c r="KZ88" s="187"/>
      <c r="LF88" s="188"/>
      <c r="LG88" s="187"/>
      <c r="LM88" s="188"/>
      <c r="LN88" s="187"/>
      <c r="LT88" s="188"/>
      <c r="LU88" s="187"/>
      <c r="MA88" s="168"/>
      <c r="MB88" s="189"/>
      <c r="MH88" s="188"/>
      <c r="MI88" s="187"/>
      <c r="MO88" s="188"/>
      <c r="MP88" s="187"/>
      <c r="MV88" s="188"/>
      <c r="MW88" s="187"/>
      <c r="NC88" s="188"/>
      <c r="ND88" s="187"/>
      <c r="NF88" s="168"/>
      <c r="NG88" s="189"/>
      <c r="NJ88" s="188"/>
      <c r="NK88" s="187"/>
      <c r="NQ88" s="188"/>
      <c r="NR88" s="187"/>
      <c r="NX88" s="188"/>
      <c r="NY88" s="187"/>
      <c r="OE88" s="188"/>
      <c r="OF88" s="187"/>
      <c r="OK88" s="168"/>
      <c r="OL88" s="191"/>
      <c r="OM88" s="187"/>
      <c r="OS88" s="188"/>
      <c r="OT88" s="187"/>
      <c r="OZ88" s="188"/>
      <c r="PA88" s="187"/>
      <c r="PG88" s="188"/>
      <c r="PH88" s="187"/>
      <c r="PN88" s="168"/>
      <c r="PO88" s="189"/>
      <c r="PU88" s="188"/>
      <c r="PV88" s="187"/>
      <c r="QB88" s="188"/>
      <c r="QC88" s="187"/>
      <c r="QI88" s="188"/>
      <c r="QJ88" s="187"/>
      <c r="QP88" s="188"/>
      <c r="QQ88" s="187"/>
      <c r="QS88" s="168"/>
      <c r="QT88" s="189"/>
      <c r="QW88" s="188"/>
      <c r="QX88" s="187"/>
      <c r="RD88" s="188"/>
      <c r="RE88" s="187"/>
      <c r="RK88" s="188"/>
      <c r="RL88" s="187"/>
      <c r="RR88" s="188"/>
      <c r="RS88" s="187"/>
      <c r="RW88" s="168"/>
      <c r="RX88" s="189"/>
      <c r="RY88" s="188"/>
      <c r="RZ88" s="187"/>
      <c r="SF88" s="188"/>
      <c r="SG88" s="187"/>
      <c r="SM88" s="188"/>
      <c r="SN88" s="187"/>
      <c r="ST88" s="188"/>
      <c r="SU88" s="187"/>
      <c r="TA88" s="188"/>
      <c r="TB88" s="190"/>
      <c r="TC88" s="189"/>
      <c r="TH88" s="188"/>
      <c r="TI88" s="187"/>
      <c r="TO88" s="188"/>
      <c r="TP88" s="187"/>
      <c r="TV88" s="188"/>
      <c r="TW88" s="187"/>
      <c r="UC88" s="188"/>
      <c r="UD88" s="187"/>
      <c r="UF88" s="168"/>
      <c r="UG88" s="189"/>
      <c r="UJ88" s="188"/>
      <c r="UK88" s="187"/>
      <c r="UQ88" s="188"/>
      <c r="UR88" s="187"/>
      <c r="UX88" s="188"/>
      <c r="UY88" s="187"/>
      <c r="VE88" s="188"/>
      <c r="VF88" s="187"/>
      <c r="VK88" s="168"/>
      <c r="VL88" s="191"/>
      <c r="VM88" s="187"/>
      <c r="VS88" s="188"/>
      <c r="VT88" s="187"/>
      <c r="VZ88" s="188"/>
      <c r="WA88" s="187"/>
      <c r="WG88" s="188"/>
      <c r="WH88" s="187"/>
      <c r="WN88" s="188"/>
      <c r="WO88" s="187"/>
      <c r="WP88" s="168"/>
      <c r="WQ88" s="189"/>
      <c r="WU88" s="188"/>
      <c r="WV88" s="187"/>
      <c r="XB88" s="188"/>
      <c r="XC88" s="187"/>
      <c r="XI88" s="188"/>
      <c r="XJ88" s="187"/>
      <c r="XP88" s="188"/>
      <c r="XQ88" s="187"/>
      <c r="XT88" s="168"/>
      <c r="XU88" s="189"/>
      <c r="XW88" s="188"/>
      <c r="XX88" s="187"/>
      <c r="YD88" s="188"/>
      <c r="YE88" s="187"/>
      <c r="YK88" s="188"/>
      <c r="YL88" s="187"/>
      <c r="YR88" s="188"/>
      <c r="YS88" s="187"/>
      <c r="YY88" s="168"/>
      <c r="YZ88" s="189"/>
      <c r="ZF88" s="188"/>
      <c r="ZG88" s="187"/>
      <c r="ZM88" s="188"/>
      <c r="ZN88" s="187"/>
      <c r="ZT88" s="188"/>
      <c r="ZU88" s="187"/>
      <c r="AAA88" s="188"/>
      <c r="AAB88" s="187"/>
      <c r="AAC88" s="168"/>
      <c r="AAD88" s="189"/>
      <c r="AAH88" s="188"/>
      <c r="AAI88" s="187"/>
      <c r="AAO88" s="188"/>
      <c r="AAP88" s="187"/>
      <c r="AAV88" s="188"/>
      <c r="AAW88" s="187"/>
      <c r="ABC88" s="188"/>
      <c r="ABD88" s="187"/>
      <c r="ABH88" s="168"/>
      <c r="ABI88" s="189"/>
      <c r="ABJ88" s="188"/>
      <c r="ABK88" s="187"/>
      <c r="ABQ88" s="188"/>
      <c r="ABR88" s="187"/>
      <c r="ABX88" s="188"/>
      <c r="ABY88" s="187"/>
      <c r="ACE88" s="188"/>
      <c r="ACF88" s="187"/>
      <c r="ACL88" s="188"/>
      <c r="ACM88" s="190"/>
      <c r="ACN88" s="189"/>
      <c r="ACS88" s="188"/>
      <c r="ACT88" s="187"/>
      <c r="ACZ88" s="188"/>
      <c r="ADA88" s="187"/>
      <c r="ADG88" s="188"/>
      <c r="ADH88" s="187"/>
      <c r="ADN88" s="188"/>
      <c r="ADO88" s="190"/>
      <c r="ADP88" s="189"/>
      <c r="ADU88" s="188"/>
      <c r="ADV88" s="187"/>
      <c r="AEB88" s="188"/>
      <c r="AEC88" s="187"/>
      <c r="AEI88" s="188"/>
      <c r="AEJ88" s="187"/>
      <c r="AEP88" s="188"/>
      <c r="AEQ88" s="187"/>
      <c r="AET88" s="168"/>
      <c r="AEU88" s="189"/>
      <c r="AEW88" s="188"/>
      <c r="AEX88" s="187"/>
      <c r="AFD88" s="188"/>
      <c r="AFE88" s="187"/>
      <c r="AFK88" s="188"/>
      <c r="AFL88" s="187"/>
      <c r="AFR88" s="188"/>
      <c r="AFS88" s="187"/>
      <c r="AFX88" s="168"/>
      <c r="AFY88" s="191"/>
      <c r="AFZ88" s="187"/>
      <c r="AGF88" s="188"/>
      <c r="AGG88" s="187"/>
      <c r="AGM88" s="188"/>
      <c r="AGN88" s="187"/>
      <c r="AGT88" s="188"/>
      <c r="AGU88" s="187"/>
      <c r="AHA88" s="188"/>
      <c r="AHB88" s="187"/>
      <c r="AHC88" s="168"/>
      <c r="AHD88" s="189"/>
      <c r="AHH88" s="188"/>
      <c r="AHI88" s="187"/>
      <c r="AHO88" s="188"/>
      <c r="AHP88" s="187"/>
      <c r="AHV88" s="188"/>
      <c r="AHW88" s="187"/>
      <c r="AIC88" s="188"/>
      <c r="AID88" s="187"/>
      <c r="AIG88" s="168"/>
      <c r="AIH88" s="189"/>
      <c r="AIJ88" s="188"/>
      <c r="AIK88" s="187"/>
      <c r="AIQ88" s="188"/>
      <c r="AIR88" s="187"/>
      <c r="AIX88" s="188"/>
      <c r="AIY88" s="187"/>
      <c r="AJE88" s="188"/>
      <c r="AJF88" s="187"/>
      <c r="AJL88" s="168"/>
      <c r="AJM88" s="189"/>
      <c r="AJS88" s="188"/>
      <c r="AJT88" s="187"/>
      <c r="AJZ88" s="188"/>
      <c r="AKA88" s="187"/>
      <c r="AKG88" s="188"/>
      <c r="AKH88" s="187"/>
      <c r="AKN88" s="188"/>
      <c r="AKO88" s="187"/>
      <c r="AKQ88" s="168"/>
      <c r="AKR88" s="189"/>
      <c r="AKU88" s="188"/>
      <c r="AKV88" s="187"/>
      <c r="ALB88" s="188"/>
      <c r="ALC88" s="187"/>
      <c r="ALI88" s="188"/>
      <c r="ALJ88" s="187"/>
      <c r="ALP88" s="188"/>
      <c r="ALQ88" s="187"/>
      <c r="ALU88" s="168"/>
      <c r="ALV88" s="189"/>
      <c r="ALW88" s="188"/>
      <c r="ALX88" s="187"/>
      <c r="AMD88" s="188"/>
      <c r="AME88" s="187"/>
      <c r="AMK88" s="188"/>
      <c r="AML88" s="187"/>
      <c r="AMR88" s="188"/>
      <c r="AMS88" s="187"/>
      <c r="AMY88" s="188"/>
      <c r="AMZ88" s="190"/>
      <c r="ANA88" s="189"/>
      <c r="ANF88" s="188"/>
      <c r="ANG88" s="187"/>
      <c r="ANM88" s="188"/>
      <c r="ANN88" s="187"/>
      <c r="ANT88" s="188"/>
      <c r="ANU88" s="187"/>
      <c r="AOA88" s="188"/>
      <c r="AOB88" s="187"/>
      <c r="AOD88" s="168"/>
      <c r="AOE88" s="189"/>
      <c r="AOH88" s="188"/>
      <c r="AOI88" s="187"/>
      <c r="AOO88" s="188"/>
      <c r="AOP88" s="187"/>
      <c r="AOV88" s="188"/>
      <c r="AOW88" s="187"/>
      <c r="APC88" s="188"/>
      <c r="APD88" s="187"/>
      <c r="API88" s="168"/>
      <c r="APJ88" s="191"/>
      <c r="APK88" s="187"/>
      <c r="APQ88" s="188"/>
      <c r="APR88" s="187"/>
      <c r="APX88" s="188"/>
      <c r="APY88" s="187"/>
      <c r="AQE88" s="188"/>
      <c r="AQF88" s="187"/>
      <c r="AQL88" s="188"/>
      <c r="AQM88" s="187"/>
      <c r="AQN88" s="168"/>
      <c r="AQO88" s="189"/>
      <c r="AQS88" s="188"/>
      <c r="AQT88" s="187"/>
      <c r="AQZ88" s="188"/>
      <c r="ARA88" s="187"/>
      <c r="ARG88" s="188"/>
      <c r="ARH88" s="187"/>
      <c r="ARN88" s="188"/>
      <c r="ARO88" s="187"/>
      <c r="ARP88" s="168"/>
      <c r="ARQ88" s="189"/>
      <c r="ARU88" s="188"/>
      <c r="ARV88" s="187"/>
      <c r="ASB88" s="188"/>
      <c r="ASC88" s="187"/>
      <c r="ASI88" s="188"/>
      <c r="ASJ88" s="187"/>
      <c r="ASP88" s="188"/>
      <c r="ASQ88" s="187"/>
      <c r="ASU88" s="168"/>
      <c r="ASV88" s="189"/>
      <c r="ASW88" s="188"/>
      <c r="ASX88" s="187"/>
      <c r="ATD88" s="188"/>
      <c r="ATE88" s="187"/>
      <c r="ATK88" s="188"/>
      <c r="ATL88" s="187"/>
      <c r="ATR88" s="188"/>
      <c r="ATS88" s="187"/>
      <c r="ATY88" s="168"/>
      <c r="ATZ88" s="189"/>
      <c r="AUF88" s="188"/>
      <c r="AUG88" s="187"/>
      <c r="AUM88" s="188"/>
      <c r="AUN88" s="187"/>
      <c r="AUT88" s="188"/>
      <c r="AUU88" s="187"/>
      <c r="AVA88" s="188"/>
      <c r="AVB88" s="187"/>
      <c r="AVD88" s="168"/>
      <c r="AVE88" s="189"/>
      <c r="AVH88" s="188"/>
      <c r="AVI88" s="187"/>
      <c r="AVO88" s="188"/>
      <c r="AVP88" s="187"/>
      <c r="AVV88" s="188"/>
      <c r="AVW88" s="187"/>
      <c r="AWC88" s="188"/>
      <c r="AWD88" s="187"/>
      <c r="AWH88" s="168"/>
      <c r="AWI88" s="189"/>
      <c r="AWJ88" s="188"/>
      <c r="AWK88" s="187"/>
      <c r="AWQ88" s="188"/>
      <c r="AWR88" s="187"/>
      <c r="AWX88" s="188"/>
      <c r="AWY88" s="187"/>
      <c r="AXE88" s="188"/>
      <c r="AXF88" s="187"/>
      <c r="AXL88" s="188"/>
      <c r="AXM88" s="190"/>
      <c r="AXN88" s="189"/>
      <c r="AXS88" s="188"/>
      <c r="AXT88" s="187"/>
      <c r="AXZ88" s="188"/>
      <c r="AYA88" s="187"/>
      <c r="AYG88" s="188"/>
      <c r="AYH88" s="187"/>
      <c r="AYN88" s="188"/>
      <c r="AYO88" s="187"/>
      <c r="AYR88" s="168"/>
      <c r="AYS88" s="189"/>
      <c r="AYU88" s="188"/>
      <c r="AYV88" s="187"/>
      <c r="AZB88" s="188"/>
      <c r="AZC88" s="187"/>
      <c r="AZI88" s="188"/>
      <c r="AZJ88" s="187"/>
      <c r="AZP88" s="188"/>
      <c r="AZQ88" s="187"/>
      <c r="AZV88" s="168"/>
      <c r="AZW88" s="191"/>
      <c r="AZX88" s="187"/>
      <c r="BAD88" s="188"/>
      <c r="BAE88" s="187"/>
      <c r="BAK88" s="188"/>
      <c r="BAL88" s="187"/>
      <c r="BAR88" s="188"/>
      <c r="BAS88" s="187"/>
      <c r="BAY88" s="188"/>
      <c r="BAZ88" s="187"/>
      <c r="BBA88" s="168"/>
      <c r="BBB88" s="189"/>
      <c r="BBF88" s="188"/>
      <c r="BBG88" s="187"/>
      <c r="BBM88" s="188"/>
      <c r="BBN88" s="187"/>
      <c r="BBT88" s="188"/>
      <c r="BBU88" s="187"/>
      <c r="BCA88" s="188"/>
      <c r="BCB88" s="187"/>
      <c r="BCE88" s="168"/>
      <c r="BCF88" s="189"/>
      <c r="BCH88" s="188"/>
      <c r="BCI88" s="187"/>
      <c r="BCO88" s="188"/>
      <c r="BCP88" s="187"/>
      <c r="BCV88" s="188"/>
      <c r="BCW88" s="187"/>
      <c r="BDC88" s="188"/>
      <c r="BDD88" s="187"/>
      <c r="BDJ88" s="168"/>
      <c r="BDK88" s="189"/>
      <c r="BDQ88" s="188"/>
      <c r="BDR88" s="187"/>
      <c r="BDX88" s="188"/>
      <c r="BDY88" s="187"/>
      <c r="BEE88" s="188"/>
      <c r="BEF88" s="187"/>
      <c r="BEL88" s="188"/>
      <c r="BEM88" s="187"/>
      <c r="BEO88" s="168"/>
      <c r="BEP88" s="189"/>
      <c r="BES88" s="188"/>
      <c r="BET88" s="187"/>
      <c r="BEZ88" s="188"/>
      <c r="BFA88" s="187"/>
      <c r="BFG88" s="188"/>
      <c r="BFH88" s="187"/>
      <c r="BFN88" s="188"/>
      <c r="BFO88" s="187"/>
      <c r="BFQ88" s="168"/>
      <c r="BFR88" s="189"/>
      <c r="BFU88" s="188"/>
      <c r="BFV88" s="187"/>
      <c r="BGB88" s="188"/>
      <c r="BGC88" s="187"/>
      <c r="BGI88" s="188"/>
      <c r="BGJ88" s="187"/>
      <c r="BGP88" s="188"/>
      <c r="BGQ88" s="187"/>
      <c r="BGV88" s="168"/>
      <c r="BGW88" s="191"/>
      <c r="BGX88" s="187"/>
      <c r="BHD88" s="188"/>
      <c r="BHE88" s="187"/>
      <c r="BHK88" s="188"/>
      <c r="BHL88" s="187"/>
      <c r="BHR88" s="188"/>
      <c r="BHS88" s="187"/>
      <c r="BHY88" s="188"/>
      <c r="BHZ88" s="190"/>
      <c r="BIA88" s="189"/>
      <c r="BIF88" s="188"/>
      <c r="BIG88" s="187"/>
      <c r="BIM88" s="188"/>
      <c r="BIN88" s="187"/>
      <c r="BIT88" s="188"/>
      <c r="BIU88" s="187"/>
      <c r="BJA88" s="188"/>
      <c r="BJB88" s="187"/>
      <c r="BJE88" s="168"/>
      <c r="BJF88" s="189"/>
      <c r="BJH88" s="188"/>
      <c r="BJI88" s="187"/>
      <c r="BJO88" s="188"/>
      <c r="BJP88" s="187"/>
      <c r="BJV88" s="188"/>
      <c r="BJW88" s="187"/>
      <c r="BKC88" s="188"/>
      <c r="BKD88" s="187"/>
      <c r="BKI88" s="168"/>
      <c r="BKJ88" s="191"/>
      <c r="BKK88" s="187"/>
      <c r="BKQ88" s="188"/>
      <c r="BKR88" s="187"/>
      <c r="BKX88" s="188"/>
      <c r="BKY88" s="187"/>
      <c r="BLE88" s="188"/>
      <c r="BLF88" s="187"/>
      <c r="BLL88" s="188"/>
      <c r="BLM88" s="187"/>
      <c r="BLN88" s="168"/>
      <c r="BLO88" s="189"/>
      <c r="BLS88" s="188"/>
      <c r="BLT88" s="187"/>
      <c r="BLZ88" s="188"/>
      <c r="BMA88" s="187"/>
      <c r="BMG88" s="188"/>
      <c r="BMH88" s="187"/>
      <c r="BMN88" s="188"/>
      <c r="BMO88" s="187"/>
      <c r="BMS88" s="168"/>
      <c r="BMT88" s="189"/>
      <c r="BMU88" s="188"/>
      <c r="BMV88" s="187"/>
      <c r="BNB88" s="188"/>
      <c r="BNC88" s="187"/>
      <c r="BNI88" s="188"/>
      <c r="BNJ88" s="187"/>
      <c r="BNP88" s="188"/>
      <c r="BNQ88" s="187"/>
      <c r="BNW88" s="168"/>
      <c r="BNX88" s="189"/>
      <c r="BOD88" s="188"/>
      <c r="BOE88" s="187"/>
      <c r="BOK88" s="188"/>
      <c r="BOL88" s="187"/>
      <c r="BOR88" s="188"/>
      <c r="BOS88" s="187"/>
      <c r="BOY88" s="188"/>
      <c r="BOZ88" s="187"/>
      <c r="BPB88" s="168"/>
      <c r="BPC88" s="189"/>
      <c r="BPF88" s="188"/>
      <c r="BPG88" s="187"/>
      <c r="BPM88" s="188"/>
      <c r="BPN88" s="187"/>
      <c r="BPT88" s="188"/>
      <c r="BPU88" s="187"/>
      <c r="BQA88" s="188"/>
      <c r="BQB88" s="187"/>
      <c r="BQF88" s="168"/>
      <c r="BQG88" s="189"/>
      <c r="BQH88" s="188"/>
      <c r="BQI88" s="187"/>
      <c r="BQO88" s="188"/>
      <c r="BQP88" s="187"/>
      <c r="BQV88" s="188"/>
      <c r="BQW88" s="187"/>
      <c r="BRC88" s="188"/>
      <c r="BRD88" s="187"/>
      <c r="BRJ88" s="188"/>
      <c r="BRK88" s="190"/>
      <c r="BRL88" s="189"/>
      <c r="BRQ88" s="188"/>
      <c r="BRR88" s="187"/>
      <c r="BRX88" s="188"/>
      <c r="BRY88" s="187"/>
      <c r="BSE88" s="188"/>
      <c r="BSF88" s="187"/>
      <c r="BSL88" s="188"/>
      <c r="BSM88" s="187"/>
      <c r="BSP88" s="168"/>
      <c r="BSQ88" s="189"/>
      <c r="BSS88" s="188"/>
      <c r="BST88" s="187"/>
      <c r="BSZ88" s="188"/>
      <c r="BTA88" s="187"/>
      <c r="BTG88" s="188"/>
      <c r="BTH88" s="187"/>
      <c r="BTN88" s="188"/>
      <c r="BTO88" s="187"/>
      <c r="BTS88" s="168"/>
      <c r="BTT88" s="189"/>
      <c r="BTU88" s="188"/>
      <c r="BTV88" s="187"/>
      <c r="BUB88" s="188"/>
      <c r="BUC88" s="187"/>
      <c r="BUI88" s="188"/>
      <c r="BUJ88" s="187"/>
      <c r="BUP88" s="188"/>
      <c r="BUQ88" s="187"/>
      <c r="BUW88" s="188"/>
      <c r="BUX88" s="190"/>
      <c r="BUY88" s="189"/>
      <c r="BVD88" s="188"/>
      <c r="BVE88" s="187"/>
      <c r="BVK88" s="188"/>
      <c r="BVL88" s="187"/>
      <c r="BVR88" s="188"/>
      <c r="BVS88" s="187"/>
      <c r="BVY88" s="188"/>
      <c r="BVZ88" s="187"/>
      <c r="BWB88" s="168"/>
      <c r="BWC88" s="189"/>
      <c r="BWF88" s="188"/>
      <c r="BWG88" s="187"/>
      <c r="BWM88" s="188"/>
      <c r="BWN88" s="187"/>
      <c r="BWT88" s="188"/>
      <c r="BWU88" s="187"/>
      <c r="BXA88" s="188"/>
      <c r="BXB88" s="187"/>
      <c r="BXG88" s="168"/>
      <c r="BXH88" s="191"/>
      <c r="BXI88" s="187"/>
      <c r="BXO88" s="188"/>
      <c r="BXP88" s="187"/>
      <c r="BXV88" s="188"/>
      <c r="BXW88" s="187"/>
      <c r="BYC88" s="188"/>
      <c r="BYD88" s="187"/>
      <c r="BYJ88" s="188"/>
      <c r="BYK88" s="190"/>
      <c r="BYL88" s="189"/>
      <c r="BYQ88" s="188"/>
      <c r="BYR88" s="187"/>
      <c r="BYX88" s="188"/>
      <c r="BYY88" s="187"/>
      <c r="BZE88" s="188"/>
      <c r="BZF88" s="187"/>
      <c r="BZL88" s="188"/>
      <c r="BZM88" s="187"/>
      <c r="BZP88" s="168"/>
      <c r="BZQ88" s="189"/>
      <c r="BZS88" s="188"/>
      <c r="BZT88" s="187"/>
      <c r="BZZ88" s="188"/>
      <c r="CAA88" s="187"/>
      <c r="CAG88" s="188"/>
      <c r="CAH88" s="187"/>
      <c r="CAN88" s="188"/>
      <c r="CAO88" s="187"/>
      <c r="CAU88" s="168"/>
      <c r="CAV88" s="189"/>
      <c r="CBB88" s="188"/>
      <c r="CBC88" s="187"/>
      <c r="CBI88" s="188"/>
      <c r="CBJ88" s="187"/>
      <c r="CBP88" s="188"/>
      <c r="CBQ88" s="187"/>
      <c r="CBW88" s="188"/>
      <c r="CBX88" s="187"/>
      <c r="CBY88" s="168"/>
      <c r="CBZ88" s="189"/>
      <c r="CCD88" s="188"/>
      <c r="CCE88" s="187"/>
      <c r="CCK88" s="188"/>
      <c r="CCL88" s="187"/>
      <c r="CCR88" s="188"/>
      <c r="CCS88" s="187"/>
      <c r="CCY88" s="188"/>
      <c r="CCZ88" s="187"/>
      <c r="CDD88" s="168"/>
      <c r="CDE88" s="189"/>
      <c r="CDF88" s="188"/>
      <c r="CDG88" s="187"/>
      <c r="CDM88" s="188"/>
      <c r="CDN88" s="187"/>
      <c r="CDT88" s="188"/>
      <c r="CDU88" s="187"/>
      <c r="CEA88" s="188"/>
      <c r="CEB88" s="187"/>
      <c r="CEH88" s="168"/>
      <c r="CEI88" s="189"/>
      <c r="CEO88" s="188"/>
      <c r="CEP88" s="187"/>
      <c r="CEV88" s="188"/>
      <c r="CEW88" s="187"/>
      <c r="CFC88" s="188"/>
      <c r="CFD88" s="187"/>
      <c r="CFJ88" s="188"/>
      <c r="CFK88" s="187"/>
    </row>
    <row r="89" spans="1:1019 1025:2048 2054:2195">
      <c r="D89" s="186"/>
      <c r="E89" s="186"/>
      <c r="K89" s="187"/>
      <c r="Q89" s="188"/>
      <c r="R89" s="187"/>
      <c r="X89" s="188"/>
      <c r="Y89" s="187"/>
      <c r="AE89" s="188"/>
      <c r="AF89" s="187"/>
      <c r="AJ89" s="168"/>
      <c r="AK89" s="189"/>
      <c r="AL89" s="188"/>
      <c r="AM89" s="187"/>
      <c r="AS89" s="188"/>
      <c r="AT89" s="187"/>
      <c r="AZ89" s="188"/>
      <c r="BA89" s="187"/>
      <c r="BG89" s="188"/>
      <c r="BH89" s="187"/>
      <c r="BL89" s="168"/>
      <c r="BM89" s="189"/>
      <c r="BN89" s="188"/>
      <c r="BO89" s="187"/>
      <c r="BU89" s="188"/>
      <c r="BV89" s="187"/>
      <c r="CB89" s="188"/>
      <c r="CC89" s="187"/>
      <c r="CI89" s="188"/>
      <c r="CJ89" s="187"/>
      <c r="CP89" s="188"/>
      <c r="CQ89" s="190"/>
      <c r="CR89" s="189"/>
      <c r="CW89" s="188"/>
      <c r="CX89" s="187"/>
      <c r="DD89" s="188"/>
      <c r="DE89" s="187"/>
      <c r="DK89" s="188"/>
      <c r="DL89" s="187"/>
      <c r="DR89" s="188"/>
      <c r="DS89" s="187"/>
      <c r="DU89" s="168"/>
      <c r="DV89" s="189"/>
      <c r="DY89" s="188"/>
      <c r="DZ89" s="187"/>
      <c r="EF89" s="188"/>
      <c r="EG89" s="187"/>
      <c r="EM89" s="188"/>
      <c r="EN89" s="187"/>
      <c r="ET89" s="188"/>
      <c r="EU89" s="187"/>
      <c r="EZ89" s="168"/>
      <c r="FA89" s="191"/>
      <c r="FB89" s="187"/>
      <c r="FH89" s="188"/>
      <c r="FI89" s="187"/>
      <c r="FO89" s="188"/>
      <c r="FP89" s="187"/>
      <c r="FV89" s="188"/>
      <c r="FW89" s="187"/>
      <c r="GC89" s="188"/>
      <c r="GD89" s="190"/>
      <c r="GE89" s="189"/>
      <c r="GJ89" s="188"/>
      <c r="GK89" s="187"/>
      <c r="GQ89" s="188"/>
      <c r="GR89" s="187"/>
      <c r="GX89" s="188"/>
      <c r="GY89" s="187"/>
      <c r="HE89" s="188"/>
      <c r="HF89" s="187"/>
      <c r="HI89" s="168"/>
      <c r="HJ89" s="189"/>
      <c r="HL89" s="188"/>
      <c r="HM89" s="187"/>
      <c r="HS89" s="188"/>
      <c r="HT89" s="187"/>
      <c r="HZ89" s="188"/>
      <c r="IA89" s="187"/>
      <c r="IG89" s="188"/>
      <c r="IH89" s="187"/>
      <c r="IN89" s="168"/>
      <c r="IO89" s="189"/>
      <c r="IU89" s="188"/>
      <c r="IV89" s="187"/>
      <c r="JB89" s="188"/>
      <c r="JC89" s="187"/>
      <c r="JI89" s="188"/>
      <c r="JJ89" s="187"/>
      <c r="JP89" s="188"/>
      <c r="JQ89" s="187"/>
      <c r="JR89" s="168"/>
      <c r="JS89" s="189"/>
      <c r="JW89" s="188"/>
      <c r="JX89" s="187"/>
      <c r="KD89" s="188"/>
      <c r="KE89" s="187"/>
      <c r="KK89" s="188"/>
      <c r="KL89" s="187"/>
      <c r="KR89" s="188"/>
      <c r="KS89" s="187"/>
      <c r="KW89" s="168"/>
      <c r="KX89" s="189"/>
      <c r="KY89" s="188"/>
      <c r="KZ89" s="187"/>
      <c r="LF89" s="188"/>
      <c r="LG89" s="187"/>
      <c r="LM89" s="188"/>
      <c r="LN89" s="187"/>
      <c r="LT89" s="188"/>
      <c r="LU89" s="187"/>
      <c r="MA89" s="168"/>
      <c r="MB89" s="189"/>
      <c r="MH89" s="188"/>
      <c r="MI89" s="187"/>
      <c r="MO89" s="188"/>
      <c r="MP89" s="187"/>
      <c r="MV89" s="188"/>
      <c r="MW89" s="187"/>
      <c r="NC89" s="188"/>
      <c r="ND89" s="187"/>
      <c r="NF89" s="168"/>
      <c r="NG89" s="189"/>
      <c r="NJ89" s="188"/>
      <c r="NK89" s="187"/>
      <c r="NQ89" s="188"/>
      <c r="NR89" s="187"/>
      <c r="NX89" s="188"/>
      <c r="NY89" s="187"/>
      <c r="OE89" s="188"/>
      <c r="OF89" s="187"/>
      <c r="OK89" s="168"/>
      <c r="OL89" s="191"/>
      <c r="OM89" s="187"/>
      <c r="OS89" s="188"/>
      <c r="OT89" s="187"/>
      <c r="OZ89" s="188"/>
      <c r="PA89" s="187"/>
      <c r="PG89" s="188"/>
      <c r="PH89" s="187"/>
      <c r="PN89" s="168"/>
      <c r="PO89" s="189"/>
      <c r="PU89" s="188"/>
      <c r="PV89" s="187"/>
      <c r="QB89" s="188"/>
      <c r="QC89" s="187"/>
      <c r="QI89" s="188"/>
      <c r="QJ89" s="187"/>
      <c r="QP89" s="188"/>
      <c r="QQ89" s="187"/>
      <c r="QS89" s="168"/>
      <c r="QT89" s="189"/>
      <c r="QW89" s="188"/>
      <c r="QX89" s="187"/>
      <c r="RD89" s="188"/>
      <c r="RE89" s="187"/>
      <c r="RK89" s="188"/>
      <c r="RL89" s="187"/>
      <c r="RR89" s="188"/>
      <c r="RS89" s="187"/>
      <c r="RW89" s="168"/>
      <c r="RX89" s="189"/>
      <c r="RY89" s="188"/>
      <c r="RZ89" s="187"/>
      <c r="SF89" s="188"/>
      <c r="SG89" s="187"/>
      <c r="SM89" s="188"/>
      <c r="SN89" s="187"/>
      <c r="ST89" s="188"/>
      <c r="SU89" s="187"/>
      <c r="TA89" s="188"/>
      <c r="TB89" s="190"/>
      <c r="TC89" s="189"/>
      <c r="TH89" s="188"/>
      <c r="TI89" s="187"/>
      <c r="TO89" s="188"/>
      <c r="TP89" s="187"/>
      <c r="TV89" s="188"/>
      <c r="TW89" s="187"/>
      <c r="UC89" s="188"/>
      <c r="UD89" s="187"/>
      <c r="UF89" s="168"/>
      <c r="UG89" s="189"/>
      <c r="UJ89" s="188"/>
      <c r="UK89" s="187"/>
      <c r="UQ89" s="188"/>
      <c r="UR89" s="187"/>
      <c r="UX89" s="188"/>
      <c r="UY89" s="187"/>
      <c r="VE89" s="188"/>
      <c r="VF89" s="187"/>
      <c r="VK89" s="168"/>
      <c r="VL89" s="191"/>
      <c r="VM89" s="187"/>
      <c r="VS89" s="188"/>
      <c r="VT89" s="187"/>
      <c r="VZ89" s="188"/>
      <c r="WA89" s="187"/>
      <c r="WG89" s="188"/>
      <c r="WH89" s="187"/>
      <c r="WN89" s="188"/>
      <c r="WO89" s="187"/>
      <c r="WP89" s="168"/>
      <c r="WQ89" s="189"/>
      <c r="WU89" s="188"/>
      <c r="WV89" s="187"/>
      <c r="XB89" s="188"/>
      <c r="XC89" s="187"/>
      <c r="XI89" s="188"/>
      <c r="XJ89" s="187"/>
      <c r="XP89" s="188"/>
      <c r="XQ89" s="187"/>
      <c r="XT89" s="168"/>
      <c r="XU89" s="189"/>
      <c r="XW89" s="188"/>
      <c r="XX89" s="187"/>
      <c r="YD89" s="188"/>
      <c r="YE89" s="187"/>
      <c r="YK89" s="188"/>
      <c r="YL89" s="187"/>
      <c r="YR89" s="188"/>
      <c r="YS89" s="187"/>
      <c r="YY89" s="168"/>
      <c r="YZ89" s="189"/>
      <c r="ZF89" s="188"/>
      <c r="ZG89" s="187"/>
      <c r="ZM89" s="188"/>
      <c r="ZN89" s="187"/>
      <c r="ZT89" s="188"/>
      <c r="ZU89" s="187"/>
      <c r="AAA89" s="188"/>
      <c r="AAB89" s="187"/>
      <c r="AAC89" s="168"/>
      <c r="AAD89" s="189"/>
      <c r="AAH89" s="188"/>
      <c r="AAI89" s="187"/>
      <c r="AAO89" s="188"/>
      <c r="AAP89" s="187"/>
      <c r="AAV89" s="188"/>
      <c r="AAW89" s="187"/>
      <c r="ABC89" s="188"/>
      <c r="ABD89" s="187"/>
      <c r="ABH89" s="168"/>
      <c r="ABI89" s="189"/>
      <c r="ABJ89" s="188"/>
      <c r="ABK89" s="187"/>
      <c r="ABQ89" s="188"/>
      <c r="ABR89" s="187"/>
      <c r="ABX89" s="188"/>
      <c r="ABY89" s="187"/>
      <c r="ACE89" s="188"/>
      <c r="ACF89" s="187"/>
      <c r="ACL89" s="188"/>
      <c r="ACM89" s="190"/>
      <c r="ACN89" s="189"/>
      <c r="ACS89" s="188"/>
      <c r="ACT89" s="187"/>
      <c r="ACZ89" s="188"/>
      <c r="ADA89" s="187"/>
      <c r="ADG89" s="188"/>
      <c r="ADH89" s="187"/>
      <c r="ADN89" s="188"/>
      <c r="ADO89" s="190"/>
      <c r="ADP89" s="189"/>
      <c r="ADU89" s="188"/>
      <c r="ADV89" s="187"/>
      <c r="AEB89" s="188"/>
      <c r="AEC89" s="187"/>
      <c r="AEI89" s="188"/>
      <c r="AEJ89" s="187"/>
      <c r="AEP89" s="188"/>
      <c r="AEQ89" s="187"/>
      <c r="AET89" s="168"/>
      <c r="AEU89" s="189"/>
      <c r="AEW89" s="188"/>
      <c r="AEX89" s="187"/>
      <c r="AFD89" s="188"/>
      <c r="AFE89" s="187"/>
      <c r="AFK89" s="188"/>
      <c r="AFL89" s="187"/>
      <c r="AFR89" s="188"/>
      <c r="AFS89" s="187"/>
      <c r="AFX89" s="168"/>
      <c r="AFY89" s="191"/>
      <c r="AFZ89" s="187"/>
      <c r="AGF89" s="188"/>
      <c r="AGG89" s="187"/>
      <c r="AGM89" s="188"/>
      <c r="AGN89" s="187"/>
      <c r="AGT89" s="188"/>
      <c r="AGU89" s="187"/>
      <c r="AHA89" s="188"/>
      <c r="AHB89" s="187"/>
      <c r="AHC89" s="168"/>
      <c r="AHD89" s="189"/>
      <c r="AHH89" s="188"/>
      <c r="AHI89" s="187"/>
      <c r="AHO89" s="188"/>
      <c r="AHP89" s="187"/>
      <c r="AHV89" s="188"/>
      <c r="AHW89" s="187"/>
      <c r="AIC89" s="188"/>
      <c r="AID89" s="187"/>
      <c r="AIG89" s="168"/>
      <c r="AIH89" s="189"/>
      <c r="AIJ89" s="188"/>
      <c r="AIK89" s="187"/>
      <c r="AIQ89" s="188"/>
      <c r="AIR89" s="187"/>
      <c r="AIX89" s="188"/>
      <c r="AIY89" s="187"/>
      <c r="AJE89" s="188"/>
      <c r="AJF89" s="187"/>
      <c r="AJL89" s="168"/>
      <c r="AJM89" s="189"/>
      <c r="AJS89" s="188"/>
      <c r="AJT89" s="187"/>
      <c r="AJZ89" s="188"/>
      <c r="AKA89" s="187"/>
      <c r="AKG89" s="188"/>
      <c r="AKH89" s="187"/>
      <c r="AKN89" s="188"/>
      <c r="AKO89" s="187"/>
      <c r="AKQ89" s="168"/>
      <c r="AKR89" s="189"/>
      <c r="AKU89" s="188"/>
      <c r="AKV89" s="187"/>
      <c r="ALB89" s="188"/>
      <c r="ALC89" s="187"/>
      <c r="ALI89" s="188"/>
      <c r="ALJ89" s="187"/>
      <c r="ALP89" s="188"/>
      <c r="ALQ89" s="187"/>
      <c r="ALU89" s="168"/>
      <c r="ALV89" s="189"/>
      <c r="ALW89" s="188"/>
      <c r="ALX89" s="187"/>
      <c r="AMD89" s="188"/>
      <c r="AME89" s="187"/>
      <c r="AMK89" s="188"/>
      <c r="AML89" s="187"/>
      <c r="AMR89" s="188"/>
      <c r="AMS89" s="187"/>
      <c r="AMY89" s="188"/>
      <c r="AMZ89" s="190"/>
      <c r="ANA89" s="189"/>
      <c r="ANF89" s="188"/>
      <c r="ANG89" s="187"/>
      <c r="ANM89" s="188"/>
      <c r="ANN89" s="187"/>
      <c r="ANT89" s="188"/>
      <c r="ANU89" s="187"/>
      <c r="AOA89" s="188"/>
      <c r="AOB89" s="187"/>
      <c r="AOD89" s="168"/>
      <c r="AOE89" s="189"/>
      <c r="AOH89" s="188"/>
      <c r="AOI89" s="187"/>
      <c r="AOO89" s="188"/>
      <c r="AOP89" s="187"/>
      <c r="AOV89" s="188"/>
      <c r="AOW89" s="187"/>
      <c r="APC89" s="188"/>
      <c r="APD89" s="187"/>
      <c r="API89" s="168"/>
      <c r="APJ89" s="191"/>
      <c r="APK89" s="187"/>
      <c r="APQ89" s="188"/>
      <c r="APR89" s="187"/>
      <c r="APX89" s="188"/>
      <c r="APY89" s="187"/>
      <c r="AQE89" s="188"/>
      <c r="AQF89" s="187"/>
      <c r="AQL89" s="188"/>
      <c r="AQM89" s="187"/>
      <c r="AQN89" s="168"/>
      <c r="AQO89" s="189"/>
      <c r="AQS89" s="188"/>
      <c r="AQT89" s="187"/>
      <c r="AQZ89" s="188"/>
      <c r="ARA89" s="187"/>
      <c r="ARG89" s="188"/>
      <c r="ARH89" s="187"/>
      <c r="ARN89" s="188"/>
      <c r="ARO89" s="187"/>
      <c r="ARP89" s="168"/>
      <c r="ARQ89" s="189"/>
      <c r="ARU89" s="188"/>
      <c r="ARV89" s="187"/>
      <c r="ASB89" s="188"/>
      <c r="ASC89" s="187"/>
      <c r="ASI89" s="188"/>
      <c r="ASJ89" s="187"/>
      <c r="ASP89" s="188"/>
      <c r="ASQ89" s="187"/>
      <c r="ASU89" s="168"/>
      <c r="ASV89" s="189"/>
      <c r="ASW89" s="188"/>
      <c r="ASX89" s="187"/>
      <c r="ATD89" s="188"/>
      <c r="ATE89" s="187"/>
      <c r="ATK89" s="188"/>
      <c r="ATL89" s="187"/>
      <c r="ATR89" s="188"/>
      <c r="ATS89" s="187"/>
      <c r="ATY89" s="168"/>
      <c r="ATZ89" s="189"/>
      <c r="AUF89" s="188"/>
      <c r="AUG89" s="187"/>
      <c r="AUM89" s="188"/>
      <c r="AUN89" s="187"/>
      <c r="AUT89" s="188"/>
      <c r="AUU89" s="187"/>
      <c r="AVA89" s="188"/>
      <c r="AVB89" s="187"/>
      <c r="AVD89" s="168"/>
      <c r="AVE89" s="189"/>
      <c r="AVH89" s="188"/>
      <c r="AVI89" s="187"/>
      <c r="AVO89" s="188"/>
      <c r="AVP89" s="187"/>
      <c r="AVV89" s="188"/>
      <c r="AVW89" s="187"/>
      <c r="AWC89" s="188"/>
      <c r="AWD89" s="187"/>
      <c r="AWH89" s="168"/>
      <c r="AWI89" s="189"/>
      <c r="AWJ89" s="188"/>
      <c r="AWK89" s="187"/>
      <c r="AWQ89" s="188"/>
      <c r="AWR89" s="187"/>
      <c r="AWX89" s="188"/>
      <c r="AWY89" s="187"/>
      <c r="AXE89" s="188"/>
      <c r="AXF89" s="187"/>
      <c r="AXL89" s="188"/>
      <c r="AXM89" s="190"/>
      <c r="AXN89" s="189"/>
      <c r="AXS89" s="188"/>
      <c r="AXT89" s="187"/>
      <c r="AXZ89" s="188"/>
      <c r="AYA89" s="187"/>
      <c r="AYG89" s="188"/>
      <c r="AYH89" s="187"/>
      <c r="AYN89" s="188"/>
      <c r="AYO89" s="187"/>
      <c r="AYR89" s="168"/>
      <c r="AYS89" s="189"/>
      <c r="AYU89" s="188"/>
      <c r="AYV89" s="187"/>
      <c r="AZB89" s="188"/>
      <c r="AZC89" s="187"/>
      <c r="AZI89" s="188"/>
      <c r="AZJ89" s="187"/>
      <c r="AZP89" s="188"/>
      <c r="AZQ89" s="187"/>
      <c r="AZV89" s="168"/>
      <c r="AZW89" s="191"/>
      <c r="AZX89" s="187"/>
      <c r="BAD89" s="188"/>
      <c r="BAE89" s="187"/>
      <c r="BAK89" s="188"/>
      <c r="BAL89" s="187"/>
      <c r="BAR89" s="188"/>
      <c r="BAS89" s="187"/>
      <c r="BAY89" s="188"/>
      <c r="BAZ89" s="187"/>
      <c r="BBA89" s="168"/>
      <c r="BBB89" s="189"/>
      <c r="BBF89" s="188"/>
      <c r="BBG89" s="187"/>
      <c r="BBM89" s="188"/>
      <c r="BBN89" s="187"/>
      <c r="BBT89" s="188"/>
      <c r="BBU89" s="187"/>
      <c r="BCA89" s="188"/>
      <c r="BCB89" s="187"/>
      <c r="BCE89" s="168"/>
      <c r="BCF89" s="189"/>
      <c r="BCH89" s="188"/>
      <c r="BCI89" s="187"/>
      <c r="BCO89" s="188"/>
      <c r="BCP89" s="187"/>
      <c r="BCV89" s="188"/>
      <c r="BCW89" s="187"/>
      <c r="BDC89" s="188"/>
      <c r="BDD89" s="187"/>
      <c r="BDJ89" s="168"/>
      <c r="BDK89" s="189"/>
      <c r="BDQ89" s="188"/>
      <c r="BDR89" s="187"/>
      <c r="BDX89" s="188"/>
      <c r="BDY89" s="187"/>
      <c r="BEE89" s="188"/>
      <c r="BEF89" s="187"/>
      <c r="BEL89" s="188"/>
      <c r="BEM89" s="187"/>
      <c r="BEO89" s="168"/>
      <c r="BEP89" s="189"/>
      <c r="BES89" s="188"/>
      <c r="BET89" s="187"/>
      <c r="BEZ89" s="188"/>
      <c r="BFA89" s="187"/>
      <c r="BFG89" s="188"/>
      <c r="BFH89" s="187"/>
      <c r="BFN89" s="188"/>
      <c r="BFO89" s="187"/>
      <c r="BFQ89" s="168"/>
      <c r="BFR89" s="189"/>
      <c r="BFU89" s="188"/>
      <c r="BFV89" s="187"/>
      <c r="BGB89" s="188"/>
      <c r="BGC89" s="187"/>
      <c r="BGI89" s="188"/>
      <c r="BGJ89" s="187"/>
      <c r="BGP89" s="188"/>
      <c r="BGQ89" s="187"/>
      <c r="BGV89" s="168"/>
      <c r="BGW89" s="191"/>
      <c r="BGX89" s="187"/>
      <c r="BHD89" s="188"/>
      <c r="BHE89" s="187"/>
      <c r="BHK89" s="188"/>
      <c r="BHL89" s="187"/>
      <c r="BHR89" s="188"/>
      <c r="BHS89" s="187"/>
      <c r="BHY89" s="188"/>
      <c r="BHZ89" s="190"/>
      <c r="BIA89" s="189"/>
      <c r="BIF89" s="188"/>
      <c r="BIG89" s="187"/>
      <c r="BIM89" s="188"/>
      <c r="BIN89" s="187"/>
      <c r="BIT89" s="188"/>
      <c r="BIU89" s="187"/>
      <c r="BJA89" s="188"/>
      <c r="BJB89" s="187"/>
      <c r="BJE89" s="168"/>
      <c r="BJF89" s="189"/>
      <c r="BJH89" s="188"/>
      <c r="BJI89" s="187"/>
      <c r="BJO89" s="188"/>
      <c r="BJP89" s="187"/>
      <c r="BJV89" s="188"/>
      <c r="BJW89" s="187"/>
      <c r="BKC89" s="188"/>
      <c r="BKD89" s="187"/>
      <c r="BKI89" s="168"/>
      <c r="BKJ89" s="191"/>
      <c r="BKK89" s="187"/>
      <c r="BKQ89" s="188"/>
      <c r="BKR89" s="187"/>
      <c r="BKX89" s="188"/>
      <c r="BKY89" s="187"/>
      <c r="BLE89" s="188"/>
      <c r="BLF89" s="187"/>
      <c r="BLL89" s="188"/>
      <c r="BLM89" s="187"/>
      <c r="BLN89" s="168"/>
      <c r="BLO89" s="189"/>
      <c r="BLS89" s="188"/>
      <c r="BLT89" s="187"/>
      <c r="BLZ89" s="188"/>
      <c r="BMA89" s="187"/>
      <c r="BMG89" s="188"/>
      <c r="BMH89" s="187"/>
      <c r="BMN89" s="188"/>
      <c r="BMO89" s="187"/>
      <c r="BMS89" s="168"/>
      <c r="BMT89" s="189"/>
      <c r="BMU89" s="188"/>
      <c r="BMV89" s="187"/>
      <c r="BNB89" s="188"/>
      <c r="BNC89" s="187"/>
      <c r="BNI89" s="188"/>
      <c r="BNJ89" s="187"/>
      <c r="BNP89" s="188"/>
      <c r="BNQ89" s="187"/>
      <c r="BNW89" s="168"/>
      <c r="BNX89" s="189"/>
      <c r="BOD89" s="188"/>
      <c r="BOE89" s="187"/>
      <c r="BOK89" s="188"/>
      <c r="BOL89" s="187"/>
      <c r="BOR89" s="188"/>
      <c r="BOS89" s="187"/>
      <c r="BOY89" s="188"/>
      <c r="BOZ89" s="187"/>
      <c r="BPB89" s="168"/>
      <c r="BPC89" s="189"/>
      <c r="BPF89" s="188"/>
      <c r="BPG89" s="187"/>
      <c r="BPM89" s="188"/>
      <c r="BPN89" s="187"/>
      <c r="BPT89" s="188"/>
      <c r="BPU89" s="187"/>
      <c r="BQA89" s="188"/>
      <c r="BQB89" s="187"/>
      <c r="BQF89" s="168"/>
      <c r="BQG89" s="189"/>
      <c r="BQH89" s="188"/>
      <c r="BQI89" s="187"/>
      <c r="BQO89" s="188"/>
      <c r="BQP89" s="187"/>
      <c r="BQV89" s="188"/>
      <c r="BQW89" s="187"/>
      <c r="BRC89" s="188"/>
      <c r="BRD89" s="187"/>
      <c r="BRJ89" s="188"/>
      <c r="BRK89" s="190"/>
      <c r="BRL89" s="189"/>
      <c r="BRQ89" s="188"/>
      <c r="BRR89" s="187"/>
      <c r="BRX89" s="188"/>
      <c r="BRY89" s="187"/>
      <c r="BSE89" s="188"/>
      <c r="BSF89" s="187"/>
      <c r="BSL89" s="188"/>
      <c r="BSM89" s="187"/>
      <c r="BSP89" s="168"/>
      <c r="BSQ89" s="189"/>
      <c r="BSS89" s="188"/>
      <c r="BST89" s="187"/>
      <c r="BSZ89" s="188"/>
      <c r="BTA89" s="187"/>
      <c r="BTG89" s="188"/>
      <c r="BTH89" s="187"/>
      <c r="BTN89" s="188"/>
      <c r="BTO89" s="187"/>
      <c r="BTS89" s="168"/>
      <c r="BTT89" s="189"/>
      <c r="BTU89" s="188"/>
      <c r="BTV89" s="187"/>
      <c r="BUB89" s="188"/>
      <c r="BUC89" s="187"/>
      <c r="BUI89" s="188"/>
      <c r="BUJ89" s="187"/>
      <c r="BUP89" s="188"/>
      <c r="BUQ89" s="187"/>
      <c r="BUW89" s="188"/>
      <c r="BUX89" s="190"/>
      <c r="BUY89" s="189"/>
      <c r="BVD89" s="188"/>
      <c r="BVE89" s="187"/>
      <c r="BVK89" s="188"/>
      <c r="BVL89" s="187"/>
      <c r="BVR89" s="188"/>
      <c r="BVS89" s="187"/>
      <c r="BVY89" s="188"/>
      <c r="BVZ89" s="187"/>
      <c r="BWB89" s="168"/>
      <c r="BWC89" s="189"/>
      <c r="BWF89" s="188"/>
      <c r="BWG89" s="187"/>
      <c r="BWM89" s="188"/>
      <c r="BWN89" s="187"/>
      <c r="BWT89" s="188"/>
      <c r="BWU89" s="187"/>
      <c r="BXA89" s="188"/>
      <c r="BXB89" s="187"/>
      <c r="BXG89" s="168"/>
      <c r="BXH89" s="191"/>
      <c r="BXI89" s="187"/>
      <c r="BXO89" s="188"/>
      <c r="BXP89" s="187"/>
      <c r="BXV89" s="188"/>
      <c r="BXW89" s="187"/>
      <c r="BYC89" s="188"/>
      <c r="BYD89" s="187"/>
      <c r="BYJ89" s="188"/>
      <c r="BYK89" s="190"/>
      <c r="BYL89" s="189"/>
      <c r="BYQ89" s="188"/>
      <c r="BYR89" s="187"/>
      <c r="BYX89" s="188"/>
      <c r="BYY89" s="187"/>
      <c r="BZE89" s="188"/>
      <c r="BZF89" s="187"/>
      <c r="BZL89" s="188"/>
      <c r="BZM89" s="187"/>
      <c r="BZP89" s="168"/>
      <c r="BZQ89" s="189"/>
      <c r="BZS89" s="188"/>
      <c r="BZT89" s="187"/>
      <c r="BZZ89" s="188"/>
      <c r="CAA89" s="187"/>
      <c r="CAG89" s="188"/>
      <c r="CAH89" s="187"/>
      <c r="CAN89" s="188"/>
      <c r="CAO89" s="187"/>
      <c r="CAU89" s="168"/>
      <c r="CAV89" s="189"/>
      <c r="CBB89" s="188"/>
      <c r="CBC89" s="187"/>
      <c r="CBI89" s="188"/>
      <c r="CBJ89" s="187"/>
      <c r="CBP89" s="188"/>
      <c r="CBQ89" s="187"/>
      <c r="CBW89" s="188"/>
      <c r="CBX89" s="187"/>
      <c r="CBY89" s="168"/>
      <c r="CBZ89" s="189"/>
      <c r="CCD89" s="188"/>
      <c r="CCE89" s="187"/>
      <c r="CCK89" s="188"/>
      <c r="CCL89" s="187"/>
      <c r="CCR89" s="188"/>
      <c r="CCS89" s="187"/>
      <c r="CCY89" s="188"/>
      <c r="CCZ89" s="187"/>
      <c r="CDD89" s="168"/>
      <c r="CDE89" s="189"/>
      <c r="CDF89" s="188"/>
      <c r="CDG89" s="187"/>
      <c r="CDM89" s="188"/>
      <c r="CDN89" s="187"/>
      <c r="CDT89" s="188"/>
      <c r="CDU89" s="187"/>
      <c r="CEA89" s="188"/>
      <c r="CEB89" s="187"/>
      <c r="CEH89" s="168"/>
      <c r="CEI89" s="189"/>
      <c r="CEO89" s="188"/>
      <c r="CEP89" s="187"/>
      <c r="CEV89" s="188"/>
      <c r="CEW89" s="187"/>
      <c r="CFC89" s="188"/>
      <c r="CFD89" s="187"/>
      <c r="CFJ89" s="188"/>
      <c r="CFK89" s="187"/>
    </row>
    <row r="90" spans="1:1019 1025:2048 2054:2195">
      <c r="D90" s="186"/>
      <c r="E90" s="186"/>
      <c r="K90" s="187"/>
      <c r="Q90" s="188"/>
      <c r="R90" s="187"/>
      <c r="X90" s="188"/>
      <c r="Y90" s="187"/>
      <c r="AE90" s="188"/>
      <c r="AF90" s="187"/>
      <c r="AJ90" s="168"/>
      <c r="AK90" s="189"/>
      <c r="AL90" s="188"/>
      <c r="AM90" s="187"/>
      <c r="AS90" s="188"/>
      <c r="AT90" s="187"/>
      <c r="AZ90" s="188"/>
      <c r="BA90" s="187"/>
      <c r="BG90" s="188"/>
      <c r="BH90" s="187"/>
      <c r="BL90" s="168"/>
      <c r="BM90" s="189"/>
      <c r="BN90" s="188"/>
      <c r="BO90" s="187"/>
      <c r="BU90" s="188"/>
      <c r="BV90" s="187"/>
      <c r="CB90" s="188"/>
      <c r="CC90" s="187"/>
      <c r="CI90" s="188"/>
      <c r="CJ90" s="187"/>
      <c r="CP90" s="188"/>
      <c r="CQ90" s="190"/>
      <c r="CR90" s="189"/>
      <c r="CW90" s="188"/>
      <c r="CX90" s="187"/>
      <c r="DD90" s="188"/>
      <c r="DE90" s="187"/>
      <c r="DK90" s="188"/>
      <c r="DL90" s="187"/>
      <c r="DR90" s="188"/>
      <c r="DS90" s="187"/>
      <c r="DU90" s="168"/>
      <c r="DV90" s="189"/>
      <c r="DY90" s="188"/>
      <c r="DZ90" s="187"/>
      <c r="EF90" s="188"/>
      <c r="EG90" s="187"/>
      <c r="EM90" s="188"/>
      <c r="EN90" s="187"/>
      <c r="ET90" s="188"/>
      <c r="EU90" s="187"/>
      <c r="EZ90" s="168"/>
      <c r="FA90" s="191"/>
      <c r="FB90" s="187"/>
      <c r="FH90" s="188"/>
      <c r="FI90" s="187"/>
      <c r="FO90" s="188"/>
      <c r="FP90" s="187"/>
      <c r="FV90" s="188"/>
      <c r="FW90" s="187"/>
      <c r="GC90" s="188"/>
      <c r="GD90" s="190"/>
      <c r="GE90" s="189"/>
      <c r="GJ90" s="188"/>
      <c r="GK90" s="187"/>
      <c r="GQ90" s="188"/>
      <c r="GR90" s="187"/>
      <c r="GX90" s="188"/>
      <c r="GY90" s="187"/>
      <c r="HE90" s="188"/>
      <c r="HF90" s="187"/>
      <c r="HI90" s="168"/>
      <c r="HJ90" s="189"/>
      <c r="HL90" s="188"/>
      <c r="HM90" s="187"/>
      <c r="HS90" s="188"/>
      <c r="HT90" s="187"/>
      <c r="HZ90" s="188"/>
      <c r="IA90" s="187"/>
      <c r="IG90" s="188"/>
      <c r="IH90" s="187"/>
      <c r="IN90" s="168"/>
      <c r="IO90" s="189"/>
      <c r="IU90" s="188"/>
      <c r="IV90" s="187"/>
      <c r="JB90" s="188"/>
      <c r="JC90" s="187"/>
      <c r="JI90" s="188"/>
      <c r="JJ90" s="187"/>
      <c r="JP90" s="188"/>
      <c r="JQ90" s="187"/>
      <c r="JR90" s="168"/>
      <c r="JS90" s="189"/>
      <c r="JW90" s="188"/>
      <c r="JX90" s="187"/>
      <c r="KD90" s="188"/>
      <c r="KE90" s="187"/>
      <c r="KK90" s="188"/>
      <c r="KL90" s="187"/>
      <c r="KR90" s="188"/>
      <c r="KS90" s="187"/>
      <c r="KW90" s="168"/>
      <c r="KX90" s="189"/>
      <c r="KY90" s="188"/>
      <c r="KZ90" s="187"/>
      <c r="LF90" s="188"/>
      <c r="LG90" s="187"/>
      <c r="LM90" s="188"/>
      <c r="LN90" s="187"/>
      <c r="LT90" s="188"/>
      <c r="LU90" s="187"/>
      <c r="MA90" s="168"/>
      <c r="MB90" s="189"/>
      <c r="MH90" s="188"/>
      <c r="MI90" s="187"/>
      <c r="MO90" s="188"/>
      <c r="MP90" s="187"/>
      <c r="MV90" s="188"/>
      <c r="MW90" s="187"/>
      <c r="NC90" s="188"/>
      <c r="ND90" s="187"/>
      <c r="NF90" s="168"/>
      <c r="NG90" s="189"/>
      <c r="NJ90" s="188"/>
      <c r="NK90" s="187"/>
      <c r="NQ90" s="188"/>
      <c r="NR90" s="187"/>
      <c r="NX90" s="188"/>
      <c r="NY90" s="187"/>
      <c r="OE90" s="188"/>
      <c r="OF90" s="187"/>
      <c r="OK90" s="168"/>
      <c r="OL90" s="191"/>
      <c r="OM90" s="187"/>
      <c r="OS90" s="188"/>
      <c r="OT90" s="187"/>
      <c r="OZ90" s="188"/>
      <c r="PA90" s="187"/>
      <c r="PG90" s="188"/>
      <c r="PH90" s="187"/>
      <c r="PN90" s="168"/>
      <c r="PO90" s="189"/>
      <c r="PU90" s="188"/>
      <c r="PV90" s="187"/>
      <c r="QB90" s="188"/>
      <c r="QC90" s="187"/>
      <c r="QI90" s="188"/>
      <c r="QJ90" s="187"/>
      <c r="QP90" s="188"/>
      <c r="QQ90" s="187"/>
      <c r="QS90" s="168"/>
      <c r="QT90" s="189"/>
      <c r="QW90" s="188"/>
      <c r="QX90" s="187"/>
      <c r="RD90" s="188"/>
      <c r="RE90" s="187"/>
      <c r="RK90" s="188"/>
      <c r="RL90" s="187"/>
      <c r="RR90" s="188"/>
      <c r="RS90" s="187"/>
      <c r="RW90" s="168"/>
      <c r="RX90" s="189"/>
      <c r="RY90" s="188"/>
      <c r="RZ90" s="187"/>
      <c r="SF90" s="188"/>
      <c r="SG90" s="187"/>
      <c r="SM90" s="188"/>
      <c r="SN90" s="187"/>
      <c r="ST90" s="188"/>
      <c r="SU90" s="187"/>
      <c r="TA90" s="188"/>
      <c r="TB90" s="190"/>
      <c r="TC90" s="189"/>
      <c r="TH90" s="188"/>
      <c r="TI90" s="187"/>
      <c r="TO90" s="188"/>
      <c r="TP90" s="187"/>
      <c r="TV90" s="188"/>
      <c r="TW90" s="187"/>
      <c r="UC90" s="188"/>
      <c r="UD90" s="187"/>
      <c r="UF90" s="168"/>
      <c r="UG90" s="189"/>
      <c r="UJ90" s="188"/>
      <c r="UK90" s="187"/>
      <c r="UQ90" s="188"/>
      <c r="UR90" s="187"/>
      <c r="UX90" s="188"/>
      <c r="UY90" s="187"/>
      <c r="VE90" s="188"/>
      <c r="VF90" s="187"/>
      <c r="VK90" s="168"/>
      <c r="VL90" s="191"/>
      <c r="VM90" s="187"/>
      <c r="VS90" s="188"/>
      <c r="VT90" s="187"/>
      <c r="VZ90" s="188"/>
      <c r="WA90" s="187"/>
      <c r="WG90" s="188"/>
      <c r="WH90" s="187"/>
      <c r="WN90" s="188"/>
      <c r="WO90" s="187"/>
      <c r="WP90" s="168"/>
      <c r="WQ90" s="189"/>
      <c r="WU90" s="188"/>
      <c r="WV90" s="187"/>
      <c r="XB90" s="188"/>
      <c r="XC90" s="187"/>
      <c r="XI90" s="188"/>
      <c r="XJ90" s="187"/>
      <c r="XP90" s="188"/>
      <c r="XQ90" s="187"/>
      <c r="XT90" s="168"/>
      <c r="XU90" s="189"/>
      <c r="XW90" s="188"/>
      <c r="XX90" s="187"/>
      <c r="YD90" s="188"/>
      <c r="YE90" s="187"/>
      <c r="YK90" s="188"/>
      <c r="YL90" s="187"/>
      <c r="YR90" s="188"/>
      <c r="YS90" s="187"/>
      <c r="YY90" s="168"/>
      <c r="YZ90" s="189"/>
      <c r="ZF90" s="188"/>
      <c r="ZG90" s="187"/>
      <c r="ZM90" s="188"/>
      <c r="ZN90" s="187"/>
      <c r="ZT90" s="188"/>
      <c r="ZU90" s="187"/>
      <c r="AAA90" s="188"/>
      <c r="AAB90" s="187"/>
      <c r="AAC90" s="168"/>
      <c r="AAD90" s="189"/>
      <c r="AAH90" s="188"/>
      <c r="AAI90" s="187"/>
      <c r="AAO90" s="188"/>
      <c r="AAP90" s="187"/>
      <c r="AAV90" s="188"/>
      <c r="AAW90" s="187"/>
      <c r="ABC90" s="188"/>
      <c r="ABD90" s="187"/>
      <c r="ABH90" s="168"/>
      <c r="ABI90" s="189"/>
      <c r="ABJ90" s="188"/>
      <c r="ABK90" s="187"/>
      <c r="ABQ90" s="188"/>
      <c r="ABR90" s="187"/>
      <c r="ABX90" s="188"/>
      <c r="ABY90" s="187"/>
      <c r="ACE90" s="188"/>
      <c r="ACF90" s="187"/>
      <c r="ACL90" s="188"/>
      <c r="ACM90" s="190"/>
      <c r="ACN90" s="189"/>
      <c r="ACS90" s="188"/>
      <c r="ACT90" s="187"/>
      <c r="ACZ90" s="188"/>
      <c r="ADA90" s="187"/>
      <c r="ADG90" s="188"/>
      <c r="ADH90" s="187"/>
      <c r="ADN90" s="188"/>
      <c r="ADO90" s="190"/>
      <c r="ADP90" s="189"/>
      <c r="ADU90" s="188"/>
      <c r="ADV90" s="187"/>
      <c r="AEB90" s="188"/>
      <c r="AEC90" s="187"/>
      <c r="AEI90" s="188"/>
      <c r="AEJ90" s="187"/>
      <c r="AEP90" s="188"/>
      <c r="AEQ90" s="187"/>
      <c r="AET90" s="168"/>
      <c r="AEU90" s="189"/>
      <c r="AEW90" s="188"/>
      <c r="AEX90" s="187"/>
      <c r="AFD90" s="188"/>
      <c r="AFE90" s="187"/>
      <c r="AFK90" s="188"/>
      <c r="AFL90" s="187"/>
      <c r="AFR90" s="188"/>
      <c r="AFS90" s="187"/>
      <c r="AFX90" s="168"/>
      <c r="AFY90" s="191"/>
      <c r="AFZ90" s="187"/>
      <c r="AGF90" s="188"/>
      <c r="AGG90" s="187"/>
      <c r="AGM90" s="188"/>
      <c r="AGN90" s="187"/>
      <c r="AGT90" s="188"/>
      <c r="AGU90" s="187"/>
      <c r="AHA90" s="188"/>
      <c r="AHB90" s="187"/>
      <c r="AHC90" s="168"/>
      <c r="AHD90" s="189"/>
      <c r="AHH90" s="188"/>
      <c r="AHI90" s="187"/>
      <c r="AHO90" s="188"/>
      <c r="AHP90" s="187"/>
      <c r="AHV90" s="188"/>
      <c r="AHW90" s="187"/>
      <c r="AIC90" s="188"/>
      <c r="AID90" s="187"/>
      <c r="AIG90" s="168"/>
      <c r="AIH90" s="189"/>
      <c r="AIJ90" s="188"/>
      <c r="AIK90" s="187"/>
      <c r="AIQ90" s="188"/>
      <c r="AIR90" s="187"/>
      <c r="AIX90" s="188"/>
      <c r="AIY90" s="187"/>
      <c r="AJE90" s="188"/>
      <c r="AJF90" s="187"/>
      <c r="AJL90" s="168"/>
      <c r="AJM90" s="189"/>
      <c r="AJS90" s="188"/>
      <c r="AJT90" s="187"/>
      <c r="AJZ90" s="188"/>
      <c r="AKA90" s="187"/>
      <c r="AKG90" s="188"/>
      <c r="AKH90" s="187"/>
      <c r="AKN90" s="188"/>
      <c r="AKO90" s="187"/>
      <c r="AKQ90" s="168"/>
      <c r="AKR90" s="189"/>
      <c r="AKU90" s="188"/>
      <c r="AKV90" s="187"/>
      <c r="ALB90" s="188"/>
      <c r="ALC90" s="187"/>
      <c r="ALI90" s="188"/>
      <c r="ALJ90" s="187"/>
      <c r="ALP90" s="188"/>
      <c r="ALQ90" s="187"/>
      <c r="ALU90" s="168"/>
      <c r="ALV90" s="189"/>
      <c r="ALW90" s="188"/>
      <c r="ALX90" s="187"/>
      <c r="AMD90" s="188"/>
      <c r="AME90" s="187"/>
      <c r="AMK90" s="188"/>
      <c r="AML90" s="187"/>
      <c r="AMR90" s="188"/>
      <c r="AMS90" s="187"/>
      <c r="AMY90" s="188"/>
      <c r="AMZ90" s="190"/>
      <c r="ANA90" s="189"/>
      <c r="ANF90" s="188"/>
      <c r="ANG90" s="187"/>
      <c r="ANM90" s="188"/>
      <c r="ANN90" s="187"/>
      <c r="ANT90" s="188"/>
      <c r="ANU90" s="187"/>
      <c r="AOA90" s="188"/>
      <c r="AOB90" s="187"/>
      <c r="AOD90" s="168"/>
      <c r="AOE90" s="189"/>
      <c r="AOH90" s="188"/>
      <c r="AOI90" s="187"/>
      <c r="AOO90" s="188"/>
      <c r="AOP90" s="187"/>
      <c r="AOV90" s="188"/>
      <c r="AOW90" s="187"/>
      <c r="APC90" s="188"/>
      <c r="APD90" s="187"/>
      <c r="API90" s="168"/>
      <c r="APJ90" s="191"/>
      <c r="APK90" s="187"/>
      <c r="APQ90" s="188"/>
      <c r="APR90" s="187"/>
      <c r="APX90" s="188"/>
      <c r="APY90" s="187"/>
      <c r="AQE90" s="188"/>
      <c r="AQF90" s="187"/>
      <c r="AQL90" s="188"/>
      <c r="AQM90" s="187"/>
      <c r="AQN90" s="168"/>
      <c r="AQO90" s="189"/>
      <c r="AQS90" s="188"/>
      <c r="AQT90" s="187"/>
      <c r="AQZ90" s="188"/>
      <c r="ARA90" s="187"/>
      <c r="ARG90" s="188"/>
      <c r="ARH90" s="187"/>
      <c r="ARN90" s="188"/>
      <c r="ARO90" s="187"/>
      <c r="ARP90" s="168"/>
      <c r="ARQ90" s="189"/>
      <c r="ARU90" s="188"/>
      <c r="ARV90" s="187"/>
      <c r="ASB90" s="188"/>
      <c r="ASC90" s="187"/>
      <c r="ASI90" s="188"/>
      <c r="ASJ90" s="187"/>
      <c r="ASP90" s="188"/>
      <c r="ASQ90" s="187"/>
      <c r="ASU90" s="168"/>
      <c r="ASV90" s="189"/>
      <c r="ASW90" s="188"/>
      <c r="ASX90" s="187"/>
      <c r="ATD90" s="188"/>
      <c r="ATE90" s="187"/>
      <c r="ATK90" s="188"/>
      <c r="ATL90" s="187"/>
      <c r="ATR90" s="188"/>
      <c r="ATS90" s="187"/>
      <c r="ATY90" s="168"/>
      <c r="ATZ90" s="189"/>
      <c r="AUF90" s="188"/>
      <c r="AUG90" s="187"/>
      <c r="AUM90" s="188"/>
      <c r="AUN90" s="187"/>
      <c r="AUT90" s="188"/>
      <c r="AUU90" s="187"/>
      <c r="AVA90" s="188"/>
      <c r="AVB90" s="187"/>
      <c r="AVD90" s="168"/>
      <c r="AVE90" s="189"/>
      <c r="AVH90" s="188"/>
      <c r="AVI90" s="187"/>
      <c r="AVO90" s="188"/>
      <c r="AVP90" s="187"/>
      <c r="AVV90" s="188"/>
      <c r="AVW90" s="187"/>
      <c r="AWC90" s="188"/>
      <c r="AWD90" s="187"/>
      <c r="AWH90" s="168"/>
      <c r="AWI90" s="189"/>
      <c r="AWJ90" s="188"/>
      <c r="AWK90" s="187"/>
      <c r="AWQ90" s="188"/>
      <c r="AWR90" s="187"/>
      <c r="AWX90" s="188"/>
      <c r="AWY90" s="187"/>
      <c r="AXE90" s="188"/>
      <c r="AXF90" s="187"/>
      <c r="AXL90" s="188"/>
      <c r="AXM90" s="190"/>
      <c r="AXN90" s="189"/>
      <c r="AXS90" s="188"/>
      <c r="AXT90" s="187"/>
      <c r="AXZ90" s="188"/>
      <c r="AYA90" s="187"/>
      <c r="AYG90" s="188"/>
      <c r="AYH90" s="187"/>
      <c r="AYN90" s="188"/>
      <c r="AYO90" s="187"/>
      <c r="AYR90" s="168"/>
      <c r="AYS90" s="189"/>
      <c r="AYU90" s="188"/>
      <c r="AYV90" s="187"/>
      <c r="AZB90" s="188"/>
      <c r="AZC90" s="187"/>
      <c r="AZI90" s="188"/>
      <c r="AZJ90" s="187"/>
      <c r="AZP90" s="188"/>
      <c r="AZQ90" s="187"/>
      <c r="AZV90" s="168"/>
      <c r="AZW90" s="191"/>
      <c r="AZX90" s="187"/>
      <c r="BAD90" s="188"/>
      <c r="BAE90" s="187"/>
      <c r="BAK90" s="188"/>
      <c r="BAL90" s="187"/>
      <c r="BAR90" s="188"/>
      <c r="BAS90" s="187"/>
      <c r="BAY90" s="188"/>
      <c r="BAZ90" s="187"/>
      <c r="BBA90" s="168"/>
      <c r="BBB90" s="189"/>
      <c r="BBF90" s="188"/>
      <c r="BBG90" s="187"/>
      <c r="BBM90" s="188"/>
      <c r="BBN90" s="187"/>
      <c r="BBT90" s="188"/>
      <c r="BBU90" s="187"/>
      <c r="BCA90" s="188"/>
      <c r="BCB90" s="187"/>
      <c r="BCE90" s="168"/>
      <c r="BCF90" s="189"/>
      <c r="BCH90" s="188"/>
      <c r="BCI90" s="187"/>
      <c r="BCO90" s="188"/>
      <c r="BCP90" s="187"/>
      <c r="BCV90" s="188"/>
      <c r="BCW90" s="187"/>
      <c r="BDC90" s="188"/>
      <c r="BDD90" s="187"/>
      <c r="BDJ90" s="168"/>
      <c r="BDK90" s="189"/>
      <c r="BDQ90" s="188"/>
      <c r="BDR90" s="187"/>
      <c r="BDX90" s="188"/>
      <c r="BDY90" s="187"/>
      <c r="BEE90" s="188"/>
      <c r="BEF90" s="187"/>
      <c r="BEL90" s="188"/>
      <c r="BEM90" s="187"/>
      <c r="BEO90" s="168"/>
      <c r="BEP90" s="189"/>
      <c r="BES90" s="188"/>
      <c r="BET90" s="187"/>
      <c r="BEZ90" s="188"/>
      <c r="BFA90" s="187"/>
      <c r="BFG90" s="188"/>
      <c r="BFH90" s="187"/>
      <c r="BFN90" s="188"/>
      <c r="BFO90" s="187"/>
      <c r="BFQ90" s="168"/>
      <c r="BFR90" s="189"/>
      <c r="BFU90" s="188"/>
      <c r="BFV90" s="187"/>
      <c r="BGB90" s="188"/>
      <c r="BGC90" s="187"/>
      <c r="BGI90" s="188"/>
      <c r="BGJ90" s="187"/>
      <c r="BGP90" s="188"/>
      <c r="BGQ90" s="187"/>
      <c r="BGV90" s="168"/>
      <c r="BGW90" s="191"/>
      <c r="BGX90" s="187"/>
      <c r="BHD90" s="188"/>
      <c r="BHE90" s="187"/>
      <c r="BHK90" s="188"/>
      <c r="BHL90" s="187"/>
      <c r="BHR90" s="188"/>
      <c r="BHS90" s="187"/>
      <c r="BHY90" s="188"/>
      <c r="BHZ90" s="190"/>
      <c r="BIA90" s="189"/>
      <c r="BIF90" s="188"/>
      <c r="BIG90" s="187"/>
      <c r="BIM90" s="188"/>
      <c r="BIN90" s="187"/>
      <c r="BIT90" s="188"/>
      <c r="BIU90" s="187"/>
      <c r="BJA90" s="188"/>
      <c r="BJB90" s="187"/>
      <c r="BJE90" s="168"/>
      <c r="BJF90" s="189"/>
      <c r="BJH90" s="188"/>
      <c r="BJI90" s="187"/>
      <c r="BJO90" s="188"/>
      <c r="BJP90" s="187"/>
      <c r="BJV90" s="188"/>
      <c r="BJW90" s="187"/>
      <c r="BKC90" s="188"/>
      <c r="BKD90" s="187"/>
      <c r="BKI90" s="168"/>
      <c r="BKJ90" s="191"/>
      <c r="BKK90" s="187"/>
      <c r="BKQ90" s="188"/>
      <c r="BKR90" s="187"/>
      <c r="BKX90" s="188"/>
      <c r="BKY90" s="187"/>
      <c r="BLE90" s="188"/>
      <c r="BLF90" s="187"/>
      <c r="BLL90" s="188"/>
      <c r="BLM90" s="187"/>
      <c r="BLN90" s="168"/>
      <c r="BLO90" s="189"/>
      <c r="BLS90" s="188"/>
      <c r="BLT90" s="187"/>
      <c r="BLZ90" s="188"/>
      <c r="BMA90" s="187"/>
      <c r="BMG90" s="188"/>
      <c r="BMH90" s="187"/>
      <c r="BMN90" s="188"/>
      <c r="BMO90" s="187"/>
      <c r="BMS90" s="168"/>
      <c r="BMT90" s="189"/>
      <c r="BMU90" s="188"/>
      <c r="BMV90" s="187"/>
      <c r="BNB90" s="188"/>
      <c r="BNC90" s="187"/>
      <c r="BNI90" s="188"/>
      <c r="BNJ90" s="187"/>
      <c r="BNP90" s="188"/>
      <c r="BNQ90" s="187"/>
      <c r="BNW90" s="168"/>
      <c r="BNX90" s="189"/>
      <c r="BOD90" s="188"/>
      <c r="BOE90" s="187"/>
      <c r="BOK90" s="188"/>
      <c r="BOL90" s="187"/>
      <c r="BOR90" s="188"/>
      <c r="BOS90" s="187"/>
      <c r="BOY90" s="188"/>
      <c r="BOZ90" s="187"/>
      <c r="BPB90" s="168"/>
      <c r="BPC90" s="189"/>
      <c r="BPF90" s="188"/>
      <c r="BPG90" s="187"/>
      <c r="BPM90" s="188"/>
      <c r="BPN90" s="187"/>
      <c r="BPT90" s="188"/>
      <c r="BPU90" s="187"/>
      <c r="BQA90" s="188"/>
      <c r="BQB90" s="187"/>
      <c r="BQF90" s="168"/>
      <c r="BQG90" s="189"/>
      <c r="BQH90" s="188"/>
      <c r="BQI90" s="187"/>
      <c r="BQO90" s="188"/>
      <c r="BQP90" s="187"/>
      <c r="BQV90" s="188"/>
      <c r="BQW90" s="187"/>
      <c r="BRC90" s="188"/>
      <c r="BRD90" s="187"/>
      <c r="BRJ90" s="188"/>
      <c r="BRK90" s="190"/>
      <c r="BRL90" s="189"/>
      <c r="BRQ90" s="188"/>
      <c r="BRR90" s="187"/>
      <c r="BRX90" s="188"/>
      <c r="BRY90" s="187"/>
      <c r="BSE90" s="188"/>
      <c r="BSF90" s="187"/>
      <c r="BSL90" s="188"/>
      <c r="BSM90" s="187"/>
      <c r="BSP90" s="168"/>
      <c r="BSQ90" s="189"/>
      <c r="BSS90" s="188"/>
      <c r="BST90" s="187"/>
      <c r="BSZ90" s="188"/>
      <c r="BTA90" s="187"/>
      <c r="BTG90" s="188"/>
      <c r="BTH90" s="187"/>
      <c r="BTN90" s="188"/>
      <c r="BTO90" s="187"/>
      <c r="BTS90" s="168"/>
      <c r="BTT90" s="189"/>
      <c r="BTU90" s="188"/>
      <c r="BTV90" s="187"/>
      <c r="BUB90" s="188"/>
      <c r="BUC90" s="187"/>
      <c r="BUI90" s="188"/>
      <c r="BUJ90" s="187"/>
      <c r="BUP90" s="188"/>
      <c r="BUQ90" s="187"/>
      <c r="BUW90" s="188"/>
      <c r="BUX90" s="190"/>
      <c r="BUY90" s="189"/>
      <c r="BVD90" s="188"/>
      <c r="BVE90" s="187"/>
      <c r="BVK90" s="188"/>
      <c r="BVL90" s="187"/>
      <c r="BVR90" s="188"/>
      <c r="BVS90" s="187"/>
      <c r="BVY90" s="188"/>
      <c r="BVZ90" s="187"/>
      <c r="BWB90" s="168"/>
      <c r="BWC90" s="189"/>
      <c r="BWF90" s="188"/>
      <c r="BWG90" s="187"/>
      <c r="BWM90" s="188"/>
      <c r="BWN90" s="187"/>
      <c r="BWT90" s="188"/>
      <c r="BWU90" s="187"/>
      <c r="BXA90" s="188"/>
      <c r="BXB90" s="187"/>
      <c r="BXG90" s="168"/>
      <c r="BXH90" s="191"/>
      <c r="BXI90" s="187"/>
      <c r="BXO90" s="188"/>
      <c r="BXP90" s="187"/>
      <c r="BXV90" s="188"/>
      <c r="BXW90" s="187"/>
      <c r="BYC90" s="188"/>
      <c r="BYD90" s="187"/>
      <c r="BYJ90" s="188"/>
      <c r="BYK90" s="190"/>
      <c r="BYL90" s="189"/>
      <c r="BYQ90" s="188"/>
      <c r="BYR90" s="187"/>
      <c r="BYX90" s="188"/>
      <c r="BYY90" s="187"/>
      <c r="BZE90" s="188"/>
      <c r="BZF90" s="187"/>
      <c r="BZL90" s="188"/>
      <c r="BZM90" s="187"/>
      <c r="BZP90" s="168"/>
      <c r="BZQ90" s="189"/>
      <c r="BZS90" s="188"/>
      <c r="BZT90" s="187"/>
      <c r="BZZ90" s="188"/>
      <c r="CAA90" s="187"/>
      <c r="CAG90" s="188"/>
      <c r="CAH90" s="187"/>
      <c r="CAN90" s="188"/>
      <c r="CAO90" s="187"/>
      <c r="CAU90" s="168"/>
      <c r="CAV90" s="189"/>
      <c r="CBB90" s="188"/>
      <c r="CBC90" s="187"/>
      <c r="CBI90" s="188"/>
      <c r="CBJ90" s="187"/>
      <c r="CBP90" s="188"/>
      <c r="CBQ90" s="187"/>
      <c r="CBW90" s="188"/>
      <c r="CBX90" s="187"/>
      <c r="CBY90" s="168"/>
      <c r="CBZ90" s="189"/>
      <c r="CCD90" s="188"/>
      <c r="CCE90" s="187"/>
      <c r="CCK90" s="188"/>
      <c r="CCL90" s="187"/>
      <c r="CCR90" s="188"/>
      <c r="CCS90" s="187"/>
      <c r="CCY90" s="188"/>
      <c r="CCZ90" s="187"/>
      <c r="CDD90" s="168"/>
      <c r="CDE90" s="189"/>
      <c r="CDF90" s="188"/>
      <c r="CDG90" s="187"/>
      <c r="CDM90" s="188"/>
      <c r="CDN90" s="187"/>
      <c r="CDT90" s="188"/>
      <c r="CDU90" s="187"/>
      <c r="CEA90" s="188"/>
      <c r="CEB90" s="187"/>
      <c r="CEH90" s="168"/>
      <c r="CEI90" s="189"/>
      <c r="CEO90" s="188"/>
      <c r="CEP90" s="187"/>
      <c r="CEV90" s="188"/>
      <c r="CEW90" s="187"/>
      <c r="CFC90" s="188"/>
      <c r="CFD90" s="187"/>
      <c r="CFJ90" s="188"/>
      <c r="CFK90" s="187"/>
    </row>
    <row r="91" spans="1:1019 1025:2048 2054:2195">
      <c r="A91" s="164" t="s">
        <v>359</v>
      </c>
      <c r="C91" s="164" t="s">
        <v>360</v>
      </c>
      <c r="D91" s="186">
        <v>44656</v>
      </c>
      <c r="E91" s="186">
        <v>44674</v>
      </c>
      <c r="K91" s="187"/>
      <c r="Q91" s="188"/>
      <c r="R91" s="187"/>
      <c r="X91" s="188"/>
      <c r="Y91" s="187"/>
      <c r="AE91" s="188"/>
      <c r="AF91" s="187"/>
      <c r="AJ91" s="168"/>
      <c r="AK91" s="189"/>
      <c r="AL91" s="188"/>
      <c r="AM91" s="187"/>
      <c r="AS91" s="188"/>
      <c r="AT91" s="187"/>
      <c r="AZ91" s="188"/>
      <c r="BA91" s="187"/>
      <c r="BG91" s="188"/>
      <c r="BH91" s="187"/>
      <c r="BL91" s="168"/>
      <c r="BM91" s="189"/>
      <c r="BN91" s="188"/>
      <c r="BO91" s="187"/>
      <c r="BU91" s="188"/>
      <c r="BV91" s="187"/>
      <c r="CB91" s="188"/>
      <c r="CC91" s="187"/>
      <c r="CI91" s="188"/>
      <c r="CJ91" s="187"/>
      <c r="CP91" s="188"/>
      <c r="CQ91" s="190"/>
      <c r="CR91" s="189"/>
      <c r="CW91" s="188"/>
      <c r="CX91" s="187"/>
      <c r="DD91" s="188"/>
      <c r="DE91" s="187"/>
      <c r="DK91" s="188"/>
      <c r="DL91" s="187"/>
      <c r="DR91" s="188"/>
      <c r="DS91" s="187"/>
      <c r="DU91" s="168"/>
      <c r="DV91" s="189"/>
      <c r="DY91" s="188"/>
      <c r="DZ91" s="187"/>
      <c r="EF91" s="188"/>
      <c r="EG91" s="187"/>
      <c r="EM91" s="188"/>
      <c r="EN91" s="187"/>
      <c r="ET91" s="188"/>
      <c r="EU91" s="187"/>
      <c r="EZ91" s="168"/>
      <c r="FA91" s="191"/>
      <c r="FB91" s="187"/>
      <c r="FH91" s="188"/>
      <c r="FI91" s="187"/>
      <c r="FO91" s="188"/>
      <c r="FP91" s="187"/>
      <c r="FV91" s="188"/>
      <c r="FW91" s="187"/>
      <c r="GC91" s="188"/>
      <c r="GD91" s="190"/>
      <c r="GE91" s="189"/>
      <c r="GJ91" s="188"/>
      <c r="GK91" s="187"/>
      <c r="GQ91" s="188"/>
      <c r="GR91" s="187"/>
      <c r="GX91" s="188"/>
      <c r="GY91" s="187"/>
      <c r="HE91" s="188"/>
      <c r="HF91" s="187"/>
      <c r="HI91" s="168"/>
      <c r="HJ91" s="189"/>
      <c r="HL91" s="188"/>
      <c r="HM91" s="187"/>
      <c r="HS91" s="188"/>
      <c r="HT91" s="187"/>
      <c r="HZ91" s="188"/>
      <c r="IA91" s="187"/>
      <c r="IG91" s="188"/>
      <c r="IH91" s="187"/>
      <c r="IN91" s="168"/>
      <c r="IO91" s="189"/>
      <c r="IU91" s="188"/>
      <c r="IV91" s="187"/>
      <c r="JB91" s="188"/>
      <c r="JC91" s="187"/>
      <c r="JI91" s="188"/>
      <c r="JJ91" s="187"/>
      <c r="JP91" s="188"/>
      <c r="JQ91" s="187"/>
      <c r="JR91" s="168"/>
      <c r="JS91" s="189"/>
      <c r="JW91" s="188"/>
      <c r="JX91" s="187"/>
      <c r="KD91" s="188"/>
      <c r="KE91" s="187"/>
      <c r="KK91" s="188"/>
      <c r="KL91" s="187"/>
      <c r="KR91" s="188"/>
      <c r="KS91" s="187"/>
      <c r="KW91" s="168"/>
      <c r="KX91" s="189"/>
      <c r="KY91" s="188"/>
      <c r="KZ91" s="187"/>
      <c r="LF91" s="188"/>
      <c r="LG91" s="187"/>
      <c r="LM91" s="188"/>
      <c r="LN91" s="187"/>
      <c r="LT91" s="188"/>
      <c r="LU91" s="187"/>
      <c r="MA91" s="168"/>
      <c r="MB91" s="189"/>
      <c r="MH91" s="188"/>
      <c r="MI91" s="187"/>
      <c r="MO91" s="188"/>
      <c r="MP91" s="187"/>
      <c r="MV91" s="188"/>
      <c r="MW91" s="187"/>
      <c r="NC91" s="188"/>
      <c r="ND91" s="187"/>
      <c r="NF91" s="168"/>
      <c r="NG91" s="189"/>
      <c r="NJ91" s="188"/>
      <c r="NK91" s="187"/>
      <c r="NQ91" s="188"/>
      <c r="NR91" s="187"/>
      <c r="NX91" s="188"/>
      <c r="NY91" s="187"/>
      <c r="OE91" s="188"/>
      <c r="OF91" s="187"/>
      <c r="OK91" s="168"/>
      <c r="OL91" s="191"/>
      <c r="OM91" s="187"/>
      <c r="OS91" s="188"/>
      <c r="OT91" s="187"/>
      <c r="OZ91" s="188"/>
      <c r="PA91" s="187"/>
      <c r="PG91" s="188"/>
      <c r="PH91" s="187"/>
      <c r="PN91" s="168"/>
      <c r="PO91" s="189"/>
      <c r="PU91" s="188"/>
      <c r="PV91" s="187"/>
      <c r="QB91" s="188"/>
      <c r="QC91" s="187"/>
      <c r="QI91" s="188"/>
      <c r="QJ91" s="187"/>
      <c r="QP91" s="188"/>
      <c r="QQ91" s="187"/>
      <c r="QS91" s="168"/>
      <c r="QT91" s="189"/>
      <c r="QW91" s="188"/>
      <c r="QX91" s="187"/>
      <c r="RD91" s="188"/>
      <c r="RE91" s="187"/>
      <c r="RK91" s="188"/>
      <c r="RL91" s="187"/>
      <c r="RR91" s="188"/>
      <c r="RS91" s="187"/>
      <c r="RW91" s="168"/>
      <c r="RX91" s="189"/>
      <c r="RY91" s="188"/>
      <c r="RZ91" s="187"/>
      <c r="SF91" s="188"/>
      <c r="SG91" s="187"/>
      <c r="SM91" s="188"/>
      <c r="SN91" s="187"/>
      <c r="ST91" s="188"/>
      <c r="SU91" s="187"/>
      <c r="TA91" s="188"/>
      <c r="TB91" s="190"/>
      <c r="TC91" s="189"/>
      <c r="TH91" s="188"/>
      <c r="TI91" s="187"/>
      <c r="TO91" s="188"/>
      <c r="TP91" s="187"/>
      <c r="TV91" s="188"/>
      <c r="TW91" s="187"/>
      <c r="UC91" s="188"/>
      <c r="UD91" s="187"/>
      <c r="UF91" s="168"/>
      <c r="UG91" s="189"/>
      <c r="UJ91" s="188"/>
      <c r="UK91" s="187"/>
      <c r="UQ91" s="188"/>
      <c r="UR91" s="187"/>
      <c r="UX91" s="188"/>
      <c r="UY91" s="187"/>
      <c r="VE91" s="188"/>
      <c r="VF91" s="187"/>
      <c r="VK91" s="168"/>
      <c r="VL91" s="191"/>
      <c r="VM91" s="187"/>
      <c r="VS91" s="188"/>
      <c r="VT91" s="187"/>
      <c r="VZ91" s="188"/>
      <c r="WA91" s="187"/>
      <c r="WG91" s="188"/>
      <c r="WH91" s="187"/>
      <c r="WN91" s="188"/>
      <c r="WO91" s="187"/>
      <c r="WP91" s="168"/>
      <c r="WQ91" s="189"/>
      <c r="WU91" s="188"/>
      <c r="WV91" s="187"/>
      <c r="XB91" s="188"/>
      <c r="XC91" s="187"/>
      <c r="XI91" s="188"/>
      <c r="XJ91" s="187"/>
      <c r="XP91" s="188"/>
      <c r="XQ91" s="187"/>
      <c r="XT91" s="168"/>
      <c r="XU91" s="189"/>
      <c r="XW91" s="188"/>
      <c r="XX91" s="187"/>
      <c r="YD91" s="188"/>
      <c r="YE91" s="187"/>
      <c r="YK91" s="188"/>
      <c r="YL91" s="187"/>
      <c r="YR91" s="188"/>
      <c r="YS91" s="187"/>
      <c r="YY91" s="168"/>
      <c r="YZ91" s="189"/>
      <c r="ZF91" s="188"/>
      <c r="ZG91" s="187"/>
      <c r="ZM91" s="188"/>
      <c r="ZN91" s="187"/>
      <c r="ZT91" s="188"/>
      <c r="ZU91" s="187"/>
      <c r="AAA91" s="188"/>
      <c r="AAB91" s="187"/>
      <c r="AAC91" s="168"/>
      <c r="AAD91" s="189"/>
      <c r="AAH91" s="188"/>
      <c r="AAI91" s="187"/>
      <c r="AAO91" s="188"/>
      <c r="AAP91" s="187"/>
      <c r="AAV91" s="188"/>
      <c r="AAW91" s="187"/>
      <c r="ABC91" s="188"/>
      <c r="ABD91" s="187"/>
      <c r="ABH91" s="168"/>
      <c r="ABI91" s="189"/>
      <c r="ABJ91" s="188"/>
      <c r="ABK91" s="187"/>
      <c r="ABQ91" s="188"/>
      <c r="ABR91" s="187"/>
      <c r="ABX91" s="188"/>
      <c r="ABY91" s="187"/>
      <c r="ACE91" s="188"/>
      <c r="ACF91" s="187"/>
      <c r="ACL91" s="188"/>
      <c r="ACM91" s="190"/>
      <c r="ACN91" s="189"/>
      <c r="ACS91" s="188"/>
      <c r="ACT91" s="187"/>
      <c r="ACZ91" s="188"/>
      <c r="ADA91" s="187"/>
      <c r="ADG91" s="188"/>
      <c r="ADH91" s="187"/>
      <c r="ADN91" s="188"/>
      <c r="ADO91" s="190"/>
      <c r="ADP91" s="189"/>
      <c r="ADU91" s="188"/>
      <c r="ADV91" s="187"/>
      <c r="AEB91" s="188"/>
      <c r="AEC91" s="187"/>
      <c r="AEI91" s="188"/>
      <c r="AEJ91" s="187"/>
      <c r="AEP91" s="188"/>
      <c r="AEQ91" s="187"/>
      <c r="AET91" s="168"/>
      <c r="AEU91" s="189"/>
      <c r="AEW91" s="188"/>
      <c r="AEX91" s="187"/>
      <c r="AFD91" s="188"/>
      <c r="AFE91" s="187"/>
      <c r="AFK91" s="188"/>
      <c r="AFL91" s="187"/>
      <c r="AFR91" s="188"/>
      <c r="AFS91" s="187"/>
      <c r="AFX91" s="168"/>
      <c r="AFY91" s="191"/>
      <c r="AFZ91" s="187"/>
      <c r="AGF91" s="188"/>
      <c r="AGG91" s="187"/>
      <c r="AGM91" s="188"/>
      <c r="AGN91" s="187"/>
      <c r="AGT91" s="188"/>
      <c r="AGU91" s="187"/>
      <c r="AHA91" s="188"/>
      <c r="AHB91" s="187"/>
      <c r="AHC91" s="168"/>
      <c r="AHD91" s="189"/>
      <c r="AHH91" s="188"/>
      <c r="AHI91" s="187"/>
      <c r="AHO91" s="188"/>
      <c r="AHP91" s="187"/>
      <c r="AHV91" s="188"/>
      <c r="AHW91" s="187"/>
      <c r="AIC91" s="188"/>
      <c r="AID91" s="187"/>
      <c r="AIG91" s="168"/>
      <c r="AIH91" s="189"/>
      <c r="AIJ91" s="188"/>
      <c r="AIK91" s="187"/>
      <c r="AIQ91" s="188"/>
      <c r="AIR91" s="187"/>
      <c r="AIX91" s="188"/>
      <c r="AIY91" s="187"/>
      <c r="AJE91" s="188"/>
      <c r="AJF91" s="187"/>
      <c r="AJL91" s="168"/>
      <c r="AJM91" s="189"/>
      <c r="AJS91" s="188"/>
      <c r="AJT91" s="187"/>
      <c r="AJZ91" s="188"/>
      <c r="AKA91" s="187"/>
      <c r="AKG91" s="188"/>
      <c r="AKH91" s="187"/>
      <c r="AKN91" s="188"/>
      <c r="AKO91" s="187"/>
      <c r="AKQ91" s="168"/>
      <c r="AKR91" s="189"/>
      <c r="AKU91" s="188"/>
      <c r="AKV91" s="187"/>
      <c r="ALB91" s="188"/>
      <c r="ALC91" s="187"/>
      <c r="ALI91" s="188"/>
      <c r="ALJ91" s="187"/>
      <c r="ALP91" s="188"/>
      <c r="ALQ91" s="187"/>
      <c r="ALU91" s="168"/>
      <c r="ALV91" s="189"/>
      <c r="ALW91" s="188"/>
      <c r="ALX91" s="187"/>
      <c r="AMD91" s="188"/>
      <c r="AME91" s="187"/>
      <c r="AMK91" s="188"/>
      <c r="AML91" s="187"/>
      <c r="AMR91" s="188"/>
      <c r="AMS91" s="187"/>
      <c r="AMY91" s="188"/>
      <c r="AMZ91" s="190"/>
      <c r="ANA91" s="189"/>
      <c r="ANF91" s="188"/>
      <c r="ANG91" s="187"/>
      <c r="ANM91" s="188"/>
      <c r="ANN91" s="187"/>
      <c r="ANT91" s="188"/>
      <c r="ANU91" s="187"/>
      <c r="AOA91" s="188"/>
      <c r="AOB91" s="187"/>
      <c r="AOD91" s="168"/>
      <c r="AOE91" s="189"/>
      <c r="AOH91" s="188"/>
      <c r="AOI91" s="187"/>
      <c r="AOO91" s="188"/>
      <c r="AOP91" s="187"/>
      <c r="AOV91" s="188"/>
      <c r="AOW91" s="187"/>
      <c r="APC91" s="188"/>
      <c r="APD91" s="187"/>
      <c r="API91" s="168"/>
      <c r="APJ91" s="191"/>
      <c r="APK91" s="187"/>
      <c r="APQ91" s="188"/>
      <c r="APR91" s="187"/>
      <c r="APX91" s="188"/>
      <c r="APY91" s="187"/>
      <c r="AQE91" s="188"/>
      <c r="AQF91" s="187"/>
      <c r="AQL91" s="188"/>
      <c r="AQM91" s="187"/>
      <c r="AQN91" s="168"/>
      <c r="AQO91" s="189"/>
      <c r="AQS91" s="188"/>
      <c r="AQT91" s="187"/>
      <c r="AQZ91" s="188"/>
      <c r="ARA91" s="187"/>
      <c r="ARG91" s="188"/>
      <c r="ARH91" s="187"/>
      <c r="ARN91" s="188"/>
      <c r="ARO91" s="187"/>
      <c r="ARP91" s="168"/>
      <c r="ARQ91" s="189"/>
      <c r="ARU91" s="188"/>
      <c r="ARV91" s="187"/>
      <c r="ASB91" s="188"/>
      <c r="ASC91" s="187"/>
      <c r="ASI91" s="188"/>
      <c r="ASJ91" s="187"/>
      <c r="ASP91" s="188"/>
      <c r="ASQ91" s="187"/>
      <c r="ASU91" s="168"/>
      <c r="ASV91" s="189"/>
      <c r="ASW91" s="188"/>
      <c r="ASX91" s="187"/>
      <c r="ASZ91" s="164">
        <v>1</v>
      </c>
      <c r="ATA91" s="164">
        <v>1</v>
      </c>
      <c r="ATB91" s="164">
        <v>1</v>
      </c>
      <c r="ATC91" s="164">
        <v>1</v>
      </c>
      <c r="ATD91" s="188">
        <v>1</v>
      </c>
      <c r="ATE91" s="187"/>
      <c r="ATG91" s="164">
        <v>1</v>
      </c>
      <c r="ATH91" s="164">
        <v>1</v>
      </c>
      <c r="ATI91" s="164">
        <v>1</v>
      </c>
      <c r="ATJ91" s="164">
        <v>1</v>
      </c>
      <c r="ATK91" s="188">
        <v>1</v>
      </c>
      <c r="ATL91" s="187"/>
      <c r="ATN91" s="164">
        <v>1</v>
      </c>
      <c r="ATO91" s="164">
        <v>1</v>
      </c>
      <c r="ATP91" s="164">
        <v>1</v>
      </c>
      <c r="ATQ91" s="164">
        <v>1</v>
      </c>
      <c r="ATR91" s="188">
        <v>1</v>
      </c>
      <c r="ATS91" s="187"/>
      <c r="ATY91" s="168"/>
      <c r="ATZ91" s="189"/>
      <c r="AUF91" s="188"/>
      <c r="AUG91" s="187"/>
      <c r="AUM91" s="188"/>
      <c r="AUN91" s="187"/>
      <c r="AUT91" s="188"/>
      <c r="AUU91" s="187"/>
      <c r="AVA91" s="188"/>
      <c r="AVB91" s="187"/>
      <c r="AVD91" s="168"/>
      <c r="AVE91" s="189"/>
      <c r="AVH91" s="188"/>
      <c r="AVI91" s="187"/>
      <c r="AVO91" s="188"/>
      <c r="AVP91" s="187"/>
      <c r="AVV91" s="188"/>
      <c r="AVW91" s="187"/>
      <c r="AWC91" s="188"/>
      <c r="AWD91" s="187"/>
      <c r="AWH91" s="168"/>
      <c r="AWI91" s="189"/>
      <c r="AWJ91" s="188"/>
      <c r="AWK91" s="187"/>
      <c r="AWQ91" s="188"/>
      <c r="AWR91" s="187"/>
      <c r="AWX91" s="188"/>
      <c r="AWY91" s="187"/>
      <c r="AXE91" s="188"/>
      <c r="AXF91" s="187"/>
      <c r="AXL91" s="188"/>
      <c r="AXM91" s="190"/>
      <c r="AXN91" s="189"/>
      <c r="AXS91" s="188"/>
      <c r="AXT91" s="187"/>
      <c r="AXZ91" s="188"/>
      <c r="AYA91" s="187"/>
      <c r="AYG91" s="188"/>
      <c r="AYH91" s="187"/>
      <c r="AYN91" s="188"/>
      <c r="AYO91" s="187"/>
      <c r="AYR91" s="168"/>
      <c r="AYS91" s="189"/>
      <c r="AYU91" s="188"/>
      <c r="AYV91" s="187"/>
      <c r="AZB91" s="188"/>
      <c r="AZC91" s="187"/>
      <c r="AZI91" s="188"/>
      <c r="AZJ91" s="187"/>
      <c r="AZP91" s="188"/>
      <c r="AZQ91" s="187"/>
      <c r="AZV91" s="168"/>
      <c r="AZW91" s="191"/>
      <c r="AZX91" s="187"/>
      <c r="BAD91" s="188"/>
      <c r="BAE91" s="187"/>
      <c r="BAK91" s="188"/>
      <c r="BAL91" s="187"/>
      <c r="BAR91" s="188"/>
      <c r="BAS91" s="187"/>
      <c r="BAY91" s="188"/>
      <c r="BAZ91" s="187"/>
      <c r="BBA91" s="168"/>
      <c r="BBB91" s="189"/>
      <c r="BBF91" s="188"/>
      <c r="BBG91" s="187"/>
      <c r="BBM91" s="188"/>
      <c r="BBN91" s="187"/>
      <c r="BBT91" s="188"/>
      <c r="BBU91" s="187"/>
      <c r="BCA91" s="188"/>
      <c r="BCB91" s="187"/>
      <c r="BCE91" s="168"/>
      <c r="BCF91" s="189"/>
      <c r="BCH91" s="188"/>
      <c r="BCI91" s="187"/>
      <c r="BCO91" s="188"/>
      <c r="BCP91" s="187"/>
      <c r="BCV91" s="188"/>
      <c r="BCW91" s="187"/>
      <c r="BDC91" s="188"/>
      <c r="BDD91" s="187"/>
      <c r="BDJ91" s="168"/>
      <c r="BDK91" s="189"/>
      <c r="BDQ91" s="188"/>
      <c r="BDR91" s="187"/>
      <c r="BDX91" s="188"/>
      <c r="BDY91" s="187"/>
      <c r="BEE91" s="188"/>
      <c r="BEF91" s="187"/>
      <c r="BEL91" s="188"/>
      <c r="BEM91" s="187"/>
      <c r="BEO91" s="168"/>
      <c r="BEP91" s="189"/>
      <c r="BES91" s="188"/>
      <c r="BET91" s="187"/>
      <c r="BEZ91" s="188"/>
      <c r="BFA91" s="187"/>
      <c r="BFG91" s="188"/>
      <c r="BFH91" s="187"/>
      <c r="BFN91" s="188"/>
      <c r="BFO91" s="187"/>
      <c r="BFQ91" s="168"/>
      <c r="BFR91" s="189"/>
      <c r="BFU91" s="188"/>
      <c r="BFV91" s="187"/>
      <c r="BGB91" s="188"/>
      <c r="BGC91" s="187"/>
      <c r="BGI91" s="188"/>
      <c r="BGJ91" s="187"/>
      <c r="BGP91" s="188"/>
      <c r="BGQ91" s="187"/>
      <c r="BGV91" s="168"/>
      <c r="BGW91" s="191"/>
      <c r="BGX91" s="187"/>
      <c r="BHD91" s="188"/>
      <c r="BHE91" s="187"/>
      <c r="BHK91" s="188"/>
      <c r="BHL91" s="187"/>
      <c r="BHR91" s="188"/>
      <c r="BHS91" s="187"/>
      <c r="BHY91" s="188"/>
      <c r="BHZ91" s="190"/>
      <c r="BIA91" s="189"/>
      <c r="BIF91" s="188"/>
      <c r="BIG91" s="187"/>
      <c r="BIM91" s="188"/>
      <c r="BIN91" s="187"/>
      <c r="BIT91" s="188"/>
      <c r="BIU91" s="187"/>
      <c r="BJA91" s="188"/>
      <c r="BJB91" s="187"/>
      <c r="BJE91" s="168"/>
      <c r="BJF91" s="189"/>
      <c r="BJH91" s="188"/>
      <c r="BJI91" s="187"/>
      <c r="BJO91" s="188"/>
      <c r="BJP91" s="187"/>
      <c r="BJV91" s="188"/>
      <c r="BJW91" s="187"/>
      <c r="BKC91" s="188"/>
      <c r="BKD91" s="187"/>
      <c r="BKI91" s="168"/>
      <c r="BKJ91" s="191"/>
      <c r="BKK91" s="187"/>
      <c r="BKQ91" s="188"/>
      <c r="BKR91" s="187"/>
      <c r="BKX91" s="188"/>
      <c r="BKY91" s="187"/>
      <c r="BLE91" s="188"/>
      <c r="BLF91" s="187"/>
      <c r="BLL91" s="188"/>
      <c r="BLM91" s="187"/>
      <c r="BLN91" s="168"/>
      <c r="BLO91" s="189"/>
      <c r="BLS91" s="188"/>
      <c r="BLT91" s="187"/>
      <c r="BLZ91" s="188"/>
      <c r="BMA91" s="187"/>
      <c r="BMG91" s="188"/>
      <c r="BMH91" s="187"/>
      <c r="BMN91" s="188"/>
      <c r="BMO91" s="187"/>
      <c r="BMS91" s="168"/>
      <c r="BMT91" s="189"/>
      <c r="BMU91" s="188"/>
      <c r="BMV91" s="187"/>
      <c r="BNB91" s="188"/>
      <c r="BNC91" s="187"/>
      <c r="BNI91" s="188"/>
      <c r="BNJ91" s="187"/>
      <c r="BNP91" s="188"/>
      <c r="BNQ91" s="187"/>
      <c r="BNW91" s="168"/>
      <c r="BNX91" s="189"/>
      <c r="BOD91" s="188"/>
      <c r="BOE91" s="187"/>
      <c r="BOK91" s="188"/>
      <c r="BOL91" s="187"/>
      <c r="BOR91" s="188"/>
      <c r="BOS91" s="187"/>
      <c r="BOY91" s="188"/>
      <c r="BOZ91" s="187"/>
      <c r="BPB91" s="168"/>
      <c r="BPC91" s="189"/>
      <c r="BPF91" s="188"/>
      <c r="BPG91" s="187"/>
      <c r="BPM91" s="188"/>
      <c r="BPN91" s="187"/>
      <c r="BPT91" s="188"/>
      <c r="BPU91" s="187"/>
      <c r="BQA91" s="188"/>
      <c r="BQB91" s="187"/>
      <c r="BQF91" s="168"/>
      <c r="BQG91" s="189"/>
      <c r="BQH91" s="188"/>
      <c r="BQI91" s="187"/>
      <c r="BQO91" s="188"/>
      <c r="BQP91" s="187"/>
      <c r="BQV91" s="188"/>
      <c r="BQW91" s="187"/>
      <c r="BRC91" s="188"/>
      <c r="BRD91" s="187"/>
      <c r="BRJ91" s="188"/>
      <c r="BRK91" s="190"/>
      <c r="BRL91" s="189"/>
      <c r="BRQ91" s="188"/>
      <c r="BRR91" s="187"/>
      <c r="BRX91" s="188"/>
      <c r="BRY91" s="187"/>
      <c r="BSE91" s="188"/>
      <c r="BSF91" s="187"/>
      <c r="BSL91" s="188"/>
      <c r="BSM91" s="187"/>
      <c r="BSP91" s="168"/>
      <c r="BSQ91" s="189"/>
      <c r="BSS91" s="188"/>
      <c r="BST91" s="187"/>
      <c r="BSZ91" s="188"/>
      <c r="BTA91" s="187"/>
      <c r="BTG91" s="188"/>
      <c r="BTH91" s="187"/>
      <c r="BTN91" s="188"/>
      <c r="BTO91" s="187"/>
      <c r="BTS91" s="168"/>
      <c r="BTT91" s="189"/>
      <c r="BTU91" s="188"/>
      <c r="BTV91" s="187"/>
      <c r="BUB91" s="188"/>
      <c r="BUC91" s="187"/>
      <c r="BUI91" s="188"/>
      <c r="BUJ91" s="187"/>
      <c r="BUP91" s="188"/>
      <c r="BUQ91" s="187"/>
      <c r="BUW91" s="188"/>
      <c r="BUX91" s="190"/>
      <c r="BUY91" s="189"/>
      <c r="BVD91" s="188"/>
      <c r="BVE91" s="187"/>
      <c r="BVK91" s="188"/>
      <c r="BVL91" s="187"/>
      <c r="BVR91" s="188"/>
      <c r="BVS91" s="187"/>
      <c r="BVY91" s="188"/>
      <c r="BVZ91" s="187"/>
      <c r="BWB91" s="168"/>
      <c r="BWC91" s="189"/>
      <c r="BWF91" s="188"/>
      <c r="BWG91" s="187"/>
      <c r="BWM91" s="188"/>
      <c r="BWN91" s="187"/>
      <c r="BWT91" s="188"/>
      <c r="BWU91" s="187"/>
      <c r="BXA91" s="188"/>
      <c r="BXB91" s="187"/>
      <c r="BXG91" s="168"/>
      <c r="BXH91" s="191"/>
      <c r="BXI91" s="187"/>
      <c r="BXO91" s="188"/>
      <c r="BXP91" s="187"/>
      <c r="BXV91" s="188"/>
      <c r="BXW91" s="187"/>
      <c r="BYC91" s="188"/>
      <c r="BYD91" s="187"/>
      <c r="BYJ91" s="188"/>
      <c r="BYK91" s="190"/>
      <c r="BYL91" s="189"/>
      <c r="BYQ91" s="188"/>
      <c r="BYR91" s="187"/>
      <c r="BYX91" s="188"/>
      <c r="BYY91" s="187"/>
      <c r="BZE91" s="188"/>
      <c r="BZF91" s="187"/>
      <c r="BZL91" s="188"/>
      <c r="BZM91" s="187"/>
      <c r="BZP91" s="168"/>
      <c r="BZQ91" s="189"/>
      <c r="BZS91" s="188"/>
      <c r="BZT91" s="187"/>
      <c r="BZZ91" s="188"/>
      <c r="CAA91" s="187"/>
      <c r="CAG91" s="188"/>
      <c r="CAH91" s="187"/>
      <c r="CAN91" s="188"/>
      <c r="CAO91" s="187"/>
      <c r="CAU91" s="168"/>
      <c r="CAV91" s="189"/>
      <c r="CBB91" s="188"/>
      <c r="CBC91" s="187"/>
      <c r="CBI91" s="188"/>
      <c r="CBJ91" s="187"/>
      <c r="CBP91" s="188"/>
      <c r="CBQ91" s="187"/>
      <c r="CBW91" s="188"/>
      <c r="CBX91" s="187"/>
      <c r="CBY91" s="168"/>
      <c r="CBZ91" s="189"/>
      <c r="CCD91" s="188"/>
      <c r="CCE91" s="187"/>
      <c r="CCK91" s="188"/>
      <c r="CCL91" s="187"/>
      <c r="CCR91" s="188"/>
      <c r="CCS91" s="187"/>
      <c r="CCY91" s="188"/>
      <c r="CCZ91" s="187"/>
      <c r="CDD91" s="168"/>
      <c r="CDE91" s="189"/>
      <c r="CDF91" s="188"/>
      <c r="CDG91" s="187"/>
      <c r="CDM91" s="188"/>
      <c r="CDN91" s="187"/>
      <c r="CDT91" s="188"/>
      <c r="CDU91" s="187"/>
      <c r="CEA91" s="188"/>
      <c r="CEB91" s="187"/>
      <c r="CEH91" s="168"/>
      <c r="CEI91" s="189"/>
      <c r="CEO91" s="188"/>
      <c r="CEP91" s="187"/>
      <c r="CEV91" s="188"/>
      <c r="CEW91" s="187"/>
      <c r="CFC91" s="188"/>
      <c r="CFD91" s="187"/>
      <c r="CFJ91" s="188"/>
      <c r="CFK91" s="187"/>
    </row>
    <row r="92" spans="1:1019 1025:2048 2054:2195">
      <c r="A92" s="164" t="s">
        <v>361</v>
      </c>
      <c r="C92" s="164" t="s">
        <v>362</v>
      </c>
      <c r="D92" s="186"/>
      <c r="E92" s="186"/>
      <c r="K92" s="187"/>
      <c r="Q92" s="188"/>
      <c r="R92" s="187"/>
      <c r="X92" s="188"/>
      <c r="Y92" s="187"/>
      <c r="AE92" s="188"/>
      <c r="AF92" s="187"/>
      <c r="AJ92" s="168"/>
      <c r="AK92" s="189"/>
      <c r="AL92" s="188"/>
      <c r="AM92" s="187"/>
      <c r="AS92" s="188"/>
      <c r="AT92" s="187"/>
      <c r="AZ92" s="188"/>
      <c r="BA92" s="187"/>
      <c r="BG92" s="188"/>
      <c r="BH92" s="187"/>
      <c r="BL92" s="168"/>
      <c r="BM92" s="189"/>
      <c r="BN92" s="188"/>
      <c r="BO92" s="187"/>
      <c r="BU92" s="188"/>
      <c r="BV92" s="187"/>
      <c r="CB92" s="188"/>
      <c r="CC92" s="187"/>
      <c r="CI92" s="188"/>
      <c r="CJ92" s="187"/>
      <c r="CP92" s="188"/>
      <c r="CQ92" s="190"/>
      <c r="CR92" s="189"/>
      <c r="CW92" s="188"/>
      <c r="CX92" s="187"/>
      <c r="DD92" s="188"/>
      <c r="DE92" s="187"/>
      <c r="DK92" s="188"/>
      <c r="DL92" s="187"/>
      <c r="DR92" s="188"/>
      <c r="DS92" s="187"/>
      <c r="DU92" s="168"/>
      <c r="DV92" s="189"/>
      <c r="DY92" s="188"/>
      <c r="DZ92" s="187"/>
      <c r="EF92" s="188"/>
      <c r="EG92" s="187"/>
      <c r="EM92" s="188"/>
      <c r="EN92" s="187"/>
      <c r="ET92" s="188"/>
      <c r="EU92" s="187"/>
      <c r="EZ92" s="168"/>
      <c r="FA92" s="191"/>
      <c r="FB92" s="187"/>
      <c r="FH92" s="188"/>
      <c r="FI92" s="187"/>
      <c r="FO92" s="188"/>
      <c r="FP92" s="187"/>
      <c r="FV92" s="188"/>
      <c r="FW92" s="187"/>
      <c r="GC92" s="188"/>
      <c r="GD92" s="190"/>
      <c r="GE92" s="189"/>
      <c r="GJ92" s="188"/>
      <c r="GK92" s="187"/>
      <c r="GQ92" s="188"/>
      <c r="GR92" s="187"/>
      <c r="GX92" s="188"/>
      <c r="GY92" s="187"/>
      <c r="HE92" s="188"/>
      <c r="HF92" s="187"/>
      <c r="HI92" s="168"/>
      <c r="HJ92" s="189"/>
      <c r="HL92" s="188"/>
      <c r="HM92" s="187"/>
      <c r="HS92" s="188"/>
      <c r="HT92" s="187"/>
      <c r="HZ92" s="188"/>
      <c r="IA92" s="187"/>
      <c r="IG92" s="188"/>
      <c r="IH92" s="187"/>
      <c r="IN92" s="168"/>
      <c r="IO92" s="189"/>
      <c r="IU92" s="188"/>
      <c r="IV92" s="187"/>
      <c r="JB92" s="188"/>
      <c r="JC92" s="187"/>
      <c r="JI92" s="188"/>
      <c r="JJ92" s="187"/>
      <c r="JP92" s="188"/>
      <c r="JQ92" s="187"/>
      <c r="JR92" s="168"/>
      <c r="JS92" s="189"/>
      <c r="JW92" s="188"/>
      <c r="JX92" s="187"/>
      <c r="KD92" s="188"/>
      <c r="KE92" s="187"/>
      <c r="KK92" s="188"/>
      <c r="KL92" s="187"/>
      <c r="KR92" s="188"/>
      <c r="KS92" s="187"/>
      <c r="KW92" s="168"/>
      <c r="KX92" s="189"/>
      <c r="KY92" s="188"/>
      <c r="KZ92" s="187"/>
      <c r="LF92" s="188"/>
      <c r="LG92" s="187"/>
      <c r="LM92" s="188"/>
      <c r="LN92" s="187"/>
      <c r="LT92" s="188"/>
      <c r="LU92" s="187"/>
      <c r="MA92" s="168"/>
      <c r="MB92" s="189"/>
      <c r="MH92" s="188"/>
      <c r="MI92" s="187"/>
      <c r="MO92" s="188"/>
      <c r="MP92" s="187"/>
      <c r="MV92" s="188"/>
      <c r="MW92" s="187"/>
      <c r="NC92" s="188"/>
      <c r="ND92" s="187"/>
      <c r="NF92" s="168"/>
      <c r="NG92" s="189"/>
      <c r="NJ92" s="188"/>
      <c r="NK92" s="187"/>
      <c r="NQ92" s="188"/>
      <c r="NR92" s="187"/>
      <c r="NX92" s="188"/>
      <c r="NY92" s="187"/>
      <c r="OE92" s="188"/>
      <c r="OF92" s="187"/>
      <c r="OK92" s="168"/>
      <c r="OL92" s="191"/>
      <c r="OM92" s="187"/>
      <c r="OS92" s="188"/>
      <c r="OT92" s="187"/>
      <c r="OZ92" s="188"/>
      <c r="PA92" s="187"/>
      <c r="PG92" s="188"/>
      <c r="PH92" s="187"/>
      <c r="PN92" s="168"/>
      <c r="PO92" s="189"/>
      <c r="PU92" s="188"/>
      <c r="PV92" s="187"/>
      <c r="QB92" s="188"/>
      <c r="QC92" s="187"/>
      <c r="QI92" s="188"/>
      <c r="QJ92" s="187"/>
      <c r="QP92" s="188"/>
      <c r="QQ92" s="187"/>
      <c r="QS92" s="168"/>
      <c r="QT92" s="189"/>
      <c r="QW92" s="188"/>
      <c r="QX92" s="187"/>
      <c r="RD92" s="188"/>
      <c r="RE92" s="187"/>
      <c r="RK92" s="188"/>
      <c r="RL92" s="187"/>
      <c r="RR92" s="188"/>
      <c r="RS92" s="187"/>
      <c r="RW92" s="168"/>
      <c r="RX92" s="189"/>
      <c r="RY92" s="188"/>
      <c r="RZ92" s="187"/>
      <c r="SF92" s="188"/>
      <c r="SG92" s="187"/>
      <c r="SM92" s="188"/>
      <c r="SN92" s="187"/>
      <c r="ST92" s="188"/>
      <c r="SU92" s="187"/>
      <c r="TA92" s="188"/>
      <c r="TB92" s="190"/>
      <c r="TC92" s="189"/>
      <c r="TH92" s="188"/>
      <c r="TI92" s="187"/>
      <c r="TO92" s="188"/>
      <c r="TP92" s="187"/>
      <c r="TV92" s="188"/>
      <c r="TW92" s="187"/>
      <c r="UC92" s="188"/>
      <c r="UD92" s="187"/>
      <c r="UF92" s="168"/>
      <c r="UG92" s="189"/>
      <c r="UJ92" s="188"/>
      <c r="UK92" s="187"/>
      <c r="UQ92" s="188"/>
      <c r="UR92" s="187"/>
      <c r="UX92" s="188"/>
      <c r="UY92" s="187"/>
      <c r="VE92" s="188"/>
      <c r="VF92" s="187"/>
      <c r="VK92" s="168"/>
      <c r="VL92" s="191"/>
      <c r="VM92" s="187"/>
      <c r="VS92" s="188"/>
      <c r="VT92" s="187"/>
      <c r="VZ92" s="188"/>
      <c r="WA92" s="187"/>
      <c r="WG92" s="188"/>
      <c r="WH92" s="187"/>
      <c r="WN92" s="188"/>
      <c r="WO92" s="187"/>
      <c r="WP92" s="168"/>
      <c r="WQ92" s="189"/>
      <c r="WU92" s="188"/>
      <c r="WV92" s="187"/>
      <c r="XB92" s="188"/>
      <c r="XC92" s="187"/>
      <c r="XI92" s="188"/>
      <c r="XJ92" s="187"/>
      <c r="XP92" s="188"/>
      <c r="XQ92" s="187"/>
      <c r="XT92" s="168"/>
      <c r="XU92" s="189"/>
      <c r="XW92" s="188"/>
      <c r="XX92" s="187"/>
      <c r="YD92" s="188"/>
      <c r="YE92" s="187"/>
      <c r="YK92" s="188"/>
      <c r="YL92" s="187"/>
      <c r="YR92" s="188"/>
      <c r="YS92" s="187"/>
      <c r="YY92" s="168"/>
      <c r="YZ92" s="189"/>
      <c r="ZF92" s="188"/>
      <c r="ZG92" s="187"/>
      <c r="ZM92" s="188"/>
      <c r="ZN92" s="187"/>
      <c r="ZT92" s="188"/>
      <c r="ZU92" s="187"/>
      <c r="AAA92" s="188"/>
      <c r="AAB92" s="187"/>
      <c r="AAC92" s="168"/>
      <c r="AAD92" s="189"/>
      <c r="AAH92" s="188"/>
      <c r="AAI92" s="187"/>
      <c r="AAO92" s="188"/>
      <c r="AAP92" s="187"/>
      <c r="AAV92" s="188"/>
      <c r="AAW92" s="187"/>
      <c r="ABC92" s="188"/>
      <c r="ABD92" s="187"/>
      <c r="ABH92" s="168"/>
      <c r="ABI92" s="189"/>
      <c r="ABJ92" s="188"/>
      <c r="ABK92" s="187"/>
      <c r="ABQ92" s="188"/>
      <c r="ABR92" s="187"/>
      <c r="ABX92" s="188"/>
      <c r="ABY92" s="187"/>
      <c r="ACE92" s="188"/>
      <c r="ACF92" s="187"/>
      <c r="ACL92" s="188"/>
      <c r="ACM92" s="190"/>
      <c r="ACN92" s="189"/>
      <c r="ACS92" s="188"/>
      <c r="ACT92" s="187"/>
      <c r="ACZ92" s="188"/>
      <c r="ADA92" s="187"/>
      <c r="ADG92" s="188"/>
      <c r="ADH92" s="187"/>
      <c r="ADN92" s="188"/>
      <c r="ADO92" s="190"/>
      <c r="ADP92" s="189"/>
      <c r="ADU92" s="188"/>
      <c r="ADV92" s="187"/>
      <c r="AEB92" s="188"/>
      <c r="AEC92" s="187"/>
      <c r="AEI92" s="188"/>
      <c r="AEJ92" s="187"/>
      <c r="AEP92" s="188"/>
      <c r="AEQ92" s="187"/>
      <c r="AET92" s="168"/>
      <c r="AEU92" s="189"/>
      <c r="AEW92" s="188"/>
      <c r="AEX92" s="187"/>
      <c r="AFD92" s="188"/>
      <c r="AFE92" s="187"/>
      <c r="AFK92" s="188"/>
      <c r="AFL92" s="187"/>
      <c r="AFR92" s="188"/>
      <c r="AFS92" s="187"/>
      <c r="AFX92" s="168"/>
      <c r="AFY92" s="191"/>
      <c r="AFZ92" s="187"/>
      <c r="AGF92" s="188"/>
      <c r="AGG92" s="187"/>
      <c r="AGM92" s="188"/>
      <c r="AGN92" s="187"/>
      <c r="AGT92" s="188"/>
      <c r="AGU92" s="187"/>
      <c r="AHA92" s="188"/>
      <c r="AHB92" s="187"/>
      <c r="AHC92" s="168"/>
      <c r="AHD92" s="189"/>
      <c r="AHH92" s="188"/>
      <c r="AHI92" s="187"/>
      <c r="AHO92" s="188"/>
      <c r="AHP92" s="187"/>
      <c r="AHV92" s="188"/>
      <c r="AHW92" s="187"/>
      <c r="AIC92" s="188"/>
      <c r="AID92" s="187"/>
      <c r="AIG92" s="168"/>
      <c r="AIH92" s="189"/>
      <c r="AIJ92" s="188"/>
      <c r="AIK92" s="187"/>
      <c r="AIQ92" s="188"/>
      <c r="AIR92" s="187"/>
      <c r="AIX92" s="188"/>
      <c r="AIY92" s="187"/>
      <c r="AJE92" s="188"/>
      <c r="AJF92" s="187"/>
      <c r="AJL92" s="168"/>
      <c r="AJM92" s="189"/>
      <c r="AJS92" s="188"/>
      <c r="AJT92" s="187"/>
      <c r="AJZ92" s="188"/>
      <c r="AKA92" s="187"/>
      <c r="AKG92" s="188"/>
      <c r="AKH92" s="187"/>
      <c r="AKN92" s="188"/>
      <c r="AKO92" s="187"/>
      <c r="AKQ92" s="168"/>
      <c r="AKR92" s="189"/>
      <c r="AKU92" s="188"/>
      <c r="AKV92" s="187"/>
      <c r="ALB92" s="188"/>
      <c r="ALC92" s="187"/>
      <c r="ALI92" s="188"/>
      <c r="ALJ92" s="187"/>
      <c r="ALP92" s="188"/>
      <c r="ALQ92" s="187"/>
      <c r="ALU92" s="168"/>
      <c r="ALV92" s="189"/>
      <c r="ALW92" s="188"/>
      <c r="ALX92" s="187"/>
      <c r="AMD92" s="188"/>
      <c r="AME92" s="187"/>
      <c r="AMK92" s="188"/>
      <c r="AML92" s="187"/>
      <c r="AMR92" s="188"/>
      <c r="AMS92" s="187"/>
      <c r="AMY92" s="188"/>
      <c r="AMZ92" s="190"/>
      <c r="ANA92" s="189"/>
      <c r="ANF92" s="188"/>
      <c r="ANG92" s="187"/>
      <c r="ANM92" s="188"/>
      <c r="ANN92" s="187"/>
      <c r="ANT92" s="188"/>
      <c r="ANU92" s="187"/>
      <c r="AOA92" s="188"/>
      <c r="AOB92" s="187"/>
      <c r="AOD92" s="168"/>
      <c r="AOE92" s="189"/>
      <c r="AOH92" s="188"/>
      <c r="AOI92" s="187"/>
      <c r="AOO92" s="188"/>
      <c r="AOP92" s="187"/>
      <c r="AOV92" s="188"/>
      <c r="AOW92" s="187"/>
      <c r="APC92" s="188"/>
      <c r="APD92" s="187"/>
      <c r="API92" s="168"/>
      <c r="APJ92" s="191"/>
      <c r="APK92" s="187"/>
      <c r="APQ92" s="188"/>
      <c r="APR92" s="187"/>
      <c r="APX92" s="188"/>
      <c r="APY92" s="187"/>
      <c r="AQE92" s="188"/>
      <c r="AQF92" s="187"/>
      <c r="AQL92" s="188"/>
      <c r="AQM92" s="187"/>
      <c r="AQN92" s="168"/>
      <c r="AQO92" s="189"/>
      <c r="AQS92" s="188"/>
      <c r="AQT92" s="187"/>
      <c r="AQZ92" s="188"/>
      <c r="ARA92" s="187"/>
      <c r="ARG92" s="188"/>
      <c r="ARH92" s="187"/>
      <c r="ARN92" s="188"/>
      <c r="ARO92" s="187"/>
      <c r="ARP92" s="168"/>
      <c r="ARQ92" s="189"/>
      <c r="ARU92" s="188"/>
      <c r="ARV92" s="187"/>
      <c r="ASB92" s="188"/>
      <c r="ASC92" s="187"/>
      <c r="ASI92" s="188"/>
      <c r="ASJ92" s="187"/>
      <c r="ASP92" s="188"/>
      <c r="ASQ92" s="187"/>
      <c r="ASU92" s="168"/>
      <c r="ASV92" s="189"/>
      <c r="ASW92" s="188"/>
      <c r="ASX92" s="187"/>
      <c r="ATD92" s="188"/>
      <c r="ATE92" s="187"/>
      <c r="ATK92" s="188"/>
      <c r="ATL92" s="187"/>
      <c r="ATR92" s="188"/>
      <c r="ATS92" s="187"/>
      <c r="ATY92" s="168"/>
      <c r="ATZ92" s="189"/>
      <c r="AUF92" s="188"/>
      <c r="AUG92" s="187"/>
      <c r="AUM92" s="188"/>
      <c r="AUN92" s="187"/>
      <c r="AUT92" s="188"/>
      <c r="AUU92" s="187"/>
      <c r="AVA92" s="188"/>
      <c r="AVB92" s="187"/>
      <c r="AVD92" s="168"/>
      <c r="AVE92" s="189"/>
      <c r="AVH92" s="188"/>
      <c r="AVI92" s="187"/>
      <c r="AVO92" s="188"/>
      <c r="AVP92" s="187"/>
      <c r="AVV92" s="188"/>
      <c r="AVW92" s="187"/>
      <c r="AWC92" s="188"/>
      <c r="AWD92" s="187"/>
      <c r="AWH92" s="168"/>
      <c r="AWI92" s="189"/>
      <c r="AWJ92" s="188"/>
      <c r="AWK92" s="187"/>
      <c r="AWQ92" s="188"/>
      <c r="AWR92" s="187"/>
      <c r="AWX92" s="188"/>
      <c r="AWY92" s="187"/>
      <c r="AXE92" s="188"/>
      <c r="AXF92" s="187"/>
      <c r="AXL92" s="188"/>
      <c r="AXM92" s="190"/>
      <c r="AXN92" s="189"/>
      <c r="AXS92" s="188"/>
      <c r="AXT92" s="187"/>
      <c r="AXZ92" s="188"/>
      <c r="AYA92" s="187"/>
      <c r="AYG92" s="188"/>
      <c r="AYH92" s="187"/>
      <c r="AYN92" s="188"/>
      <c r="AYO92" s="187"/>
      <c r="AYR92" s="168"/>
      <c r="AYS92" s="189"/>
      <c r="AYU92" s="188"/>
      <c r="AYV92" s="187"/>
      <c r="AZB92" s="188"/>
      <c r="AZC92" s="187"/>
      <c r="AZI92" s="188"/>
      <c r="AZJ92" s="187"/>
      <c r="AZP92" s="188"/>
      <c r="AZQ92" s="187"/>
      <c r="AZV92" s="168"/>
      <c r="AZW92" s="191"/>
      <c r="AZX92" s="187"/>
      <c r="BAD92" s="188"/>
      <c r="BAE92" s="187"/>
      <c r="BAK92" s="188"/>
      <c r="BAL92" s="187"/>
      <c r="BAR92" s="188"/>
      <c r="BAS92" s="187"/>
      <c r="BAY92" s="188"/>
      <c r="BAZ92" s="187"/>
      <c r="BBA92" s="168"/>
      <c r="BBB92" s="189"/>
      <c r="BBF92" s="188"/>
      <c r="BBG92" s="187"/>
      <c r="BBM92" s="188"/>
      <c r="BBN92" s="187"/>
      <c r="BBT92" s="188"/>
      <c r="BBU92" s="187"/>
      <c r="BCA92" s="188"/>
      <c r="BCB92" s="187"/>
      <c r="BCE92" s="168"/>
      <c r="BCF92" s="189"/>
      <c r="BCH92" s="188"/>
      <c r="BCI92" s="187"/>
      <c r="BCO92" s="188"/>
      <c r="BCP92" s="187"/>
      <c r="BCV92" s="188"/>
      <c r="BCW92" s="187"/>
      <c r="BDC92" s="188"/>
      <c r="BDD92" s="187"/>
      <c r="BDJ92" s="168"/>
      <c r="BDK92" s="189"/>
      <c r="BDQ92" s="188"/>
      <c r="BDR92" s="187"/>
      <c r="BDX92" s="188"/>
      <c r="BDY92" s="187"/>
      <c r="BEE92" s="188"/>
      <c r="BEF92" s="187"/>
      <c r="BEL92" s="188"/>
      <c r="BEM92" s="187"/>
      <c r="BEO92" s="168"/>
      <c r="BEP92" s="189"/>
      <c r="BES92" s="188"/>
      <c r="BET92" s="187"/>
      <c r="BEZ92" s="188"/>
      <c r="BFA92" s="187"/>
      <c r="BFG92" s="188"/>
      <c r="BFH92" s="187"/>
      <c r="BFN92" s="188"/>
      <c r="BFO92" s="187"/>
      <c r="BFQ92" s="168"/>
      <c r="BFR92" s="189"/>
      <c r="BFU92" s="188"/>
      <c r="BFV92" s="187"/>
      <c r="BGB92" s="188"/>
      <c r="BGC92" s="187"/>
      <c r="BGI92" s="188"/>
      <c r="BGJ92" s="187"/>
      <c r="BGP92" s="188"/>
      <c r="BGQ92" s="187"/>
      <c r="BGV92" s="168"/>
      <c r="BGW92" s="191"/>
      <c r="BGX92" s="187"/>
      <c r="BHD92" s="188"/>
      <c r="BHE92" s="187"/>
      <c r="BHK92" s="188"/>
      <c r="BHL92" s="187"/>
      <c r="BHR92" s="188"/>
      <c r="BHS92" s="187"/>
      <c r="BHY92" s="188"/>
      <c r="BHZ92" s="190"/>
      <c r="BIA92" s="189"/>
      <c r="BIF92" s="188"/>
      <c r="BIG92" s="187"/>
      <c r="BIM92" s="188"/>
      <c r="BIN92" s="187"/>
      <c r="BIT92" s="188"/>
      <c r="BIU92" s="187"/>
      <c r="BJA92" s="188"/>
      <c r="BJB92" s="187"/>
      <c r="BJE92" s="168"/>
      <c r="BJF92" s="189"/>
      <c r="BJH92" s="188"/>
      <c r="BJI92" s="187"/>
      <c r="BJO92" s="188"/>
      <c r="BJP92" s="187"/>
      <c r="BJV92" s="188"/>
      <c r="BJW92" s="187"/>
      <c r="BKC92" s="188"/>
      <c r="BKD92" s="187"/>
      <c r="BKI92" s="168"/>
      <c r="BKJ92" s="191"/>
      <c r="BKK92" s="187"/>
      <c r="BKQ92" s="188"/>
      <c r="BKR92" s="187"/>
      <c r="BKX92" s="188"/>
      <c r="BKY92" s="187"/>
      <c r="BLE92" s="188"/>
      <c r="BLF92" s="187"/>
      <c r="BLL92" s="188"/>
      <c r="BLM92" s="187"/>
      <c r="BLN92" s="168"/>
      <c r="BLO92" s="189"/>
      <c r="BLS92" s="188"/>
      <c r="BLT92" s="187"/>
      <c r="BLZ92" s="188"/>
      <c r="BMA92" s="187"/>
      <c r="BMG92" s="188"/>
      <c r="BMH92" s="187"/>
      <c r="BMN92" s="188"/>
      <c r="BMO92" s="187"/>
      <c r="BMS92" s="168"/>
      <c r="BMT92" s="189"/>
      <c r="BMU92" s="188"/>
      <c r="BMV92" s="187"/>
      <c r="BNB92" s="188"/>
      <c r="BNC92" s="187"/>
      <c r="BNI92" s="188"/>
      <c r="BNJ92" s="187"/>
      <c r="BNP92" s="188"/>
      <c r="BNQ92" s="187"/>
      <c r="BNW92" s="168"/>
      <c r="BNX92" s="189"/>
      <c r="BOD92" s="188"/>
      <c r="BOE92" s="187"/>
      <c r="BOK92" s="188"/>
      <c r="BOL92" s="187"/>
      <c r="BOR92" s="188"/>
      <c r="BOS92" s="187"/>
      <c r="BOY92" s="188"/>
      <c r="BOZ92" s="187"/>
      <c r="BPB92" s="168"/>
      <c r="BPC92" s="189"/>
      <c r="BPF92" s="188"/>
      <c r="BPG92" s="187"/>
      <c r="BPM92" s="188"/>
      <c r="BPN92" s="187"/>
      <c r="BPT92" s="188"/>
      <c r="BPU92" s="187"/>
      <c r="BQA92" s="188"/>
      <c r="BQB92" s="187"/>
      <c r="BQF92" s="168"/>
      <c r="BQG92" s="189"/>
      <c r="BQH92" s="188"/>
      <c r="BQI92" s="187"/>
      <c r="BQO92" s="188"/>
      <c r="BQP92" s="187"/>
      <c r="BQV92" s="188"/>
      <c r="BQW92" s="187"/>
      <c r="BRC92" s="188"/>
      <c r="BRD92" s="187"/>
      <c r="BRJ92" s="188"/>
      <c r="BRK92" s="190"/>
      <c r="BRL92" s="189"/>
      <c r="BRQ92" s="188"/>
      <c r="BRR92" s="187"/>
      <c r="BRX92" s="188"/>
      <c r="BRY92" s="187"/>
      <c r="BSE92" s="188"/>
      <c r="BSF92" s="187"/>
      <c r="BSL92" s="188"/>
      <c r="BSM92" s="187"/>
      <c r="BSP92" s="168"/>
      <c r="BSQ92" s="189"/>
      <c r="BSS92" s="188"/>
      <c r="BST92" s="187"/>
      <c r="BSZ92" s="188"/>
      <c r="BTA92" s="187"/>
      <c r="BTG92" s="188"/>
      <c r="BTH92" s="187"/>
      <c r="BTN92" s="188"/>
      <c r="BTO92" s="187"/>
      <c r="BTS92" s="168"/>
      <c r="BTT92" s="189"/>
      <c r="BTU92" s="188"/>
      <c r="BTV92" s="187"/>
      <c r="BUB92" s="188"/>
      <c r="BUC92" s="187"/>
      <c r="BUI92" s="188"/>
      <c r="BUJ92" s="187"/>
      <c r="BUP92" s="188"/>
      <c r="BUQ92" s="187"/>
      <c r="BUW92" s="188"/>
      <c r="BUX92" s="190"/>
      <c r="BUY92" s="189"/>
      <c r="BVD92" s="188"/>
      <c r="BVE92" s="187"/>
      <c r="BVK92" s="188"/>
      <c r="BVL92" s="187"/>
      <c r="BVR92" s="188"/>
      <c r="BVS92" s="187"/>
      <c r="BVY92" s="188"/>
      <c r="BVZ92" s="187"/>
      <c r="BWB92" s="168"/>
      <c r="BWC92" s="189"/>
      <c r="BWF92" s="188"/>
      <c r="BWG92" s="187"/>
      <c r="BWM92" s="188"/>
      <c r="BWN92" s="187"/>
      <c r="BWT92" s="188"/>
      <c r="BWU92" s="187"/>
      <c r="BXA92" s="188"/>
      <c r="BXB92" s="187"/>
      <c r="BXG92" s="168"/>
      <c r="BXH92" s="191"/>
      <c r="BXI92" s="187"/>
      <c r="BXO92" s="188"/>
      <c r="BXP92" s="187"/>
      <c r="BXV92" s="188"/>
      <c r="BXW92" s="187"/>
      <c r="BYC92" s="188"/>
      <c r="BYD92" s="187"/>
      <c r="BYJ92" s="188"/>
      <c r="BYK92" s="190"/>
      <c r="BYL92" s="189"/>
      <c r="BYQ92" s="188"/>
      <c r="BYR92" s="187"/>
      <c r="BYX92" s="188"/>
      <c r="BYY92" s="187"/>
      <c r="BZE92" s="188"/>
      <c r="BZF92" s="187"/>
      <c r="BZL92" s="188"/>
      <c r="BZM92" s="187"/>
      <c r="BZP92" s="168"/>
      <c r="BZQ92" s="189"/>
      <c r="BZS92" s="188"/>
      <c r="BZT92" s="187"/>
      <c r="BZZ92" s="188"/>
      <c r="CAA92" s="187"/>
      <c r="CAG92" s="188"/>
      <c r="CAH92" s="187"/>
      <c r="CAN92" s="188"/>
      <c r="CAO92" s="187"/>
      <c r="CAU92" s="168"/>
      <c r="CAV92" s="189"/>
      <c r="CBB92" s="188"/>
      <c r="CBC92" s="187"/>
      <c r="CBI92" s="188"/>
      <c r="CBJ92" s="187"/>
      <c r="CBP92" s="188"/>
      <c r="CBQ92" s="187"/>
      <c r="CBW92" s="188"/>
      <c r="CBX92" s="187"/>
      <c r="CBY92" s="168"/>
      <c r="CBZ92" s="189"/>
      <c r="CCD92" s="188"/>
      <c r="CCE92" s="187"/>
      <c r="CCK92" s="188"/>
      <c r="CCL92" s="187"/>
      <c r="CCR92" s="188"/>
      <c r="CCS92" s="187"/>
      <c r="CCY92" s="188"/>
      <c r="CCZ92" s="187"/>
      <c r="CDD92" s="168"/>
      <c r="CDE92" s="189"/>
      <c r="CDF92" s="188"/>
      <c r="CDG92" s="187"/>
      <c r="CDM92" s="188"/>
      <c r="CDN92" s="187"/>
      <c r="CDT92" s="188"/>
      <c r="CDU92" s="187"/>
      <c r="CEA92" s="188"/>
      <c r="CEB92" s="187"/>
      <c r="CEH92" s="168"/>
      <c r="CEI92" s="189"/>
      <c r="CEO92" s="188"/>
      <c r="CEP92" s="187"/>
      <c r="CEV92" s="188"/>
      <c r="CEW92" s="187"/>
      <c r="CFC92" s="188"/>
      <c r="CFD92" s="187"/>
      <c r="CFJ92" s="188"/>
      <c r="CFK92" s="187"/>
    </row>
    <row r="93" spans="1:1019 1025:2048 2054:2195">
      <c r="A93" s="164" t="s">
        <v>363</v>
      </c>
      <c r="C93" s="164" t="s">
        <v>364</v>
      </c>
      <c r="D93" s="186"/>
      <c r="E93" s="186"/>
      <c r="K93" s="187"/>
      <c r="Q93" s="188"/>
      <c r="R93" s="187"/>
      <c r="X93" s="188"/>
      <c r="Y93" s="187"/>
      <c r="AE93" s="188"/>
      <c r="AF93" s="187"/>
      <c r="AJ93" s="168"/>
      <c r="AK93" s="189"/>
      <c r="AL93" s="188"/>
      <c r="AM93" s="187"/>
      <c r="AS93" s="188"/>
      <c r="AT93" s="187"/>
      <c r="AZ93" s="188"/>
      <c r="BA93" s="187"/>
      <c r="BG93" s="188"/>
      <c r="BH93" s="187"/>
      <c r="BL93" s="168"/>
      <c r="BM93" s="189"/>
      <c r="BN93" s="188"/>
      <c r="BO93" s="187"/>
      <c r="BU93" s="188"/>
      <c r="BV93" s="187"/>
      <c r="CB93" s="188"/>
      <c r="CC93" s="187"/>
      <c r="CI93" s="188"/>
      <c r="CJ93" s="187"/>
      <c r="CP93" s="188"/>
      <c r="CQ93" s="190"/>
      <c r="CR93" s="189"/>
      <c r="CW93" s="188"/>
      <c r="CX93" s="187"/>
      <c r="DD93" s="188"/>
      <c r="DE93" s="187"/>
      <c r="DK93" s="188"/>
      <c r="DL93" s="187"/>
      <c r="DR93" s="188"/>
      <c r="DS93" s="187"/>
      <c r="DU93" s="168"/>
      <c r="DV93" s="189"/>
      <c r="DY93" s="188"/>
      <c r="DZ93" s="187"/>
      <c r="EF93" s="188"/>
      <c r="EG93" s="187"/>
      <c r="EM93" s="188"/>
      <c r="EN93" s="187"/>
      <c r="ET93" s="188"/>
      <c r="EU93" s="187"/>
      <c r="EZ93" s="168"/>
      <c r="FA93" s="191"/>
      <c r="FB93" s="187"/>
      <c r="FH93" s="188"/>
      <c r="FI93" s="187"/>
      <c r="FO93" s="188"/>
      <c r="FP93" s="187"/>
      <c r="FV93" s="188"/>
      <c r="FW93" s="187"/>
      <c r="GC93" s="188"/>
      <c r="GD93" s="190"/>
      <c r="GE93" s="189"/>
      <c r="GJ93" s="188"/>
      <c r="GK93" s="187"/>
      <c r="GQ93" s="188"/>
      <c r="GR93" s="187"/>
      <c r="GX93" s="188"/>
      <c r="GY93" s="187"/>
      <c r="HE93" s="188"/>
      <c r="HF93" s="187"/>
      <c r="HI93" s="168"/>
      <c r="HJ93" s="189"/>
      <c r="HL93" s="188"/>
      <c r="HM93" s="187"/>
      <c r="HS93" s="188"/>
      <c r="HT93" s="187"/>
      <c r="HZ93" s="188"/>
      <c r="IA93" s="187"/>
      <c r="IG93" s="188"/>
      <c r="IH93" s="187"/>
      <c r="IN93" s="168"/>
      <c r="IO93" s="189"/>
      <c r="IU93" s="188"/>
      <c r="IV93" s="187"/>
      <c r="JB93" s="188"/>
      <c r="JC93" s="187"/>
      <c r="JI93" s="188"/>
      <c r="JJ93" s="187"/>
      <c r="JP93" s="188"/>
      <c r="JQ93" s="187"/>
      <c r="JR93" s="168"/>
      <c r="JS93" s="189"/>
      <c r="JW93" s="188"/>
      <c r="JX93" s="187"/>
      <c r="KD93" s="188"/>
      <c r="KE93" s="187"/>
      <c r="KK93" s="188"/>
      <c r="KL93" s="187"/>
      <c r="KR93" s="188"/>
      <c r="KS93" s="187"/>
      <c r="KW93" s="168"/>
      <c r="KX93" s="189"/>
      <c r="KY93" s="188"/>
      <c r="KZ93" s="187"/>
      <c r="LF93" s="188"/>
      <c r="LG93" s="187"/>
      <c r="LM93" s="188"/>
      <c r="LN93" s="187"/>
      <c r="LT93" s="188"/>
      <c r="LU93" s="187"/>
      <c r="MA93" s="168"/>
      <c r="MB93" s="189"/>
      <c r="MH93" s="188"/>
      <c r="MI93" s="187"/>
      <c r="MO93" s="188"/>
      <c r="MP93" s="187"/>
      <c r="MV93" s="188"/>
      <c r="MW93" s="187"/>
      <c r="NC93" s="188"/>
      <c r="ND93" s="187"/>
      <c r="NF93" s="168"/>
      <c r="NG93" s="189"/>
      <c r="NJ93" s="188"/>
      <c r="NK93" s="187"/>
      <c r="NQ93" s="188"/>
      <c r="NR93" s="187"/>
      <c r="NX93" s="188"/>
      <c r="NY93" s="187"/>
      <c r="OE93" s="188"/>
      <c r="OF93" s="187"/>
      <c r="OK93" s="168"/>
      <c r="OL93" s="191"/>
      <c r="OM93" s="187"/>
      <c r="OS93" s="188"/>
      <c r="OT93" s="187"/>
      <c r="OZ93" s="188"/>
      <c r="PA93" s="187"/>
      <c r="PG93" s="188"/>
      <c r="PH93" s="187"/>
      <c r="PN93" s="168"/>
      <c r="PO93" s="189"/>
      <c r="PU93" s="188"/>
      <c r="PV93" s="187"/>
      <c r="QB93" s="188"/>
      <c r="QC93" s="187"/>
      <c r="QI93" s="188"/>
      <c r="QJ93" s="187"/>
      <c r="QP93" s="188"/>
      <c r="QQ93" s="187"/>
      <c r="QS93" s="168"/>
      <c r="QT93" s="189"/>
      <c r="QW93" s="188"/>
      <c r="QX93" s="187"/>
      <c r="RD93" s="188"/>
      <c r="RE93" s="187"/>
      <c r="RK93" s="188"/>
      <c r="RL93" s="187"/>
      <c r="RR93" s="188"/>
      <c r="RS93" s="187"/>
      <c r="RW93" s="168"/>
      <c r="RX93" s="189"/>
      <c r="RY93" s="188"/>
      <c r="RZ93" s="187"/>
      <c r="SF93" s="188"/>
      <c r="SG93" s="187"/>
      <c r="SM93" s="188"/>
      <c r="SN93" s="187"/>
      <c r="ST93" s="188"/>
      <c r="SU93" s="187"/>
      <c r="TA93" s="188"/>
      <c r="TB93" s="190"/>
      <c r="TC93" s="189"/>
      <c r="TH93" s="188"/>
      <c r="TI93" s="187"/>
      <c r="TO93" s="188"/>
      <c r="TP93" s="187"/>
      <c r="TV93" s="188"/>
      <c r="TW93" s="187"/>
      <c r="UC93" s="188"/>
      <c r="UD93" s="187"/>
      <c r="UF93" s="168"/>
      <c r="UG93" s="189"/>
      <c r="UJ93" s="188"/>
      <c r="UK93" s="187"/>
      <c r="UQ93" s="188"/>
      <c r="UR93" s="187"/>
      <c r="UX93" s="188"/>
      <c r="UY93" s="187"/>
      <c r="VE93" s="188"/>
      <c r="VF93" s="187"/>
      <c r="VK93" s="168"/>
      <c r="VL93" s="191"/>
      <c r="VM93" s="187"/>
      <c r="VS93" s="188"/>
      <c r="VT93" s="187"/>
      <c r="VZ93" s="188"/>
      <c r="WA93" s="187"/>
      <c r="WG93" s="188"/>
      <c r="WH93" s="187"/>
      <c r="WN93" s="188"/>
      <c r="WO93" s="187"/>
      <c r="WP93" s="168"/>
      <c r="WQ93" s="189"/>
      <c r="WU93" s="188"/>
      <c r="WV93" s="187"/>
      <c r="XB93" s="188"/>
      <c r="XC93" s="187"/>
      <c r="XI93" s="188"/>
      <c r="XJ93" s="187"/>
      <c r="XP93" s="188"/>
      <c r="XQ93" s="187"/>
      <c r="XT93" s="168"/>
      <c r="XU93" s="189"/>
      <c r="XW93" s="188"/>
      <c r="XX93" s="187"/>
      <c r="YD93" s="188"/>
      <c r="YE93" s="187"/>
      <c r="YK93" s="188"/>
      <c r="YL93" s="187"/>
      <c r="YR93" s="188"/>
      <c r="YS93" s="187"/>
      <c r="YY93" s="168"/>
      <c r="YZ93" s="189"/>
      <c r="ZF93" s="188"/>
      <c r="ZG93" s="187"/>
      <c r="ZM93" s="188"/>
      <c r="ZN93" s="187"/>
      <c r="ZT93" s="188"/>
      <c r="ZU93" s="187"/>
      <c r="AAA93" s="188"/>
      <c r="AAB93" s="187"/>
      <c r="AAC93" s="168"/>
      <c r="AAD93" s="189"/>
      <c r="AAH93" s="188"/>
      <c r="AAI93" s="187"/>
      <c r="AAO93" s="188"/>
      <c r="AAP93" s="187"/>
      <c r="AAV93" s="188"/>
      <c r="AAW93" s="187"/>
      <c r="ABC93" s="188"/>
      <c r="ABD93" s="187"/>
      <c r="ABH93" s="168"/>
      <c r="ABI93" s="189"/>
      <c r="ABJ93" s="188"/>
      <c r="ABK93" s="187"/>
      <c r="ABQ93" s="188"/>
      <c r="ABR93" s="187"/>
      <c r="ABX93" s="188"/>
      <c r="ABY93" s="187"/>
      <c r="ACE93" s="188"/>
      <c r="ACF93" s="187"/>
      <c r="ACL93" s="188"/>
      <c r="ACM93" s="190"/>
      <c r="ACN93" s="189"/>
      <c r="ACS93" s="188"/>
      <c r="ACT93" s="187"/>
      <c r="ACZ93" s="188"/>
      <c r="ADA93" s="187"/>
      <c r="ADG93" s="188"/>
      <c r="ADH93" s="187"/>
      <c r="ADN93" s="188"/>
      <c r="ADO93" s="190"/>
      <c r="ADP93" s="189"/>
      <c r="ADU93" s="188"/>
      <c r="ADV93" s="187"/>
      <c r="AEB93" s="188"/>
      <c r="AEC93" s="187"/>
      <c r="AEI93" s="188"/>
      <c r="AEJ93" s="187"/>
      <c r="AEP93" s="188"/>
      <c r="AEQ93" s="187"/>
      <c r="AET93" s="168"/>
      <c r="AEU93" s="189"/>
      <c r="AEW93" s="188"/>
      <c r="AEX93" s="187"/>
      <c r="AFD93" s="188"/>
      <c r="AFE93" s="187"/>
      <c r="AFK93" s="188"/>
      <c r="AFL93" s="187"/>
      <c r="AFR93" s="188"/>
      <c r="AFS93" s="187"/>
      <c r="AFX93" s="168"/>
      <c r="AFY93" s="191"/>
      <c r="AFZ93" s="187"/>
      <c r="AGF93" s="188"/>
      <c r="AGG93" s="187"/>
      <c r="AGM93" s="188"/>
      <c r="AGN93" s="187"/>
      <c r="AGT93" s="188"/>
      <c r="AGU93" s="187"/>
      <c r="AHA93" s="188"/>
      <c r="AHB93" s="187"/>
      <c r="AHC93" s="168"/>
      <c r="AHD93" s="189"/>
      <c r="AHH93" s="188"/>
      <c r="AHI93" s="187"/>
      <c r="AHO93" s="188"/>
      <c r="AHP93" s="187"/>
      <c r="AHV93" s="188"/>
      <c r="AHW93" s="187"/>
      <c r="AIC93" s="188"/>
      <c r="AID93" s="187"/>
      <c r="AIG93" s="168"/>
      <c r="AIH93" s="189"/>
      <c r="AIJ93" s="188"/>
      <c r="AIK93" s="187"/>
      <c r="AIQ93" s="188"/>
      <c r="AIR93" s="187"/>
      <c r="AIX93" s="188"/>
      <c r="AIY93" s="187"/>
      <c r="AJE93" s="188"/>
      <c r="AJF93" s="187"/>
      <c r="AJL93" s="168"/>
      <c r="AJM93" s="189"/>
      <c r="AJS93" s="188"/>
      <c r="AJT93" s="187"/>
      <c r="AJZ93" s="188"/>
      <c r="AKA93" s="187"/>
      <c r="AKG93" s="188"/>
      <c r="AKH93" s="187"/>
      <c r="AKN93" s="188"/>
      <c r="AKO93" s="187"/>
      <c r="AKQ93" s="168"/>
      <c r="AKR93" s="189"/>
      <c r="AKU93" s="188"/>
      <c r="AKV93" s="187"/>
      <c r="ALB93" s="188"/>
      <c r="ALC93" s="187"/>
      <c r="ALI93" s="188"/>
      <c r="ALJ93" s="187"/>
      <c r="ALP93" s="188"/>
      <c r="ALQ93" s="187"/>
      <c r="ALU93" s="168"/>
      <c r="ALV93" s="189"/>
      <c r="ALW93" s="188"/>
      <c r="ALX93" s="187"/>
      <c r="AMD93" s="188"/>
      <c r="AME93" s="187"/>
      <c r="AMK93" s="188"/>
      <c r="AML93" s="187"/>
      <c r="AMR93" s="188"/>
      <c r="AMS93" s="187"/>
      <c r="AMY93" s="188"/>
      <c r="AMZ93" s="190"/>
      <c r="ANA93" s="189"/>
      <c r="ANF93" s="188"/>
      <c r="ANG93" s="187"/>
      <c r="ANM93" s="188"/>
      <c r="ANN93" s="187"/>
      <c r="ANT93" s="188"/>
      <c r="ANU93" s="187"/>
      <c r="AOA93" s="188"/>
      <c r="AOB93" s="187"/>
      <c r="AOD93" s="168"/>
      <c r="AOE93" s="189"/>
      <c r="AOH93" s="188"/>
      <c r="AOI93" s="187"/>
      <c r="AOO93" s="188"/>
      <c r="AOP93" s="187"/>
      <c r="AOV93" s="188"/>
      <c r="AOW93" s="187"/>
      <c r="APC93" s="188"/>
      <c r="APD93" s="187"/>
      <c r="API93" s="168"/>
      <c r="APJ93" s="191"/>
      <c r="APK93" s="187"/>
      <c r="APQ93" s="188"/>
      <c r="APR93" s="187"/>
      <c r="APX93" s="188"/>
      <c r="APY93" s="187"/>
      <c r="AQE93" s="188"/>
      <c r="AQF93" s="187"/>
      <c r="AQL93" s="188"/>
      <c r="AQM93" s="187"/>
      <c r="AQN93" s="168"/>
      <c r="AQO93" s="189"/>
      <c r="AQS93" s="188"/>
      <c r="AQT93" s="187"/>
      <c r="AQZ93" s="188"/>
      <c r="ARA93" s="187"/>
      <c r="ARG93" s="188"/>
      <c r="ARH93" s="187"/>
      <c r="ARN93" s="188"/>
      <c r="ARO93" s="187"/>
      <c r="ARP93" s="168"/>
      <c r="ARQ93" s="189"/>
      <c r="ARU93" s="188"/>
      <c r="ARV93" s="187"/>
      <c r="ASB93" s="188"/>
      <c r="ASC93" s="187"/>
      <c r="ASI93" s="188"/>
      <c r="ASJ93" s="187"/>
      <c r="ASP93" s="188"/>
      <c r="ASQ93" s="187"/>
      <c r="ASU93" s="168"/>
      <c r="ASV93" s="189"/>
      <c r="ASW93" s="188"/>
      <c r="ASX93" s="187"/>
      <c r="ATD93" s="188"/>
      <c r="ATE93" s="187"/>
      <c r="ATK93" s="188"/>
      <c r="ATL93" s="187"/>
      <c r="ATR93" s="188"/>
      <c r="ATS93" s="187"/>
      <c r="ATY93" s="168"/>
      <c r="ATZ93" s="189"/>
      <c r="AUF93" s="188"/>
      <c r="AUG93" s="187"/>
      <c r="AUM93" s="188"/>
      <c r="AUN93" s="187"/>
      <c r="AUT93" s="188"/>
      <c r="AUU93" s="187"/>
      <c r="AVA93" s="188"/>
      <c r="AVB93" s="187"/>
      <c r="AVD93" s="168"/>
      <c r="AVE93" s="189"/>
      <c r="AVH93" s="188"/>
      <c r="AVI93" s="187"/>
      <c r="AVO93" s="188"/>
      <c r="AVP93" s="187"/>
      <c r="AVV93" s="188"/>
      <c r="AVW93" s="187"/>
      <c r="AWC93" s="188"/>
      <c r="AWD93" s="187"/>
      <c r="AWH93" s="168"/>
      <c r="AWI93" s="189"/>
      <c r="AWJ93" s="188"/>
      <c r="AWK93" s="187"/>
      <c r="AWQ93" s="188"/>
      <c r="AWR93" s="187"/>
      <c r="AWX93" s="188"/>
      <c r="AWY93" s="187"/>
      <c r="AXE93" s="188"/>
      <c r="AXF93" s="187"/>
      <c r="AXL93" s="188"/>
      <c r="AXM93" s="190"/>
      <c r="AXN93" s="189"/>
      <c r="AXS93" s="188"/>
      <c r="AXT93" s="187"/>
      <c r="AXZ93" s="188"/>
      <c r="AYA93" s="187"/>
      <c r="AYG93" s="188"/>
      <c r="AYH93" s="187"/>
      <c r="AYN93" s="188"/>
      <c r="AYO93" s="187"/>
      <c r="AYR93" s="168"/>
      <c r="AYS93" s="189"/>
      <c r="AYU93" s="188"/>
      <c r="AYV93" s="187"/>
      <c r="AZB93" s="188"/>
      <c r="AZC93" s="187"/>
      <c r="AZI93" s="188"/>
      <c r="AZJ93" s="187"/>
      <c r="AZP93" s="188"/>
      <c r="AZQ93" s="187"/>
      <c r="AZV93" s="168"/>
      <c r="AZW93" s="191"/>
      <c r="AZX93" s="187"/>
      <c r="BAD93" s="188"/>
      <c r="BAE93" s="187"/>
      <c r="BAK93" s="188"/>
      <c r="BAL93" s="187"/>
      <c r="BAR93" s="188"/>
      <c r="BAS93" s="187"/>
      <c r="BAY93" s="188"/>
      <c r="BAZ93" s="187"/>
      <c r="BBA93" s="168"/>
      <c r="BBB93" s="189"/>
      <c r="BBF93" s="188"/>
      <c r="BBG93" s="187"/>
      <c r="BBM93" s="188"/>
      <c r="BBN93" s="187"/>
      <c r="BBT93" s="188"/>
      <c r="BBU93" s="187"/>
      <c r="BCA93" s="188"/>
      <c r="BCB93" s="187"/>
      <c r="BCE93" s="168"/>
      <c r="BCF93" s="189"/>
      <c r="BCH93" s="188"/>
      <c r="BCI93" s="187"/>
      <c r="BCO93" s="188"/>
      <c r="BCP93" s="187"/>
      <c r="BCV93" s="188"/>
      <c r="BCW93" s="187"/>
      <c r="BDC93" s="188"/>
      <c r="BDD93" s="187"/>
      <c r="BDJ93" s="168"/>
      <c r="BDK93" s="189"/>
      <c r="BDQ93" s="188"/>
      <c r="BDR93" s="187"/>
      <c r="BDX93" s="188"/>
      <c r="BDY93" s="187"/>
      <c r="BEE93" s="188"/>
      <c r="BEF93" s="187"/>
      <c r="BEL93" s="188"/>
      <c r="BEM93" s="187"/>
      <c r="BEO93" s="168"/>
      <c r="BEP93" s="189"/>
      <c r="BES93" s="188"/>
      <c r="BET93" s="187"/>
      <c r="BEZ93" s="188"/>
      <c r="BFA93" s="187"/>
      <c r="BFG93" s="188"/>
      <c r="BFH93" s="187"/>
      <c r="BFN93" s="188"/>
      <c r="BFO93" s="187"/>
      <c r="BFQ93" s="168"/>
      <c r="BFR93" s="189"/>
      <c r="BFU93" s="188"/>
      <c r="BFV93" s="187"/>
      <c r="BGB93" s="188"/>
      <c r="BGC93" s="187"/>
      <c r="BGI93" s="188"/>
      <c r="BGJ93" s="187"/>
      <c r="BGP93" s="188"/>
      <c r="BGQ93" s="187"/>
      <c r="BGV93" s="168"/>
      <c r="BGW93" s="191"/>
      <c r="BGX93" s="187"/>
      <c r="BHD93" s="188"/>
      <c r="BHE93" s="187"/>
      <c r="BHK93" s="188"/>
      <c r="BHL93" s="187"/>
      <c r="BHR93" s="188"/>
      <c r="BHS93" s="187"/>
      <c r="BHY93" s="188"/>
      <c r="BHZ93" s="190"/>
      <c r="BIA93" s="189"/>
      <c r="BIF93" s="188"/>
      <c r="BIG93" s="187"/>
      <c r="BIM93" s="188"/>
      <c r="BIN93" s="187"/>
      <c r="BIT93" s="188"/>
      <c r="BIU93" s="187"/>
      <c r="BJA93" s="188"/>
      <c r="BJB93" s="187"/>
      <c r="BJE93" s="168"/>
      <c r="BJF93" s="189"/>
      <c r="BJH93" s="188"/>
      <c r="BJI93" s="187"/>
      <c r="BJO93" s="188"/>
      <c r="BJP93" s="187"/>
      <c r="BJV93" s="188"/>
      <c r="BJW93" s="187"/>
      <c r="BKC93" s="188"/>
      <c r="BKD93" s="187"/>
      <c r="BKI93" s="168"/>
      <c r="BKJ93" s="191"/>
      <c r="BKK93" s="187"/>
      <c r="BKQ93" s="188"/>
      <c r="BKR93" s="187"/>
      <c r="BKX93" s="188"/>
      <c r="BKY93" s="187"/>
      <c r="BLE93" s="188"/>
      <c r="BLF93" s="187"/>
      <c r="BLL93" s="188"/>
      <c r="BLM93" s="187"/>
      <c r="BLN93" s="168"/>
      <c r="BLO93" s="189"/>
      <c r="BLS93" s="188"/>
      <c r="BLT93" s="187"/>
      <c r="BLZ93" s="188"/>
      <c r="BMA93" s="187"/>
      <c r="BMG93" s="188"/>
      <c r="BMH93" s="187"/>
      <c r="BMN93" s="188"/>
      <c r="BMO93" s="187"/>
      <c r="BMS93" s="168"/>
      <c r="BMT93" s="189"/>
      <c r="BMU93" s="188"/>
      <c r="BMV93" s="187"/>
      <c r="BNB93" s="188"/>
      <c r="BNC93" s="187"/>
      <c r="BNI93" s="188"/>
      <c r="BNJ93" s="187"/>
      <c r="BNP93" s="188"/>
      <c r="BNQ93" s="187"/>
      <c r="BNW93" s="168"/>
      <c r="BNX93" s="189"/>
      <c r="BOD93" s="188"/>
      <c r="BOE93" s="187"/>
      <c r="BOK93" s="188"/>
      <c r="BOL93" s="187"/>
      <c r="BOR93" s="188"/>
      <c r="BOS93" s="187"/>
      <c r="BOY93" s="188"/>
      <c r="BOZ93" s="187"/>
      <c r="BPB93" s="168"/>
      <c r="BPC93" s="189"/>
      <c r="BPF93" s="188"/>
      <c r="BPG93" s="187"/>
      <c r="BPM93" s="188"/>
      <c r="BPN93" s="187"/>
      <c r="BPT93" s="188"/>
      <c r="BPU93" s="187"/>
      <c r="BQA93" s="188"/>
      <c r="BQB93" s="187"/>
      <c r="BQF93" s="168"/>
      <c r="BQG93" s="189"/>
      <c r="BQH93" s="188"/>
      <c r="BQI93" s="187"/>
      <c r="BQO93" s="188"/>
      <c r="BQP93" s="187"/>
      <c r="BQV93" s="188"/>
      <c r="BQW93" s="187"/>
      <c r="BRC93" s="188"/>
      <c r="BRD93" s="187"/>
      <c r="BRJ93" s="188"/>
      <c r="BRK93" s="190"/>
      <c r="BRL93" s="189"/>
      <c r="BRQ93" s="188"/>
      <c r="BRR93" s="187"/>
      <c r="BRX93" s="188"/>
      <c r="BRY93" s="187"/>
      <c r="BSE93" s="188"/>
      <c r="BSF93" s="187"/>
      <c r="BSL93" s="188"/>
      <c r="BSM93" s="187"/>
      <c r="BSP93" s="168"/>
      <c r="BSQ93" s="189"/>
      <c r="BSS93" s="188"/>
      <c r="BST93" s="187"/>
      <c r="BSZ93" s="188"/>
      <c r="BTA93" s="187"/>
      <c r="BTG93" s="188"/>
      <c r="BTH93" s="187"/>
      <c r="BTN93" s="188"/>
      <c r="BTO93" s="187"/>
      <c r="BTS93" s="168"/>
      <c r="BTT93" s="189"/>
      <c r="BTU93" s="188"/>
      <c r="BTV93" s="187"/>
      <c r="BUB93" s="188"/>
      <c r="BUC93" s="187"/>
      <c r="BUI93" s="188"/>
      <c r="BUJ93" s="187"/>
      <c r="BUP93" s="188"/>
      <c r="BUQ93" s="187"/>
      <c r="BUW93" s="188"/>
      <c r="BUX93" s="190"/>
      <c r="BUY93" s="189"/>
      <c r="BVD93" s="188"/>
      <c r="BVE93" s="187"/>
      <c r="BVK93" s="188"/>
      <c r="BVL93" s="187"/>
      <c r="BVR93" s="188"/>
      <c r="BVS93" s="187"/>
      <c r="BVY93" s="188"/>
      <c r="BVZ93" s="187"/>
      <c r="BWB93" s="168"/>
      <c r="BWC93" s="189"/>
      <c r="BWF93" s="188"/>
      <c r="BWG93" s="187"/>
      <c r="BWM93" s="188"/>
      <c r="BWN93" s="187"/>
      <c r="BWT93" s="188"/>
      <c r="BWU93" s="187"/>
      <c r="BXA93" s="188"/>
      <c r="BXB93" s="187"/>
      <c r="BXG93" s="168"/>
      <c r="BXH93" s="191"/>
      <c r="BXI93" s="187"/>
      <c r="BXO93" s="188"/>
      <c r="BXP93" s="187"/>
      <c r="BXV93" s="188"/>
      <c r="BXW93" s="187"/>
      <c r="BYC93" s="188"/>
      <c r="BYD93" s="187"/>
      <c r="BYJ93" s="188"/>
      <c r="BYK93" s="190"/>
      <c r="BYL93" s="189"/>
      <c r="BYQ93" s="188"/>
      <c r="BYR93" s="187"/>
      <c r="BYX93" s="188"/>
      <c r="BYY93" s="187"/>
      <c r="BZE93" s="188"/>
      <c r="BZF93" s="187"/>
      <c r="BZL93" s="188"/>
      <c r="BZM93" s="187"/>
      <c r="BZP93" s="168"/>
      <c r="BZQ93" s="189"/>
      <c r="BZS93" s="188"/>
      <c r="BZT93" s="187"/>
      <c r="BZZ93" s="188"/>
      <c r="CAA93" s="187"/>
      <c r="CAG93" s="188"/>
      <c r="CAH93" s="187"/>
      <c r="CAN93" s="188"/>
      <c r="CAO93" s="187"/>
      <c r="CAU93" s="168"/>
      <c r="CAV93" s="189"/>
      <c r="CBB93" s="188"/>
      <c r="CBC93" s="187"/>
      <c r="CBI93" s="188"/>
      <c r="CBJ93" s="187"/>
      <c r="CBP93" s="188"/>
      <c r="CBQ93" s="187"/>
      <c r="CBW93" s="188"/>
      <c r="CBX93" s="187"/>
      <c r="CBY93" s="168"/>
      <c r="CBZ93" s="189"/>
      <c r="CCD93" s="188"/>
      <c r="CCE93" s="187"/>
      <c r="CCK93" s="188"/>
      <c r="CCL93" s="187"/>
      <c r="CCR93" s="188"/>
      <c r="CCS93" s="187"/>
      <c r="CCY93" s="188"/>
      <c r="CCZ93" s="187"/>
      <c r="CDD93" s="168"/>
      <c r="CDE93" s="189"/>
      <c r="CDF93" s="188"/>
      <c r="CDG93" s="187"/>
      <c r="CDM93" s="188"/>
      <c r="CDN93" s="187"/>
      <c r="CDT93" s="188"/>
      <c r="CDU93" s="187"/>
      <c r="CEA93" s="188"/>
      <c r="CEB93" s="187"/>
      <c r="CEH93" s="168"/>
      <c r="CEI93" s="189"/>
      <c r="CEO93" s="188"/>
      <c r="CEP93" s="187"/>
      <c r="CEV93" s="188"/>
      <c r="CEW93" s="187"/>
      <c r="CFC93" s="188"/>
      <c r="CFD93" s="187"/>
      <c r="CFJ93" s="188"/>
      <c r="CFK93" s="187"/>
    </row>
    <row r="94" spans="1:1019 1025:2048 2054:2195">
      <c r="A94" s="164" t="s">
        <v>365</v>
      </c>
      <c r="C94" s="164" t="s">
        <v>366</v>
      </c>
      <c r="D94" s="186"/>
      <c r="E94" s="186"/>
      <c r="K94" s="187"/>
      <c r="Q94" s="188"/>
      <c r="R94" s="187"/>
      <c r="X94" s="188"/>
      <c r="Y94" s="187"/>
      <c r="AE94" s="188"/>
      <c r="AF94" s="187"/>
      <c r="AJ94" s="168"/>
      <c r="AK94" s="189"/>
      <c r="AL94" s="188"/>
      <c r="AM94" s="187"/>
      <c r="AS94" s="188"/>
      <c r="AT94" s="187"/>
      <c r="AZ94" s="188"/>
      <c r="BA94" s="187"/>
      <c r="BG94" s="188"/>
      <c r="BH94" s="187"/>
      <c r="BL94" s="168"/>
      <c r="BM94" s="189"/>
      <c r="BN94" s="188"/>
      <c r="BO94" s="187"/>
      <c r="BU94" s="188"/>
      <c r="BV94" s="187"/>
      <c r="CB94" s="188"/>
      <c r="CC94" s="187"/>
      <c r="CI94" s="188"/>
      <c r="CJ94" s="187"/>
      <c r="CP94" s="188"/>
      <c r="CQ94" s="190"/>
      <c r="CR94" s="189"/>
      <c r="CW94" s="188"/>
      <c r="CX94" s="187"/>
      <c r="DD94" s="188"/>
      <c r="DE94" s="187"/>
      <c r="DK94" s="188"/>
      <c r="DL94" s="187"/>
      <c r="DR94" s="188"/>
      <c r="DS94" s="187"/>
      <c r="DU94" s="168"/>
      <c r="DV94" s="189"/>
      <c r="DY94" s="188"/>
      <c r="DZ94" s="187"/>
      <c r="EF94" s="188"/>
      <c r="EG94" s="187"/>
      <c r="EM94" s="188"/>
      <c r="EN94" s="187"/>
      <c r="ET94" s="188"/>
      <c r="EU94" s="187"/>
      <c r="EZ94" s="168"/>
      <c r="FA94" s="191"/>
      <c r="FB94" s="187"/>
      <c r="FH94" s="188"/>
      <c r="FI94" s="187"/>
      <c r="FO94" s="188"/>
      <c r="FP94" s="187"/>
      <c r="FV94" s="188"/>
      <c r="FW94" s="187"/>
      <c r="GC94" s="188"/>
      <c r="GD94" s="190"/>
      <c r="GE94" s="189"/>
      <c r="GJ94" s="188"/>
      <c r="GK94" s="187"/>
      <c r="GQ94" s="188"/>
      <c r="GR94" s="187"/>
      <c r="GX94" s="188"/>
      <c r="GY94" s="187"/>
      <c r="HE94" s="188"/>
      <c r="HF94" s="187"/>
      <c r="HI94" s="168"/>
      <c r="HJ94" s="189"/>
      <c r="HL94" s="188"/>
      <c r="HM94" s="187"/>
      <c r="HS94" s="188"/>
      <c r="HT94" s="187"/>
      <c r="HZ94" s="188"/>
      <c r="IA94" s="187"/>
      <c r="IG94" s="188"/>
      <c r="IH94" s="187"/>
      <c r="IN94" s="168"/>
      <c r="IO94" s="189"/>
      <c r="IU94" s="188"/>
      <c r="IV94" s="187"/>
      <c r="JB94" s="188"/>
      <c r="JC94" s="187"/>
      <c r="JI94" s="188"/>
      <c r="JJ94" s="187"/>
      <c r="JP94" s="188"/>
      <c r="JQ94" s="187"/>
      <c r="JR94" s="168"/>
      <c r="JS94" s="189"/>
      <c r="JW94" s="188"/>
      <c r="JX94" s="187"/>
      <c r="KD94" s="188"/>
      <c r="KE94" s="187"/>
      <c r="KK94" s="188"/>
      <c r="KL94" s="187"/>
      <c r="KR94" s="188"/>
      <c r="KS94" s="187"/>
      <c r="KW94" s="168"/>
      <c r="KX94" s="189"/>
      <c r="KY94" s="188"/>
      <c r="KZ94" s="187"/>
      <c r="LF94" s="188"/>
      <c r="LG94" s="187"/>
      <c r="LM94" s="188"/>
      <c r="LN94" s="187"/>
      <c r="LT94" s="188"/>
      <c r="LU94" s="187"/>
      <c r="MA94" s="168"/>
      <c r="MB94" s="189"/>
      <c r="MH94" s="188"/>
      <c r="MI94" s="187"/>
      <c r="MO94" s="188"/>
      <c r="MP94" s="187"/>
      <c r="MV94" s="188"/>
      <c r="MW94" s="187"/>
      <c r="NC94" s="188"/>
      <c r="ND94" s="187"/>
      <c r="NF94" s="168"/>
      <c r="NG94" s="189"/>
      <c r="NJ94" s="188"/>
      <c r="NK94" s="187"/>
      <c r="NQ94" s="188"/>
      <c r="NR94" s="187"/>
      <c r="NX94" s="188"/>
      <c r="NY94" s="187"/>
      <c r="OE94" s="188"/>
      <c r="OF94" s="187"/>
      <c r="OK94" s="168"/>
      <c r="OL94" s="191"/>
      <c r="OM94" s="187"/>
      <c r="OS94" s="188"/>
      <c r="OT94" s="187"/>
      <c r="OZ94" s="188"/>
      <c r="PA94" s="187"/>
      <c r="PG94" s="188"/>
      <c r="PH94" s="187"/>
      <c r="PN94" s="168"/>
      <c r="PO94" s="189"/>
      <c r="PU94" s="188"/>
      <c r="PV94" s="187"/>
      <c r="QB94" s="188"/>
      <c r="QC94" s="187"/>
      <c r="QI94" s="188"/>
      <c r="QJ94" s="187"/>
      <c r="QP94" s="188"/>
      <c r="QQ94" s="187"/>
      <c r="QS94" s="168"/>
      <c r="QT94" s="189"/>
      <c r="QW94" s="188"/>
      <c r="QX94" s="187"/>
      <c r="RD94" s="188"/>
      <c r="RE94" s="187"/>
      <c r="RK94" s="188"/>
      <c r="RL94" s="187"/>
      <c r="RR94" s="188"/>
      <c r="RS94" s="187"/>
      <c r="RW94" s="168"/>
      <c r="RX94" s="189"/>
      <c r="RY94" s="188"/>
      <c r="RZ94" s="187"/>
      <c r="SF94" s="188"/>
      <c r="SG94" s="187"/>
      <c r="SM94" s="188"/>
      <c r="SN94" s="187"/>
      <c r="ST94" s="188"/>
      <c r="SU94" s="187"/>
      <c r="TA94" s="188"/>
      <c r="TB94" s="190"/>
      <c r="TC94" s="189"/>
      <c r="TH94" s="188"/>
      <c r="TI94" s="187"/>
      <c r="TO94" s="188"/>
      <c r="TP94" s="187"/>
      <c r="TV94" s="188"/>
      <c r="TW94" s="187"/>
      <c r="UC94" s="188"/>
      <c r="UD94" s="187"/>
      <c r="UF94" s="168"/>
      <c r="UG94" s="189"/>
      <c r="UJ94" s="188"/>
      <c r="UK94" s="187"/>
      <c r="UQ94" s="188"/>
      <c r="UR94" s="187"/>
      <c r="UX94" s="188"/>
      <c r="UY94" s="187"/>
      <c r="VE94" s="188"/>
      <c r="VF94" s="187"/>
      <c r="VK94" s="168"/>
      <c r="VL94" s="191"/>
      <c r="VM94" s="187"/>
      <c r="VS94" s="188"/>
      <c r="VT94" s="187"/>
      <c r="VZ94" s="188"/>
      <c r="WA94" s="187"/>
      <c r="WG94" s="188"/>
      <c r="WH94" s="187"/>
      <c r="WN94" s="188"/>
      <c r="WO94" s="187"/>
      <c r="WP94" s="168"/>
      <c r="WQ94" s="189"/>
      <c r="WU94" s="188"/>
      <c r="WV94" s="187"/>
      <c r="XB94" s="188"/>
      <c r="XC94" s="187"/>
      <c r="XI94" s="188"/>
      <c r="XJ94" s="187"/>
      <c r="XP94" s="188"/>
      <c r="XQ94" s="187"/>
      <c r="XT94" s="168"/>
      <c r="XU94" s="189"/>
      <c r="XW94" s="188"/>
      <c r="XX94" s="187"/>
      <c r="YD94" s="188"/>
      <c r="YE94" s="187"/>
      <c r="YK94" s="188"/>
      <c r="YL94" s="187"/>
      <c r="YR94" s="188"/>
      <c r="YS94" s="187"/>
      <c r="YY94" s="168"/>
      <c r="YZ94" s="189"/>
      <c r="ZF94" s="188"/>
      <c r="ZG94" s="187"/>
      <c r="ZM94" s="188"/>
      <c r="ZN94" s="187"/>
      <c r="ZT94" s="188"/>
      <c r="ZU94" s="187"/>
      <c r="AAA94" s="188"/>
      <c r="AAB94" s="187"/>
      <c r="AAC94" s="168"/>
      <c r="AAD94" s="189"/>
      <c r="AAH94" s="188"/>
      <c r="AAI94" s="187"/>
      <c r="AAO94" s="188"/>
      <c r="AAP94" s="187"/>
      <c r="AAV94" s="188"/>
      <c r="AAW94" s="187"/>
      <c r="ABC94" s="188"/>
      <c r="ABD94" s="187"/>
      <c r="ABH94" s="168"/>
      <c r="ABI94" s="189"/>
      <c r="ABJ94" s="188"/>
      <c r="ABK94" s="187"/>
      <c r="ABQ94" s="188"/>
      <c r="ABR94" s="187"/>
      <c r="ABX94" s="188"/>
      <c r="ABY94" s="187"/>
      <c r="ACE94" s="188"/>
      <c r="ACF94" s="187"/>
      <c r="ACL94" s="188"/>
      <c r="ACM94" s="190"/>
      <c r="ACN94" s="189"/>
      <c r="ACS94" s="188"/>
      <c r="ACT94" s="187"/>
      <c r="ACZ94" s="188"/>
      <c r="ADA94" s="187"/>
      <c r="ADG94" s="188"/>
      <c r="ADH94" s="187"/>
      <c r="ADN94" s="188"/>
      <c r="ADO94" s="190"/>
      <c r="ADP94" s="189"/>
      <c r="ADU94" s="188"/>
      <c r="ADV94" s="187"/>
      <c r="AEB94" s="188"/>
      <c r="AEC94" s="187"/>
      <c r="AEI94" s="188"/>
      <c r="AEJ94" s="187"/>
      <c r="AEP94" s="188"/>
      <c r="AEQ94" s="187"/>
      <c r="AET94" s="168"/>
      <c r="AEU94" s="189"/>
      <c r="AEW94" s="188"/>
      <c r="AEX94" s="187"/>
      <c r="AFD94" s="188"/>
      <c r="AFE94" s="187"/>
      <c r="AFK94" s="188"/>
      <c r="AFL94" s="187"/>
      <c r="AFR94" s="188"/>
      <c r="AFS94" s="187"/>
      <c r="AFX94" s="168"/>
      <c r="AFY94" s="191"/>
      <c r="AFZ94" s="187"/>
      <c r="AGF94" s="188"/>
      <c r="AGG94" s="187"/>
      <c r="AGM94" s="188"/>
      <c r="AGN94" s="187"/>
      <c r="AGT94" s="188"/>
      <c r="AGU94" s="187"/>
      <c r="AHA94" s="188"/>
      <c r="AHB94" s="187"/>
      <c r="AHC94" s="168"/>
      <c r="AHD94" s="189"/>
      <c r="AHH94" s="188"/>
      <c r="AHI94" s="187"/>
      <c r="AHO94" s="188"/>
      <c r="AHP94" s="187"/>
      <c r="AHV94" s="188"/>
      <c r="AHW94" s="187"/>
      <c r="AIC94" s="188"/>
      <c r="AID94" s="187"/>
      <c r="AIG94" s="168"/>
      <c r="AIH94" s="189"/>
      <c r="AIJ94" s="188"/>
      <c r="AIK94" s="187"/>
      <c r="AIQ94" s="188"/>
      <c r="AIR94" s="187"/>
      <c r="AIX94" s="188"/>
      <c r="AIY94" s="187"/>
      <c r="AJE94" s="188"/>
      <c r="AJF94" s="187"/>
      <c r="AJL94" s="168"/>
      <c r="AJM94" s="189"/>
      <c r="AJS94" s="188"/>
      <c r="AJT94" s="187"/>
      <c r="AJZ94" s="188"/>
      <c r="AKA94" s="187"/>
      <c r="AKG94" s="188"/>
      <c r="AKH94" s="187"/>
      <c r="AKN94" s="188"/>
      <c r="AKO94" s="187"/>
      <c r="AKQ94" s="168"/>
      <c r="AKR94" s="189"/>
      <c r="AKU94" s="188"/>
      <c r="AKV94" s="187"/>
      <c r="ALB94" s="188"/>
      <c r="ALC94" s="187"/>
      <c r="ALI94" s="188"/>
      <c r="ALJ94" s="187"/>
      <c r="ALP94" s="188"/>
      <c r="ALQ94" s="187"/>
      <c r="ALU94" s="168"/>
      <c r="ALV94" s="189"/>
      <c r="ALW94" s="188"/>
      <c r="ALX94" s="187"/>
      <c r="AMD94" s="188"/>
      <c r="AME94" s="187"/>
      <c r="AMK94" s="188"/>
      <c r="AML94" s="187"/>
      <c r="AMR94" s="188"/>
      <c r="AMS94" s="187"/>
      <c r="AMY94" s="188"/>
      <c r="AMZ94" s="190"/>
      <c r="ANA94" s="189"/>
      <c r="ANF94" s="188"/>
      <c r="ANG94" s="187"/>
      <c r="ANM94" s="188"/>
      <c r="ANN94" s="187"/>
      <c r="ANT94" s="188"/>
      <c r="ANU94" s="187"/>
      <c r="AOA94" s="188"/>
      <c r="AOB94" s="187"/>
      <c r="AOD94" s="168"/>
      <c r="AOE94" s="189"/>
      <c r="AOH94" s="188"/>
      <c r="AOI94" s="187"/>
      <c r="AOO94" s="188"/>
      <c r="AOP94" s="187"/>
      <c r="AOV94" s="188"/>
      <c r="AOW94" s="187"/>
      <c r="APC94" s="188"/>
      <c r="APD94" s="187"/>
      <c r="API94" s="168"/>
      <c r="APJ94" s="191"/>
      <c r="APK94" s="187"/>
      <c r="APQ94" s="188"/>
      <c r="APR94" s="187"/>
      <c r="APX94" s="188"/>
      <c r="APY94" s="187"/>
      <c r="AQE94" s="188"/>
      <c r="AQF94" s="187"/>
      <c r="AQL94" s="188"/>
      <c r="AQM94" s="187"/>
      <c r="AQN94" s="168"/>
      <c r="AQO94" s="189"/>
      <c r="AQS94" s="188"/>
      <c r="AQT94" s="187"/>
      <c r="AQZ94" s="188"/>
      <c r="ARA94" s="187"/>
      <c r="ARG94" s="188"/>
      <c r="ARH94" s="187"/>
      <c r="ARN94" s="188"/>
      <c r="ARO94" s="187"/>
      <c r="ARP94" s="168"/>
      <c r="ARQ94" s="189"/>
      <c r="ARU94" s="188"/>
      <c r="ARV94" s="187"/>
      <c r="ASB94" s="188"/>
      <c r="ASC94" s="187"/>
      <c r="ASI94" s="188"/>
      <c r="ASJ94" s="187"/>
      <c r="ASP94" s="188"/>
      <c r="ASQ94" s="187"/>
      <c r="ASU94" s="168"/>
      <c r="ASV94" s="189"/>
      <c r="ASW94" s="188"/>
      <c r="ASX94" s="187"/>
      <c r="ATD94" s="188"/>
      <c r="ATE94" s="187"/>
      <c r="ATK94" s="188"/>
      <c r="ATL94" s="187"/>
      <c r="ATR94" s="188"/>
      <c r="ATS94" s="187"/>
      <c r="ATY94" s="168"/>
      <c r="ATZ94" s="189"/>
      <c r="AUF94" s="188"/>
      <c r="AUG94" s="187"/>
      <c r="AUM94" s="188"/>
      <c r="AUN94" s="187"/>
      <c r="AUT94" s="188"/>
      <c r="AUU94" s="187"/>
      <c r="AVA94" s="188"/>
      <c r="AVB94" s="187"/>
      <c r="AVD94" s="168"/>
      <c r="AVE94" s="189"/>
      <c r="AVH94" s="188"/>
      <c r="AVI94" s="187"/>
      <c r="AVO94" s="188"/>
      <c r="AVP94" s="187"/>
      <c r="AVV94" s="188"/>
      <c r="AVW94" s="187"/>
      <c r="AWC94" s="188"/>
      <c r="AWD94" s="187"/>
      <c r="AWH94" s="168"/>
      <c r="AWI94" s="189"/>
      <c r="AWJ94" s="188"/>
      <c r="AWK94" s="187"/>
      <c r="AWQ94" s="188"/>
      <c r="AWR94" s="187"/>
      <c r="AWX94" s="188"/>
      <c r="AWY94" s="187"/>
      <c r="AXE94" s="188"/>
      <c r="AXF94" s="187"/>
      <c r="AXL94" s="188"/>
      <c r="AXM94" s="190"/>
      <c r="AXN94" s="189"/>
      <c r="AXS94" s="188"/>
      <c r="AXT94" s="187"/>
      <c r="AXZ94" s="188"/>
      <c r="AYA94" s="187"/>
      <c r="AYG94" s="188"/>
      <c r="AYH94" s="187"/>
      <c r="AYN94" s="188"/>
      <c r="AYO94" s="187"/>
      <c r="AYR94" s="168"/>
      <c r="AYS94" s="189"/>
      <c r="AYU94" s="188"/>
      <c r="AYV94" s="187"/>
      <c r="AZB94" s="188"/>
      <c r="AZC94" s="187"/>
      <c r="AZI94" s="188"/>
      <c r="AZJ94" s="187"/>
      <c r="AZP94" s="188"/>
      <c r="AZQ94" s="187"/>
      <c r="AZV94" s="168"/>
      <c r="AZW94" s="191"/>
      <c r="AZX94" s="187"/>
      <c r="BAD94" s="188"/>
      <c r="BAE94" s="187"/>
      <c r="BAK94" s="188"/>
      <c r="BAL94" s="187"/>
      <c r="BAR94" s="188"/>
      <c r="BAS94" s="187"/>
      <c r="BAY94" s="188"/>
      <c r="BAZ94" s="187"/>
      <c r="BBA94" s="168"/>
      <c r="BBB94" s="189"/>
      <c r="BBF94" s="188"/>
      <c r="BBG94" s="187"/>
      <c r="BBM94" s="188"/>
      <c r="BBN94" s="187"/>
      <c r="BBT94" s="188"/>
      <c r="BBU94" s="187"/>
      <c r="BCA94" s="188"/>
      <c r="BCB94" s="187"/>
      <c r="BCE94" s="168"/>
      <c r="BCF94" s="189"/>
      <c r="BCH94" s="188"/>
      <c r="BCI94" s="187"/>
      <c r="BCO94" s="188"/>
      <c r="BCP94" s="187"/>
      <c r="BCV94" s="188"/>
      <c r="BCW94" s="187"/>
      <c r="BDC94" s="188"/>
      <c r="BDD94" s="187"/>
      <c r="BDJ94" s="168"/>
      <c r="BDK94" s="189"/>
      <c r="BDQ94" s="188"/>
      <c r="BDR94" s="187"/>
      <c r="BDX94" s="188"/>
      <c r="BDY94" s="187"/>
      <c r="BEE94" s="188"/>
      <c r="BEF94" s="187"/>
      <c r="BEL94" s="188"/>
      <c r="BEM94" s="187"/>
      <c r="BEO94" s="168"/>
      <c r="BEP94" s="189"/>
      <c r="BES94" s="188"/>
      <c r="BET94" s="187"/>
      <c r="BEZ94" s="188"/>
      <c r="BFA94" s="187"/>
      <c r="BFG94" s="188"/>
      <c r="BFH94" s="187"/>
      <c r="BFN94" s="188"/>
      <c r="BFO94" s="187"/>
      <c r="BFQ94" s="168"/>
      <c r="BFR94" s="189"/>
      <c r="BFU94" s="188"/>
      <c r="BFV94" s="187"/>
      <c r="BGB94" s="188"/>
      <c r="BGC94" s="187"/>
      <c r="BGI94" s="188"/>
      <c r="BGJ94" s="187"/>
      <c r="BGP94" s="188"/>
      <c r="BGQ94" s="187"/>
      <c r="BGV94" s="168"/>
      <c r="BGW94" s="191"/>
      <c r="BGX94" s="187"/>
      <c r="BHD94" s="188"/>
      <c r="BHE94" s="187"/>
      <c r="BHK94" s="188"/>
      <c r="BHL94" s="187"/>
      <c r="BHR94" s="188"/>
      <c r="BHS94" s="187"/>
      <c r="BHY94" s="188"/>
      <c r="BHZ94" s="190"/>
      <c r="BIA94" s="189"/>
      <c r="BIF94" s="188"/>
      <c r="BIG94" s="187"/>
      <c r="BIM94" s="188"/>
      <c r="BIN94" s="187"/>
      <c r="BIT94" s="188"/>
      <c r="BIU94" s="187"/>
      <c r="BJA94" s="188"/>
      <c r="BJB94" s="187"/>
      <c r="BJE94" s="168"/>
      <c r="BJF94" s="189"/>
      <c r="BJH94" s="188"/>
      <c r="BJI94" s="187"/>
      <c r="BJO94" s="188"/>
      <c r="BJP94" s="187"/>
      <c r="BJV94" s="188"/>
      <c r="BJW94" s="187"/>
      <c r="BKC94" s="188"/>
      <c r="BKD94" s="187"/>
      <c r="BKI94" s="168"/>
      <c r="BKJ94" s="191"/>
      <c r="BKK94" s="187"/>
      <c r="BKQ94" s="188"/>
      <c r="BKR94" s="187"/>
      <c r="BKX94" s="188"/>
      <c r="BKY94" s="187"/>
      <c r="BLE94" s="188"/>
      <c r="BLF94" s="187"/>
      <c r="BLL94" s="188"/>
      <c r="BLM94" s="187"/>
      <c r="BLN94" s="168"/>
      <c r="BLO94" s="189"/>
      <c r="BLS94" s="188"/>
      <c r="BLT94" s="187"/>
      <c r="BLZ94" s="188"/>
      <c r="BMA94" s="187"/>
      <c r="BMG94" s="188"/>
      <c r="BMH94" s="187"/>
      <c r="BMN94" s="188"/>
      <c r="BMO94" s="187"/>
      <c r="BMS94" s="168"/>
      <c r="BMT94" s="189"/>
      <c r="BMU94" s="188"/>
      <c r="BMV94" s="187"/>
      <c r="BNB94" s="188"/>
      <c r="BNC94" s="187"/>
      <c r="BNI94" s="188"/>
      <c r="BNJ94" s="187"/>
      <c r="BNP94" s="188"/>
      <c r="BNQ94" s="187"/>
      <c r="BNW94" s="168"/>
      <c r="BNX94" s="189"/>
      <c r="BOD94" s="188"/>
      <c r="BOE94" s="187"/>
      <c r="BOK94" s="188"/>
      <c r="BOL94" s="187"/>
      <c r="BOR94" s="188"/>
      <c r="BOS94" s="187"/>
      <c r="BOY94" s="188"/>
      <c r="BOZ94" s="187"/>
      <c r="BPB94" s="168"/>
      <c r="BPC94" s="189"/>
      <c r="BPF94" s="188"/>
      <c r="BPG94" s="187"/>
      <c r="BPM94" s="188"/>
      <c r="BPN94" s="187"/>
      <c r="BPT94" s="188"/>
      <c r="BPU94" s="187"/>
      <c r="BQA94" s="188"/>
      <c r="BQB94" s="187"/>
      <c r="BQF94" s="168"/>
      <c r="BQG94" s="189"/>
      <c r="BQH94" s="188"/>
      <c r="BQI94" s="187"/>
      <c r="BQO94" s="188"/>
      <c r="BQP94" s="187"/>
      <c r="BQV94" s="188"/>
      <c r="BQW94" s="187"/>
      <c r="BRC94" s="188"/>
      <c r="BRD94" s="187"/>
      <c r="BRJ94" s="188"/>
      <c r="BRK94" s="190"/>
      <c r="BRL94" s="189"/>
      <c r="BRQ94" s="188"/>
      <c r="BRR94" s="187"/>
      <c r="BRX94" s="188"/>
      <c r="BRY94" s="187"/>
      <c r="BSE94" s="188"/>
      <c r="BSF94" s="187"/>
      <c r="BSL94" s="188"/>
      <c r="BSM94" s="187"/>
      <c r="BSP94" s="168"/>
      <c r="BSQ94" s="189"/>
      <c r="BSS94" s="188"/>
      <c r="BST94" s="187"/>
      <c r="BSZ94" s="188"/>
      <c r="BTA94" s="187"/>
      <c r="BTG94" s="188"/>
      <c r="BTH94" s="187"/>
      <c r="BTN94" s="188"/>
      <c r="BTO94" s="187"/>
      <c r="BTS94" s="168"/>
      <c r="BTT94" s="189"/>
      <c r="BTU94" s="188"/>
      <c r="BTV94" s="187"/>
      <c r="BUB94" s="188"/>
      <c r="BUC94" s="187"/>
      <c r="BUI94" s="188"/>
      <c r="BUJ94" s="187"/>
      <c r="BUP94" s="188"/>
      <c r="BUQ94" s="187"/>
      <c r="BUW94" s="188"/>
      <c r="BUX94" s="190"/>
      <c r="BUY94" s="189"/>
      <c r="BVD94" s="188"/>
      <c r="BVE94" s="187"/>
      <c r="BVK94" s="188"/>
      <c r="BVL94" s="187"/>
      <c r="BVR94" s="188"/>
      <c r="BVS94" s="187"/>
      <c r="BVY94" s="188"/>
      <c r="BVZ94" s="187"/>
      <c r="BWB94" s="168"/>
      <c r="BWC94" s="189"/>
      <c r="BWF94" s="188"/>
      <c r="BWG94" s="187"/>
      <c r="BWM94" s="188"/>
      <c r="BWN94" s="187"/>
      <c r="BWT94" s="188"/>
      <c r="BWU94" s="187"/>
      <c r="BXA94" s="188"/>
      <c r="BXB94" s="187"/>
      <c r="BXG94" s="168"/>
      <c r="BXH94" s="191"/>
      <c r="BXI94" s="187"/>
      <c r="BXO94" s="188"/>
      <c r="BXP94" s="187"/>
      <c r="BXV94" s="188"/>
      <c r="BXW94" s="187"/>
      <c r="BYC94" s="188"/>
      <c r="BYD94" s="187"/>
      <c r="BYJ94" s="188"/>
      <c r="BYK94" s="190"/>
      <c r="BYL94" s="189"/>
      <c r="BYQ94" s="188"/>
      <c r="BYR94" s="187"/>
      <c r="BYX94" s="188"/>
      <c r="BYY94" s="187"/>
      <c r="BZE94" s="188"/>
      <c r="BZF94" s="187"/>
      <c r="BZL94" s="188"/>
      <c r="BZM94" s="187"/>
      <c r="BZP94" s="168"/>
      <c r="BZQ94" s="189"/>
      <c r="BZS94" s="188"/>
      <c r="BZT94" s="187"/>
      <c r="BZZ94" s="188"/>
      <c r="CAA94" s="187"/>
      <c r="CAG94" s="188"/>
      <c r="CAH94" s="187"/>
      <c r="CAN94" s="188"/>
      <c r="CAO94" s="187"/>
      <c r="CAU94" s="168"/>
      <c r="CAV94" s="189"/>
      <c r="CBB94" s="188"/>
      <c r="CBC94" s="187"/>
      <c r="CBI94" s="188"/>
      <c r="CBJ94" s="187"/>
      <c r="CBP94" s="188"/>
      <c r="CBQ94" s="187"/>
      <c r="CBW94" s="188"/>
      <c r="CBX94" s="187"/>
      <c r="CBY94" s="168"/>
      <c r="CBZ94" s="189"/>
      <c r="CCD94" s="188"/>
      <c r="CCE94" s="187"/>
      <c r="CCK94" s="188"/>
      <c r="CCL94" s="187"/>
      <c r="CCR94" s="188"/>
      <c r="CCS94" s="187"/>
      <c r="CCY94" s="188"/>
      <c r="CCZ94" s="187"/>
      <c r="CDD94" s="168"/>
      <c r="CDE94" s="189"/>
      <c r="CDF94" s="188"/>
      <c r="CDG94" s="187"/>
      <c r="CDM94" s="188"/>
      <c r="CDN94" s="187"/>
      <c r="CDT94" s="188"/>
      <c r="CDU94" s="187"/>
      <c r="CEA94" s="188"/>
      <c r="CEB94" s="187"/>
      <c r="CEH94" s="168"/>
      <c r="CEI94" s="189"/>
      <c r="CEO94" s="188"/>
      <c r="CEP94" s="187"/>
      <c r="CEV94" s="188"/>
      <c r="CEW94" s="187"/>
      <c r="CFC94" s="188"/>
      <c r="CFD94" s="187"/>
      <c r="CFJ94" s="188"/>
      <c r="CFK94" s="187"/>
    </row>
    <row r="95" spans="1:1019 1025:2048 2054:2195">
      <c r="A95" s="164" t="s">
        <v>367</v>
      </c>
      <c r="C95" s="164" t="s">
        <v>368</v>
      </c>
      <c r="D95" s="186"/>
      <c r="E95" s="186"/>
      <c r="K95" s="187"/>
      <c r="Q95" s="188"/>
      <c r="R95" s="187"/>
      <c r="X95" s="188"/>
      <c r="Y95" s="187"/>
      <c r="AE95" s="188"/>
      <c r="AF95" s="187"/>
      <c r="AJ95" s="168"/>
      <c r="AK95" s="189"/>
      <c r="AL95" s="188"/>
      <c r="AM95" s="187"/>
      <c r="AS95" s="188"/>
      <c r="AT95" s="187"/>
      <c r="AZ95" s="188"/>
      <c r="BA95" s="187"/>
      <c r="BG95" s="188"/>
      <c r="BH95" s="187"/>
      <c r="BL95" s="168"/>
      <c r="BM95" s="189"/>
      <c r="BN95" s="188"/>
      <c r="BO95" s="187"/>
      <c r="BU95" s="188"/>
      <c r="BV95" s="187"/>
      <c r="CB95" s="188"/>
      <c r="CC95" s="187"/>
      <c r="CI95" s="188"/>
      <c r="CJ95" s="187"/>
      <c r="CP95" s="188"/>
      <c r="CQ95" s="190"/>
      <c r="CR95" s="189"/>
      <c r="CW95" s="188"/>
      <c r="CX95" s="187"/>
      <c r="DD95" s="188"/>
      <c r="DE95" s="187"/>
      <c r="DK95" s="188"/>
      <c r="DL95" s="187"/>
      <c r="DR95" s="188"/>
      <c r="DS95" s="187"/>
      <c r="DU95" s="168"/>
      <c r="DV95" s="189"/>
      <c r="DY95" s="188"/>
      <c r="DZ95" s="187"/>
      <c r="EF95" s="188"/>
      <c r="EG95" s="187"/>
      <c r="EM95" s="188"/>
      <c r="EN95" s="187"/>
      <c r="ET95" s="188"/>
      <c r="EU95" s="187"/>
      <c r="EZ95" s="168"/>
      <c r="FA95" s="191"/>
      <c r="FB95" s="187"/>
      <c r="FH95" s="188"/>
      <c r="FI95" s="187"/>
      <c r="FO95" s="188"/>
      <c r="FP95" s="187"/>
      <c r="FV95" s="188"/>
      <c r="FW95" s="187"/>
      <c r="GC95" s="188"/>
      <c r="GD95" s="190"/>
      <c r="GE95" s="189"/>
      <c r="GJ95" s="188"/>
      <c r="GK95" s="187"/>
      <c r="GQ95" s="188"/>
      <c r="GR95" s="187"/>
      <c r="GX95" s="188"/>
      <c r="GY95" s="187"/>
      <c r="HE95" s="188"/>
      <c r="HF95" s="187"/>
      <c r="HI95" s="168"/>
      <c r="HJ95" s="189"/>
      <c r="HL95" s="188"/>
      <c r="HM95" s="187"/>
      <c r="HS95" s="188"/>
      <c r="HT95" s="187"/>
      <c r="HZ95" s="188"/>
      <c r="IA95" s="187"/>
      <c r="IG95" s="188"/>
      <c r="IH95" s="187"/>
      <c r="IN95" s="168"/>
      <c r="IO95" s="189"/>
      <c r="IU95" s="188"/>
      <c r="IV95" s="187"/>
      <c r="JB95" s="188"/>
      <c r="JC95" s="187"/>
      <c r="JI95" s="188"/>
      <c r="JJ95" s="187"/>
      <c r="JP95" s="188"/>
      <c r="JQ95" s="187"/>
      <c r="JR95" s="168"/>
      <c r="JS95" s="189"/>
      <c r="JW95" s="188"/>
      <c r="JX95" s="187"/>
      <c r="KD95" s="188"/>
      <c r="KE95" s="187"/>
      <c r="KK95" s="188"/>
      <c r="KL95" s="187"/>
      <c r="KR95" s="188"/>
      <c r="KS95" s="187"/>
      <c r="KW95" s="168"/>
      <c r="KX95" s="189"/>
      <c r="KY95" s="188"/>
      <c r="KZ95" s="187"/>
      <c r="LF95" s="188"/>
      <c r="LG95" s="187"/>
      <c r="LM95" s="188"/>
      <c r="LN95" s="187"/>
      <c r="LT95" s="188"/>
      <c r="LU95" s="187"/>
      <c r="MA95" s="168"/>
      <c r="MB95" s="189"/>
      <c r="MH95" s="188"/>
      <c r="MI95" s="187"/>
      <c r="MO95" s="188"/>
      <c r="MP95" s="187"/>
      <c r="MV95" s="188"/>
      <c r="MW95" s="187"/>
      <c r="NC95" s="188"/>
      <c r="ND95" s="187"/>
      <c r="NF95" s="168"/>
      <c r="NG95" s="189"/>
      <c r="NJ95" s="188"/>
      <c r="NK95" s="187"/>
      <c r="NQ95" s="188"/>
      <c r="NR95" s="187"/>
      <c r="NX95" s="188"/>
      <c r="NY95" s="187"/>
      <c r="OE95" s="188"/>
      <c r="OF95" s="187"/>
      <c r="OK95" s="168"/>
      <c r="OL95" s="191"/>
      <c r="OM95" s="187"/>
      <c r="OS95" s="188"/>
      <c r="OT95" s="187"/>
      <c r="OZ95" s="188"/>
      <c r="PA95" s="187"/>
      <c r="PG95" s="188"/>
      <c r="PH95" s="187"/>
      <c r="PN95" s="168"/>
      <c r="PO95" s="189"/>
      <c r="PU95" s="188"/>
      <c r="PV95" s="187"/>
      <c r="QB95" s="188"/>
      <c r="QC95" s="187"/>
      <c r="QI95" s="188"/>
      <c r="QJ95" s="187"/>
      <c r="QP95" s="188"/>
      <c r="QQ95" s="187"/>
      <c r="QS95" s="168"/>
      <c r="QT95" s="189"/>
      <c r="QW95" s="188"/>
      <c r="QX95" s="187"/>
      <c r="RD95" s="188"/>
      <c r="RE95" s="187"/>
      <c r="RK95" s="188"/>
      <c r="RL95" s="187"/>
      <c r="RR95" s="188"/>
      <c r="RS95" s="187"/>
      <c r="RW95" s="168"/>
      <c r="RX95" s="189"/>
      <c r="RY95" s="188"/>
      <c r="RZ95" s="187"/>
      <c r="SF95" s="188"/>
      <c r="SG95" s="187"/>
      <c r="SM95" s="188"/>
      <c r="SN95" s="187"/>
      <c r="ST95" s="188"/>
      <c r="SU95" s="187"/>
      <c r="TA95" s="188"/>
      <c r="TB95" s="190"/>
      <c r="TC95" s="189"/>
      <c r="TH95" s="188"/>
      <c r="TI95" s="187"/>
      <c r="TO95" s="188"/>
      <c r="TP95" s="187"/>
      <c r="TV95" s="188"/>
      <c r="TW95" s="187"/>
      <c r="UC95" s="188"/>
      <c r="UD95" s="187"/>
      <c r="UF95" s="168"/>
      <c r="UG95" s="189"/>
      <c r="UJ95" s="188"/>
      <c r="UK95" s="187"/>
      <c r="UQ95" s="188"/>
      <c r="UR95" s="187"/>
      <c r="UX95" s="188"/>
      <c r="UY95" s="187"/>
      <c r="VE95" s="188"/>
      <c r="VF95" s="187"/>
      <c r="VK95" s="168"/>
      <c r="VL95" s="191"/>
      <c r="VM95" s="187"/>
      <c r="VS95" s="188"/>
      <c r="VT95" s="187"/>
      <c r="VZ95" s="188"/>
      <c r="WA95" s="187"/>
      <c r="WG95" s="188"/>
      <c r="WH95" s="187"/>
      <c r="WN95" s="188"/>
      <c r="WO95" s="187"/>
      <c r="WP95" s="168"/>
      <c r="WQ95" s="189"/>
      <c r="WU95" s="188"/>
      <c r="WV95" s="187"/>
      <c r="XB95" s="188"/>
      <c r="XC95" s="187"/>
      <c r="XI95" s="188"/>
      <c r="XJ95" s="187"/>
      <c r="XP95" s="188"/>
      <c r="XQ95" s="187"/>
      <c r="XT95" s="168"/>
      <c r="XU95" s="189"/>
      <c r="XW95" s="188"/>
      <c r="XX95" s="187"/>
      <c r="YD95" s="188"/>
      <c r="YE95" s="187"/>
      <c r="YK95" s="188"/>
      <c r="YL95" s="187"/>
      <c r="YR95" s="188"/>
      <c r="YS95" s="187"/>
      <c r="YY95" s="168"/>
      <c r="YZ95" s="189"/>
      <c r="ZF95" s="188"/>
      <c r="ZG95" s="187"/>
      <c r="ZM95" s="188"/>
      <c r="ZN95" s="187"/>
      <c r="ZT95" s="188"/>
      <c r="ZU95" s="187"/>
      <c r="AAA95" s="188"/>
      <c r="AAB95" s="187"/>
      <c r="AAC95" s="168"/>
      <c r="AAD95" s="189"/>
      <c r="AAH95" s="188"/>
      <c r="AAI95" s="187"/>
      <c r="AAO95" s="188"/>
      <c r="AAP95" s="187"/>
      <c r="AAV95" s="188"/>
      <c r="AAW95" s="187"/>
      <c r="ABC95" s="188"/>
      <c r="ABD95" s="187"/>
      <c r="ABH95" s="168"/>
      <c r="ABI95" s="189"/>
      <c r="ABJ95" s="188"/>
      <c r="ABK95" s="187"/>
      <c r="ABQ95" s="188"/>
      <c r="ABR95" s="187"/>
      <c r="ABX95" s="188"/>
      <c r="ABY95" s="187"/>
      <c r="ACE95" s="188"/>
      <c r="ACF95" s="187"/>
      <c r="ACL95" s="188"/>
      <c r="ACM95" s="190"/>
      <c r="ACN95" s="189"/>
      <c r="ACS95" s="188"/>
      <c r="ACT95" s="187"/>
      <c r="ACZ95" s="188"/>
      <c r="ADA95" s="187"/>
      <c r="ADG95" s="188"/>
      <c r="ADH95" s="187"/>
      <c r="ADN95" s="188"/>
      <c r="ADO95" s="190"/>
      <c r="ADP95" s="189"/>
      <c r="ADU95" s="188"/>
      <c r="ADV95" s="187"/>
      <c r="AEB95" s="188"/>
      <c r="AEC95" s="187"/>
      <c r="AEI95" s="188"/>
      <c r="AEJ95" s="187"/>
      <c r="AEP95" s="188"/>
      <c r="AEQ95" s="187"/>
      <c r="AET95" s="168"/>
      <c r="AEU95" s="189"/>
      <c r="AEW95" s="188"/>
      <c r="AEX95" s="187"/>
      <c r="AFD95" s="188"/>
      <c r="AFE95" s="187"/>
      <c r="AFK95" s="188"/>
      <c r="AFL95" s="187"/>
      <c r="AFR95" s="188"/>
      <c r="AFS95" s="187"/>
      <c r="AFX95" s="168"/>
      <c r="AFY95" s="191"/>
      <c r="AFZ95" s="187"/>
      <c r="AGF95" s="188"/>
      <c r="AGG95" s="187"/>
      <c r="AGM95" s="188"/>
      <c r="AGN95" s="187"/>
      <c r="AGT95" s="188"/>
      <c r="AGU95" s="187"/>
      <c r="AHA95" s="188"/>
      <c r="AHB95" s="187"/>
      <c r="AHC95" s="168"/>
      <c r="AHD95" s="189"/>
      <c r="AHH95" s="188"/>
      <c r="AHI95" s="187"/>
      <c r="AHO95" s="188"/>
      <c r="AHP95" s="187"/>
      <c r="AHV95" s="188"/>
      <c r="AHW95" s="187"/>
      <c r="AIC95" s="188"/>
      <c r="AID95" s="187"/>
      <c r="AIG95" s="168"/>
      <c r="AIH95" s="189"/>
      <c r="AIJ95" s="188"/>
      <c r="AIK95" s="187"/>
      <c r="AIQ95" s="188"/>
      <c r="AIR95" s="187"/>
      <c r="AIX95" s="188"/>
      <c r="AIY95" s="187"/>
      <c r="AJE95" s="188"/>
      <c r="AJF95" s="187"/>
      <c r="AJL95" s="168"/>
      <c r="AJM95" s="189"/>
      <c r="AJS95" s="188"/>
      <c r="AJT95" s="187"/>
      <c r="AJZ95" s="188"/>
      <c r="AKA95" s="187"/>
      <c r="AKG95" s="188"/>
      <c r="AKH95" s="187"/>
      <c r="AKN95" s="188"/>
      <c r="AKO95" s="187"/>
      <c r="AKQ95" s="168"/>
      <c r="AKR95" s="189"/>
      <c r="AKU95" s="188"/>
      <c r="AKV95" s="187"/>
      <c r="ALB95" s="188"/>
      <c r="ALC95" s="187"/>
      <c r="ALI95" s="188"/>
      <c r="ALJ95" s="187"/>
      <c r="ALP95" s="188"/>
      <c r="ALQ95" s="187"/>
      <c r="ALU95" s="168"/>
      <c r="ALV95" s="189"/>
      <c r="ALW95" s="188"/>
      <c r="ALX95" s="187"/>
      <c r="AMD95" s="188"/>
      <c r="AME95" s="187"/>
      <c r="AMK95" s="188"/>
      <c r="AML95" s="187"/>
      <c r="AMR95" s="188"/>
      <c r="AMS95" s="187"/>
      <c r="AMY95" s="188"/>
      <c r="AMZ95" s="190"/>
      <c r="ANA95" s="189"/>
      <c r="ANF95" s="188"/>
      <c r="ANG95" s="187"/>
      <c r="ANM95" s="188"/>
      <c r="ANN95" s="187"/>
      <c r="ANT95" s="188"/>
      <c r="ANU95" s="187"/>
      <c r="AOA95" s="188"/>
      <c r="AOB95" s="187"/>
      <c r="AOD95" s="168"/>
      <c r="AOE95" s="189"/>
      <c r="AOH95" s="188"/>
      <c r="AOI95" s="187"/>
      <c r="AOO95" s="188"/>
      <c r="AOP95" s="187"/>
      <c r="AOV95" s="188"/>
      <c r="AOW95" s="187"/>
      <c r="APC95" s="188"/>
      <c r="APD95" s="187"/>
      <c r="API95" s="168"/>
      <c r="APJ95" s="191"/>
      <c r="APK95" s="187"/>
      <c r="APQ95" s="188"/>
      <c r="APR95" s="187"/>
      <c r="APX95" s="188"/>
      <c r="APY95" s="187"/>
      <c r="AQE95" s="188"/>
      <c r="AQF95" s="187"/>
      <c r="AQL95" s="188"/>
      <c r="AQM95" s="187"/>
      <c r="AQN95" s="168"/>
      <c r="AQO95" s="189"/>
      <c r="AQS95" s="188"/>
      <c r="AQT95" s="187"/>
      <c r="AQZ95" s="188"/>
      <c r="ARA95" s="187"/>
      <c r="ARG95" s="188"/>
      <c r="ARH95" s="187"/>
      <c r="ARN95" s="188"/>
      <c r="ARO95" s="187"/>
      <c r="ARP95" s="168"/>
      <c r="ARQ95" s="189"/>
      <c r="ARU95" s="188"/>
      <c r="ARV95" s="187"/>
      <c r="ASB95" s="188"/>
      <c r="ASC95" s="187"/>
      <c r="ASI95" s="188"/>
      <c r="ASJ95" s="187"/>
      <c r="ASP95" s="188"/>
      <c r="ASQ95" s="187"/>
      <c r="ASU95" s="168"/>
      <c r="ASV95" s="189"/>
      <c r="ASW95" s="188"/>
      <c r="ASX95" s="187"/>
      <c r="ATD95" s="188"/>
      <c r="ATE95" s="187"/>
      <c r="ATK95" s="188"/>
      <c r="ATL95" s="187"/>
      <c r="ATR95" s="188"/>
      <c r="ATS95" s="187"/>
      <c r="ATY95" s="168"/>
      <c r="ATZ95" s="189"/>
      <c r="AUF95" s="188"/>
      <c r="AUG95" s="187"/>
      <c r="AUM95" s="188"/>
      <c r="AUN95" s="187"/>
      <c r="AUT95" s="188"/>
      <c r="AUU95" s="187"/>
      <c r="AVA95" s="188"/>
      <c r="AVB95" s="187"/>
      <c r="AVD95" s="168"/>
      <c r="AVE95" s="189"/>
      <c r="AVH95" s="188"/>
      <c r="AVI95" s="187"/>
      <c r="AVO95" s="188"/>
      <c r="AVP95" s="187"/>
      <c r="AVV95" s="188"/>
      <c r="AVW95" s="187"/>
      <c r="AWC95" s="188"/>
      <c r="AWD95" s="187"/>
      <c r="AWH95" s="168"/>
      <c r="AWI95" s="189"/>
      <c r="AWJ95" s="188"/>
      <c r="AWK95" s="187"/>
      <c r="AWQ95" s="188"/>
      <c r="AWR95" s="187"/>
      <c r="AWX95" s="188"/>
      <c r="AWY95" s="187"/>
      <c r="AXE95" s="188"/>
      <c r="AXF95" s="187"/>
      <c r="AXL95" s="188"/>
      <c r="AXM95" s="190"/>
      <c r="AXN95" s="189"/>
      <c r="AXS95" s="188"/>
      <c r="AXT95" s="187"/>
      <c r="AXZ95" s="188"/>
      <c r="AYA95" s="187"/>
      <c r="AYG95" s="188"/>
      <c r="AYH95" s="187"/>
      <c r="AYN95" s="188"/>
      <c r="AYO95" s="187"/>
      <c r="AYR95" s="168"/>
      <c r="AYS95" s="189"/>
      <c r="AYU95" s="188"/>
      <c r="AYV95" s="187"/>
      <c r="AZB95" s="188"/>
      <c r="AZC95" s="187"/>
      <c r="AZI95" s="188"/>
      <c r="AZJ95" s="187"/>
      <c r="AZP95" s="188"/>
      <c r="AZQ95" s="187"/>
      <c r="AZV95" s="168"/>
      <c r="AZW95" s="191"/>
      <c r="AZX95" s="187"/>
      <c r="BAD95" s="188"/>
      <c r="BAE95" s="187"/>
      <c r="BAK95" s="188"/>
      <c r="BAL95" s="187"/>
      <c r="BAR95" s="188"/>
      <c r="BAS95" s="187"/>
      <c r="BAY95" s="188"/>
      <c r="BAZ95" s="187"/>
      <c r="BBA95" s="168"/>
      <c r="BBB95" s="189"/>
      <c r="BBF95" s="188"/>
      <c r="BBG95" s="187"/>
      <c r="BBM95" s="188"/>
      <c r="BBN95" s="187"/>
      <c r="BBT95" s="188"/>
      <c r="BBU95" s="187"/>
      <c r="BCA95" s="188"/>
      <c r="BCB95" s="187"/>
      <c r="BCE95" s="168"/>
      <c r="BCF95" s="189"/>
      <c r="BCH95" s="188"/>
      <c r="BCI95" s="187"/>
      <c r="BCO95" s="188"/>
      <c r="BCP95" s="187"/>
      <c r="BCV95" s="188"/>
      <c r="BCW95" s="187"/>
      <c r="BDC95" s="188"/>
      <c r="BDD95" s="187"/>
      <c r="BDJ95" s="168"/>
      <c r="BDK95" s="189"/>
      <c r="BDQ95" s="188"/>
      <c r="BDR95" s="187"/>
      <c r="BDX95" s="188"/>
      <c r="BDY95" s="187"/>
      <c r="BEE95" s="188"/>
      <c r="BEF95" s="187"/>
      <c r="BEL95" s="188"/>
      <c r="BEM95" s="187"/>
      <c r="BEO95" s="168"/>
      <c r="BEP95" s="189"/>
      <c r="BES95" s="188"/>
      <c r="BET95" s="187"/>
      <c r="BEZ95" s="188"/>
      <c r="BFA95" s="187"/>
      <c r="BFG95" s="188"/>
      <c r="BFH95" s="187"/>
      <c r="BFN95" s="188"/>
      <c r="BFO95" s="187"/>
      <c r="BFQ95" s="168"/>
      <c r="BFR95" s="189"/>
      <c r="BFU95" s="188"/>
      <c r="BFV95" s="187"/>
      <c r="BGB95" s="188"/>
      <c r="BGC95" s="187"/>
      <c r="BGI95" s="188"/>
      <c r="BGJ95" s="187"/>
      <c r="BGP95" s="188"/>
      <c r="BGQ95" s="187"/>
      <c r="BGV95" s="168"/>
      <c r="BGW95" s="191"/>
      <c r="BGX95" s="187"/>
      <c r="BHD95" s="188"/>
      <c r="BHE95" s="187"/>
      <c r="BHK95" s="188"/>
      <c r="BHL95" s="187"/>
      <c r="BHR95" s="188"/>
      <c r="BHS95" s="187"/>
      <c r="BHY95" s="188"/>
      <c r="BHZ95" s="190"/>
      <c r="BIA95" s="189"/>
      <c r="BIF95" s="188"/>
      <c r="BIG95" s="187"/>
      <c r="BIM95" s="188"/>
      <c r="BIN95" s="187"/>
      <c r="BIT95" s="188"/>
      <c r="BIU95" s="187"/>
      <c r="BJA95" s="188"/>
      <c r="BJB95" s="187"/>
      <c r="BJE95" s="168"/>
      <c r="BJF95" s="189"/>
      <c r="BJH95" s="188"/>
      <c r="BJI95" s="187"/>
      <c r="BJO95" s="188"/>
      <c r="BJP95" s="187"/>
      <c r="BJV95" s="188"/>
      <c r="BJW95" s="187"/>
      <c r="BKC95" s="188"/>
      <c r="BKD95" s="187"/>
      <c r="BKI95" s="168"/>
      <c r="BKJ95" s="191"/>
      <c r="BKK95" s="187"/>
      <c r="BKQ95" s="188"/>
      <c r="BKR95" s="187"/>
      <c r="BKX95" s="188"/>
      <c r="BKY95" s="187"/>
      <c r="BLE95" s="188"/>
      <c r="BLF95" s="187"/>
      <c r="BLL95" s="188"/>
      <c r="BLM95" s="187"/>
      <c r="BLN95" s="168"/>
      <c r="BLO95" s="189"/>
      <c r="BLS95" s="188"/>
      <c r="BLT95" s="187"/>
      <c r="BLZ95" s="188"/>
      <c r="BMA95" s="187"/>
      <c r="BMG95" s="188"/>
      <c r="BMH95" s="187"/>
      <c r="BMN95" s="188"/>
      <c r="BMO95" s="187"/>
      <c r="BMS95" s="168"/>
      <c r="BMT95" s="189"/>
      <c r="BMU95" s="188"/>
      <c r="BMV95" s="187"/>
      <c r="BNB95" s="188"/>
      <c r="BNC95" s="187"/>
      <c r="BNI95" s="188"/>
      <c r="BNJ95" s="187"/>
      <c r="BNP95" s="188"/>
      <c r="BNQ95" s="187"/>
      <c r="BNW95" s="168"/>
      <c r="BNX95" s="189"/>
      <c r="BOD95" s="188"/>
      <c r="BOE95" s="187"/>
      <c r="BOK95" s="188"/>
      <c r="BOL95" s="187"/>
      <c r="BOR95" s="188"/>
      <c r="BOS95" s="187"/>
      <c r="BOY95" s="188"/>
      <c r="BOZ95" s="187"/>
      <c r="BPB95" s="168"/>
      <c r="BPC95" s="189"/>
      <c r="BPF95" s="188"/>
      <c r="BPG95" s="187"/>
      <c r="BPM95" s="188"/>
      <c r="BPN95" s="187"/>
      <c r="BPT95" s="188"/>
      <c r="BPU95" s="187"/>
      <c r="BQA95" s="188"/>
      <c r="BQB95" s="187"/>
      <c r="BQF95" s="168"/>
      <c r="BQG95" s="189"/>
      <c r="BQH95" s="188"/>
      <c r="BQI95" s="187"/>
      <c r="BQO95" s="188"/>
      <c r="BQP95" s="187"/>
      <c r="BQV95" s="188"/>
      <c r="BQW95" s="187"/>
      <c r="BRC95" s="188"/>
      <c r="BRD95" s="187"/>
      <c r="BRJ95" s="188"/>
      <c r="BRK95" s="190"/>
      <c r="BRL95" s="189"/>
      <c r="BRQ95" s="188"/>
      <c r="BRR95" s="187"/>
      <c r="BRX95" s="188"/>
      <c r="BRY95" s="187"/>
      <c r="BSE95" s="188"/>
      <c r="BSF95" s="187"/>
      <c r="BSL95" s="188"/>
      <c r="BSM95" s="187"/>
      <c r="BSP95" s="168"/>
      <c r="BSQ95" s="189"/>
      <c r="BSS95" s="188"/>
      <c r="BST95" s="187"/>
      <c r="BSZ95" s="188"/>
      <c r="BTA95" s="187"/>
      <c r="BTG95" s="188"/>
      <c r="BTH95" s="187"/>
      <c r="BTN95" s="188"/>
      <c r="BTO95" s="187"/>
      <c r="BTS95" s="168"/>
      <c r="BTT95" s="189"/>
      <c r="BTU95" s="188"/>
      <c r="BTV95" s="187"/>
      <c r="BUB95" s="188"/>
      <c r="BUC95" s="187"/>
      <c r="BUI95" s="188"/>
      <c r="BUJ95" s="187"/>
      <c r="BUP95" s="188"/>
      <c r="BUQ95" s="187"/>
      <c r="BUW95" s="188"/>
      <c r="BUX95" s="190"/>
      <c r="BUY95" s="189"/>
      <c r="BVD95" s="188"/>
      <c r="BVE95" s="187"/>
      <c r="BVK95" s="188"/>
      <c r="BVL95" s="187"/>
      <c r="BVR95" s="188"/>
      <c r="BVS95" s="187"/>
      <c r="BVY95" s="188"/>
      <c r="BVZ95" s="187"/>
      <c r="BWB95" s="168"/>
      <c r="BWC95" s="189"/>
      <c r="BWF95" s="188"/>
      <c r="BWG95" s="187"/>
      <c r="BWM95" s="188"/>
      <c r="BWN95" s="187"/>
      <c r="BWT95" s="188"/>
      <c r="BWU95" s="187"/>
      <c r="BXA95" s="188"/>
      <c r="BXB95" s="187"/>
      <c r="BXG95" s="168"/>
      <c r="BXH95" s="191"/>
      <c r="BXI95" s="187"/>
      <c r="BXO95" s="188"/>
      <c r="BXP95" s="187"/>
      <c r="BXV95" s="188"/>
      <c r="BXW95" s="187"/>
      <c r="BYC95" s="188"/>
      <c r="BYD95" s="187"/>
      <c r="BYJ95" s="188"/>
      <c r="BYK95" s="190"/>
      <c r="BYL95" s="189"/>
      <c r="BYQ95" s="188"/>
      <c r="BYR95" s="187"/>
      <c r="BYX95" s="188"/>
      <c r="BYY95" s="187"/>
      <c r="BZE95" s="188"/>
      <c r="BZF95" s="187"/>
      <c r="BZL95" s="188"/>
      <c r="BZM95" s="187"/>
      <c r="BZP95" s="168"/>
      <c r="BZQ95" s="189"/>
      <c r="BZS95" s="188"/>
      <c r="BZT95" s="187"/>
      <c r="BZZ95" s="188"/>
      <c r="CAA95" s="187"/>
      <c r="CAG95" s="188"/>
      <c r="CAH95" s="187"/>
      <c r="CAN95" s="188"/>
      <c r="CAO95" s="187"/>
      <c r="CAU95" s="168"/>
      <c r="CAV95" s="189"/>
      <c r="CBB95" s="188"/>
      <c r="CBC95" s="187"/>
      <c r="CBI95" s="188"/>
      <c r="CBJ95" s="187"/>
      <c r="CBP95" s="188"/>
      <c r="CBQ95" s="187"/>
      <c r="CBW95" s="188"/>
      <c r="CBX95" s="187"/>
      <c r="CBY95" s="168"/>
      <c r="CBZ95" s="189"/>
      <c r="CCD95" s="188"/>
      <c r="CCE95" s="187"/>
      <c r="CCK95" s="188"/>
      <c r="CCL95" s="187"/>
      <c r="CCR95" s="188"/>
      <c r="CCS95" s="187"/>
      <c r="CCY95" s="188"/>
      <c r="CCZ95" s="187"/>
      <c r="CDD95" s="168"/>
      <c r="CDE95" s="189"/>
      <c r="CDF95" s="188"/>
      <c r="CDG95" s="187"/>
      <c r="CDM95" s="188"/>
      <c r="CDN95" s="187"/>
      <c r="CDT95" s="188"/>
      <c r="CDU95" s="187"/>
      <c r="CEA95" s="188"/>
      <c r="CEB95" s="187"/>
      <c r="CEH95" s="168"/>
      <c r="CEI95" s="189"/>
      <c r="CEO95" s="188"/>
      <c r="CEP95" s="187"/>
      <c r="CEV95" s="188"/>
      <c r="CEW95" s="187"/>
      <c r="CFC95" s="188"/>
      <c r="CFD95" s="187"/>
      <c r="CFJ95" s="188"/>
      <c r="CFK95" s="187"/>
    </row>
    <row r="96" spans="1:1019 1025:2048 2054:2195">
      <c r="A96" s="164" t="s">
        <v>369</v>
      </c>
      <c r="C96" s="164" t="s">
        <v>370</v>
      </c>
      <c r="D96" s="186"/>
      <c r="E96" s="186"/>
      <c r="K96" s="187"/>
      <c r="Q96" s="188"/>
      <c r="R96" s="187"/>
      <c r="X96" s="188"/>
      <c r="Y96" s="187"/>
      <c r="AE96" s="188"/>
      <c r="AF96" s="187"/>
      <c r="AJ96" s="168"/>
      <c r="AK96" s="189"/>
      <c r="AL96" s="188"/>
      <c r="AM96" s="187"/>
      <c r="AS96" s="188"/>
      <c r="AT96" s="187"/>
      <c r="AZ96" s="188"/>
      <c r="BA96" s="187"/>
      <c r="BG96" s="188"/>
      <c r="BH96" s="187"/>
      <c r="BL96" s="168"/>
      <c r="BM96" s="189"/>
      <c r="BN96" s="188"/>
      <c r="BO96" s="187"/>
      <c r="BU96" s="188"/>
      <c r="BV96" s="187"/>
      <c r="CB96" s="188"/>
      <c r="CC96" s="187"/>
      <c r="CI96" s="188"/>
      <c r="CJ96" s="187"/>
      <c r="CP96" s="188"/>
      <c r="CQ96" s="190"/>
      <c r="CR96" s="189"/>
      <c r="CW96" s="188"/>
      <c r="CX96" s="187"/>
      <c r="DD96" s="188"/>
      <c r="DE96" s="187"/>
      <c r="DK96" s="188"/>
      <c r="DL96" s="187"/>
      <c r="DR96" s="188"/>
      <c r="DS96" s="187"/>
      <c r="DU96" s="168"/>
      <c r="DV96" s="189"/>
      <c r="DY96" s="188"/>
      <c r="DZ96" s="187"/>
      <c r="EF96" s="188"/>
      <c r="EG96" s="187"/>
      <c r="EM96" s="188"/>
      <c r="EN96" s="187"/>
      <c r="ET96" s="188"/>
      <c r="EU96" s="187"/>
      <c r="EZ96" s="168"/>
      <c r="FA96" s="191"/>
      <c r="FB96" s="187"/>
      <c r="FH96" s="188"/>
      <c r="FI96" s="187"/>
      <c r="FO96" s="188"/>
      <c r="FP96" s="187"/>
      <c r="FV96" s="188"/>
      <c r="FW96" s="187"/>
      <c r="GC96" s="188"/>
      <c r="GD96" s="190"/>
      <c r="GE96" s="189"/>
      <c r="GJ96" s="188"/>
      <c r="GK96" s="187"/>
      <c r="GQ96" s="188"/>
      <c r="GR96" s="187"/>
      <c r="GX96" s="188"/>
      <c r="GY96" s="187"/>
      <c r="HE96" s="188"/>
      <c r="HF96" s="187"/>
      <c r="HI96" s="168"/>
      <c r="HJ96" s="189"/>
      <c r="HL96" s="188"/>
      <c r="HM96" s="187"/>
      <c r="HS96" s="188"/>
      <c r="HT96" s="187"/>
      <c r="HZ96" s="188"/>
      <c r="IA96" s="187"/>
      <c r="IG96" s="188"/>
      <c r="IH96" s="187"/>
      <c r="IN96" s="168"/>
      <c r="IO96" s="189"/>
      <c r="IU96" s="188"/>
      <c r="IV96" s="187"/>
      <c r="JB96" s="188"/>
      <c r="JC96" s="187"/>
      <c r="JI96" s="188"/>
      <c r="JJ96" s="187"/>
      <c r="JP96" s="188"/>
      <c r="JQ96" s="187"/>
      <c r="JR96" s="168"/>
      <c r="JS96" s="189"/>
      <c r="JW96" s="188"/>
      <c r="JX96" s="187"/>
      <c r="KD96" s="188"/>
      <c r="KE96" s="187"/>
      <c r="KK96" s="188"/>
      <c r="KL96" s="187"/>
      <c r="KR96" s="188"/>
      <c r="KS96" s="187"/>
      <c r="KW96" s="168"/>
      <c r="KX96" s="189"/>
      <c r="KY96" s="188"/>
      <c r="KZ96" s="187"/>
      <c r="LF96" s="188"/>
      <c r="LG96" s="187"/>
      <c r="LM96" s="188"/>
      <c r="LN96" s="187"/>
      <c r="LT96" s="188"/>
      <c r="LU96" s="187"/>
      <c r="MA96" s="168"/>
      <c r="MB96" s="189"/>
      <c r="MH96" s="188"/>
      <c r="MI96" s="187"/>
      <c r="MO96" s="188"/>
      <c r="MP96" s="187"/>
      <c r="MV96" s="188"/>
      <c r="MW96" s="187"/>
      <c r="NC96" s="188"/>
      <c r="ND96" s="187"/>
      <c r="NF96" s="168"/>
      <c r="NG96" s="189"/>
      <c r="NJ96" s="188"/>
      <c r="NK96" s="187"/>
      <c r="NQ96" s="188"/>
      <c r="NR96" s="187"/>
      <c r="NX96" s="188"/>
      <c r="NY96" s="187"/>
      <c r="OE96" s="188"/>
      <c r="OF96" s="187"/>
      <c r="OK96" s="168"/>
      <c r="OL96" s="191"/>
      <c r="OM96" s="187"/>
      <c r="OS96" s="188"/>
      <c r="OT96" s="187"/>
      <c r="OZ96" s="188"/>
      <c r="PA96" s="187"/>
      <c r="PG96" s="188"/>
      <c r="PH96" s="187"/>
      <c r="PN96" s="168"/>
      <c r="PO96" s="189"/>
      <c r="PU96" s="188"/>
      <c r="PV96" s="187"/>
      <c r="QB96" s="188"/>
      <c r="QC96" s="187"/>
      <c r="QI96" s="188"/>
      <c r="QJ96" s="187"/>
      <c r="QP96" s="188"/>
      <c r="QQ96" s="187"/>
      <c r="QS96" s="168"/>
      <c r="QT96" s="189"/>
      <c r="QW96" s="188"/>
      <c r="QX96" s="187"/>
      <c r="RD96" s="188"/>
      <c r="RE96" s="187"/>
      <c r="RK96" s="188"/>
      <c r="RL96" s="187"/>
      <c r="RR96" s="188"/>
      <c r="RS96" s="187"/>
      <c r="RW96" s="168"/>
      <c r="RX96" s="189"/>
      <c r="RY96" s="188"/>
      <c r="RZ96" s="187"/>
      <c r="SF96" s="188"/>
      <c r="SG96" s="187"/>
      <c r="SM96" s="188"/>
      <c r="SN96" s="187"/>
      <c r="ST96" s="188"/>
      <c r="SU96" s="187"/>
      <c r="TA96" s="188"/>
      <c r="TB96" s="190"/>
      <c r="TC96" s="189"/>
      <c r="TH96" s="188"/>
      <c r="TI96" s="187"/>
      <c r="TO96" s="188"/>
      <c r="TP96" s="187"/>
      <c r="TV96" s="188"/>
      <c r="TW96" s="187"/>
      <c r="UC96" s="188"/>
      <c r="UD96" s="187"/>
      <c r="UF96" s="168"/>
      <c r="UG96" s="189"/>
      <c r="UJ96" s="188"/>
      <c r="UK96" s="187"/>
      <c r="UQ96" s="188"/>
      <c r="UR96" s="187"/>
      <c r="UX96" s="188"/>
      <c r="UY96" s="187"/>
      <c r="VE96" s="188"/>
      <c r="VF96" s="187"/>
      <c r="VK96" s="168"/>
      <c r="VL96" s="191"/>
      <c r="VM96" s="187"/>
      <c r="VS96" s="188"/>
      <c r="VT96" s="187"/>
      <c r="VZ96" s="188"/>
      <c r="WA96" s="187"/>
      <c r="WG96" s="188"/>
      <c r="WH96" s="187"/>
      <c r="WN96" s="188"/>
      <c r="WO96" s="187"/>
      <c r="WP96" s="168"/>
      <c r="WQ96" s="189"/>
      <c r="WU96" s="188"/>
      <c r="WV96" s="187"/>
      <c r="XB96" s="188"/>
      <c r="XC96" s="187"/>
      <c r="XI96" s="188"/>
      <c r="XJ96" s="187"/>
      <c r="XP96" s="188"/>
      <c r="XQ96" s="187"/>
      <c r="XT96" s="168"/>
      <c r="XU96" s="189"/>
      <c r="XW96" s="188"/>
      <c r="XX96" s="187"/>
      <c r="YD96" s="188"/>
      <c r="YE96" s="187"/>
      <c r="YK96" s="188"/>
      <c r="YL96" s="187"/>
      <c r="YR96" s="188"/>
      <c r="YS96" s="187"/>
      <c r="YY96" s="168"/>
      <c r="YZ96" s="189"/>
      <c r="ZF96" s="188"/>
      <c r="ZG96" s="187"/>
      <c r="ZM96" s="188"/>
      <c r="ZN96" s="187"/>
      <c r="ZT96" s="188"/>
      <c r="ZU96" s="187"/>
      <c r="AAA96" s="188"/>
      <c r="AAB96" s="187"/>
      <c r="AAC96" s="168"/>
      <c r="AAD96" s="189"/>
      <c r="AAH96" s="188"/>
      <c r="AAI96" s="187"/>
      <c r="AAO96" s="188"/>
      <c r="AAP96" s="187"/>
      <c r="AAV96" s="188"/>
      <c r="AAW96" s="187"/>
      <c r="ABC96" s="188"/>
      <c r="ABD96" s="187"/>
      <c r="ABH96" s="168"/>
      <c r="ABI96" s="189"/>
      <c r="ABJ96" s="188"/>
      <c r="ABK96" s="187"/>
      <c r="ABQ96" s="188"/>
      <c r="ABR96" s="187"/>
      <c r="ABX96" s="188"/>
      <c r="ABY96" s="187"/>
      <c r="ACE96" s="188"/>
      <c r="ACF96" s="187"/>
      <c r="ACL96" s="188"/>
      <c r="ACM96" s="190"/>
      <c r="ACN96" s="189"/>
      <c r="ACS96" s="188"/>
      <c r="ACT96" s="187"/>
      <c r="ACZ96" s="188"/>
      <c r="ADA96" s="187"/>
      <c r="ADG96" s="188"/>
      <c r="ADH96" s="187"/>
      <c r="ADN96" s="188"/>
      <c r="ADO96" s="190"/>
      <c r="ADP96" s="189"/>
      <c r="ADU96" s="188"/>
      <c r="ADV96" s="187"/>
      <c r="AEB96" s="188"/>
      <c r="AEC96" s="187"/>
      <c r="AEI96" s="188"/>
      <c r="AEJ96" s="187"/>
      <c r="AEP96" s="188"/>
      <c r="AEQ96" s="187"/>
      <c r="AET96" s="168"/>
      <c r="AEU96" s="189"/>
      <c r="AEW96" s="188"/>
      <c r="AEX96" s="187"/>
      <c r="AFD96" s="188"/>
      <c r="AFE96" s="187"/>
      <c r="AFK96" s="188"/>
      <c r="AFL96" s="187"/>
      <c r="AFR96" s="188"/>
      <c r="AFS96" s="187"/>
      <c r="AFX96" s="168"/>
      <c r="AFY96" s="191"/>
      <c r="AFZ96" s="187"/>
      <c r="AGF96" s="188"/>
      <c r="AGG96" s="187"/>
      <c r="AGM96" s="188"/>
      <c r="AGN96" s="187"/>
      <c r="AGT96" s="188"/>
      <c r="AGU96" s="187"/>
      <c r="AHA96" s="188"/>
      <c r="AHB96" s="187"/>
      <c r="AHC96" s="168"/>
      <c r="AHD96" s="189"/>
      <c r="AHH96" s="188"/>
      <c r="AHI96" s="187"/>
      <c r="AHO96" s="188"/>
      <c r="AHP96" s="187"/>
      <c r="AHV96" s="188"/>
      <c r="AHW96" s="187"/>
      <c r="AIC96" s="188"/>
      <c r="AID96" s="187"/>
      <c r="AIG96" s="168"/>
      <c r="AIH96" s="189"/>
      <c r="AIJ96" s="188"/>
      <c r="AIK96" s="187"/>
      <c r="AIQ96" s="188"/>
      <c r="AIR96" s="187"/>
      <c r="AIX96" s="188"/>
      <c r="AIY96" s="187"/>
      <c r="AJE96" s="188"/>
      <c r="AJF96" s="187"/>
      <c r="AJL96" s="168"/>
      <c r="AJM96" s="189"/>
      <c r="AJS96" s="188"/>
      <c r="AJT96" s="187"/>
      <c r="AJZ96" s="188"/>
      <c r="AKA96" s="187"/>
      <c r="AKG96" s="188"/>
      <c r="AKH96" s="187"/>
      <c r="AKN96" s="188"/>
      <c r="AKO96" s="187"/>
      <c r="AKQ96" s="168"/>
      <c r="AKR96" s="189"/>
      <c r="AKU96" s="188"/>
      <c r="AKV96" s="187"/>
      <c r="ALB96" s="188"/>
      <c r="ALC96" s="187"/>
      <c r="ALI96" s="188"/>
      <c r="ALJ96" s="187"/>
      <c r="ALP96" s="188"/>
      <c r="ALQ96" s="187"/>
      <c r="ALU96" s="168"/>
      <c r="ALV96" s="189"/>
      <c r="ALW96" s="188"/>
      <c r="ALX96" s="187"/>
      <c r="AMD96" s="188"/>
      <c r="AME96" s="187"/>
      <c r="AMK96" s="188"/>
      <c r="AML96" s="187"/>
      <c r="AMR96" s="188"/>
      <c r="AMS96" s="187"/>
      <c r="AMY96" s="188"/>
      <c r="AMZ96" s="190"/>
      <c r="ANA96" s="189"/>
      <c r="ANF96" s="188"/>
      <c r="ANG96" s="187"/>
      <c r="ANM96" s="188"/>
      <c r="ANN96" s="187"/>
      <c r="ANT96" s="188"/>
      <c r="ANU96" s="187"/>
      <c r="AOA96" s="188"/>
      <c r="AOB96" s="187"/>
      <c r="AOD96" s="168"/>
      <c r="AOE96" s="189"/>
      <c r="AOH96" s="188"/>
      <c r="AOI96" s="187"/>
      <c r="AOO96" s="188"/>
      <c r="AOP96" s="187"/>
      <c r="AOV96" s="188"/>
      <c r="AOW96" s="187"/>
      <c r="APC96" s="188"/>
      <c r="APD96" s="187"/>
      <c r="API96" s="168"/>
      <c r="APJ96" s="191"/>
      <c r="APK96" s="187"/>
      <c r="APQ96" s="188"/>
      <c r="APR96" s="187"/>
      <c r="APX96" s="188"/>
      <c r="APY96" s="187"/>
      <c r="AQE96" s="188"/>
      <c r="AQF96" s="187"/>
      <c r="AQL96" s="188"/>
      <c r="AQM96" s="187"/>
      <c r="AQN96" s="168"/>
      <c r="AQO96" s="189"/>
      <c r="AQS96" s="188"/>
      <c r="AQT96" s="187"/>
      <c r="AQZ96" s="188"/>
      <c r="ARA96" s="187"/>
      <c r="ARG96" s="188"/>
      <c r="ARH96" s="187"/>
      <c r="ARN96" s="188"/>
      <c r="ARO96" s="187"/>
      <c r="ARP96" s="168"/>
      <c r="ARQ96" s="189"/>
      <c r="ARU96" s="188"/>
      <c r="ARV96" s="187"/>
      <c r="ASB96" s="188"/>
      <c r="ASC96" s="187"/>
      <c r="ASI96" s="188"/>
      <c r="ASJ96" s="187"/>
      <c r="ASP96" s="188"/>
      <c r="ASQ96" s="187"/>
      <c r="ASU96" s="168"/>
      <c r="ASV96" s="189"/>
      <c r="ASW96" s="188"/>
      <c r="ASX96" s="187"/>
      <c r="ATD96" s="188"/>
      <c r="ATE96" s="187"/>
      <c r="ATK96" s="188"/>
      <c r="ATL96" s="187"/>
      <c r="ATR96" s="188"/>
      <c r="ATS96" s="187"/>
      <c r="ATY96" s="168"/>
      <c r="ATZ96" s="189"/>
      <c r="AUF96" s="188"/>
      <c r="AUG96" s="187"/>
      <c r="AUM96" s="188"/>
      <c r="AUN96" s="187"/>
      <c r="AUT96" s="188"/>
      <c r="AUU96" s="187"/>
      <c r="AVA96" s="188"/>
      <c r="AVB96" s="187"/>
      <c r="AVD96" s="168"/>
      <c r="AVE96" s="189"/>
      <c r="AVH96" s="188"/>
      <c r="AVI96" s="187"/>
      <c r="AVO96" s="188"/>
      <c r="AVP96" s="187"/>
      <c r="AVV96" s="188"/>
      <c r="AVW96" s="187"/>
      <c r="AWC96" s="188"/>
      <c r="AWD96" s="187"/>
      <c r="AWH96" s="168"/>
      <c r="AWI96" s="189"/>
      <c r="AWJ96" s="188"/>
      <c r="AWK96" s="187"/>
      <c r="AWQ96" s="188"/>
      <c r="AWR96" s="187"/>
      <c r="AWX96" s="188"/>
      <c r="AWY96" s="187"/>
      <c r="AXE96" s="188"/>
      <c r="AXF96" s="187"/>
      <c r="AXL96" s="188"/>
      <c r="AXM96" s="190"/>
      <c r="AXN96" s="189"/>
      <c r="AXS96" s="188"/>
      <c r="AXT96" s="187"/>
      <c r="AXZ96" s="188"/>
      <c r="AYA96" s="187"/>
      <c r="AYG96" s="188"/>
      <c r="AYH96" s="187"/>
      <c r="AYN96" s="188"/>
      <c r="AYO96" s="187"/>
      <c r="AYR96" s="168"/>
      <c r="AYS96" s="189"/>
      <c r="AYU96" s="188"/>
      <c r="AYV96" s="187"/>
      <c r="AZB96" s="188"/>
      <c r="AZC96" s="187"/>
      <c r="AZI96" s="188"/>
      <c r="AZJ96" s="187"/>
      <c r="AZP96" s="188"/>
      <c r="AZQ96" s="187"/>
      <c r="AZV96" s="168"/>
      <c r="AZW96" s="191"/>
      <c r="AZX96" s="187"/>
      <c r="BAD96" s="188"/>
      <c r="BAE96" s="187"/>
      <c r="BAK96" s="188"/>
      <c r="BAL96" s="187"/>
      <c r="BAR96" s="188"/>
      <c r="BAS96" s="187"/>
      <c r="BAY96" s="188"/>
      <c r="BAZ96" s="187"/>
      <c r="BBA96" s="168"/>
      <c r="BBB96" s="189"/>
      <c r="BBF96" s="188"/>
      <c r="BBG96" s="187"/>
      <c r="BBM96" s="188"/>
      <c r="BBN96" s="187"/>
      <c r="BBT96" s="188"/>
      <c r="BBU96" s="187"/>
      <c r="BCA96" s="188"/>
      <c r="BCB96" s="187"/>
      <c r="BCE96" s="168"/>
      <c r="BCF96" s="189"/>
      <c r="BCH96" s="188"/>
      <c r="BCI96" s="187"/>
      <c r="BCO96" s="188"/>
      <c r="BCP96" s="187"/>
      <c r="BCV96" s="188"/>
      <c r="BCW96" s="187"/>
      <c r="BDC96" s="188"/>
      <c r="BDD96" s="187"/>
      <c r="BDJ96" s="168"/>
      <c r="BDK96" s="189"/>
      <c r="BDQ96" s="188"/>
      <c r="BDR96" s="187"/>
      <c r="BDX96" s="188"/>
      <c r="BDY96" s="187"/>
      <c r="BEE96" s="188"/>
      <c r="BEF96" s="187"/>
      <c r="BEL96" s="188"/>
      <c r="BEM96" s="187"/>
      <c r="BEO96" s="168"/>
      <c r="BEP96" s="189"/>
      <c r="BES96" s="188"/>
      <c r="BET96" s="187"/>
      <c r="BEZ96" s="188"/>
      <c r="BFA96" s="187"/>
      <c r="BFG96" s="188"/>
      <c r="BFH96" s="187"/>
      <c r="BFN96" s="188"/>
      <c r="BFO96" s="187"/>
      <c r="BFQ96" s="168"/>
      <c r="BFR96" s="189"/>
      <c r="BFU96" s="188"/>
      <c r="BFV96" s="187"/>
      <c r="BGB96" s="188"/>
      <c r="BGC96" s="187"/>
      <c r="BGI96" s="188"/>
      <c r="BGJ96" s="187"/>
      <c r="BGP96" s="188"/>
      <c r="BGQ96" s="187"/>
      <c r="BGV96" s="168"/>
      <c r="BGW96" s="191"/>
      <c r="BGX96" s="187"/>
      <c r="BHD96" s="188"/>
      <c r="BHE96" s="187"/>
      <c r="BHK96" s="188"/>
      <c r="BHL96" s="187"/>
      <c r="BHR96" s="188"/>
      <c r="BHS96" s="187"/>
      <c r="BHY96" s="188"/>
      <c r="BHZ96" s="190"/>
      <c r="BIA96" s="189"/>
      <c r="BIF96" s="188"/>
      <c r="BIG96" s="187"/>
      <c r="BIM96" s="188"/>
      <c r="BIN96" s="187"/>
      <c r="BIT96" s="188"/>
      <c r="BIU96" s="187"/>
      <c r="BJA96" s="188"/>
      <c r="BJB96" s="187"/>
      <c r="BJE96" s="168"/>
      <c r="BJF96" s="189"/>
      <c r="BJH96" s="188"/>
      <c r="BJI96" s="187"/>
      <c r="BJO96" s="188"/>
      <c r="BJP96" s="187"/>
      <c r="BJV96" s="188"/>
      <c r="BJW96" s="187"/>
      <c r="BKC96" s="188"/>
      <c r="BKD96" s="187"/>
      <c r="BKI96" s="168"/>
      <c r="BKJ96" s="191"/>
      <c r="BKK96" s="187"/>
      <c r="BKQ96" s="188"/>
      <c r="BKR96" s="187"/>
      <c r="BKX96" s="188"/>
      <c r="BKY96" s="187"/>
      <c r="BLE96" s="188"/>
      <c r="BLF96" s="187"/>
      <c r="BLL96" s="188"/>
      <c r="BLM96" s="187"/>
      <c r="BLN96" s="168"/>
      <c r="BLO96" s="189"/>
      <c r="BLS96" s="188"/>
      <c r="BLT96" s="187"/>
      <c r="BLZ96" s="188"/>
      <c r="BMA96" s="187"/>
      <c r="BMG96" s="188"/>
      <c r="BMH96" s="187"/>
      <c r="BMN96" s="188"/>
      <c r="BMO96" s="187"/>
      <c r="BMS96" s="168"/>
      <c r="BMT96" s="189"/>
      <c r="BMU96" s="188"/>
      <c r="BMV96" s="187"/>
      <c r="BNB96" s="188"/>
      <c r="BNC96" s="187"/>
      <c r="BNI96" s="188"/>
      <c r="BNJ96" s="187"/>
      <c r="BNP96" s="188"/>
      <c r="BNQ96" s="187"/>
      <c r="BNW96" s="168"/>
      <c r="BNX96" s="189"/>
      <c r="BOD96" s="188"/>
      <c r="BOE96" s="187"/>
      <c r="BOK96" s="188"/>
      <c r="BOL96" s="187"/>
      <c r="BOR96" s="188"/>
      <c r="BOS96" s="187"/>
      <c r="BOY96" s="188"/>
      <c r="BOZ96" s="187"/>
      <c r="BPB96" s="168"/>
      <c r="BPC96" s="189"/>
      <c r="BPF96" s="188"/>
      <c r="BPG96" s="187"/>
      <c r="BPM96" s="188"/>
      <c r="BPN96" s="187"/>
      <c r="BPT96" s="188"/>
      <c r="BPU96" s="187"/>
      <c r="BQA96" s="188"/>
      <c r="BQB96" s="187"/>
      <c r="BQF96" s="168"/>
      <c r="BQG96" s="189"/>
      <c r="BQH96" s="188"/>
      <c r="BQI96" s="187"/>
      <c r="BQO96" s="188"/>
      <c r="BQP96" s="187"/>
      <c r="BQV96" s="188"/>
      <c r="BQW96" s="187"/>
      <c r="BRC96" s="188"/>
      <c r="BRD96" s="187"/>
      <c r="BRJ96" s="188"/>
      <c r="BRK96" s="190"/>
      <c r="BRL96" s="189"/>
      <c r="BRQ96" s="188"/>
      <c r="BRR96" s="187"/>
      <c r="BRX96" s="188"/>
      <c r="BRY96" s="187"/>
      <c r="BSE96" s="188"/>
      <c r="BSF96" s="187"/>
      <c r="BSL96" s="188"/>
      <c r="BSM96" s="187"/>
      <c r="BSP96" s="168"/>
      <c r="BSQ96" s="189"/>
      <c r="BSS96" s="188"/>
      <c r="BST96" s="187"/>
      <c r="BSZ96" s="188"/>
      <c r="BTA96" s="187"/>
      <c r="BTG96" s="188"/>
      <c r="BTH96" s="187"/>
      <c r="BTN96" s="188"/>
      <c r="BTO96" s="187"/>
      <c r="BTS96" s="168"/>
      <c r="BTT96" s="189"/>
      <c r="BTU96" s="188"/>
      <c r="BTV96" s="187"/>
      <c r="BUB96" s="188"/>
      <c r="BUC96" s="187"/>
      <c r="BUI96" s="188"/>
      <c r="BUJ96" s="187"/>
      <c r="BUP96" s="188"/>
      <c r="BUQ96" s="187"/>
      <c r="BUW96" s="188"/>
      <c r="BUX96" s="190"/>
      <c r="BUY96" s="189"/>
      <c r="BVD96" s="188"/>
      <c r="BVE96" s="187"/>
      <c r="BVK96" s="188"/>
      <c r="BVL96" s="187"/>
      <c r="BVR96" s="188"/>
      <c r="BVS96" s="187"/>
      <c r="BVY96" s="188"/>
      <c r="BVZ96" s="187"/>
      <c r="BWB96" s="168"/>
      <c r="BWC96" s="189"/>
      <c r="BWF96" s="188"/>
      <c r="BWG96" s="187"/>
      <c r="BWM96" s="188"/>
      <c r="BWN96" s="187"/>
      <c r="BWT96" s="188"/>
      <c r="BWU96" s="187"/>
      <c r="BXA96" s="188"/>
      <c r="BXB96" s="187"/>
      <c r="BXG96" s="168"/>
      <c r="BXH96" s="191"/>
      <c r="BXI96" s="187"/>
      <c r="BXO96" s="188"/>
      <c r="BXP96" s="187"/>
      <c r="BXV96" s="188"/>
      <c r="BXW96" s="187"/>
      <c r="BYC96" s="188"/>
      <c r="BYD96" s="187"/>
      <c r="BYJ96" s="188"/>
      <c r="BYK96" s="190"/>
      <c r="BYL96" s="189"/>
      <c r="BYQ96" s="188"/>
      <c r="BYR96" s="187"/>
      <c r="BYX96" s="188"/>
      <c r="BYY96" s="187"/>
      <c r="BZE96" s="188"/>
      <c r="BZF96" s="187"/>
      <c r="BZL96" s="188"/>
      <c r="BZM96" s="187"/>
      <c r="BZP96" s="168"/>
      <c r="BZQ96" s="189"/>
      <c r="BZS96" s="188"/>
      <c r="BZT96" s="187"/>
      <c r="BZZ96" s="188"/>
      <c r="CAA96" s="187"/>
      <c r="CAG96" s="188"/>
      <c r="CAH96" s="187"/>
      <c r="CAN96" s="188"/>
      <c r="CAO96" s="187"/>
      <c r="CAU96" s="168"/>
      <c r="CAV96" s="189"/>
      <c r="CBB96" s="188"/>
      <c r="CBC96" s="187"/>
      <c r="CBI96" s="188"/>
      <c r="CBJ96" s="187"/>
      <c r="CBP96" s="188"/>
      <c r="CBQ96" s="187"/>
      <c r="CBW96" s="188"/>
      <c r="CBX96" s="187"/>
      <c r="CBY96" s="168"/>
      <c r="CBZ96" s="189"/>
      <c r="CCD96" s="188"/>
      <c r="CCE96" s="187"/>
      <c r="CCK96" s="188"/>
      <c r="CCL96" s="187"/>
      <c r="CCR96" s="188"/>
      <c r="CCS96" s="187"/>
      <c r="CCY96" s="188"/>
      <c r="CCZ96" s="187"/>
      <c r="CDD96" s="168"/>
      <c r="CDE96" s="189"/>
      <c r="CDF96" s="188"/>
      <c r="CDG96" s="187"/>
      <c r="CDM96" s="188"/>
      <c r="CDN96" s="187"/>
      <c r="CDT96" s="188"/>
      <c r="CDU96" s="187"/>
      <c r="CEA96" s="188"/>
      <c r="CEB96" s="187"/>
      <c r="CEH96" s="168"/>
      <c r="CEI96" s="189"/>
      <c r="CEO96" s="188"/>
      <c r="CEP96" s="187"/>
      <c r="CEV96" s="188"/>
      <c r="CEW96" s="187"/>
      <c r="CFC96" s="188"/>
      <c r="CFD96" s="187"/>
      <c r="CFJ96" s="188"/>
      <c r="CFK96" s="187"/>
    </row>
    <row r="97" spans="1:1019 1025:2048 2054:2195">
      <c r="A97" s="164" t="s">
        <v>371</v>
      </c>
      <c r="C97" s="164" t="s">
        <v>372</v>
      </c>
      <c r="D97" s="186"/>
      <c r="E97" s="186"/>
      <c r="K97" s="187"/>
      <c r="Q97" s="188"/>
      <c r="R97" s="187"/>
      <c r="X97" s="188"/>
      <c r="Y97" s="187"/>
      <c r="AE97" s="188"/>
      <c r="AF97" s="187"/>
      <c r="AJ97" s="168"/>
      <c r="AK97" s="189"/>
      <c r="AL97" s="188"/>
      <c r="AM97" s="187"/>
      <c r="AS97" s="188"/>
      <c r="AT97" s="187"/>
      <c r="AZ97" s="188"/>
      <c r="BA97" s="187"/>
      <c r="BG97" s="188"/>
      <c r="BH97" s="187"/>
      <c r="BL97" s="168"/>
      <c r="BM97" s="189"/>
      <c r="BN97" s="188"/>
      <c r="BO97" s="187"/>
      <c r="BU97" s="188"/>
      <c r="BV97" s="187"/>
      <c r="CB97" s="188"/>
      <c r="CC97" s="187"/>
      <c r="CI97" s="188"/>
      <c r="CJ97" s="187"/>
      <c r="CP97" s="188"/>
      <c r="CQ97" s="190"/>
      <c r="CR97" s="189"/>
      <c r="CW97" s="188"/>
      <c r="CX97" s="187"/>
      <c r="DD97" s="188"/>
      <c r="DE97" s="187"/>
      <c r="DK97" s="188"/>
      <c r="DL97" s="187"/>
      <c r="DR97" s="188"/>
      <c r="DS97" s="187"/>
      <c r="DU97" s="168"/>
      <c r="DV97" s="189"/>
      <c r="DY97" s="188"/>
      <c r="DZ97" s="187"/>
      <c r="EF97" s="188"/>
      <c r="EG97" s="187"/>
      <c r="EM97" s="188"/>
      <c r="EN97" s="187"/>
      <c r="ET97" s="188"/>
      <c r="EU97" s="187"/>
      <c r="EZ97" s="168"/>
      <c r="FA97" s="191"/>
      <c r="FB97" s="187"/>
      <c r="FH97" s="188"/>
      <c r="FI97" s="187"/>
      <c r="FO97" s="188"/>
      <c r="FP97" s="187"/>
      <c r="FV97" s="188"/>
      <c r="FW97" s="187"/>
      <c r="GC97" s="188"/>
      <c r="GD97" s="190"/>
      <c r="GE97" s="189"/>
      <c r="GJ97" s="188"/>
      <c r="GK97" s="187"/>
      <c r="GQ97" s="188"/>
      <c r="GR97" s="187"/>
      <c r="GX97" s="188"/>
      <c r="GY97" s="187"/>
      <c r="HE97" s="188"/>
      <c r="HF97" s="187"/>
      <c r="HI97" s="168"/>
      <c r="HJ97" s="189"/>
      <c r="HL97" s="188"/>
      <c r="HM97" s="187"/>
      <c r="HS97" s="188"/>
      <c r="HT97" s="187"/>
      <c r="HZ97" s="188"/>
      <c r="IA97" s="187"/>
      <c r="IG97" s="188"/>
      <c r="IH97" s="187"/>
      <c r="IN97" s="168"/>
      <c r="IO97" s="189"/>
      <c r="IU97" s="188"/>
      <c r="IV97" s="187"/>
      <c r="JB97" s="188"/>
      <c r="JC97" s="187"/>
      <c r="JI97" s="188"/>
      <c r="JJ97" s="187"/>
      <c r="JP97" s="188"/>
      <c r="JQ97" s="187"/>
      <c r="JR97" s="168"/>
      <c r="JS97" s="189"/>
      <c r="JW97" s="188"/>
      <c r="JX97" s="187"/>
      <c r="KD97" s="188"/>
      <c r="KE97" s="187"/>
      <c r="KK97" s="188"/>
      <c r="KL97" s="187"/>
      <c r="KR97" s="188"/>
      <c r="KS97" s="187"/>
      <c r="KW97" s="168"/>
      <c r="KX97" s="189"/>
      <c r="KY97" s="188"/>
      <c r="KZ97" s="187"/>
      <c r="LF97" s="188"/>
      <c r="LG97" s="187"/>
      <c r="LM97" s="188"/>
      <c r="LN97" s="187"/>
      <c r="LT97" s="188"/>
      <c r="LU97" s="187"/>
      <c r="MA97" s="168"/>
      <c r="MB97" s="189"/>
      <c r="MH97" s="188"/>
      <c r="MI97" s="187"/>
      <c r="MO97" s="188"/>
      <c r="MP97" s="187"/>
      <c r="MV97" s="188"/>
      <c r="MW97" s="187"/>
      <c r="NC97" s="188"/>
      <c r="ND97" s="187"/>
      <c r="NF97" s="168"/>
      <c r="NG97" s="189"/>
      <c r="NJ97" s="188"/>
      <c r="NK97" s="187"/>
      <c r="NQ97" s="188"/>
      <c r="NR97" s="187"/>
      <c r="NX97" s="188"/>
      <c r="NY97" s="187"/>
      <c r="OE97" s="188"/>
      <c r="OF97" s="187"/>
      <c r="OK97" s="168"/>
      <c r="OL97" s="191"/>
      <c r="OM97" s="187"/>
      <c r="OS97" s="188"/>
      <c r="OT97" s="187"/>
      <c r="OZ97" s="188"/>
      <c r="PA97" s="187"/>
      <c r="PG97" s="188"/>
      <c r="PH97" s="187"/>
      <c r="PN97" s="168"/>
      <c r="PO97" s="189"/>
      <c r="PU97" s="188"/>
      <c r="PV97" s="187"/>
      <c r="QB97" s="188"/>
      <c r="QC97" s="187"/>
      <c r="QI97" s="188"/>
      <c r="QJ97" s="187"/>
      <c r="QP97" s="188"/>
      <c r="QQ97" s="187"/>
      <c r="QS97" s="168"/>
      <c r="QT97" s="189"/>
      <c r="QW97" s="188"/>
      <c r="QX97" s="187"/>
      <c r="RD97" s="188"/>
      <c r="RE97" s="187"/>
      <c r="RK97" s="188"/>
      <c r="RL97" s="187"/>
      <c r="RR97" s="188"/>
      <c r="RS97" s="187"/>
      <c r="RW97" s="168"/>
      <c r="RX97" s="189"/>
      <c r="RY97" s="188"/>
      <c r="RZ97" s="187"/>
      <c r="SF97" s="188"/>
      <c r="SG97" s="187"/>
      <c r="SM97" s="188"/>
      <c r="SN97" s="187"/>
      <c r="ST97" s="188"/>
      <c r="SU97" s="187"/>
      <c r="TA97" s="188"/>
      <c r="TB97" s="190"/>
      <c r="TC97" s="189"/>
      <c r="TH97" s="188"/>
      <c r="TI97" s="187"/>
      <c r="TO97" s="188"/>
      <c r="TP97" s="187"/>
      <c r="TV97" s="188"/>
      <c r="TW97" s="187"/>
      <c r="UC97" s="188"/>
      <c r="UD97" s="187"/>
      <c r="UF97" s="168"/>
      <c r="UG97" s="189"/>
      <c r="UJ97" s="188"/>
      <c r="UK97" s="187"/>
      <c r="UQ97" s="188"/>
      <c r="UR97" s="187"/>
      <c r="UX97" s="188"/>
      <c r="UY97" s="187"/>
      <c r="VE97" s="188"/>
      <c r="VF97" s="187"/>
      <c r="VK97" s="168"/>
      <c r="VL97" s="191"/>
      <c r="VM97" s="187"/>
      <c r="VS97" s="188"/>
      <c r="VT97" s="187"/>
      <c r="VZ97" s="188"/>
      <c r="WA97" s="187"/>
      <c r="WG97" s="188"/>
      <c r="WH97" s="187"/>
      <c r="WN97" s="188"/>
      <c r="WO97" s="187"/>
      <c r="WP97" s="168"/>
      <c r="WQ97" s="189"/>
      <c r="WU97" s="188"/>
      <c r="WV97" s="187"/>
      <c r="XB97" s="188"/>
      <c r="XC97" s="187"/>
      <c r="XI97" s="188"/>
      <c r="XJ97" s="187"/>
      <c r="XP97" s="188"/>
      <c r="XQ97" s="187"/>
      <c r="XT97" s="168"/>
      <c r="XU97" s="189"/>
      <c r="XW97" s="188"/>
      <c r="XX97" s="187"/>
      <c r="YD97" s="188"/>
      <c r="YE97" s="187"/>
      <c r="YK97" s="188"/>
      <c r="YL97" s="187"/>
      <c r="YR97" s="188"/>
      <c r="YS97" s="187"/>
      <c r="YY97" s="168"/>
      <c r="YZ97" s="189"/>
      <c r="ZF97" s="188"/>
      <c r="ZG97" s="187"/>
      <c r="ZM97" s="188"/>
      <c r="ZN97" s="187"/>
      <c r="ZT97" s="188"/>
      <c r="ZU97" s="187"/>
      <c r="AAA97" s="188"/>
      <c r="AAB97" s="187"/>
      <c r="AAC97" s="168"/>
      <c r="AAD97" s="189"/>
      <c r="AAH97" s="188"/>
      <c r="AAI97" s="187"/>
      <c r="AAO97" s="188"/>
      <c r="AAP97" s="187"/>
      <c r="AAV97" s="188"/>
      <c r="AAW97" s="187"/>
      <c r="ABC97" s="188"/>
      <c r="ABD97" s="187"/>
      <c r="ABH97" s="168"/>
      <c r="ABI97" s="189"/>
      <c r="ABJ97" s="188"/>
      <c r="ABK97" s="187"/>
      <c r="ABQ97" s="188"/>
      <c r="ABR97" s="187"/>
      <c r="ABX97" s="188"/>
      <c r="ABY97" s="187"/>
      <c r="ACE97" s="188"/>
      <c r="ACF97" s="187"/>
      <c r="ACL97" s="188"/>
      <c r="ACM97" s="190"/>
      <c r="ACN97" s="189"/>
      <c r="ACS97" s="188"/>
      <c r="ACT97" s="187"/>
      <c r="ACZ97" s="188"/>
      <c r="ADA97" s="187"/>
      <c r="ADG97" s="188"/>
      <c r="ADH97" s="187"/>
      <c r="ADN97" s="188"/>
      <c r="ADO97" s="190"/>
      <c r="ADP97" s="189"/>
      <c r="ADU97" s="188"/>
      <c r="ADV97" s="187"/>
      <c r="AEB97" s="188"/>
      <c r="AEC97" s="187"/>
      <c r="AEI97" s="188"/>
      <c r="AEJ97" s="187"/>
      <c r="AEP97" s="188"/>
      <c r="AEQ97" s="187"/>
      <c r="AET97" s="168"/>
      <c r="AEU97" s="189"/>
      <c r="AEW97" s="188"/>
      <c r="AEX97" s="187"/>
      <c r="AFD97" s="188"/>
      <c r="AFE97" s="187"/>
      <c r="AFK97" s="188"/>
      <c r="AFL97" s="187"/>
      <c r="AFR97" s="188"/>
      <c r="AFS97" s="187"/>
      <c r="AFX97" s="168"/>
      <c r="AFY97" s="191"/>
      <c r="AFZ97" s="187"/>
      <c r="AGF97" s="188"/>
      <c r="AGG97" s="187"/>
      <c r="AGM97" s="188"/>
      <c r="AGN97" s="187"/>
      <c r="AGT97" s="188"/>
      <c r="AGU97" s="187"/>
      <c r="AHA97" s="188"/>
      <c r="AHB97" s="187"/>
      <c r="AHC97" s="168"/>
      <c r="AHD97" s="189"/>
      <c r="AHH97" s="188"/>
      <c r="AHI97" s="187"/>
      <c r="AHO97" s="188"/>
      <c r="AHP97" s="187"/>
      <c r="AHV97" s="188"/>
      <c r="AHW97" s="187"/>
      <c r="AIC97" s="188"/>
      <c r="AID97" s="187"/>
      <c r="AIG97" s="168"/>
      <c r="AIH97" s="189"/>
      <c r="AIJ97" s="188"/>
      <c r="AIK97" s="187"/>
      <c r="AIQ97" s="188"/>
      <c r="AIR97" s="187"/>
      <c r="AIX97" s="188"/>
      <c r="AIY97" s="187"/>
      <c r="AJE97" s="188"/>
      <c r="AJF97" s="187"/>
      <c r="AJL97" s="168"/>
      <c r="AJM97" s="189"/>
      <c r="AJS97" s="188"/>
      <c r="AJT97" s="187"/>
      <c r="AJZ97" s="188"/>
      <c r="AKA97" s="187"/>
      <c r="AKG97" s="188"/>
      <c r="AKH97" s="187"/>
      <c r="AKN97" s="188"/>
      <c r="AKO97" s="187"/>
      <c r="AKQ97" s="168"/>
      <c r="AKR97" s="189"/>
      <c r="AKU97" s="188"/>
      <c r="AKV97" s="187"/>
      <c r="ALB97" s="188"/>
      <c r="ALC97" s="187"/>
      <c r="ALI97" s="188"/>
      <c r="ALJ97" s="187"/>
      <c r="ALP97" s="188"/>
      <c r="ALQ97" s="187"/>
      <c r="ALU97" s="168"/>
      <c r="ALV97" s="189"/>
      <c r="ALW97" s="188"/>
      <c r="ALX97" s="187"/>
      <c r="AMD97" s="188"/>
      <c r="AME97" s="187"/>
      <c r="AMK97" s="188"/>
      <c r="AML97" s="187"/>
      <c r="AMR97" s="188"/>
      <c r="AMS97" s="187"/>
      <c r="AMY97" s="188"/>
      <c r="AMZ97" s="190"/>
      <c r="ANA97" s="189"/>
      <c r="ANF97" s="188"/>
      <c r="ANG97" s="187"/>
      <c r="ANM97" s="188"/>
      <c r="ANN97" s="187"/>
      <c r="ANT97" s="188"/>
      <c r="ANU97" s="187"/>
      <c r="AOA97" s="188"/>
      <c r="AOB97" s="187"/>
      <c r="AOD97" s="168"/>
      <c r="AOE97" s="189"/>
      <c r="AOH97" s="188"/>
      <c r="AOI97" s="187"/>
      <c r="AOO97" s="188"/>
      <c r="AOP97" s="187"/>
      <c r="AOV97" s="188"/>
      <c r="AOW97" s="187"/>
      <c r="APC97" s="188"/>
      <c r="APD97" s="187"/>
      <c r="API97" s="168"/>
      <c r="APJ97" s="191"/>
      <c r="APK97" s="187"/>
      <c r="APQ97" s="188"/>
      <c r="APR97" s="187"/>
      <c r="APX97" s="188"/>
      <c r="APY97" s="187"/>
      <c r="AQE97" s="188"/>
      <c r="AQF97" s="187"/>
      <c r="AQL97" s="188"/>
      <c r="AQM97" s="187"/>
      <c r="AQN97" s="168"/>
      <c r="AQO97" s="189"/>
      <c r="AQS97" s="188"/>
      <c r="AQT97" s="187"/>
      <c r="AQZ97" s="188"/>
      <c r="ARA97" s="187"/>
      <c r="ARG97" s="188"/>
      <c r="ARH97" s="187"/>
      <c r="ARN97" s="188"/>
      <c r="ARO97" s="187"/>
      <c r="ARP97" s="168"/>
      <c r="ARQ97" s="189"/>
      <c r="ARU97" s="188"/>
      <c r="ARV97" s="187"/>
      <c r="ASB97" s="188"/>
      <c r="ASC97" s="187"/>
      <c r="ASI97" s="188"/>
      <c r="ASJ97" s="187"/>
      <c r="ASP97" s="188"/>
      <c r="ASQ97" s="187"/>
      <c r="ASU97" s="168"/>
      <c r="ASV97" s="189"/>
      <c r="ASW97" s="188"/>
      <c r="ASX97" s="187"/>
      <c r="ATD97" s="188"/>
      <c r="ATE97" s="187"/>
      <c r="ATK97" s="188"/>
      <c r="ATL97" s="187"/>
      <c r="ATR97" s="188"/>
      <c r="ATS97" s="187"/>
      <c r="ATY97" s="168"/>
      <c r="ATZ97" s="189"/>
      <c r="AUF97" s="188"/>
      <c r="AUG97" s="187"/>
      <c r="AUM97" s="188"/>
      <c r="AUN97" s="187"/>
      <c r="AUT97" s="188"/>
      <c r="AUU97" s="187"/>
      <c r="AVA97" s="188"/>
      <c r="AVB97" s="187"/>
      <c r="AVD97" s="168"/>
      <c r="AVE97" s="189"/>
      <c r="AVH97" s="188"/>
      <c r="AVI97" s="187"/>
      <c r="AVO97" s="188"/>
      <c r="AVP97" s="187"/>
      <c r="AVV97" s="188"/>
      <c r="AVW97" s="187"/>
      <c r="AWC97" s="188"/>
      <c r="AWD97" s="187"/>
      <c r="AWH97" s="168"/>
      <c r="AWI97" s="189"/>
      <c r="AWJ97" s="188"/>
      <c r="AWK97" s="187"/>
      <c r="AWQ97" s="188"/>
      <c r="AWR97" s="187"/>
      <c r="AWX97" s="188"/>
      <c r="AWY97" s="187"/>
      <c r="AXE97" s="188"/>
      <c r="AXF97" s="187"/>
      <c r="AXL97" s="188"/>
      <c r="AXM97" s="190"/>
      <c r="AXN97" s="189"/>
      <c r="AXS97" s="188"/>
      <c r="AXT97" s="187"/>
      <c r="AXZ97" s="188"/>
      <c r="AYA97" s="187"/>
      <c r="AYG97" s="188"/>
      <c r="AYH97" s="187"/>
      <c r="AYN97" s="188"/>
      <c r="AYO97" s="187"/>
      <c r="AYR97" s="168"/>
      <c r="AYS97" s="189"/>
      <c r="AYU97" s="188"/>
      <c r="AYV97" s="187"/>
      <c r="AZB97" s="188"/>
      <c r="AZC97" s="187"/>
      <c r="AZI97" s="188"/>
      <c r="AZJ97" s="187"/>
      <c r="AZP97" s="188"/>
      <c r="AZQ97" s="187"/>
      <c r="AZV97" s="168"/>
      <c r="AZW97" s="191"/>
      <c r="AZX97" s="187"/>
      <c r="BAD97" s="188"/>
      <c r="BAE97" s="187"/>
      <c r="BAK97" s="188"/>
      <c r="BAL97" s="187"/>
      <c r="BAR97" s="188"/>
      <c r="BAS97" s="187"/>
      <c r="BAY97" s="188"/>
      <c r="BAZ97" s="187"/>
      <c r="BBA97" s="168"/>
      <c r="BBB97" s="189"/>
      <c r="BBF97" s="188"/>
      <c r="BBG97" s="187"/>
      <c r="BBM97" s="188"/>
      <c r="BBN97" s="187"/>
      <c r="BBT97" s="188"/>
      <c r="BBU97" s="187"/>
      <c r="BCA97" s="188"/>
      <c r="BCB97" s="187"/>
      <c r="BCE97" s="168"/>
      <c r="BCF97" s="189"/>
      <c r="BCH97" s="188"/>
      <c r="BCI97" s="187"/>
      <c r="BCO97" s="188"/>
      <c r="BCP97" s="187"/>
      <c r="BCV97" s="188"/>
      <c r="BCW97" s="187"/>
      <c r="BDC97" s="188"/>
      <c r="BDD97" s="187"/>
      <c r="BDJ97" s="168"/>
      <c r="BDK97" s="189"/>
      <c r="BDQ97" s="188"/>
      <c r="BDR97" s="187"/>
      <c r="BDX97" s="188"/>
      <c r="BDY97" s="187"/>
      <c r="BEE97" s="188"/>
      <c r="BEF97" s="187"/>
      <c r="BEL97" s="188"/>
      <c r="BEM97" s="187"/>
      <c r="BEO97" s="168"/>
      <c r="BEP97" s="189"/>
      <c r="BES97" s="188"/>
      <c r="BET97" s="187"/>
      <c r="BEZ97" s="188"/>
      <c r="BFA97" s="187"/>
      <c r="BFG97" s="188"/>
      <c r="BFH97" s="187"/>
      <c r="BFN97" s="188"/>
      <c r="BFO97" s="187"/>
      <c r="BFQ97" s="168"/>
      <c r="BFR97" s="189"/>
      <c r="BFU97" s="188"/>
      <c r="BFV97" s="187"/>
      <c r="BGB97" s="188"/>
      <c r="BGC97" s="187"/>
      <c r="BGI97" s="188"/>
      <c r="BGJ97" s="187"/>
      <c r="BGP97" s="188"/>
      <c r="BGQ97" s="187"/>
      <c r="BGV97" s="168"/>
      <c r="BGW97" s="191"/>
      <c r="BGX97" s="187"/>
      <c r="BHD97" s="188"/>
      <c r="BHE97" s="187"/>
      <c r="BHK97" s="188"/>
      <c r="BHL97" s="187"/>
      <c r="BHR97" s="188"/>
      <c r="BHS97" s="187"/>
      <c r="BHY97" s="188"/>
      <c r="BHZ97" s="190"/>
      <c r="BIA97" s="189"/>
      <c r="BIF97" s="188"/>
      <c r="BIG97" s="187"/>
      <c r="BIM97" s="188"/>
      <c r="BIN97" s="187"/>
      <c r="BIT97" s="188"/>
      <c r="BIU97" s="187"/>
      <c r="BJA97" s="188"/>
      <c r="BJB97" s="187"/>
      <c r="BJE97" s="168"/>
      <c r="BJF97" s="189"/>
      <c r="BJH97" s="188"/>
      <c r="BJI97" s="187"/>
      <c r="BJO97" s="188"/>
      <c r="BJP97" s="187"/>
      <c r="BJV97" s="188"/>
      <c r="BJW97" s="187"/>
      <c r="BKC97" s="188"/>
      <c r="BKD97" s="187"/>
      <c r="BKI97" s="168"/>
      <c r="BKJ97" s="191"/>
      <c r="BKK97" s="187"/>
      <c r="BKQ97" s="188"/>
      <c r="BKR97" s="187"/>
      <c r="BKX97" s="188"/>
      <c r="BKY97" s="187"/>
      <c r="BLE97" s="188"/>
      <c r="BLF97" s="187"/>
      <c r="BLL97" s="188"/>
      <c r="BLM97" s="187"/>
      <c r="BLN97" s="168"/>
      <c r="BLO97" s="189"/>
      <c r="BLS97" s="188"/>
      <c r="BLT97" s="187"/>
      <c r="BLZ97" s="188"/>
      <c r="BMA97" s="187"/>
      <c r="BMG97" s="188"/>
      <c r="BMH97" s="187"/>
      <c r="BMN97" s="188"/>
      <c r="BMO97" s="187"/>
      <c r="BMS97" s="168"/>
      <c r="BMT97" s="189"/>
      <c r="BMU97" s="188"/>
      <c r="BMV97" s="187"/>
      <c r="BNB97" s="188"/>
      <c r="BNC97" s="187"/>
      <c r="BNI97" s="188"/>
      <c r="BNJ97" s="187"/>
      <c r="BNP97" s="188"/>
      <c r="BNQ97" s="187"/>
      <c r="BNW97" s="168"/>
      <c r="BNX97" s="189"/>
      <c r="BOD97" s="188"/>
      <c r="BOE97" s="187"/>
      <c r="BOK97" s="188"/>
      <c r="BOL97" s="187"/>
      <c r="BOR97" s="188"/>
      <c r="BOS97" s="187"/>
      <c r="BOY97" s="188"/>
      <c r="BOZ97" s="187"/>
      <c r="BPB97" s="168"/>
      <c r="BPC97" s="189"/>
      <c r="BPF97" s="188"/>
      <c r="BPG97" s="187"/>
      <c r="BPM97" s="188"/>
      <c r="BPN97" s="187"/>
      <c r="BPT97" s="188"/>
      <c r="BPU97" s="187"/>
      <c r="BQA97" s="188"/>
      <c r="BQB97" s="187"/>
      <c r="BQF97" s="168"/>
      <c r="BQG97" s="189"/>
      <c r="BQH97" s="188"/>
      <c r="BQI97" s="187"/>
      <c r="BQO97" s="188"/>
      <c r="BQP97" s="187"/>
      <c r="BQV97" s="188"/>
      <c r="BQW97" s="187"/>
      <c r="BRC97" s="188"/>
      <c r="BRD97" s="187"/>
      <c r="BRJ97" s="188"/>
      <c r="BRK97" s="190"/>
      <c r="BRL97" s="189"/>
      <c r="BRQ97" s="188"/>
      <c r="BRR97" s="187"/>
      <c r="BRX97" s="188"/>
      <c r="BRY97" s="187"/>
      <c r="BSE97" s="188"/>
      <c r="BSF97" s="187"/>
      <c r="BSL97" s="188"/>
      <c r="BSM97" s="187"/>
      <c r="BSP97" s="168"/>
      <c r="BSQ97" s="189"/>
      <c r="BSS97" s="188"/>
      <c r="BST97" s="187"/>
      <c r="BSZ97" s="188"/>
      <c r="BTA97" s="187"/>
      <c r="BTG97" s="188"/>
      <c r="BTH97" s="187"/>
      <c r="BTN97" s="188"/>
      <c r="BTO97" s="187"/>
      <c r="BTS97" s="168"/>
      <c r="BTT97" s="189"/>
      <c r="BTU97" s="188"/>
      <c r="BTV97" s="187"/>
      <c r="BUB97" s="188"/>
      <c r="BUC97" s="187"/>
      <c r="BUI97" s="188"/>
      <c r="BUJ97" s="187"/>
      <c r="BUP97" s="188"/>
      <c r="BUQ97" s="187"/>
      <c r="BUW97" s="188"/>
      <c r="BUX97" s="190"/>
      <c r="BUY97" s="189"/>
      <c r="BVD97" s="188"/>
      <c r="BVE97" s="187"/>
      <c r="BVK97" s="188"/>
      <c r="BVL97" s="187"/>
      <c r="BVR97" s="188"/>
      <c r="BVS97" s="187"/>
      <c r="BVY97" s="188"/>
      <c r="BVZ97" s="187"/>
      <c r="BWB97" s="168"/>
      <c r="BWC97" s="189"/>
      <c r="BWF97" s="188"/>
      <c r="BWG97" s="187"/>
      <c r="BWM97" s="188"/>
      <c r="BWN97" s="187"/>
      <c r="BWT97" s="188"/>
      <c r="BWU97" s="187"/>
      <c r="BXA97" s="188"/>
      <c r="BXB97" s="187"/>
      <c r="BXG97" s="168"/>
      <c r="BXH97" s="191"/>
      <c r="BXI97" s="187"/>
      <c r="BXO97" s="188"/>
      <c r="BXP97" s="187"/>
      <c r="BXV97" s="188"/>
      <c r="BXW97" s="187"/>
      <c r="BYC97" s="188"/>
      <c r="BYD97" s="187"/>
      <c r="BYJ97" s="188"/>
      <c r="BYK97" s="190"/>
      <c r="BYL97" s="189"/>
      <c r="BYQ97" s="188"/>
      <c r="BYR97" s="187"/>
      <c r="BYX97" s="188"/>
      <c r="BYY97" s="187"/>
      <c r="BZE97" s="188"/>
      <c r="BZF97" s="187"/>
      <c r="BZL97" s="188"/>
      <c r="BZM97" s="187"/>
      <c r="BZP97" s="168"/>
      <c r="BZQ97" s="189"/>
      <c r="BZS97" s="188"/>
      <c r="BZT97" s="187"/>
      <c r="BZZ97" s="188"/>
      <c r="CAA97" s="187"/>
      <c r="CAG97" s="188"/>
      <c r="CAH97" s="187"/>
      <c r="CAN97" s="188"/>
      <c r="CAO97" s="187"/>
      <c r="CAU97" s="168"/>
      <c r="CAV97" s="189"/>
      <c r="CBB97" s="188"/>
      <c r="CBC97" s="187"/>
      <c r="CBI97" s="188"/>
      <c r="CBJ97" s="187"/>
      <c r="CBP97" s="188"/>
      <c r="CBQ97" s="187"/>
      <c r="CBW97" s="188"/>
      <c r="CBX97" s="187"/>
      <c r="CBY97" s="168"/>
      <c r="CBZ97" s="189"/>
      <c r="CCD97" s="188"/>
      <c r="CCE97" s="187"/>
      <c r="CCK97" s="188"/>
      <c r="CCL97" s="187"/>
      <c r="CCR97" s="188"/>
      <c r="CCS97" s="187"/>
      <c r="CCY97" s="188"/>
      <c r="CCZ97" s="187"/>
      <c r="CDD97" s="168"/>
      <c r="CDE97" s="189"/>
      <c r="CDF97" s="188"/>
      <c r="CDG97" s="187"/>
      <c r="CDM97" s="188"/>
      <c r="CDN97" s="187"/>
      <c r="CDT97" s="188"/>
      <c r="CDU97" s="187"/>
      <c r="CEA97" s="188"/>
      <c r="CEB97" s="187"/>
      <c r="CEH97" s="168"/>
      <c r="CEI97" s="189"/>
      <c r="CEO97" s="188"/>
      <c r="CEP97" s="187"/>
      <c r="CEV97" s="188"/>
      <c r="CEW97" s="187"/>
      <c r="CFC97" s="188"/>
      <c r="CFD97" s="187"/>
      <c r="CFJ97" s="188"/>
      <c r="CFK97" s="187"/>
    </row>
    <row r="98" spans="1:1019 1025:2048 2054:2195">
      <c r="A98" s="164" t="s">
        <v>373</v>
      </c>
      <c r="C98" s="164" t="s">
        <v>374</v>
      </c>
      <c r="D98" s="186"/>
      <c r="E98" s="186"/>
      <c r="K98" s="187"/>
      <c r="Q98" s="188"/>
      <c r="R98" s="187"/>
      <c r="X98" s="188"/>
      <c r="Y98" s="187"/>
      <c r="AE98" s="188"/>
      <c r="AF98" s="187"/>
      <c r="AJ98" s="168"/>
      <c r="AK98" s="189"/>
      <c r="AL98" s="188"/>
      <c r="AM98" s="187"/>
      <c r="AS98" s="188"/>
      <c r="AT98" s="187"/>
      <c r="AZ98" s="188"/>
      <c r="BA98" s="187"/>
      <c r="BG98" s="188"/>
      <c r="BH98" s="187"/>
      <c r="BL98" s="168"/>
      <c r="BM98" s="189"/>
      <c r="BN98" s="188"/>
      <c r="BO98" s="187"/>
      <c r="BU98" s="188"/>
      <c r="BV98" s="187"/>
      <c r="CB98" s="188"/>
      <c r="CC98" s="187"/>
      <c r="CI98" s="188"/>
      <c r="CJ98" s="187"/>
      <c r="CP98" s="188"/>
      <c r="CQ98" s="190"/>
      <c r="CR98" s="189"/>
      <c r="CW98" s="188"/>
      <c r="CX98" s="187"/>
      <c r="DD98" s="188"/>
      <c r="DE98" s="187"/>
      <c r="DK98" s="188"/>
      <c r="DL98" s="187"/>
      <c r="DR98" s="188"/>
      <c r="DS98" s="187"/>
      <c r="DU98" s="168"/>
      <c r="DV98" s="189"/>
      <c r="DY98" s="188"/>
      <c r="DZ98" s="187"/>
      <c r="EF98" s="188"/>
      <c r="EG98" s="187"/>
      <c r="EM98" s="188"/>
      <c r="EN98" s="187"/>
      <c r="ET98" s="188"/>
      <c r="EU98" s="187"/>
      <c r="EZ98" s="168"/>
      <c r="FA98" s="191"/>
      <c r="FB98" s="187"/>
      <c r="FH98" s="188"/>
      <c r="FI98" s="187"/>
      <c r="FO98" s="188"/>
      <c r="FP98" s="187"/>
      <c r="FV98" s="188"/>
      <c r="FW98" s="187"/>
      <c r="GC98" s="188"/>
      <c r="GD98" s="190"/>
      <c r="GE98" s="189"/>
      <c r="GJ98" s="188"/>
      <c r="GK98" s="187"/>
      <c r="GQ98" s="188"/>
      <c r="GR98" s="187"/>
      <c r="GX98" s="188"/>
      <c r="GY98" s="187"/>
      <c r="HE98" s="188"/>
      <c r="HF98" s="187"/>
      <c r="HI98" s="168"/>
      <c r="HJ98" s="189"/>
      <c r="HL98" s="188"/>
      <c r="HM98" s="187"/>
      <c r="HS98" s="188"/>
      <c r="HT98" s="187"/>
      <c r="HZ98" s="188"/>
      <c r="IA98" s="187"/>
      <c r="IG98" s="188"/>
      <c r="IH98" s="187"/>
      <c r="IN98" s="168"/>
      <c r="IO98" s="189"/>
      <c r="IU98" s="188"/>
      <c r="IV98" s="187"/>
      <c r="JB98" s="188"/>
      <c r="JC98" s="187"/>
      <c r="JI98" s="188"/>
      <c r="JJ98" s="187"/>
      <c r="JP98" s="188"/>
      <c r="JQ98" s="187"/>
      <c r="JR98" s="168"/>
      <c r="JS98" s="189"/>
      <c r="JW98" s="188"/>
      <c r="JX98" s="187"/>
      <c r="KD98" s="188"/>
      <c r="KE98" s="187"/>
      <c r="KK98" s="188"/>
      <c r="KL98" s="187"/>
      <c r="KR98" s="188"/>
      <c r="KS98" s="187"/>
      <c r="KW98" s="168"/>
      <c r="KX98" s="189"/>
      <c r="KY98" s="188"/>
      <c r="KZ98" s="187"/>
      <c r="LF98" s="188"/>
      <c r="LG98" s="187"/>
      <c r="LM98" s="188"/>
      <c r="LN98" s="187"/>
      <c r="LT98" s="188"/>
      <c r="LU98" s="187"/>
      <c r="MA98" s="168"/>
      <c r="MB98" s="189"/>
      <c r="MH98" s="188"/>
      <c r="MI98" s="187"/>
      <c r="MO98" s="188"/>
      <c r="MP98" s="187"/>
      <c r="MV98" s="188"/>
      <c r="MW98" s="187"/>
      <c r="NC98" s="188"/>
      <c r="ND98" s="187"/>
      <c r="NF98" s="168"/>
      <c r="NG98" s="189"/>
      <c r="NJ98" s="188"/>
      <c r="NK98" s="187"/>
      <c r="NQ98" s="188"/>
      <c r="NR98" s="187"/>
      <c r="NX98" s="188"/>
      <c r="NY98" s="187"/>
      <c r="OE98" s="188"/>
      <c r="OF98" s="187"/>
      <c r="OK98" s="168"/>
      <c r="OL98" s="191"/>
      <c r="OM98" s="187"/>
      <c r="OS98" s="188"/>
      <c r="OT98" s="187"/>
      <c r="OZ98" s="188"/>
      <c r="PA98" s="187"/>
      <c r="PG98" s="188"/>
      <c r="PH98" s="187"/>
      <c r="PN98" s="168"/>
      <c r="PO98" s="189"/>
      <c r="PU98" s="188"/>
      <c r="PV98" s="187"/>
      <c r="QB98" s="188"/>
      <c r="QC98" s="187"/>
      <c r="QI98" s="188"/>
      <c r="QJ98" s="187"/>
      <c r="QP98" s="188"/>
      <c r="QQ98" s="187"/>
      <c r="QS98" s="168"/>
      <c r="QT98" s="189"/>
      <c r="QW98" s="188"/>
      <c r="QX98" s="187"/>
      <c r="RD98" s="188"/>
      <c r="RE98" s="187"/>
      <c r="RK98" s="188"/>
      <c r="RL98" s="187"/>
      <c r="RR98" s="188"/>
      <c r="RS98" s="187"/>
      <c r="RW98" s="168"/>
      <c r="RX98" s="189"/>
      <c r="RY98" s="188"/>
      <c r="RZ98" s="187"/>
      <c r="SF98" s="188"/>
      <c r="SG98" s="187"/>
      <c r="SM98" s="188"/>
      <c r="SN98" s="187"/>
      <c r="ST98" s="188"/>
      <c r="SU98" s="187"/>
      <c r="TA98" s="188"/>
      <c r="TB98" s="190"/>
      <c r="TC98" s="189"/>
      <c r="TH98" s="188"/>
      <c r="TI98" s="187"/>
      <c r="TO98" s="188"/>
      <c r="TP98" s="187"/>
      <c r="TV98" s="188"/>
      <c r="TW98" s="187"/>
      <c r="UC98" s="188"/>
      <c r="UD98" s="187"/>
      <c r="UF98" s="168"/>
      <c r="UG98" s="189"/>
      <c r="UJ98" s="188"/>
      <c r="UK98" s="187"/>
      <c r="UQ98" s="188"/>
      <c r="UR98" s="187"/>
      <c r="UX98" s="188"/>
      <c r="UY98" s="187"/>
      <c r="VE98" s="188"/>
      <c r="VF98" s="187"/>
      <c r="VK98" s="168"/>
      <c r="VL98" s="191"/>
      <c r="VM98" s="187"/>
      <c r="VS98" s="188"/>
      <c r="VT98" s="187"/>
      <c r="VZ98" s="188"/>
      <c r="WA98" s="187"/>
      <c r="WG98" s="188"/>
      <c r="WH98" s="187"/>
      <c r="WN98" s="188"/>
      <c r="WO98" s="187"/>
      <c r="WP98" s="168"/>
      <c r="WQ98" s="189"/>
      <c r="WU98" s="188"/>
      <c r="WV98" s="187"/>
      <c r="XB98" s="188"/>
      <c r="XC98" s="187"/>
      <c r="XI98" s="188"/>
      <c r="XJ98" s="187"/>
      <c r="XP98" s="188"/>
      <c r="XQ98" s="187"/>
      <c r="XT98" s="168"/>
      <c r="XU98" s="189"/>
      <c r="XW98" s="188"/>
      <c r="XX98" s="187"/>
      <c r="YD98" s="188"/>
      <c r="YE98" s="187"/>
      <c r="YK98" s="188"/>
      <c r="YL98" s="187"/>
      <c r="YR98" s="188"/>
      <c r="YS98" s="187"/>
      <c r="YY98" s="168"/>
      <c r="YZ98" s="189"/>
      <c r="ZF98" s="188"/>
      <c r="ZG98" s="187"/>
      <c r="ZM98" s="188"/>
      <c r="ZN98" s="187"/>
      <c r="ZT98" s="188"/>
      <c r="ZU98" s="187"/>
      <c r="AAA98" s="188"/>
      <c r="AAB98" s="187"/>
      <c r="AAC98" s="168"/>
      <c r="AAD98" s="189"/>
      <c r="AAH98" s="188"/>
      <c r="AAI98" s="187"/>
      <c r="AAO98" s="188"/>
      <c r="AAP98" s="187"/>
      <c r="AAV98" s="188"/>
      <c r="AAW98" s="187"/>
      <c r="ABC98" s="188"/>
      <c r="ABD98" s="187"/>
      <c r="ABH98" s="168"/>
      <c r="ABI98" s="189"/>
      <c r="ABJ98" s="188"/>
      <c r="ABK98" s="187"/>
      <c r="ABQ98" s="188"/>
      <c r="ABR98" s="187"/>
      <c r="ABX98" s="188"/>
      <c r="ABY98" s="187"/>
      <c r="ACE98" s="188"/>
      <c r="ACF98" s="187"/>
      <c r="ACL98" s="188"/>
      <c r="ACM98" s="190"/>
      <c r="ACN98" s="189"/>
      <c r="ACS98" s="188"/>
      <c r="ACT98" s="187"/>
      <c r="ACZ98" s="188"/>
      <c r="ADA98" s="187"/>
      <c r="ADG98" s="188"/>
      <c r="ADH98" s="187"/>
      <c r="ADN98" s="188"/>
      <c r="ADO98" s="190"/>
      <c r="ADP98" s="189"/>
      <c r="ADU98" s="188"/>
      <c r="ADV98" s="187"/>
      <c r="AEB98" s="188"/>
      <c r="AEC98" s="187"/>
      <c r="AEI98" s="188"/>
      <c r="AEJ98" s="187"/>
      <c r="AEP98" s="188"/>
      <c r="AEQ98" s="187"/>
      <c r="AET98" s="168"/>
      <c r="AEU98" s="189"/>
      <c r="AEW98" s="188"/>
      <c r="AEX98" s="187"/>
      <c r="AFD98" s="188"/>
      <c r="AFE98" s="187"/>
      <c r="AFK98" s="188"/>
      <c r="AFL98" s="187"/>
      <c r="AFR98" s="188"/>
      <c r="AFS98" s="187"/>
      <c r="AFX98" s="168"/>
      <c r="AFY98" s="191"/>
      <c r="AFZ98" s="187"/>
      <c r="AGF98" s="188"/>
      <c r="AGG98" s="187"/>
      <c r="AGM98" s="188"/>
      <c r="AGN98" s="187"/>
      <c r="AGT98" s="188"/>
      <c r="AGU98" s="187"/>
      <c r="AHA98" s="188"/>
      <c r="AHB98" s="187"/>
      <c r="AHC98" s="168"/>
      <c r="AHD98" s="189"/>
      <c r="AHH98" s="188"/>
      <c r="AHI98" s="187"/>
      <c r="AHO98" s="188"/>
      <c r="AHP98" s="187"/>
      <c r="AHV98" s="188"/>
      <c r="AHW98" s="187"/>
      <c r="AIC98" s="188"/>
      <c r="AID98" s="187"/>
      <c r="AIG98" s="168"/>
      <c r="AIH98" s="189"/>
      <c r="AIJ98" s="188"/>
      <c r="AIK98" s="187"/>
      <c r="AIQ98" s="188"/>
      <c r="AIR98" s="187"/>
      <c r="AIX98" s="188"/>
      <c r="AIY98" s="187"/>
      <c r="AJE98" s="188"/>
      <c r="AJF98" s="187"/>
      <c r="AJL98" s="168"/>
      <c r="AJM98" s="189"/>
      <c r="AJS98" s="188"/>
      <c r="AJT98" s="187"/>
      <c r="AJZ98" s="188"/>
      <c r="AKA98" s="187"/>
      <c r="AKG98" s="188"/>
      <c r="AKH98" s="187"/>
      <c r="AKN98" s="188"/>
      <c r="AKO98" s="187"/>
      <c r="AKQ98" s="168"/>
      <c r="AKR98" s="189"/>
      <c r="AKU98" s="188"/>
      <c r="AKV98" s="187"/>
      <c r="ALB98" s="188"/>
      <c r="ALC98" s="187"/>
      <c r="ALI98" s="188"/>
      <c r="ALJ98" s="187"/>
      <c r="ALP98" s="188"/>
      <c r="ALQ98" s="187"/>
      <c r="ALU98" s="168"/>
      <c r="ALV98" s="189"/>
      <c r="ALW98" s="188"/>
      <c r="ALX98" s="187"/>
      <c r="AMD98" s="188"/>
      <c r="AME98" s="187"/>
      <c r="AMK98" s="188"/>
      <c r="AML98" s="187"/>
      <c r="AMR98" s="188"/>
      <c r="AMS98" s="187"/>
      <c r="AMY98" s="188"/>
      <c r="AMZ98" s="190"/>
      <c r="ANA98" s="189"/>
      <c r="ANF98" s="188"/>
      <c r="ANG98" s="187"/>
      <c r="ANM98" s="188"/>
      <c r="ANN98" s="187"/>
      <c r="ANT98" s="188"/>
      <c r="ANU98" s="187"/>
      <c r="AOA98" s="188"/>
      <c r="AOB98" s="187"/>
      <c r="AOD98" s="168"/>
      <c r="AOE98" s="189"/>
      <c r="AOH98" s="188"/>
      <c r="AOI98" s="187"/>
      <c r="AOO98" s="188"/>
      <c r="AOP98" s="187"/>
      <c r="AOV98" s="188"/>
      <c r="AOW98" s="187"/>
      <c r="APC98" s="188"/>
      <c r="APD98" s="187"/>
      <c r="API98" s="168"/>
      <c r="APJ98" s="191"/>
      <c r="APK98" s="187"/>
      <c r="APQ98" s="188"/>
      <c r="APR98" s="187"/>
      <c r="APX98" s="188"/>
      <c r="APY98" s="187"/>
      <c r="AQE98" s="188"/>
      <c r="AQF98" s="187"/>
      <c r="AQL98" s="188"/>
      <c r="AQM98" s="187"/>
      <c r="AQN98" s="168"/>
      <c r="AQO98" s="189"/>
      <c r="AQS98" s="188"/>
      <c r="AQT98" s="187"/>
      <c r="AQZ98" s="188"/>
      <c r="ARA98" s="187"/>
      <c r="ARG98" s="188"/>
      <c r="ARH98" s="187"/>
      <c r="ARN98" s="188"/>
      <c r="ARO98" s="187"/>
      <c r="ARP98" s="168"/>
      <c r="ARQ98" s="189"/>
      <c r="ARU98" s="188"/>
      <c r="ARV98" s="187"/>
      <c r="ASB98" s="188"/>
      <c r="ASC98" s="187"/>
      <c r="ASI98" s="188"/>
      <c r="ASJ98" s="187"/>
      <c r="ASP98" s="188"/>
      <c r="ASQ98" s="187"/>
      <c r="ASU98" s="168"/>
      <c r="ASV98" s="189"/>
      <c r="ASW98" s="188"/>
      <c r="ASX98" s="187"/>
      <c r="ATD98" s="188"/>
      <c r="ATE98" s="187"/>
      <c r="ATK98" s="188"/>
      <c r="ATL98" s="187"/>
      <c r="ATR98" s="188"/>
      <c r="ATS98" s="187"/>
      <c r="ATY98" s="168"/>
      <c r="ATZ98" s="189"/>
      <c r="AUF98" s="188"/>
      <c r="AUG98" s="187"/>
      <c r="AUM98" s="188"/>
      <c r="AUN98" s="187"/>
      <c r="AUT98" s="188"/>
      <c r="AUU98" s="187"/>
      <c r="AVA98" s="188"/>
      <c r="AVB98" s="187"/>
      <c r="AVD98" s="168"/>
      <c r="AVE98" s="189"/>
      <c r="AVH98" s="188"/>
      <c r="AVI98" s="187"/>
      <c r="AVO98" s="188"/>
      <c r="AVP98" s="187"/>
      <c r="AVV98" s="188"/>
      <c r="AVW98" s="187"/>
      <c r="AWC98" s="188"/>
      <c r="AWD98" s="187"/>
      <c r="AWH98" s="168"/>
      <c r="AWI98" s="189"/>
      <c r="AWJ98" s="188"/>
      <c r="AWK98" s="187"/>
      <c r="AWQ98" s="188"/>
      <c r="AWR98" s="187"/>
      <c r="AWX98" s="188"/>
      <c r="AWY98" s="187"/>
      <c r="AXE98" s="188"/>
      <c r="AXF98" s="187"/>
      <c r="AXL98" s="188"/>
      <c r="AXM98" s="190"/>
      <c r="AXN98" s="189"/>
      <c r="AXS98" s="188"/>
      <c r="AXT98" s="187"/>
      <c r="AXZ98" s="188"/>
      <c r="AYA98" s="187"/>
      <c r="AYG98" s="188"/>
      <c r="AYH98" s="187"/>
      <c r="AYN98" s="188"/>
      <c r="AYO98" s="187"/>
      <c r="AYR98" s="168"/>
      <c r="AYS98" s="189"/>
      <c r="AYU98" s="188"/>
      <c r="AYV98" s="187"/>
      <c r="AZB98" s="188"/>
      <c r="AZC98" s="187"/>
      <c r="AZI98" s="188"/>
      <c r="AZJ98" s="187"/>
      <c r="AZP98" s="188"/>
      <c r="AZQ98" s="187"/>
      <c r="AZV98" s="168"/>
      <c r="AZW98" s="191"/>
      <c r="AZX98" s="187"/>
      <c r="BAD98" s="188"/>
      <c r="BAE98" s="187"/>
      <c r="BAK98" s="188"/>
      <c r="BAL98" s="187"/>
      <c r="BAR98" s="188"/>
      <c r="BAS98" s="187"/>
      <c r="BAY98" s="188"/>
      <c r="BAZ98" s="187"/>
      <c r="BBA98" s="168"/>
      <c r="BBB98" s="189"/>
      <c r="BBF98" s="188"/>
      <c r="BBG98" s="187"/>
      <c r="BBM98" s="188"/>
      <c r="BBN98" s="187"/>
      <c r="BBT98" s="188"/>
      <c r="BBU98" s="187"/>
      <c r="BCA98" s="188"/>
      <c r="BCB98" s="187"/>
      <c r="BCE98" s="168"/>
      <c r="BCF98" s="189"/>
      <c r="BCH98" s="188"/>
      <c r="BCI98" s="187"/>
      <c r="BCO98" s="188"/>
      <c r="BCP98" s="187"/>
      <c r="BCV98" s="188"/>
      <c r="BCW98" s="187"/>
      <c r="BDC98" s="188"/>
      <c r="BDD98" s="187"/>
      <c r="BDJ98" s="168"/>
      <c r="BDK98" s="189"/>
      <c r="BDQ98" s="188"/>
      <c r="BDR98" s="187"/>
      <c r="BDX98" s="188"/>
      <c r="BDY98" s="187"/>
      <c r="BEE98" s="188"/>
      <c r="BEF98" s="187"/>
      <c r="BEL98" s="188"/>
      <c r="BEM98" s="187"/>
      <c r="BEO98" s="168"/>
      <c r="BEP98" s="189"/>
      <c r="BES98" s="188"/>
      <c r="BET98" s="187"/>
      <c r="BEZ98" s="188"/>
      <c r="BFA98" s="187"/>
      <c r="BFG98" s="188"/>
      <c r="BFH98" s="187"/>
      <c r="BFN98" s="188"/>
      <c r="BFO98" s="187"/>
      <c r="BFQ98" s="168"/>
      <c r="BFR98" s="189"/>
      <c r="BFU98" s="188"/>
      <c r="BFV98" s="187"/>
      <c r="BGB98" s="188"/>
      <c r="BGC98" s="187"/>
      <c r="BGI98" s="188"/>
      <c r="BGJ98" s="187"/>
      <c r="BGP98" s="188"/>
      <c r="BGQ98" s="187"/>
      <c r="BGV98" s="168"/>
      <c r="BGW98" s="191"/>
      <c r="BGX98" s="187"/>
      <c r="BHD98" s="188"/>
      <c r="BHE98" s="187"/>
      <c r="BHK98" s="188"/>
      <c r="BHL98" s="187"/>
      <c r="BHR98" s="188"/>
      <c r="BHS98" s="187"/>
      <c r="BHY98" s="188"/>
      <c r="BHZ98" s="190"/>
      <c r="BIA98" s="189"/>
      <c r="BIF98" s="188"/>
      <c r="BIG98" s="187"/>
      <c r="BIM98" s="188"/>
      <c r="BIN98" s="187"/>
      <c r="BIT98" s="188"/>
      <c r="BIU98" s="187"/>
      <c r="BJA98" s="188"/>
      <c r="BJB98" s="187"/>
      <c r="BJE98" s="168"/>
      <c r="BJF98" s="189"/>
      <c r="BJH98" s="188"/>
      <c r="BJI98" s="187"/>
      <c r="BJO98" s="188"/>
      <c r="BJP98" s="187"/>
      <c r="BJV98" s="188"/>
      <c r="BJW98" s="187"/>
      <c r="BKC98" s="188"/>
      <c r="BKD98" s="187"/>
      <c r="BKI98" s="168"/>
      <c r="BKJ98" s="191"/>
      <c r="BKK98" s="187"/>
      <c r="BKQ98" s="188"/>
      <c r="BKR98" s="187"/>
      <c r="BKX98" s="188"/>
      <c r="BKY98" s="187"/>
      <c r="BLE98" s="188"/>
      <c r="BLF98" s="187"/>
      <c r="BLL98" s="188"/>
      <c r="BLM98" s="187"/>
      <c r="BLN98" s="168"/>
      <c r="BLO98" s="189"/>
      <c r="BLS98" s="188"/>
      <c r="BLT98" s="187"/>
      <c r="BLZ98" s="188"/>
      <c r="BMA98" s="187"/>
      <c r="BMG98" s="188"/>
      <c r="BMH98" s="187"/>
      <c r="BMN98" s="188"/>
      <c r="BMO98" s="187"/>
      <c r="BMS98" s="168"/>
      <c r="BMT98" s="189"/>
      <c r="BMU98" s="188"/>
      <c r="BMV98" s="187"/>
      <c r="BNB98" s="188"/>
      <c r="BNC98" s="187"/>
      <c r="BNI98" s="188"/>
      <c r="BNJ98" s="187"/>
      <c r="BNP98" s="188"/>
      <c r="BNQ98" s="187"/>
      <c r="BNW98" s="168"/>
      <c r="BNX98" s="189"/>
      <c r="BOD98" s="188"/>
      <c r="BOE98" s="187"/>
      <c r="BOK98" s="188"/>
      <c r="BOL98" s="187"/>
      <c r="BOR98" s="188"/>
      <c r="BOS98" s="187"/>
      <c r="BOY98" s="188"/>
      <c r="BOZ98" s="187"/>
      <c r="BPB98" s="168"/>
      <c r="BPC98" s="189"/>
      <c r="BPF98" s="188"/>
      <c r="BPG98" s="187"/>
      <c r="BPM98" s="188"/>
      <c r="BPN98" s="187"/>
      <c r="BPT98" s="188"/>
      <c r="BPU98" s="187"/>
      <c r="BQA98" s="188"/>
      <c r="BQB98" s="187"/>
      <c r="BQF98" s="168"/>
      <c r="BQG98" s="189"/>
      <c r="BQH98" s="188"/>
      <c r="BQI98" s="187"/>
      <c r="BQO98" s="188"/>
      <c r="BQP98" s="187"/>
      <c r="BQV98" s="188"/>
      <c r="BQW98" s="187"/>
      <c r="BRC98" s="188"/>
      <c r="BRD98" s="187"/>
      <c r="BRJ98" s="188"/>
      <c r="BRK98" s="190"/>
      <c r="BRL98" s="189"/>
      <c r="BRQ98" s="188"/>
      <c r="BRR98" s="187"/>
      <c r="BRX98" s="188"/>
      <c r="BRY98" s="187"/>
      <c r="BSE98" s="188"/>
      <c r="BSF98" s="187"/>
      <c r="BSL98" s="188"/>
      <c r="BSM98" s="187"/>
      <c r="BSP98" s="168"/>
      <c r="BSQ98" s="189"/>
      <c r="BSS98" s="188"/>
      <c r="BST98" s="187"/>
      <c r="BSZ98" s="188"/>
      <c r="BTA98" s="187"/>
      <c r="BTG98" s="188"/>
      <c r="BTH98" s="187"/>
      <c r="BTN98" s="188"/>
      <c r="BTO98" s="187"/>
      <c r="BTS98" s="168"/>
      <c r="BTT98" s="189"/>
      <c r="BTU98" s="188"/>
      <c r="BTV98" s="187"/>
      <c r="BUB98" s="188"/>
      <c r="BUC98" s="187"/>
      <c r="BUI98" s="188"/>
      <c r="BUJ98" s="187"/>
      <c r="BUP98" s="188"/>
      <c r="BUQ98" s="187"/>
      <c r="BUW98" s="188"/>
      <c r="BUX98" s="190"/>
      <c r="BUY98" s="189"/>
      <c r="BVD98" s="188"/>
      <c r="BVE98" s="187"/>
      <c r="BVK98" s="188"/>
      <c r="BVL98" s="187"/>
      <c r="BVR98" s="188"/>
      <c r="BVS98" s="187"/>
      <c r="BVY98" s="188"/>
      <c r="BVZ98" s="187"/>
      <c r="BWB98" s="168"/>
      <c r="BWC98" s="189"/>
      <c r="BWF98" s="188"/>
      <c r="BWG98" s="187"/>
      <c r="BWM98" s="188"/>
      <c r="BWN98" s="187"/>
      <c r="BWT98" s="188"/>
      <c r="BWU98" s="187"/>
      <c r="BXA98" s="188"/>
      <c r="BXB98" s="187"/>
      <c r="BXG98" s="168"/>
      <c r="BXH98" s="191"/>
      <c r="BXI98" s="187"/>
      <c r="BXO98" s="188"/>
      <c r="BXP98" s="187"/>
      <c r="BXV98" s="188"/>
      <c r="BXW98" s="187"/>
      <c r="BYC98" s="188"/>
      <c r="BYD98" s="187"/>
      <c r="BYJ98" s="188"/>
      <c r="BYK98" s="190"/>
      <c r="BYL98" s="189"/>
      <c r="BYQ98" s="188"/>
      <c r="BYR98" s="187"/>
      <c r="BYX98" s="188"/>
      <c r="BYY98" s="187"/>
      <c r="BZE98" s="188"/>
      <c r="BZF98" s="187"/>
      <c r="BZL98" s="188"/>
      <c r="BZM98" s="187"/>
      <c r="BZP98" s="168"/>
      <c r="BZQ98" s="189"/>
      <c r="BZS98" s="188"/>
      <c r="BZT98" s="187"/>
      <c r="BZZ98" s="188"/>
      <c r="CAA98" s="187"/>
      <c r="CAG98" s="188"/>
      <c r="CAH98" s="187"/>
      <c r="CAN98" s="188"/>
      <c r="CAO98" s="187"/>
      <c r="CAU98" s="168"/>
      <c r="CAV98" s="189"/>
      <c r="CBB98" s="188"/>
      <c r="CBC98" s="187"/>
      <c r="CBI98" s="188"/>
      <c r="CBJ98" s="187"/>
      <c r="CBP98" s="188"/>
      <c r="CBQ98" s="187"/>
      <c r="CBW98" s="188"/>
      <c r="CBX98" s="187"/>
      <c r="CBY98" s="168"/>
      <c r="CBZ98" s="189"/>
      <c r="CCD98" s="188"/>
      <c r="CCE98" s="187"/>
      <c r="CCK98" s="188"/>
      <c r="CCL98" s="187"/>
      <c r="CCR98" s="188"/>
      <c r="CCS98" s="187"/>
      <c r="CCY98" s="188"/>
      <c r="CCZ98" s="187"/>
      <c r="CDD98" s="168"/>
      <c r="CDE98" s="189"/>
      <c r="CDF98" s="188"/>
      <c r="CDG98" s="187"/>
      <c r="CDM98" s="188"/>
      <c r="CDN98" s="187"/>
      <c r="CDT98" s="188"/>
      <c r="CDU98" s="187"/>
      <c r="CEA98" s="188"/>
      <c r="CEB98" s="187"/>
      <c r="CEH98" s="168"/>
      <c r="CEI98" s="189"/>
      <c r="CEO98" s="188"/>
      <c r="CEP98" s="187"/>
      <c r="CEV98" s="188"/>
      <c r="CEW98" s="187"/>
      <c r="CFC98" s="188"/>
      <c r="CFD98" s="187"/>
      <c r="CFJ98" s="188"/>
      <c r="CFK98" s="187"/>
    </row>
    <row r="99" spans="1:1019 1025:2048 2054:2195">
      <c r="A99" s="164" t="s">
        <v>375</v>
      </c>
      <c r="C99" s="164" t="s">
        <v>376</v>
      </c>
      <c r="D99" s="186"/>
      <c r="E99" s="186"/>
      <c r="K99" s="187"/>
      <c r="Q99" s="188"/>
      <c r="R99" s="187"/>
      <c r="X99" s="188"/>
      <c r="Y99" s="187"/>
      <c r="AE99" s="188"/>
      <c r="AF99" s="187"/>
      <c r="AJ99" s="168"/>
      <c r="AK99" s="189"/>
      <c r="AL99" s="188"/>
      <c r="AM99" s="187"/>
      <c r="AS99" s="188"/>
      <c r="AT99" s="187"/>
      <c r="AZ99" s="188"/>
      <c r="BA99" s="187"/>
      <c r="BG99" s="188"/>
      <c r="BH99" s="187"/>
      <c r="BL99" s="168"/>
      <c r="BM99" s="189"/>
      <c r="BN99" s="188"/>
      <c r="BO99" s="187"/>
      <c r="BU99" s="188"/>
      <c r="BV99" s="187"/>
      <c r="CB99" s="188"/>
      <c r="CC99" s="187"/>
      <c r="CI99" s="188"/>
      <c r="CJ99" s="187"/>
      <c r="CP99" s="188"/>
      <c r="CQ99" s="190"/>
      <c r="CR99" s="189"/>
      <c r="CW99" s="188"/>
      <c r="CX99" s="187"/>
      <c r="DD99" s="188"/>
      <c r="DE99" s="187"/>
      <c r="DK99" s="188"/>
      <c r="DL99" s="187"/>
      <c r="DR99" s="188"/>
      <c r="DS99" s="187"/>
      <c r="DU99" s="168"/>
      <c r="DV99" s="189"/>
      <c r="DY99" s="188"/>
      <c r="DZ99" s="187"/>
      <c r="EF99" s="188"/>
      <c r="EG99" s="187"/>
      <c r="EM99" s="188"/>
      <c r="EN99" s="187"/>
      <c r="ET99" s="188"/>
      <c r="EU99" s="187"/>
      <c r="EZ99" s="168"/>
      <c r="FA99" s="191"/>
      <c r="FB99" s="187"/>
      <c r="FH99" s="188"/>
      <c r="FI99" s="187"/>
      <c r="FO99" s="188"/>
      <c r="FP99" s="187"/>
      <c r="FV99" s="188"/>
      <c r="FW99" s="187"/>
      <c r="GC99" s="188"/>
      <c r="GD99" s="190"/>
      <c r="GE99" s="189"/>
      <c r="GJ99" s="188"/>
      <c r="GK99" s="187"/>
      <c r="GQ99" s="188"/>
      <c r="GR99" s="187"/>
      <c r="GX99" s="188"/>
      <c r="GY99" s="187"/>
      <c r="HE99" s="188"/>
      <c r="HF99" s="187"/>
      <c r="HI99" s="168"/>
      <c r="HJ99" s="189"/>
      <c r="HL99" s="188"/>
      <c r="HM99" s="187"/>
      <c r="HS99" s="188"/>
      <c r="HT99" s="187"/>
      <c r="HZ99" s="188"/>
      <c r="IA99" s="187"/>
      <c r="IG99" s="188"/>
      <c r="IH99" s="187"/>
      <c r="IN99" s="168"/>
      <c r="IO99" s="189"/>
      <c r="IU99" s="188"/>
      <c r="IV99" s="187"/>
      <c r="JB99" s="188"/>
      <c r="JC99" s="187"/>
      <c r="JI99" s="188"/>
      <c r="JJ99" s="187"/>
      <c r="JP99" s="188"/>
      <c r="JQ99" s="187"/>
      <c r="JR99" s="168"/>
      <c r="JS99" s="189"/>
      <c r="JW99" s="188"/>
      <c r="JX99" s="187"/>
      <c r="KD99" s="188"/>
      <c r="KE99" s="187"/>
      <c r="KK99" s="188"/>
      <c r="KL99" s="187"/>
      <c r="KR99" s="188"/>
      <c r="KS99" s="187"/>
      <c r="KW99" s="168"/>
      <c r="KX99" s="189"/>
      <c r="KY99" s="188"/>
      <c r="KZ99" s="187"/>
      <c r="LF99" s="188"/>
      <c r="LG99" s="187"/>
      <c r="LM99" s="188"/>
      <c r="LN99" s="187"/>
      <c r="LT99" s="188"/>
      <c r="LU99" s="187"/>
      <c r="MA99" s="168"/>
      <c r="MB99" s="189"/>
      <c r="MH99" s="188"/>
      <c r="MI99" s="187"/>
      <c r="MO99" s="188"/>
      <c r="MP99" s="187"/>
      <c r="MV99" s="188"/>
      <c r="MW99" s="187"/>
      <c r="NC99" s="188"/>
      <c r="ND99" s="187"/>
      <c r="NF99" s="168"/>
      <c r="NG99" s="189"/>
      <c r="NJ99" s="188"/>
      <c r="NK99" s="187"/>
      <c r="NQ99" s="188"/>
      <c r="NR99" s="187"/>
      <c r="NX99" s="188"/>
      <c r="NY99" s="187"/>
      <c r="OE99" s="188"/>
      <c r="OF99" s="187"/>
      <c r="OK99" s="168"/>
      <c r="OL99" s="191"/>
      <c r="OM99" s="187"/>
      <c r="OS99" s="188"/>
      <c r="OT99" s="187"/>
      <c r="OZ99" s="188"/>
      <c r="PA99" s="187"/>
      <c r="PG99" s="188"/>
      <c r="PH99" s="187"/>
      <c r="PN99" s="168"/>
      <c r="PO99" s="189"/>
      <c r="PU99" s="188"/>
      <c r="PV99" s="187"/>
      <c r="QB99" s="188"/>
      <c r="QC99" s="187"/>
      <c r="QI99" s="188"/>
      <c r="QJ99" s="187"/>
      <c r="QP99" s="188"/>
      <c r="QQ99" s="187"/>
      <c r="QS99" s="168"/>
      <c r="QT99" s="189"/>
      <c r="QW99" s="188"/>
      <c r="QX99" s="187"/>
      <c r="RD99" s="188"/>
      <c r="RE99" s="187"/>
      <c r="RK99" s="188"/>
      <c r="RL99" s="187"/>
      <c r="RR99" s="188"/>
      <c r="RS99" s="187"/>
      <c r="RW99" s="168"/>
      <c r="RX99" s="189"/>
      <c r="RY99" s="188"/>
      <c r="RZ99" s="187"/>
      <c r="SF99" s="188"/>
      <c r="SG99" s="187"/>
      <c r="SM99" s="188"/>
      <c r="SN99" s="187"/>
      <c r="ST99" s="188"/>
      <c r="SU99" s="187"/>
      <c r="TA99" s="188"/>
      <c r="TB99" s="190"/>
      <c r="TC99" s="189"/>
      <c r="TH99" s="188"/>
      <c r="TI99" s="187"/>
      <c r="TO99" s="188"/>
      <c r="TP99" s="187"/>
      <c r="TV99" s="188"/>
      <c r="TW99" s="187"/>
      <c r="UC99" s="188"/>
      <c r="UD99" s="187"/>
      <c r="UF99" s="168"/>
      <c r="UG99" s="189"/>
      <c r="UJ99" s="188"/>
      <c r="UK99" s="187"/>
      <c r="UQ99" s="188"/>
      <c r="UR99" s="187"/>
      <c r="UX99" s="188"/>
      <c r="UY99" s="187"/>
      <c r="VE99" s="188"/>
      <c r="VF99" s="187"/>
      <c r="VK99" s="168"/>
      <c r="VL99" s="191"/>
      <c r="VM99" s="187"/>
      <c r="VS99" s="188"/>
      <c r="VT99" s="187"/>
      <c r="VZ99" s="188"/>
      <c r="WA99" s="187"/>
      <c r="WG99" s="188"/>
      <c r="WH99" s="187"/>
      <c r="WN99" s="188"/>
      <c r="WO99" s="187"/>
      <c r="WP99" s="168"/>
      <c r="WQ99" s="189"/>
      <c r="WU99" s="188"/>
      <c r="WV99" s="187"/>
      <c r="XB99" s="188"/>
      <c r="XC99" s="187"/>
      <c r="XI99" s="188"/>
      <c r="XJ99" s="187"/>
      <c r="XP99" s="188"/>
      <c r="XQ99" s="187"/>
      <c r="XT99" s="168"/>
      <c r="XU99" s="189"/>
      <c r="XW99" s="188"/>
      <c r="XX99" s="187"/>
      <c r="YD99" s="188"/>
      <c r="YE99" s="187"/>
      <c r="YK99" s="188"/>
      <c r="YL99" s="187"/>
      <c r="YR99" s="188"/>
      <c r="YS99" s="187"/>
      <c r="YY99" s="168"/>
      <c r="YZ99" s="189"/>
      <c r="ZF99" s="188"/>
      <c r="ZG99" s="187"/>
      <c r="ZM99" s="188"/>
      <c r="ZN99" s="187"/>
      <c r="ZT99" s="188"/>
      <c r="ZU99" s="187"/>
      <c r="AAA99" s="188"/>
      <c r="AAB99" s="187"/>
      <c r="AAC99" s="168"/>
      <c r="AAD99" s="189"/>
      <c r="AAH99" s="188"/>
      <c r="AAI99" s="187"/>
      <c r="AAO99" s="188"/>
      <c r="AAP99" s="187"/>
      <c r="AAV99" s="188"/>
      <c r="AAW99" s="187"/>
      <c r="ABC99" s="188"/>
      <c r="ABD99" s="187"/>
      <c r="ABH99" s="168"/>
      <c r="ABI99" s="189"/>
      <c r="ABJ99" s="188"/>
      <c r="ABK99" s="187"/>
      <c r="ABQ99" s="188"/>
      <c r="ABR99" s="187"/>
      <c r="ABX99" s="188"/>
      <c r="ABY99" s="187"/>
      <c r="ACE99" s="188"/>
      <c r="ACF99" s="187"/>
      <c r="ACL99" s="188"/>
      <c r="ACM99" s="190"/>
      <c r="ACN99" s="189"/>
      <c r="ACS99" s="188"/>
      <c r="ACT99" s="187"/>
      <c r="ACZ99" s="188"/>
      <c r="ADA99" s="187"/>
      <c r="ADG99" s="188"/>
      <c r="ADH99" s="187"/>
      <c r="ADN99" s="188"/>
      <c r="ADO99" s="190"/>
      <c r="ADP99" s="189"/>
      <c r="ADU99" s="188"/>
      <c r="ADV99" s="187"/>
      <c r="AEB99" s="188"/>
      <c r="AEC99" s="187"/>
      <c r="AEI99" s="188"/>
      <c r="AEJ99" s="187"/>
      <c r="AEP99" s="188"/>
      <c r="AEQ99" s="187"/>
      <c r="AET99" s="168"/>
      <c r="AEU99" s="189"/>
      <c r="AEW99" s="188"/>
      <c r="AEX99" s="187"/>
      <c r="AFD99" s="188"/>
      <c r="AFE99" s="187"/>
      <c r="AFK99" s="188"/>
      <c r="AFL99" s="187"/>
      <c r="AFR99" s="188"/>
      <c r="AFS99" s="187"/>
      <c r="AFX99" s="168"/>
      <c r="AFY99" s="191"/>
      <c r="AFZ99" s="187"/>
      <c r="AGF99" s="188"/>
      <c r="AGG99" s="187"/>
      <c r="AGM99" s="188"/>
      <c r="AGN99" s="187"/>
      <c r="AGT99" s="188"/>
      <c r="AGU99" s="187"/>
      <c r="AHA99" s="188"/>
      <c r="AHB99" s="187"/>
      <c r="AHC99" s="168"/>
      <c r="AHD99" s="189"/>
      <c r="AHH99" s="188"/>
      <c r="AHI99" s="187"/>
      <c r="AHO99" s="188"/>
      <c r="AHP99" s="187"/>
      <c r="AHV99" s="188"/>
      <c r="AHW99" s="187"/>
      <c r="AIC99" s="188"/>
      <c r="AID99" s="187"/>
      <c r="AIG99" s="168"/>
      <c r="AIH99" s="189"/>
      <c r="AIJ99" s="188"/>
      <c r="AIK99" s="187"/>
      <c r="AIQ99" s="188"/>
      <c r="AIR99" s="187"/>
      <c r="AIX99" s="188"/>
      <c r="AIY99" s="187"/>
      <c r="AJE99" s="188"/>
      <c r="AJF99" s="187"/>
      <c r="AJL99" s="168"/>
      <c r="AJM99" s="189"/>
      <c r="AJS99" s="188"/>
      <c r="AJT99" s="187"/>
      <c r="AJZ99" s="188"/>
      <c r="AKA99" s="187"/>
      <c r="AKG99" s="188"/>
      <c r="AKH99" s="187"/>
      <c r="AKN99" s="188"/>
      <c r="AKO99" s="187"/>
      <c r="AKQ99" s="168"/>
      <c r="AKR99" s="189"/>
      <c r="AKU99" s="188"/>
      <c r="AKV99" s="187"/>
      <c r="ALB99" s="188"/>
      <c r="ALC99" s="187"/>
      <c r="ALI99" s="188"/>
      <c r="ALJ99" s="187"/>
      <c r="ALP99" s="188"/>
      <c r="ALQ99" s="187"/>
      <c r="ALU99" s="168"/>
      <c r="ALV99" s="189"/>
      <c r="ALW99" s="188"/>
      <c r="ALX99" s="187"/>
      <c r="AMD99" s="188"/>
      <c r="AME99" s="187"/>
      <c r="AMK99" s="188"/>
      <c r="AML99" s="187"/>
      <c r="AMR99" s="188"/>
      <c r="AMS99" s="187"/>
      <c r="AMY99" s="188"/>
      <c r="AMZ99" s="190"/>
      <c r="ANA99" s="189"/>
      <c r="ANF99" s="188"/>
      <c r="ANG99" s="187"/>
      <c r="ANM99" s="188"/>
      <c r="ANN99" s="187"/>
      <c r="ANT99" s="188"/>
      <c r="ANU99" s="187"/>
      <c r="AOA99" s="188"/>
      <c r="AOB99" s="187"/>
      <c r="AOD99" s="168"/>
      <c r="AOE99" s="189"/>
      <c r="AOH99" s="188"/>
      <c r="AOI99" s="187"/>
      <c r="AOO99" s="188"/>
      <c r="AOP99" s="187"/>
      <c r="AOV99" s="188"/>
      <c r="AOW99" s="187"/>
      <c r="APC99" s="188"/>
      <c r="APD99" s="187"/>
      <c r="API99" s="168"/>
      <c r="APJ99" s="191"/>
      <c r="APK99" s="187"/>
      <c r="APQ99" s="188"/>
      <c r="APR99" s="187"/>
      <c r="APX99" s="188"/>
      <c r="APY99" s="187"/>
      <c r="AQE99" s="188"/>
      <c r="AQF99" s="187"/>
      <c r="AQL99" s="188"/>
      <c r="AQM99" s="187"/>
      <c r="AQN99" s="168"/>
      <c r="AQO99" s="189"/>
      <c r="AQS99" s="188"/>
      <c r="AQT99" s="187"/>
      <c r="AQZ99" s="188"/>
      <c r="ARA99" s="187"/>
      <c r="ARG99" s="188"/>
      <c r="ARH99" s="187"/>
      <c r="ARN99" s="188"/>
      <c r="ARO99" s="187"/>
      <c r="ARP99" s="168"/>
      <c r="ARQ99" s="189"/>
      <c r="ARU99" s="188"/>
      <c r="ARV99" s="187"/>
      <c r="ASB99" s="188"/>
      <c r="ASC99" s="187"/>
      <c r="ASI99" s="188"/>
      <c r="ASJ99" s="187"/>
      <c r="ASP99" s="188"/>
      <c r="ASQ99" s="187"/>
      <c r="ASU99" s="168"/>
      <c r="ASV99" s="189"/>
      <c r="ASW99" s="188"/>
      <c r="ASX99" s="187"/>
      <c r="ATD99" s="188"/>
      <c r="ATE99" s="187"/>
      <c r="ATK99" s="188"/>
      <c r="ATL99" s="187"/>
      <c r="ATR99" s="188"/>
      <c r="ATS99" s="187"/>
      <c r="ATY99" s="168"/>
      <c r="ATZ99" s="189"/>
      <c r="AUF99" s="188"/>
      <c r="AUG99" s="187"/>
      <c r="AUM99" s="188"/>
      <c r="AUN99" s="187"/>
      <c r="AUT99" s="188"/>
      <c r="AUU99" s="187"/>
      <c r="AVA99" s="188"/>
      <c r="AVB99" s="187"/>
      <c r="AVD99" s="168"/>
      <c r="AVE99" s="189"/>
      <c r="AVH99" s="188"/>
      <c r="AVI99" s="187"/>
      <c r="AVO99" s="188"/>
      <c r="AVP99" s="187"/>
      <c r="AVV99" s="188"/>
      <c r="AVW99" s="187"/>
      <c r="AWC99" s="188"/>
      <c r="AWD99" s="187"/>
      <c r="AWH99" s="168"/>
      <c r="AWI99" s="189"/>
      <c r="AWJ99" s="188"/>
      <c r="AWK99" s="187"/>
      <c r="AWQ99" s="188"/>
      <c r="AWR99" s="187"/>
      <c r="AWX99" s="188"/>
      <c r="AWY99" s="187"/>
      <c r="AXE99" s="188"/>
      <c r="AXF99" s="187"/>
      <c r="AXL99" s="188"/>
      <c r="AXM99" s="190"/>
      <c r="AXN99" s="189"/>
      <c r="AXS99" s="188"/>
      <c r="AXT99" s="187"/>
      <c r="AXZ99" s="188"/>
      <c r="AYA99" s="187"/>
      <c r="AYG99" s="188"/>
      <c r="AYH99" s="187"/>
      <c r="AYN99" s="188"/>
      <c r="AYO99" s="187"/>
      <c r="AYR99" s="168"/>
      <c r="AYS99" s="189"/>
      <c r="AYU99" s="188"/>
      <c r="AYV99" s="187"/>
      <c r="AZB99" s="188"/>
      <c r="AZC99" s="187"/>
      <c r="AZI99" s="188"/>
      <c r="AZJ99" s="187"/>
      <c r="AZP99" s="188"/>
      <c r="AZQ99" s="187"/>
      <c r="AZV99" s="168"/>
      <c r="AZW99" s="191"/>
      <c r="AZX99" s="187"/>
      <c r="BAD99" s="188"/>
      <c r="BAE99" s="187"/>
      <c r="BAK99" s="188"/>
      <c r="BAL99" s="187"/>
      <c r="BAR99" s="188"/>
      <c r="BAS99" s="187"/>
      <c r="BAY99" s="188"/>
      <c r="BAZ99" s="187"/>
      <c r="BBA99" s="168"/>
      <c r="BBB99" s="189"/>
      <c r="BBF99" s="188"/>
      <c r="BBG99" s="187"/>
      <c r="BBM99" s="188"/>
      <c r="BBN99" s="187"/>
      <c r="BBT99" s="188"/>
      <c r="BBU99" s="187"/>
      <c r="BCA99" s="188"/>
      <c r="BCB99" s="187"/>
      <c r="BCE99" s="168"/>
      <c r="BCF99" s="189"/>
      <c r="BCH99" s="188"/>
      <c r="BCI99" s="187"/>
      <c r="BCO99" s="188"/>
      <c r="BCP99" s="187"/>
      <c r="BCV99" s="188"/>
      <c r="BCW99" s="187"/>
      <c r="BDC99" s="188"/>
      <c r="BDD99" s="187"/>
      <c r="BDJ99" s="168"/>
      <c r="BDK99" s="189"/>
      <c r="BDQ99" s="188"/>
      <c r="BDR99" s="187"/>
      <c r="BDX99" s="188"/>
      <c r="BDY99" s="187"/>
      <c r="BEE99" s="188"/>
      <c r="BEF99" s="187"/>
      <c r="BEL99" s="188"/>
      <c r="BEM99" s="187"/>
      <c r="BEO99" s="168"/>
      <c r="BEP99" s="189"/>
      <c r="BES99" s="188"/>
      <c r="BET99" s="187"/>
      <c r="BEZ99" s="188"/>
      <c r="BFA99" s="187"/>
      <c r="BFG99" s="188"/>
      <c r="BFH99" s="187"/>
      <c r="BFN99" s="188"/>
      <c r="BFO99" s="187"/>
      <c r="BFQ99" s="168"/>
      <c r="BFR99" s="189"/>
      <c r="BFU99" s="188"/>
      <c r="BFV99" s="187"/>
      <c r="BGB99" s="188"/>
      <c r="BGC99" s="187"/>
      <c r="BGI99" s="188"/>
      <c r="BGJ99" s="187"/>
      <c r="BGP99" s="188"/>
      <c r="BGQ99" s="187"/>
      <c r="BGV99" s="168"/>
      <c r="BGW99" s="191"/>
      <c r="BGX99" s="187"/>
      <c r="BHD99" s="188"/>
      <c r="BHE99" s="187"/>
      <c r="BHK99" s="188"/>
      <c r="BHL99" s="187"/>
      <c r="BHR99" s="188"/>
      <c r="BHS99" s="187"/>
      <c r="BHY99" s="188"/>
      <c r="BHZ99" s="190"/>
      <c r="BIA99" s="189"/>
      <c r="BIF99" s="188"/>
      <c r="BIG99" s="187"/>
      <c r="BIM99" s="188"/>
      <c r="BIN99" s="187"/>
      <c r="BIT99" s="188"/>
      <c r="BIU99" s="187"/>
      <c r="BJA99" s="188"/>
      <c r="BJB99" s="187"/>
      <c r="BJE99" s="168"/>
      <c r="BJF99" s="189"/>
      <c r="BJH99" s="188"/>
      <c r="BJI99" s="187"/>
      <c r="BJO99" s="188"/>
      <c r="BJP99" s="187"/>
      <c r="BJV99" s="188"/>
      <c r="BJW99" s="187"/>
      <c r="BKC99" s="188"/>
      <c r="BKD99" s="187"/>
      <c r="BKI99" s="168"/>
      <c r="BKJ99" s="191"/>
      <c r="BKK99" s="187"/>
      <c r="BKQ99" s="188"/>
      <c r="BKR99" s="187"/>
      <c r="BKX99" s="188"/>
      <c r="BKY99" s="187"/>
      <c r="BLE99" s="188"/>
      <c r="BLF99" s="187"/>
      <c r="BLL99" s="188"/>
      <c r="BLM99" s="187"/>
      <c r="BLN99" s="168"/>
      <c r="BLO99" s="189"/>
      <c r="BLS99" s="188"/>
      <c r="BLT99" s="187"/>
      <c r="BLZ99" s="188"/>
      <c r="BMA99" s="187"/>
      <c r="BMG99" s="188"/>
      <c r="BMH99" s="187"/>
      <c r="BMN99" s="188"/>
      <c r="BMO99" s="187"/>
      <c r="BMS99" s="168"/>
      <c r="BMT99" s="189"/>
      <c r="BMU99" s="188"/>
      <c r="BMV99" s="187"/>
      <c r="BNB99" s="188"/>
      <c r="BNC99" s="187"/>
      <c r="BNI99" s="188"/>
      <c r="BNJ99" s="187"/>
      <c r="BNP99" s="188"/>
      <c r="BNQ99" s="187"/>
      <c r="BNW99" s="168"/>
      <c r="BNX99" s="189"/>
      <c r="BOD99" s="188"/>
      <c r="BOE99" s="187"/>
      <c r="BOK99" s="188"/>
      <c r="BOL99" s="187"/>
      <c r="BOR99" s="188"/>
      <c r="BOS99" s="187"/>
      <c r="BOY99" s="188"/>
      <c r="BOZ99" s="187"/>
      <c r="BPB99" s="168"/>
      <c r="BPC99" s="189"/>
      <c r="BPF99" s="188"/>
      <c r="BPG99" s="187"/>
      <c r="BPM99" s="188"/>
      <c r="BPN99" s="187"/>
      <c r="BPT99" s="188"/>
      <c r="BPU99" s="187"/>
      <c r="BQA99" s="188"/>
      <c r="BQB99" s="187"/>
      <c r="BQF99" s="168"/>
      <c r="BQG99" s="189"/>
      <c r="BQH99" s="188"/>
      <c r="BQI99" s="187"/>
      <c r="BQO99" s="188"/>
      <c r="BQP99" s="187"/>
      <c r="BQV99" s="188"/>
      <c r="BQW99" s="187"/>
      <c r="BRC99" s="188"/>
      <c r="BRD99" s="187"/>
      <c r="BRJ99" s="188"/>
      <c r="BRK99" s="190"/>
      <c r="BRL99" s="189"/>
      <c r="BRQ99" s="188"/>
      <c r="BRR99" s="187"/>
      <c r="BRX99" s="188"/>
      <c r="BRY99" s="187"/>
      <c r="BSE99" s="188"/>
      <c r="BSF99" s="187"/>
      <c r="BSL99" s="188"/>
      <c r="BSM99" s="187"/>
      <c r="BSP99" s="168"/>
      <c r="BSQ99" s="189"/>
      <c r="BSS99" s="188"/>
      <c r="BST99" s="187"/>
      <c r="BSZ99" s="188"/>
      <c r="BTA99" s="187"/>
      <c r="BTG99" s="188"/>
      <c r="BTH99" s="187"/>
      <c r="BTN99" s="188"/>
      <c r="BTO99" s="187"/>
      <c r="BTS99" s="168"/>
      <c r="BTT99" s="189"/>
      <c r="BTU99" s="188"/>
      <c r="BTV99" s="187"/>
      <c r="BUB99" s="188"/>
      <c r="BUC99" s="187"/>
      <c r="BUI99" s="188"/>
      <c r="BUJ99" s="187"/>
      <c r="BUP99" s="188"/>
      <c r="BUQ99" s="187"/>
      <c r="BUW99" s="188"/>
      <c r="BUX99" s="190"/>
      <c r="BUY99" s="189"/>
      <c r="BVD99" s="188"/>
      <c r="BVE99" s="187"/>
      <c r="BVK99" s="188"/>
      <c r="BVL99" s="187"/>
      <c r="BVR99" s="188"/>
      <c r="BVS99" s="187"/>
      <c r="BVY99" s="188"/>
      <c r="BVZ99" s="187"/>
      <c r="BWB99" s="168"/>
      <c r="BWC99" s="189"/>
      <c r="BWF99" s="188"/>
      <c r="BWG99" s="187"/>
      <c r="BWM99" s="188"/>
      <c r="BWN99" s="187"/>
      <c r="BWT99" s="188"/>
      <c r="BWU99" s="187"/>
      <c r="BXA99" s="188"/>
      <c r="BXB99" s="187"/>
      <c r="BXG99" s="168"/>
      <c r="BXH99" s="191"/>
      <c r="BXI99" s="187"/>
      <c r="BXO99" s="188"/>
      <c r="BXP99" s="187"/>
      <c r="BXV99" s="188"/>
      <c r="BXW99" s="187"/>
      <c r="BYC99" s="188"/>
      <c r="BYD99" s="187"/>
      <c r="BYJ99" s="188"/>
      <c r="BYK99" s="190"/>
      <c r="BYL99" s="189"/>
      <c r="BYQ99" s="188"/>
      <c r="BYR99" s="187"/>
      <c r="BYX99" s="188"/>
      <c r="BYY99" s="187"/>
      <c r="BZE99" s="188"/>
      <c r="BZF99" s="187"/>
      <c r="BZL99" s="188"/>
      <c r="BZM99" s="187"/>
      <c r="BZP99" s="168"/>
      <c r="BZQ99" s="189"/>
      <c r="BZS99" s="188"/>
      <c r="BZT99" s="187"/>
      <c r="BZZ99" s="188"/>
      <c r="CAA99" s="187"/>
      <c r="CAG99" s="188"/>
      <c r="CAH99" s="187"/>
      <c r="CAN99" s="188"/>
      <c r="CAO99" s="187"/>
      <c r="CAU99" s="168"/>
      <c r="CAV99" s="189"/>
      <c r="CBB99" s="188"/>
      <c r="CBC99" s="187"/>
      <c r="CBI99" s="188"/>
      <c r="CBJ99" s="187"/>
      <c r="CBP99" s="188"/>
      <c r="CBQ99" s="187"/>
      <c r="CBW99" s="188"/>
      <c r="CBX99" s="187"/>
      <c r="CBY99" s="168"/>
      <c r="CBZ99" s="189"/>
      <c r="CCD99" s="188"/>
      <c r="CCE99" s="187"/>
      <c r="CCK99" s="188"/>
      <c r="CCL99" s="187"/>
      <c r="CCR99" s="188"/>
      <c r="CCS99" s="187"/>
      <c r="CCY99" s="188"/>
      <c r="CCZ99" s="187"/>
      <c r="CDD99" s="168"/>
      <c r="CDE99" s="189"/>
      <c r="CDF99" s="188"/>
      <c r="CDG99" s="187"/>
      <c r="CDM99" s="188"/>
      <c r="CDN99" s="187"/>
      <c r="CDT99" s="188"/>
      <c r="CDU99" s="187"/>
      <c r="CEA99" s="188"/>
      <c r="CEB99" s="187"/>
      <c r="CEH99" s="168"/>
      <c r="CEI99" s="189"/>
      <c r="CEO99" s="188"/>
      <c r="CEP99" s="187"/>
      <c r="CEV99" s="188"/>
      <c r="CEW99" s="187"/>
      <c r="CFC99" s="188"/>
      <c r="CFD99" s="187"/>
      <c r="CFJ99" s="188"/>
      <c r="CFK99" s="187"/>
    </row>
    <row r="100" spans="1:1019 1025:2048 2054:2195">
      <c r="A100" s="164" t="s">
        <v>377</v>
      </c>
      <c r="C100" s="164" t="s">
        <v>378</v>
      </c>
      <c r="D100" s="186"/>
      <c r="E100" s="186"/>
      <c r="K100" s="187"/>
      <c r="Q100" s="188"/>
      <c r="R100" s="187"/>
      <c r="X100" s="188"/>
      <c r="Y100" s="187"/>
      <c r="AE100" s="188"/>
      <c r="AF100" s="187"/>
      <c r="AJ100" s="168"/>
      <c r="AK100" s="189"/>
      <c r="AL100" s="188"/>
      <c r="AM100" s="187"/>
      <c r="AS100" s="188"/>
      <c r="AT100" s="187"/>
      <c r="AZ100" s="188"/>
      <c r="BA100" s="187"/>
      <c r="BG100" s="188"/>
      <c r="BH100" s="187"/>
      <c r="BL100" s="168"/>
      <c r="BM100" s="189"/>
      <c r="BN100" s="188"/>
      <c r="BO100" s="187"/>
      <c r="BU100" s="188"/>
      <c r="BV100" s="187"/>
      <c r="CB100" s="188"/>
      <c r="CC100" s="187"/>
      <c r="CI100" s="188"/>
      <c r="CJ100" s="187"/>
      <c r="CP100" s="188"/>
      <c r="CQ100" s="190"/>
      <c r="CR100" s="189"/>
      <c r="CW100" s="188"/>
      <c r="CX100" s="187"/>
      <c r="DD100" s="188"/>
      <c r="DE100" s="187"/>
      <c r="DK100" s="188"/>
      <c r="DL100" s="187"/>
      <c r="DR100" s="188"/>
      <c r="DS100" s="187"/>
      <c r="DU100" s="168"/>
      <c r="DV100" s="189"/>
      <c r="DY100" s="188"/>
      <c r="DZ100" s="187"/>
      <c r="EF100" s="188"/>
      <c r="EG100" s="187"/>
      <c r="EM100" s="188"/>
      <c r="EN100" s="187"/>
      <c r="ET100" s="188"/>
      <c r="EU100" s="187"/>
      <c r="EZ100" s="168"/>
      <c r="FA100" s="191"/>
      <c r="FB100" s="187"/>
      <c r="FH100" s="188"/>
      <c r="FI100" s="187"/>
      <c r="FO100" s="188"/>
      <c r="FP100" s="187"/>
      <c r="FV100" s="188"/>
      <c r="FW100" s="187"/>
      <c r="GC100" s="188"/>
      <c r="GD100" s="190"/>
      <c r="GE100" s="189"/>
      <c r="GJ100" s="188"/>
      <c r="GK100" s="187"/>
      <c r="GQ100" s="188"/>
      <c r="GR100" s="187"/>
      <c r="GX100" s="188"/>
      <c r="GY100" s="187"/>
      <c r="HE100" s="188"/>
      <c r="HF100" s="187"/>
      <c r="HI100" s="168"/>
      <c r="HJ100" s="189"/>
      <c r="HL100" s="188"/>
      <c r="HM100" s="187"/>
      <c r="HS100" s="188"/>
      <c r="HT100" s="187"/>
      <c r="HZ100" s="188"/>
      <c r="IA100" s="187"/>
      <c r="IG100" s="188"/>
      <c r="IH100" s="187"/>
      <c r="IN100" s="168"/>
      <c r="IO100" s="189"/>
      <c r="IU100" s="188"/>
      <c r="IV100" s="187"/>
      <c r="JB100" s="188"/>
      <c r="JC100" s="187"/>
      <c r="JI100" s="188"/>
      <c r="JJ100" s="187"/>
      <c r="JP100" s="188"/>
      <c r="JQ100" s="187"/>
      <c r="JR100" s="168"/>
      <c r="JS100" s="189"/>
      <c r="JW100" s="188"/>
      <c r="JX100" s="187"/>
      <c r="KD100" s="188"/>
      <c r="KE100" s="187"/>
      <c r="KK100" s="188"/>
      <c r="KL100" s="187"/>
      <c r="KR100" s="188"/>
      <c r="KS100" s="187"/>
      <c r="KW100" s="168"/>
      <c r="KX100" s="189"/>
      <c r="KY100" s="188"/>
      <c r="KZ100" s="187"/>
      <c r="LF100" s="188"/>
      <c r="LG100" s="187"/>
      <c r="LM100" s="188"/>
      <c r="LN100" s="187"/>
      <c r="LT100" s="188"/>
      <c r="LU100" s="187"/>
      <c r="MA100" s="168"/>
      <c r="MB100" s="189"/>
      <c r="MH100" s="188"/>
      <c r="MI100" s="187"/>
      <c r="MO100" s="188"/>
      <c r="MP100" s="187"/>
      <c r="MV100" s="188"/>
      <c r="MW100" s="187"/>
      <c r="NC100" s="188"/>
      <c r="ND100" s="187"/>
      <c r="NF100" s="168"/>
      <c r="NG100" s="189"/>
      <c r="NJ100" s="188"/>
      <c r="NK100" s="187"/>
      <c r="NQ100" s="188"/>
      <c r="NR100" s="187"/>
      <c r="NX100" s="188"/>
      <c r="NY100" s="187"/>
      <c r="OE100" s="188"/>
      <c r="OF100" s="187"/>
      <c r="OK100" s="168"/>
      <c r="OL100" s="191"/>
      <c r="OM100" s="187"/>
      <c r="OS100" s="188"/>
      <c r="OT100" s="187"/>
      <c r="OZ100" s="188"/>
      <c r="PA100" s="187"/>
      <c r="PG100" s="188"/>
      <c r="PH100" s="187"/>
      <c r="PN100" s="168"/>
      <c r="PO100" s="189"/>
      <c r="PU100" s="188"/>
      <c r="PV100" s="187"/>
      <c r="QB100" s="188"/>
      <c r="QC100" s="187"/>
      <c r="QI100" s="188"/>
      <c r="QJ100" s="187"/>
      <c r="QP100" s="188"/>
      <c r="QQ100" s="187"/>
      <c r="QS100" s="168"/>
      <c r="QT100" s="189"/>
      <c r="QW100" s="188"/>
      <c r="QX100" s="187"/>
      <c r="RD100" s="188"/>
      <c r="RE100" s="187"/>
      <c r="RK100" s="188"/>
      <c r="RL100" s="187"/>
      <c r="RR100" s="188"/>
      <c r="RS100" s="187"/>
      <c r="RW100" s="168"/>
      <c r="RX100" s="189"/>
      <c r="RY100" s="188"/>
      <c r="RZ100" s="187"/>
      <c r="SF100" s="188"/>
      <c r="SG100" s="187"/>
      <c r="SM100" s="188"/>
      <c r="SN100" s="187"/>
      <c r="ST100" s="188"/>
      <c r="SU100" s="187"/>
      <c r="TA100" s="188"/>
      <c r="TB100" s="190"/>
      <c r="TC100" s="189"/>
      <c r="TH100" s="188"/>
      <c r="TI100" s="187"/>
      <c r="TO100" s="188"/>
      <c r="TP100" s="187"/>
      <c r="TV100" s="188"/>
      <c r="TW100" s="187"/>
      <c r="UC100" s="188"/>
      <c r="UD100" s="187"/>
      <c r="UF100" s="168"/>
      <c r="UG100" s="189"/>
      <c r="UJ100" s="188"/>
      <c r="UK100" s="187"/>
      <c r="UQ100" s="188"/>
      <c r="UR100" s="187"/>
      <c r="UX100" s="188"/>
      <c r="UY100" s="187"/>
      <c r="VE100" s="188"/>
      <c r="VF100" s="187"/>
      <c r="VK100" s="168"/>
      <c r="VL100" s="191"/>
      <c r="VM100" s="187"/>
      <c r="VS100" s="188"/>
      <c r="VT100" s="187"/>
      <c r="VZ100" s="188"/>
      <c r="WA100" s="187"/>
      <c r="WG100" s="188"/>
      <c r="WH100" s="187"/>
      <c r="WN100" s="188"/>
      <c r="WO100" s="187"/>
      <c r="WP100" s="168"/>
      <c r="WQ100" s="189"/>
      <c r="WU100" s="188"/>
      <c r="WV100" s="187"/>
      <c r="XB100" s="188"/>
      <c r="XC100" s="187"/>
      <c r="XI100" s="188"/>
      <c r="XJ100" s="187"/>
      <c r="XP100" s="188"/>
      <c r="XQ100" s="187"/>
      <c r="XT100" s="168"/>
      <c r="XU100" s="189"/>
      <c r="XW100" s="188"/>
      <c r="XX100" s="187"/>
      <c r="YD100" s="188"/>
      <c r="YE100" s="187"/>
      <c r="YK100" s="188"/>
      <c r="YL100" s="187"/>
      <c r="YR100" s="188"/>
      <c r="YS100" s="187"/>
      <c r="YY100" s="168"/>
      <c r="YZ100" s="189"/>
      <c r="ZF100" s="188"/>
      <c r="ZG100" s="187"/>
      <c r="ZM100" s="188"/>
      <c r="ZN100" s="187"/>
      <c r="ZT100" s="188"/>
      <c r="ZU100" s="187"/>
      <c r="AAA100" s="188"/>
      <c r="AAB100" s="187"/>
      <c r="AAC100" s="168"/>
      <c r="AAD100" s="189"/>
      <c r="AAH100" s="188"/>
      <c r="AAI100" s="187"/>
      <c r="AAO100" s="188"/>
      <c r="AAP100" s="187"/>
      <c r="AAV100" s="188"/>
      <c r="AAW100" s="187"/>
      <c r="ABC100" s="188"/>
      <c r="ABD100" s="187"/>
      <c r="ABH100" s="168"/>
      <c r="ABI100" s="189"/>
      <c r="ABJ100" s="188"/>
      <c r="ABK100" s="187"/>
      <c r="ABQ100" s="188"/>
      <c r="ABR100" s="187"/>
      <c r="ABX100" s="188"/>
      <c r="ABY100" s="187"/>
      <c r="ACE100" s="188"/>
      <c r="ACF100" s="187"/>
      <c r="ACL100" s="188"/>
      <c r="ACM100" s="190"/>
      <c r="ACN100" s="189"/>
      <c r="ACS100" s="188"/>
      <c r="ACT100" s="187"/>
      <c r="ACZ100" s="188"/>
      <c r="ADA100" s="187"/>
      <c r="ADG100" s="188"/>
      <c r="ADH100" s="187"/>
      <c r="ADN100" s="188"/>
      <c r="ADO100" s="190"/>
      <c r="ADP100" s="189"/>
      <c r="ADU100" s="188"/>
      <c r="ADV100" s="187"/>
      <c r="AEB100" s="188"/>
      <c r="AEC100" s="187"/>
      <c r="AEI100" s="188"/>
      <c r="AEJ100" s="187"/>
      <c r="AEP100" s="188"/>
      <c r="AEQ100" s="187"/>
      <c r="AET100" s="168"/>
      <c r="AEU100" s="189"/>
      <c r="AEW100" s="188"/>
      <c r="AEX100" s="187"/>
      <c r="AFD100" s="188"/>
      <c r="AFE100" s="187"/>
      <c r="AFK100" s="188"/>
      <c r="AFL100" s="187"/>
      <c r="AFR100" s="188"/>
      <c r="AFS100" s="187"/>
      <c r="AFX100" s="168"/>
      <c r="AFY100" s="191"/>
      <c r="AFZ100" s="187"/>
      <c r="AGF100" s="188"/>
      <c r="AGG100" s="187"/>
      <c r="AGM100" s="188"/>
      <c r="AGN100" s="187"/>
      <c r="AGT100" s="188"/>
      <c r="AGU100" s="187"/>
      <c r="AHA100" s="188"/>
      <c r="AHB100" s="187"/>
      <c r="AHC100" s="168"/>
      <c r="AHD100" s="189"/>
      <c r="AHH100" s="188"/>
      <c r="AHI100" s="187"/>
      <c r="AHO100" s="188"/>
      <c r="AHP100" s="187"/>
      <c r="AHV100" s="188"/>
      <c r="AHW100" s="187"/>
      <c r="AIC100" s="188"/>
      <c r="AID100" s="187"/>
      <c r="AIG100" s="168"/>
      <c r="AIH100" s="189"/>
      <c r="AIJ100" s="188"/>
      <c r="AIK100" s="187"/>
      <c r="AIQ100" s="188"/>
      <c r="AIR100" s="187"/>
      <c r="AIX100" s="188"/>
      <c r="AIY100" s="187"/>
      <c r="AJE100" s="188"/>
      <c r="AJF100" s="187"/>
      <c r="AJL100" s="168"/>
      <c r="AJM100" s="189"/>
      <c r="AJS100" s="188"/>
      <c r="AJT100" s="187"/>
      <c r="AJZ100" s="188"/>
      <c r="AKA100" s="187"/>
      <c r="AKG100" s="188"/>
      <c r="AKH100" s="187"/>
      <c r="AKN100" s="188"/>
      <c r="AKO100" s="187"/>
      <c r="AKQ100" s="168"/>
      <c r="AKR100" s="189"/>
      <c r="AKU100" s="188"/>
      <c r="AKV100" s="187"/>
      <c r="ALB100" s="188"/>
      <c r="ALC100" s="187"/>
      <c r="ALI100" s="188"/>
      <c r="ALJ100" s="187"/>
      <c r="ALP100" s="188"/>
      <c r="ALQ100" s="187"/>
      <c r="ALU100" s="168"/>
      <c r="ALV100" s="189"/>
      <c r="ALW100" s="188"/>
      <c r="ALX100" s="187"/>
      <c r="AMD100" s="188"/>
      <c r="AME100" s="187"/>
      <c r="AMK100" s="188"/>
      <c r="AML100" s="187"/>
      <c r="AMR100" s="188"/>
      <c r="AMS100" s="187"/>
      <c r="AMY100" s="188"/>
      <c r="AMZ100" s="190"/>
      <c r="ANA100" s="189"/>
      <c r="ANF100" s="188"/>
      <c r="ANG100" s="187"/>
      <c r="ANM100" s="188"/>
      <c r="ANN100" s="187"/>
      <c r="ANT100" s="188"/>
      <c r="ANU100" s="187"/>
      <c r="AOA100" s="188"/>
      <c r="AOB100" s="187"/>
      <c r="AOD100" s="168"/>
      <c r="AOE100" s="189"/>
      <c r="AOH100" s="188"/>
      <c r="AOI100" s="187"/>
      <c r="AOO100" s="188"/>
      <c r="AOP100" s="187"/>
      <c r="AOV100" s="188"/>
      <c r="AOW100" s="187"/>
      <c r="APC100" s="188"/>
      <c r="APD100" s="187"/>
      <c r="API100" s="168"/>
      <c r="APJ100" s="191"/>
      <c r="APK100" s="187"/>
      <c r="APQ100" s="188"/>
      <c r="APR100" s="187"/>
      <c r="APX100" s="188"/>
      <c r="APY100" s="187"/>
      <c r="AQE100" s="188"/>
      <c r="AQF100" s="187"/>
      <c r="AQL100" s="188"/>
      <c r="AQM100" s="187"/>
      <c r="AQN100" s="168"/>
      <c r="AQO100" s="189"/>
      <c r="AQS100" s="188"/>
      <c r="AQT100" s="187"/>
      <c r="AQZ100" s="188"/>
      <c r="ARA100" s="187"/>
      <c r="ARG100" s="188"/>
      <c r="ARH100" s="187"/>
      <c r="ARN100" s="188"/>
      <c r="ARO100" s="187"/>
      <c r="ARP100" s="168"/>
      <c r="ARQ100" s="189"/>
      <c r="ARU100" s="188"/>
      <c r="ARV100" s="187"/>
      <c r="ASB100" s="188"/>
      <c r="ASC100" s="187"/>
      <c r="ASI100" s="188"/>
      <c r="ASJ100" s="187"/>
      <c r="ASP100" s="188"/>
      <c r="ASQ100" s="187"/>
      <c r="ASU100" s="168"/>
      <c r="ASV100" s="189"/>
      <c r="ASW100" s="188"/>
      <c r="ASX100" s="187"/>
      <c r="ATD100" s="188"/>
      <c r="ATE100" s="187"/>
      <c r="ATK100" s="188"/>
      <c r="ATL100" s="187"/>
      <c r="ATR100" s="188"/>
      <c r="ATS100" s="187"/>
      <c r="ATY100" s="168"/>
      <c r="ATZ100" s="189"/>
      <c r="AUF100" s="188"/>
      <c r="AUG100" s="187"/>
      <c r="AUM100" s="188"/>
      <c r="AUN100" s="187"/>
      <c r="AUT100" s="188"/>
      <c r="AUU100" s="187"/>
      <c r="AVA100" s="188"/>
      <c r="AVB100" s="187"/>
      <c r="AVD100" s="168"/>
      <c r="AVE100" s="189"/>
      <c r="AVH100" s="188"/>
      <c r="AVI100" s="187"/>
      <c r="AVO100" s="188"/>
      <c r="AVP100" s="187"/>
      <c r="AVV100" s="188"/>
      <c r="AVW100" s="187"/>
      <c r="AWC100" s="188"/>
      <c r="AWD100" s="187"/>
      <c r="AWH100" s="168"/>
      <c r="AWI100" s="189"/>
      <c r="AWJ100" s="188"/>
      <c r="AWK100" s="187"/>
      <c r="AWQ100" s="188"/>
      <c r="AWR100" s="187"/>
      <c r="AWX100" s="188"/>
      <c r="AWY100" s="187"/>
      <c r="AXE100" s="188"/>
      <c r="AXF100" s="187"/>
      <c r="AXL100" s="188"/>
      <c r="AXM100" s="190"/>
      <c r="AXN100" s="189"/>
      <c r="AXS100" s="188"/>
      <c r="AXT100" s="187"/>
      <c r="AXZ100" s="188"/>
      <c r="AYA100" s="187"/>
      <c r="AYG100" s="188"/>
      <c r="AYH100" s="187"/>
      <c r="AYN100" s="188"/>
      <c r="AYO100" s="187"/>
      <c r="AYR100" s="168"/>
      <c r="AYS100" s="189"/>
      <c r="AYU100" s="188"/>
      <c r="AYV100" s="187"/>
      <c r="AZB100" s="188"/>
      <c r="AZC100" s="187"/>
      <c r="AZI100" s="188"/>
      <c r="AZJ100" s="187"/>
      <c r="AZP100" s="188"/>
      <c r="AZQ100" s="187"/>
      <c r="AZV100" s="168"/>
      <c r="AZW100" s="191"/>
      <c r="AZX100" s="187"/>
      <c r="BAD100" s="188"/>
      <c r="BAE100" s="187"/>
      <c r="BAK100" s="188"/>
      <c r="BAL100" s="187"/>
      <c r="BAR100" s="188"/>
      <c r="BAS100" s="187"/>
      <c r="BAY100" s="188"/>
      <c r="BAZ100" s="187"/>
      <c r="BBA100" s="168"/>
      <c r="BBB100" s="189"/>
      <c r="BBF100" s="188"/>
      <c r="BBG100" s="187"/>
      <c r="BBM100" s="188"/>
      <c r="BBN100" s="187"/>
      <c r="BBT100" s="188"/>
      <c r="BBU100" s="187"/>
      <c r="BCA100" s="188"/>
      <c r="BCB100" s="187"/>
      <c r="BCE100" s="168"/>
      <c r="BCF100" s="189"/>
      <c r="BCH100" s="188"/>
      <c r="BCI100" s="187"/>
      <c r="BCO100" s="188"/>
      <c r="BCP100" s="187"/>
      <c r="BCV100" s="188"/>
      <c r="BCW100" s="187"/>
      <c r="BDC100" s="188"/>
      <c r="BDD100" s="187"/>
      <c r="BDJ100" s="168"/>
      <c r="BDK100" s="189"/>
      <c r="BDQ100" s="188"/>
      <c r="BDR100" s="187"/>
      <c r="BDX100" s="188"/>
      <c r="BDY100" s="187"/>
      <c r="BEE100" s="188"/>
      <c r="BEF100" s="187"/>
      <c r="BEL100" s="188"/>
      <c r="BEM100" s="187"/>
      <c r="BEO100" s="168"/>
      <c r="BEP100" s="189"/>
      <c r="BES100" s="188"/>
      <c r="BET100" s="187"/>
      <c r="BEZ100" s="188"/>
      <c r="BFA100" s="187"/>
      <c r="BFG100" s="188"/>
      <c r="BFH100" s="187"/>
      <c r="BFN100" s="188"/>
      <c r="BFO100" s="187"/>
      <c r="BFQ100" s="168"/>
      <c r="BFR100" s="189"/>
      <c r="BFU100" s="188"/>
      <c r="BFV100" s="187"/>
      <c r="BGB100" s="188"/>
      <c r="BGC100" s="187"/>
      <c r="BGI100" s="188"/>
      <c r="BGJ100" s="187"/>
      <c r="BGP100" s="188"/>
      <c r="BGQ100" s="187"/>
      <c r="BGV100" s="168"/>
      <c r="BGW100" s="191"/>
      <c r="BGX100" s="187"/>
      <c r="BHD100" s="188"/>
      <c r="BHE100" s="187"/>
      <c r="BHK100" s="188"/>
      <c r="BHL100" s="187"/>
      <c r="BHR100" s="188"/>
      <c r="BHS100" s="187"/>
      <c r="BHY100" s="188"/>
      <c r="BHZ100" s="190"/>
      <c r="BIA100" s="189"/>
      <c r="BIF100" s="188"/>
      <c r="BIG100" s="187"/>
      <c r="BIM100" s="188"/>
      <c r="BIN100" s="187"/>
      <c r="BIT100" s="188"/>
      <c r="BIU100" s="187"/>
      <c r="BJA100" s="188"/>
      <c r="BJB100" s="187"/>
      <c r="BJE100" s="168"/>
      <c r="BJF100" s="189"/>
      <c r="BJH100" s="188"/>
      <c r="BJI100" s="187"/>
      <c r="BJO100" s="188"/>
      <c r="BJP100" s="187"/>
      <c r="BJV100" s="188"/>
      <c r="BJW100" s="187"/>
      <c r="BKC100" s="188"/>
      <c r="BKD100" s="187"/>
      <c r="BKI100" s="168"/>
      <c r="BKJ100" s="191"/>
      <c r="BKK100" s="187"/>
      <c r="BKQ100" s="188"/>
      <c r="BKR100" s="187"/>
      <c r="BKX100" s="188"/>
      <c r="BKY100" s="187"/>
      <c r="BLE100" s="188"/>
      <c r="BLF100" s="187"/>
      <c r="BLL100" s="188"/>
      <c r="BLM100" s="187"/>
      <c r="BLN100" s="168"/>
      <c r="BLO100" s="189"/>
      <c r="BLS100" s="188"/>
      <c r="BLT100" s="187"/>
      <c r="BLZ100" s="188"/>
      <c r="BMA100" s="187"/>
      <c r="BMG100" s="188"/>
      <c r="BMH100" s="187"/>
      <c r="BMN100" s="188"/>
      <c r="BMO100" s="187"/>
      <c r="BMS100" s="168"/>
      <c r="BMT100" s="189"/>
      <c r="BMU100" s="188"/>
      <c r="BMV100" s="187"/>
      <c r="BNB100" s="188"/>
      <c r="BNC100" s="187"/>
      <c r="BNI100" s="188"/>
      <c r="BNJ100" s="187"/>
      <c r="BNP100" s="188"/>
      <c r="BNQ100" s="187"/>
      <c r="BNW100" s="168"/>
      <c r="BNX100" s="189"/>
      <c r="BOD100" s="188"/>
      <c r="BOE100" s="187"/>
      <c r="BOK100" s="188"/>
      <c r="BOL100" s="187"/>
      <c r="BOR100" s="188"/>
      <c r="BOS100" s="187"/>
      <c r="BOY100" s="188"/>
      <c r="BOZ100" s="187"/>
      <c r="BPB100" s="168"/>
      <c r="BPC100" s="189"/>
      <c r="BPF100" s="188"/>
      <c r="BPG100" s="187"/>
      <c r="BPM100" s="188"/>
      <c r="BPN100" s="187"/>
      <c r="BPT100" s="188"/>
      <c r="BPU100" s="187"/>
      <c r="BQA100" s="188"/>
      <c r="BQB100" s="187"/>
      <c r="BQF100" s="168"/>
      <c r="BQG100" s="189"/>
      <c r="BQH100" s="188"/>
      <c r="BQI100" s="187"/>
      <c r="BQO100" s="188"/>
      <c r="BQP100" s="187"/>
      <c r="BQV100" s="188"/>
      <c r="BQW100" s="187"/>
      <c r="BRC100" s="188"/>
      <c r="BRD100" s="187"/>
      <c r="BRJ100" s="188"/>
      <c r="BRK100" s="190"/>
      <c r="BRL100" s="189"/>
      <c r="BRQ100" s="188"/>
      <c r="BRR100" s="187"/>
      <c r="BRX100" s="188"/>
      <c r="BRY100" s="187"/>
      <c r="BSE100" s="188"/>
      <c r="BSF100" s="187"/>
      <c r="BSL100" s="188"/>
      <c r="BSM100" s="187"/>
      <c r="BSP100" s="168"/>
      <c r="BSQ100" s="189"/>
      <c r="BSS100" s="188"/>
      <c r="BST100" s="187"/>
      <c r="BSZ100" s="188"/>
      <c r="BTA100" s="187"/>
      <c r="BTG100" s="188"/>
      <c r="BTH100" s="187"/>
      <c r="BTN100" s="188"/>
      <c r="BTO100" s="187"/>
      <c r="BTS100" s="168"/>
      <c r="BTT100" s="189"/>
      <c r="BTU100" s="188"/>
      <c r="BTV100" s="187"/>
      <c r="BUB100" s="188"/>
      <c r="BUC100" s="187"/>
      <c r="BUI100" s="188"/>
      <c r="BUJ100" s="187"/>
      <c r="BUP100" s="188"/>
      <c r="BUQ100" s="187"/>
      <c r="BUW100" s="188"/>
      <c r="BUX100" s="190"/>
      <c r="BUY100" s="189"/>
      <c r="BVD100" s="188"/>
      <c r="BVE100" s="187"/>
      <c r="BVK100" s="188"/>
      <c r="BVL100" s="187"/>
      <c r="BVR100" s="188"/>
      <c r="BVS100" s="187"/>
      <c r="BVY100" s="188"/>
      <c r="BVZ100" s="187"/>
      <c r="BWB100" s="168"/>
      <c r="BWC100" s="189"/>
      <c r="BWF100" s="188"/>
      <c r="BWG100" s="187"/>
      <c r="BWM100" s="188"/>
      <c r="BWN100" s="187"/>
      <c r="BWT100" s="188"/>
      <c r="BWU100" s="187"/>
      <c r="BXA100" s="188"/>
      <c r="BXB100" s="187"/>
      <c r="BXG100" s="168"/>
      <c r="BXH100" s="191"/>
      <c r="BXI100" s="187"/>
      <c r="BXO100" s="188"/>
      <c r="BXP100" s="187"/>
      <c r="BXV100" s="188"/>
      <c r="BXW100" s="187"/>
      <c r="BYC100" s="188"/>
      <c r="BYD100" s="187"/>
      <c r="BYJ100" s="188"/>
      <c r="BYK100" s="190"/>
      <c r="BYL100" s="189"/>
      <c r="BYQ100" s="188"/>
      <c r="BYR100" s="187"/>
      <c r="BYX100" s="188"/>
      <c r="BYY100" s="187"/>
      <c r="BZE100" s="188"/>
      <c r="BZF100" s="187"/>
      <c r="BZL100" s="188"/>
      <c r="BZM100" s="187"/>
      <c r="BZP100" s="168"/>
      <c r="BZQ100" s="189"/>
      <c r="BZS100" s="188"/>
      <c r="BZT100" s="187"/>
      <c r="BZZ100" s="188"/>
      <c r="CAA100" s="187"/>
      <c r="CAG100" s="188"/>
      <c r="CAH100" s="187"/>
      <c r="CAN100" s="188"/>
      <c r="CAO100" s="187"/>
      <c r="CAU100" s="168"/>
      <c r="CAV100" s="189"/>
      <c r="CBB100" s="188"/>
      <c r="CBC100" s="187"/>
      <c r="CBI100" s="188"/>
      <c r="CBJ100" s="187"/>
      <c r="CBP100" s="188"/>
      <c r="CBQ100" s="187"/>
      <c r="CBW100" s="188"/>
      <c r="CBX100" s="187"/>
      <c r="CBY100" s="168"/>
      <c r="CBZ100" s="189"/>
      <c r="CCD100" s="188"/>
      <c r="CCE100" s="187"/>
      <c r="CCK100" s="188"/>
      <c r="CCL100" s="187"/>
      <c r="CCR100" s="188"/>
      <c r="CCS100" s="187"/>
      <c r="CCY100" s="188"/>
      <c r="CCZ100" s="187"/>
      <c r="CDD100" s="168"/>
      <c r="CDE100" s="189"/>
      <c r="CDF100" s="188"/>
      <c r="CDG100" s="187"/>
      <c r="CDM100" s="188"/>
      <c r="CDN100" s="187"/>
      <c r="CDT100" s="188"/>
      <c r="CDU100" s="187"/>
      <c r="CEA100" s="188"/>
      <c r="CEB100" s="187"/>
      <c r="CEH100" s="168"/>
      <c r="CEI100" s="189"/>
      <c r="CEO100" s="188"/>
      <c r="CEP100" s="187"/>
      <c r="CEV100" s="188"/>
      <c r="CEW100" s="187"/>
      <c r="CFC100" s="188"/>
      <c r="CFD100" s="187"/>
      <c r="CFJ100" s="188"/>
      <c r="CFK100" s="187"/>
    </row>
    <row r="101" spans="1:1019 1025:2048 2054:2195">
      <c r="A101" s="164" t="s">
        <v>379</v>
      </c>
      <c r="C101" s="164" t="s">
        <v>380</v>
      </c>
      <c r="D101" s="186"/>
      <c r="E101" s="186"/>
      <c r="K101" s="187"/>
      <c r="Q101" s="188"/>
      <c r="R101" s="187"/>
      <c r="X101" s="188"/>
      <c r="Y101" s="187"/>
      <c r="AE101" s="188"/>
      <c r="AF101" s="187"/>
      <c r="AJ101" s="168"/>
      <c r="AK101" s="189"/>
      <c r="AL101" s="188"/>
      <c r="AM101" s="187"/>
      <c r="AS101" s="188"/>
      <c r="AT101" s="187"/>
      <c r="AZ101" s="188"/>
      <c r="BA101" s="187"/>
      <c r="BG101" s="188"/>
      <c r="BH101" s="187"/>
      <c r="BL101" s="168"/>
      <c r="BM101" s="189"/>
      <c r="BN101" s="188"/>
      <c r="BO101" s="187"/>
      <c r="BU101" s="188"/>
      <c r="BV101" s="187"/>
      <c r="CB101" s="188"/>
      <c r="CC101" s="187"/>
      <c r="CI101" s="188"/>
      <c r="CJ101" s="187"/>
      <c r="CP101" s="188"/>
      <c r="CQ101" s="190"/>
      <c r="CR101" s="189"/>
      <c r="CW101" s="188"/>
      <c r="CX101" s="187"/>
      <c r="DD101" s="188"/>
      <c r="DE101" s="187"/>
      <c r="DK101" s="188"/>
      <c r="DL101" s="187"/>
      <c r="DR101" s="188"/>
      <c r="DS101" s="187"/>
      <c r="DU101" s="168"/>
      <c r="DV101" s="189"/>
      <c r="DY101" s="188"/>
      <c r="DZ101" s="187"/>
      <c r="EF101" s="188"/>
      <c r="EG101" s="187"/>
      <c r="EM101" s="188"/>
      <c r="EN101" s="187"/>
      <c r="ET101" s="188"/>
      <c r="EU101" s="187"/>
      <c r="EZ101" s="168"/>
      <c r="FA101" s="191"/>
      <c r="FB101" s="187"/>
      <c r="FH101" s="188"/>
      <c r="FI101" s="187"/>
      <c r="FO101" s="188"/>
      <c r="FP101" s="187"/>
      <c r="FV101" s="188"/>
      <c r="FW101" s="187"/>
      <c r="GC101" s="188"/>
      <c r="GD101" s="190"/>
      <c r="GE101" s="189"/>
      <c r="GJ101" s="188"/>
      <c r="GK101" s="187"/>
      <c r="GQ101" s="188"/>
      <c r="GR101" s="187"/>
      <c r="GX101" s="188"/>
      <c r="GY101" s="187"/>
      <c r="HE101" s="188"/>
      <c r="HF101" s="187"/>
      <c r="HI101" s="168"/>
      <c r="HJ101" s="189"/>
      <c r="HL101" s="188"/>
      <c r="HM101" s="187"/>
      <c r="HS101" s="188"/>
      <c r="HT101" s="187"/>
      <c r="HZ101" s="188"/>
      <c r="IA101" s="187"/>
      <c r="IG101" s="188"/>
      <c r="IH101" s="187"/>
      <c r="IN101" s="168"/>
      <c r="IO101" s="189"/>
      <c r="IU101" s="188"/>
      <c r="IV101" s="187"/>
      <c r="JB101" s="188"/>
      <c r="JC101" s="187"/>
      <c r="JI101" s="188"/>
      <c r="JJ101" s="187"/>
      <c r="JP101" s="188"/>
      <c r="JQ101" s="187"/>
      <c r="JR101" s="168"/>
      <c r="JS101" s="189"/>
      <c r="JW101" s="188"/>
      <c r="JX101" s="187"/>
      <c r="KD101" s="188"/>
      <c r="KE101" s="187"/>
      <c r="KK101" s="188"/>
      <c r="KL101" s="187"/>
      <c r="KR101" s="188"/>
      <c r="KS101" s="187"/>
      <c r="KW101" s="168"/>
      <c r="KX101" s="189"/>
      <c r="KY101" s="188"/>
      <c r="KZ101" s="187"/>
      <c r="LF101" s="188"/>
      <c r="LG101" s="187"/>
      <c r="LM101" s="188"/>
      <c r="LN101" s="187"/>
      <c r="LT101" s="188"/>
      <c r="LU101" s="187"/>
      <c r="MA101" s="168"/>
      <c r="MB101" s="189"/>
      <c r="MH101" s="188"/>
      <c r="MI101" s="187"/>
      <c r="MO101" s="188"/>
      <c r="MP101" s="187"/>
      <c r="MV101" s="188"/>
      <c r="MW101" s="187"/>
      <c r="NC101" s="188"/>
      <c r="ND101" s="187"/>
      <c r="NF101" s="168"/>
      <c r="NG101" s="189"/>
      <c r="NJ101" s="188"/>
      <c r="NK101" s="187"/>
      <c r="NQ101" s="188"/>
      <c r="NR101" s="187"/>
      <c r="NX101" s="188"/>
      <c r="NY101" s="187"/>
      <c r="OE101" s="188"/>
      <c r="OF101" s="187"/>
      <c r="OK101" s="168"/>
      <c r="OL101" s="191"/>
      <c r="OM101" s="187"/>
      <c r="OS101" s="188"/>
      <c r="OT101" s="187"/>
      <c r="OZ101" s="188"/>
      <c r="PA101" s="187"/>
      <c r="PG101" s="188"/>
      <c r="PH101" s="187"/>
      <c r="PN101" s="168"/>
      <c r="PO101" s="189"/>
      <c r="PU101" s="188"/>
      <c r="PV101" s="187"/>
      <c r="QB101" s="188"/>
      <c r="QC101" s="187"/>
      <c r="QI101" s="188"/>
      <c r="QJ101" s="187"/>
      <c r="QP101" s="188"/>
      <c r="QQ101" s="187"/>
      <c r="QS101" s="168"/>
      <c r="QT101" s="189"/>
      <c r="QW101" s="188"/>
      <c r="QX101" s="187"/>
      <c r="RD101" s="188"/>
      <c r="RE101" s="187"/>
      <c r="RK101" s="188"/>
      <c r="RL101" s="187"/>
      <c r="RR101" s="188"/>
      <c r="RS101" s="187"/>
      <c r="RW101" s="168"/>
      <c r="RX101" s="189"/>
      <c r="RY101" s="188"/>
      <c r="RZ101" s="187"/>
      <c r="SF101" s="188"/>
      <c r="SG101" s="187"/>
      <c r="SM101" s="188"/>
      <c r="SN101" s="187"/>
      <c r="ST101" s="188"/>
      <c r="SU101" s="187"/>
      <c r="TA101" s="188"/>
      <c r="TB101" s="190"/>
      <c r="TC101" s="189"/>
      <c r="TH101" s="188"/>
      <c r="TI101" s="187"/>
      <c r="TO101" s="188"/>
      <c r="TP101" s="187"/>
      <c r="TV101" s="188"/>
      <c r="TW101" s="187"/>
      <c r="UC101" s="188"/>
      <c r="UD101" s="187"/>
      <c r="UF101" s="168"/>
      <c r="UG101" s="189"/>
      <c r="UJ101" s="188"/>
      <c r="UK101" s="187"/>
      <c r="UQ101" s="188"/>
      <c r="UR101" s="187"/>
      <c r="UX101" s="188"/>
      <c r="UY101" s="187"/>
      <c r="VE101" s="188"/>
      <c r="VF101" s="187"/>
      <c r="VK101" s="168"/>
      <c r="VL101" s="191"/>
      <c r="VM101" s="187"/>
      <c r="VS101" s="188"/>
      <c r="VT101" s="187"/>
      <c r="VZ101" s="188"/>
      <c r="WA101" s="187"/>
      <c r="WG101" s="188"/>
      <c r="WH101" s="187"/>
      <c r="WN101" s="188"/>
      <c r="WO101" s="187"/>
      <c r="WP101" s="168"/>
      <c r="WQ101" s="189"/>
      <c r="WU101" s="188"/>
      <c r="WV101" s="187"/>
      <c r="XB101" s="188"/>
      <c r="XC101" s="187"/>
      <c r="XI101" s="188"/>
      <c r="XJ101" s="187"/>
      <c r="XP101" s="188"/>
      <c r="XQ101" s="187"/>
      <c r="XT101" s="168"/>
      <c r="XU101" s="189"/>
      <c r="XW101" s="188"/>
      <c r="XX101" s="187"/>
      <c r="YD101" s="188"/>
      <c r="YE101" s="187"/>
      <c r="YK101" s="188"/>
      <c r="YL101" s="187"/>
      <c r="YR101" s="188"/>
      <c r="YS101" s="187"/>
      <c r="YY101" s="168"/>
      <c r="YZ101" s="189"/>
      <c r="ZF101" s="188"/>
      <c r="ZG101" s="187"/>
      <c r="ZM101" s="188"/>
      <c r="ZN101" s="187"/>
      <c r="ZT101" s="188"/>
      <c r="ZU101" s="187"/>
      <c r="AAA101" s="188"/>
      <c r="AAB101" s="187"/>
      <c r="AAC101" s="168"/>
      <c r="AAD101" s="189"/>
      <c r="AAH101" s="188"/>
      <c r="AAI101" s="187"/>
      <c r="AAO101" s="188"/>
      <c r="AAP101" s="187"/>
      <c r="AAV101" s="188"/>
      <c r="AAW101" s="187"/>
      <c r="ABC101" s="188"/>
      <c r="ABD101" s="187"/>
      <c r="ABH101" s="168"/>
      <c r="ABI101" s="189"/>
      <c r="ABJ101" s="188"/>
      <c r="ABK101" s="187"/>
      <c r="ABQ101" s="188"/>
      <c r="ABR101" s="187"/>
      <c r="ABX101" s="188"/>
      <c r="ABY101" s="187"/>
      <c r="ACE101" s="188"/>
      <c r="ACF101" s="187"/>
      <c r="ACL101" s="188"/>
      <c r="ACM101" s="190"/>
      <c r="ACN101" s="189"/>
      <c r="ACS101" s="188"/>
      <c r="ACT101" s="187"/>
      <c r="ACZ101" s="188"/>
      <c r="ADA101" s="187"/>
      <c r="ADG101" s="188"/>
      <c r="ADH101" s="187"/>
      <c r="ADN101" s="188"/>
      <c r="ADO101" s="190"/>
      <c r="ADP101" s="189"/>
      <c r="ADU101" s="188"/>
      <c r="ADV101" s="187"/>
      <c r="AEB101" s="188"/>
      <c r="AEC101" s="187"/>
      <c r="AEI101" s="188"/>
      <c r="AEJ101" s="187"/>
      <c r="AEP101" s="188"/>
      <c r="AEQ101" s="187"/>
      <c r="AET101" s="168"/>
      <c r="AEU101" s="189"/>
      <c r="AEW101" s="188"/>
      <c r="AEX101" s="187"/>
      <c r="AFD101" s="188"/>
      <c r="AFE101" s="187"/>
      <c r="AFK101" s="188"/>
      <c r="AFL101" s="187"/>
      <c r="AFR101" s="188"/>
      <c r="AFS101" s="187"/>
      <c r="AFX101" s="168"/>
      <c r="AFY101" s="191"/>
      <c r="AFZ101" s="187"/>
      <c r="AGF101" s="188"/>
      <c r="AGG101" s="187"/>
      <c r="AGM101" s="188"/>
      <c r="AGN101" s="187"/>
      <c r="AGT101" s="188"/>
      <c r="AGU101" s="187"/>
      <c r="AHA101" s="188"/>
      <c r="AHB101" s="187"/>
      <c r="AHC101" s="168"/>
      <c r="AHD101" s="189"/>
      <c r="AHH101" s="188"/>
      <c r="AHI101" s="187"/>
      <c r="AHO101" s="188"/>
      <c r="AHP101" s="187"/>
      <c r="AHV101" s="188"/>
      <c r="AHW101" s="187"/>
      <c r="AIC101" s="188"/>
      <c r="AID101" s="187"/>
      <c r="AIG101" s="168"/>
      <c r="AIH101" s="189"/>
      <c r="AIJ101" s="188"/>
      <c r="AIK101" s="187"/>
      <c r="AIQ101" s="188"/>
      <c r="AIR101" s="187"/>
      <c r="AIX101" s="188"/>
      <c r="AIY101" s="187"/>
      <c r="AJE101" s="188"/>
      <c r="AJF101" s="187"/>
      <c r="AJL101" s="168"/>
      <c r="AJM101" s="189"/>
      <c r="AJS101" s="188"/>
      <c r="AJT101" s="187"/>
      <c r="AJZ101" s="188"/>
      <c r="AKA101" s="187"/>
      <c r="AKG101" s="188"/>
      <c r="AKH101" s="187"/>
      <c r="AKN101" s="188"/>
      <c r="AKO101" s="187"/>
      <c r="AKQ101" s="168"/>
      <c r="AKR101" s="189"/>
      <c r="AKU101" s="188"/>
      <c r="AKV101" s="187"/>
      <c r="ALB101" s="188"/>
      <c r="ALC101" s="187"/>
      <c r="ALI101" s="188"/>
      <c r="ALJ101" s="187"/>
      <c r="ALP101" s="188"/>
      <c r="ALQ101" s="187"/>
      <c r="ALU101" s="168"/>
      <c r="ALV101" s="189"/>
      <c r="ALW101" s="188"/>
      <c r="ALX101" s="187"/>
      <c r="AMD101" s="188"/>
      <c r="AME101" s="187"/>
      <c r="AMK101" s="188"/>
      <c r="AML101" s="187"/>
      <c r="AMR101" s="188"/>
      <c r="AMS101" s="187"/>
      <c r="AMY101" s="188"/>
      <c r="AMZ101" s="190"/>
      <c r="ANA101" s="189"/>
      <c r="ANF101" s="188"/>
      <c r="ANG101" s="187"/>
      <c r="ANM101" s="188"/>
      <c r="ANN101" s="187"/>
      <c r="ANT101" s="188"/>
      <c r="ANU101" s="187"/>
      <c r="AOA101" s="188"/>
      <c r="AOB101" s="187"/>
      <c r="AOD101" s="168"/>
      <c r="AOE101" s="189"/>
      <c r="AOH101" s="188"/>
      <c r="AOI101" s="187"/>
      <c r="AOO101" s="188"/>
      <c r="AOP101" s="187"/>
      <c r="AOV101" s="188"/>
      <c r="AOW101" s="187"/>
      <c r="APC101" s="188"/>
      <c r="APD101" s="187"/>
      <c r="API101" s="168"/>
      <c r="APJ101" s="191"/>
      <c r="APK101" s="187"/>
      <c r="APQ101" s="188"/>
      <c r="APR101" s="187"/>
      <c r="APX101" s="188"/>
      <c r="APY101" s="187"/>
      <c r="AQE101" s="188"/>
      <c r="AQF101" s="187"/>
      <c r="AQL101" s="188"/>
      <c r="AQM101" s="187"/>
      <c r="AQN101" s="168"/>
      <c r="AQO101" s="189"/>
      <c r="AQS101" s="188"/>
      <c r="AQT101" s="187"/>
      <c r="AQZ101" s="188"/>
      <c r="ARA101" s="187"/>
      <c r="ARG101" s="188"/>
      <c r="ARH101" s="187"/>
      <c r="ARN101" s="188"/>
      <c r="ARO101" s="187"/>
      <c r="ARP101" s="168"/>
      <c r="ARQ101" s="189"/>
      <c r="ARU101" s="188"/>
      <c r="ARV101" s="187"/>
      <c r="ASB101" s="188"/>
      <c r="ASC101" s="187"/>
      <c r="ASI101" s="188"/>
      <c r="ASJ101" s="187"/>
      <c r="ASP101" s="188"/>
      <c r="ASQ101" s="187"/>
      <c r="ASU101" s="168"/>
      <c r="ASV101" s="189"/>
      <c r="ASW101" s="188"/>
      <c r="ASX101" s="187"/>
      <c r="ATD101" s="188"/>
      <c r="ATE101" s="187"/>
      <c r="ATK101" s="188"/>
      <c r="ATL101" s="187"/>
      <c r="ATR101" s="188"/>
      <c r="ATS101" s="187"/>
      <c r="ATY101" s="168"/>
      <c r="ATZ101" s="189"/>
      <c r="AUF101" s="188"/>
      <c r="AUG101" s="187"/>
      <c r="AUM101" s="188"/>
      <c r="AUN101" s="187"/>
      <c r="AUT101" s="188"/>
      <c r="AUU101" s="187"/>
      <c r="AVA101" s="188"/>
      <c r="AVB101" s="187"/>
      <c r="AVD101" s="168"/>
      <c r="AVE101" s="189"/>
      <c r="AVH101" s="188"/>
      <c r="AVI101" s="187"/>
      <c r="AVO101" s="188"/>
      <c r="AVP101" s="187"/>
      <c r="AVV101" s="188"/>
      <c r="AVW101" s="187"/>
      <c r="AWC101" s="188"/>
      <c r="AWD101" s="187"/>
      <c r="AWH101" s="168"/>
      <c r="AWI101" s="189"/>
      <c r="AWJ101" s="188"/>
      <c r="AWK101" s="187"/>
      <c r="AWQ101" s="188"/>
      <c r="AWR101" s="187"/>
      <c r="AWX101" s="188"/>
      <c r="AWY101" s="187"/>
      <c r="AXE101" s="188"/>
      <c r="AXF101" s="187"/>
      <c r="AXL101" s="188"/>
      <c r="AXM101" s="190"/>
      <c r="AXN101" s="189"/>
      <c r="AXS101" s="188"/>
      <c r="AXT101" s="187"/>
      <c r="AXZ101" s="188"/>
      <c r="AYA101" s="187"/>
      <c r="AYG101" s="188"/>
      <c r="AYH101" s="187"/>
      <c r="AYN101" s="188"/>
      <c r="AYO101" s="187"/>
      <c r="AYR101" s="168"/>
      <c r="AYS101" s="189"/>
      <c r="AYU101" s="188"/>
      <c r="AYV101" s="187"/>
      <c r="AZB101" s="188"/>
      <c r="AZC101" s="187"/>
      <c r="AZI101" s="188"/>
      <c r="AZJ101" s="187"/>
      <c r="AZP101" s="188"/>
      <c r="AZQ101" s="187"/>
      <c r="AZV101" s="168"/>
      <c r="AZW101" s="191"/>
      <c r="AZX101" s="187"/>
      <c r="BAD101" s="188"/>
      <c r="BAE101" s="187"/>
      <c r="BAK101" s="188"/>
      <c r="BAL101" s="187"/>
      <c r="BAR101" s="188"/>
      <c r="BAS101" s="187"/>
      <c r="BAY101" s="188"/>
      <c r="BAZ101" s="187"/>
      <c r="BBA101" s="168"/>
      <c r="BBB101" s="189"/>
      <c r="BBF101" s="188"/>
      <c r="BBG101" s="187"/>
      <c r="BBM101" s="188"/>
      <c r="BBN101" s="187"/>
      <c r="BBT101" s="188"/>
      <c r="BBU101" s="187"/>
      <c r="BCA101" s="188"/>
      <c r="BCB101" s="187"/>
      <c r="BCE101" s="168"/>
      <c r="BCF101" s="189"/>
      <c r="BCH101" s="188"/>
      <c r="BCI101" s="187"/>
      <c r="BCO101" s="188"/>
      <c r="BCP101" s="187"/>
      <c r="BCV101" s="188"/>
      <c r="BCW101" s="187"/>
      <c r="BDC101" s="188"/>
      <c r="BDD101" s="187"/>
      <c r="BDJ101" s="168"/>
      <c r="BDK101" s="189"/>
      <c r="BDQ101" s="188"/>
      <c r="BDR101" s="187"/>
      <c r="BDX101" s="188"/>
      <c r="BDY101" s="187"/>
      <c r="BEE101" s="188"/>
      <c r="BEF101" s="187"/>
      <c r="BEL101" s="188"/>
      <c r="BEM101" s="187"/>
      <c r="BEO101" s="168"/>
      <c r="BEP101" s="189"/>
      <c r="BES101" s="188"/>
      <c r="BET101" s="187"/>
      <c r="BEZ101" s="188"/>
      <c r="BFA101" s="187"/>
      <c r="BFG101" s="188"/>
      <c r="BFH101" s="187"/>
      <c r="BFN101" s="188"/>
      <c r="BFO101" s="187"/>
      <c r="BFQ101" s="168"/>
      <c r="BFR101" s="189"/>
      <c r="BFU101" s="188"/>
      <c r="BFV101" s="187"/>
      <c r="BGB101" s="188"/>
      <c r="BGC101" s="187"/>
      <c r="BGI101" s="188"/>
      <c r="BGJ101" s="187"/>
      <c r="BGP101" s="188"/>
      <c r="BGQ101" s="187"/>
      <c r="BGV101" s="168"/>
      <c r="BGW101" s="191"/>
      <c r="BGX101" s="187"/>
      <c r="BHD101" s="188"/>
      <c r="BHE101" s="187"/>
      <c r="BHK101" s="188"/>
      <c r="BHL101" s="187"/>
      <c r="BHR101" s="188"/>
      <c r="BHS101" s="187"/>
      <c r="BHY101" s="188"/>
      <c r="BHZ101" s="190"/>
      <c r="BIA101" s="189"/>
      <c r="BIF101" s="188"/>
      <c r="BIG101" s="187"/>
      <c r="BIM101" s="188"/>
      <c r="BIN101" s="187"/>
      <c r="BIT101" s="188"/>
      <c r="BIU101" s="187"/>
      <c r="BJA101" s="188"/>
      <c r="BJB101" s="187"/>
      <c r="BJE101" s="168"/>
      <c r="BJF101" s="189"/>
      <c r="BJH101" s="188"/>
      <c r="BJI101" s="187"/>
      <c r="BJO101" s="188"/>
      <c r="BJP101" s="187"/>
      <c r="BJV101" s="188"/>
      <c r="BJW101" s="187"/>
      <c r="BKC101" s="188"/>
      <c r="BKD101" s="187"/>
      <c r="BKI101" s="168"/>
      <c r="BKJ101" s="191"/>
      <c r="BKK101" s="187"/>
      <c r="BKQ101" s="188"/>
      <c r="BKR101" s="187"/>
      <c r="BKX101" s="188"/>
      <c r="BKY101" s="187"/>
      <c r="BLE101" s="188"/>
      <c r="BLF101" s="187"/>
      <c r="BLL101" s="188"/>
      <c r="BLM101" s="187"/>
      <c r="BLN101" s="168"/>
      <c r="BLO101" s="189"/>
      <c r="BLS101" s="188"/>
      <c r="BLT101" s="187"/>
      <c r="BLZ101" s="188"/>
      <c r="BMA101" s="187"/>
      <c r="BMG101" s="188"/>
      <c r="BMH101" s="187"/>
      <c r="BMN101" s="188"/>
      <c r="BMO101" s="187"/>
      <c r="BMS101" s="168"/>
      <c r="BMT101" s="189"/>
      <c r="BMU101" s="188"/>
      <c r="BMV101" s="187"/>
      <c r="BNB101" s="188"/>
      <c r="BNC101" s="187"/>
      <c r="BNI101" s="188"/>
      <c r="BNJ101" s="187"/>
      <c r="BNP101" s="188"/>
      <c r="BNQ101" s="187"/>
      <c r="BNW101" s="168"/>
      <c r="BNX101" s="189"/>
      <c r="BOD101" s="188"/>
      <c r="BOE101" s="187"/>
      <c r="BOK101" s="188"/>
      <c r="BOL101" s="187"/>
      <c r="BOR101" s="188"/>
      <c r="BOS101" s="187"/>
      <c r="BOY101" s="188"/>
      <c r="BOZ101" s="187"/>
      <c r="BPB101" s="168"/>
      <c r="BPC101" s="189"/>
      <c r="BPF101" s="188"/>
      <c r="BPG101" s="187"/>
      <c r="BPM101" s="188"/>
      <c r="BPN101" s="187"/>
      <c r="BPT101" s="188"/>
      <c r="BPU101" s="187"/>
      <c r="BQA101" s="188"/>
      <c r="BQB101" s="187"/>
      <c r="BQF101" s="168"/>
      <c r="BQG101" s="189"/>
      <c r="BQH101" s="188"/>
      <c r="BQI101" s="187"/>
      <c r="BQO101" s="188"/>
      <c r="BQP101" s="187"/>
      <c r="BQV101" s="188"/>
      <c r="BQW101" s="187"/>
      <c r="BRC101" s="188"/>
      <c r="BRD101" s="187"/>
      <c r="BRJ101" s="188"/>
      <c r="BRK101" s="190"/>
      <c r="BRL101" s="189"/>
      <c r="BRQ101" s="188"/>
      <c r="BRR101" s="187"/>
      <c r="BRX101" s="188"/>
      <c r="BRY101" s="187"/>
      <c r="BSE101" s="188"/>
      <c r="BSF101" s="187"/>
      <c r="BSL101" s="188"/>
      <c r="BSM101" s="187"/>
      <c r="BSP101" s="168"/>
      <c r="BSQ101" s="189"/>
      <c r="BSS101" s="188"/>
      <c r="BST101" s="187"/>
      <c r="BSZ101" s="188"/>
      <c r="BTA101" s="187"/>
      <c r="BTG101" s="188"/>
      <c r="BTH101" s="187"/>
      <c r="BTN101" s="188"/>
      <c r="BTO101" s="187"/>
      <c r="BTS101" s="168"/>
      <c r="BTT101" s="189"/>
      <c r="BTU101" s="188"/>
      <c r="BTV101" s="187"/>
      <c r="BUB101" s="188"/>
      <c r="BUC101" s="187"/>
      <c r="BUI101" s="188"/>
      <c r="BUJ101" s="187"/>
      <c r="BUP101" s="188"/>
      <c r="BUQ101" s="187"/>
      <c r="BUW101" s="188"/>
      <c r="BUX101" s="190"/>
      <c r="BUY101" s="189"/>
      <c r="BVD101" s="188"/>
      <c r="BVE101" s="187"/>
      <c r="BVK101" s="188"/>
      <c r="BVL101" s="187"/>
      <c r="BVR101" s="188"/>
      <c r="BVS101" s="187"/>
      <c r="BVY101" s="188"/>
      <c r="BVZ101" s="187"/>
      <c r="BWB101" s="168"/>
      <c r="BWC101" s="189"/>
      <c r="BWF101" s="188"/>
      <c r="BWG101" s="187"/>
      <c r="BWM101" s="188"/>
      <c r="BWN101" s="187"/>
      <c r="BWT101" s="188"/>
      <c r="BWU101" s="187"/>
      <c r="BXA101" s="188"/>
      <c r="BXB101" s="187"/>
      <c r="BXG101" s="168"/>
      <c r="BXH101" s="191"/>
      <c r="BXI101" s="187"/>
      <c r="BXO101" s="188"/>
      <c r="BXP101" s="187"/>
      <c r="BXV101" s="188"/>
      <c r="BXW101" s="187"/>
      <c r="BYC101" s="188"/>
      <c r="BYD101" s="187"/>
      <c r="BYJ101" s="188"/>
      <c r="BYK101" s="190"/>
      <c r="BYL101" s="189"/>
      <c r="BYQ101" s="188"/>
      <c r="BYR101" s="187"/>
      <c r="BYX101" s="188"/>
      <c r="BYY101" s="187"/>
      <c r="BZE101" s="188"/>
      <c r="BZF101" s="187"/>
      <c r="BZL101" s="188"/>
      <c r="BZM101" s="187"/>
      <c r="BZP101" s="168"/>
      <c r="BZQ101" s="189"/>
      <c r="BZS101" s="188"/>
      <c r="BZT101" s="187"/>
      <c r="BZZ101" s="188"/>
      <c r="CAA101" s="187"/>
      <c r="CAG101" s="188"/>
      <c r="CAH101" s="187"/>
      <c r="CAN101" s="188"/>
      <c r="CAO101" s="187"/>
      <c r="CAU101" s="168"/>
      <c r="CAV101" s="189"/>
      <c r="CBB101" s="188"/>
      <c r="CBC101" s="187"/>
      <c r="CBI101" s="188"/>
      <c r="CBJ101" s="187"/>
      <c r="CBP101" s="188"/>
      <c r="CBQ101" s="187"/>
      <c r="CBW101" s="188"/>
      <c r="CBX101" s="187"/>
      <c r="CBY101" s="168"/>
      <c r="CBZ101" s="189"/>
      <c r="CCD101" s="188"/>
      <c r="CCE101" s="187"/>
      <c r="CCK101" s="188"/>
      <c r="CCL101" s="187"/>
      <c r="CCR101" s="188"/>
      <c r="CCS101" s="187"/>
      <c r="CCY101" s="188"/>
      <c r="CCZ101" s="187"/>
      <c r="CDD101" s="168"/>
      <c r="CDE101" s="189"/>
      <c r="CDF101" s="188"/>
      <c r="CDG101" s="187"/>
      <c r="CDM101" s="188"/>
      <c r="CDN101" s="187"/>
      <c r="CDT101" s="188"/>
      <c r="CDU101" s="187"/>
      <c r="CEA101" s="188"/>
      <c r="CEB101" s="187"/>
      <c r="CEH101" s="168"/>
      <c r="CEI101" s="189"/>
      <c r="CEO101" s="188"/>
      <c r="CEP101" s="187"/>
      <c r="CEV101" s="188"/>
      <c r="CEW101" s="187"/>
      <c r="CFC101" s="188"/>
      <c r="CFD101" s="187"/>
      <c r="CFJ101" s="188"/>
      <c r="CFK101" s="187"/>
    </row>
    <row r="102" spans="1:1019 1025:2048 2054:2195">
      <c r="A102" s="164" t="s">
        <v>381</v>
      </c>
      <c r="C102" s="164" t="s">
        <v>382</v>
      </c>
      <c r="D102" s="186"/>
      <c r="E102" s="186"/>
      <c r="K102" s="187"/>
      <c r="Q102" s="188"/>
      <c r="R102" s="187"/>
      <c r="X102" s="188"/>
      <c r="Y102" s="187"/>
      <c r="AE102" s="188"/>
      <c r="AF102" s="187"/>
      <c r="AJ102" s="168"/>
      <c r="AK102" s="189"/>
      <c r="AL102" s="188"/>
      <c r="AM102" s="187"/>
      <c r="AS102" s="188"/>
      <c r="AT102" s="187"/>
      <c r="AZ102" s="188"/>
      <c r="BA102" s="187"/>
      <c r="BG102" s="188"/>
      <c r="BH102" s="187"/>
      <c r="BL102" s="168"/>
      <c r="BM102" s="189"/>
      <c r="BN102" s="188"/>
      <c r="BO102" s="187"/>
      <c r="BU102" s="188"/>
      <c r="BV102" s="187"/>
      <c r="CB102" s="188"/>
      <c r="CC102" s="187"/>
      <c r="CI102" s="188"/>
      <c r="CJ102" s="187"/>
      <c r="CP102" s="188"/>
      <c r="CQ102" s="190"/>
      <c r="CR102" s="189"/>
      <c r="CW102" s="188"/>
      <c r="CX102" s="187"/>
      <c r="DD102" s="188"/>
      <c r="DE102" s="187"/>
      <c r="DK102" s="188"/>
      <c r="DL102" s="187"/>
      <c r="DR102" s="188"/>
      <c r="DS102" s="187"/>
      <c r="DU102" s="168"/>
      <c r="DV102" s="189"/>
      <c r="DY102" s="188"/>
      <c r="DZ102" s="187"/>
      <c r="EF102" s="188"/>
      <c r="EG102" s="187"/>
      <c r="EM102" s="188"/>
      <c r="EN102" s="187"/>
      <c r="ET102" s="188"/>
      <c r="EU102" s="187"/>
      <c r="EZ102" s="168"/>
      <c r="FA102" s="191"/>
      <c r="FB102" s="187"/>
      <c r="FH102" s="188"/>
      <c r="FI102" s="187"/>
      <c r="FO102" s="188"/>
      <c r="FP102" s="187"/>
      <c r="FV102" s="188"/>
      <c r="FW102" s="187"/>
      <c r="GC102" s="188"/>
      <c r="GD102" s="190"/>
      <c r="GE102" s="189"/>
      <c r="GJ102" s="188"/>
      <c r="GK102" s="187"/>
      <c r="GQ102" s="188"/>
      <c r="GR102" s="187"/>
      <c r="GX102" s="188"/>
      <c r="GY102" s="187"/>
      <c r="HE102" s="188"/>
      <c r="HF102" s="187"/>
      <c r="HI102" s="168"/>
      <c r="HJ102" s="189"/>
      <c r="HL102" s="188"/>
      <c r="HM102" s="187"/>
      <c r="HS102" s="188"/>
      <c r="HT102" s="187"/>
      <c r="HZ102" s="188"/>
      <c r="IA102" s="187"/>
      <c r="IG102" s="188"/>
      <c r="IH102" s="187"/>
      <c r="IN102" s="168"/>
      <c r="IO102" s="189"/>
      <c r="IU102" s="188"/>
      <c r="IV102" s="187"/>
      <c r="JB102" s="188"/>
      <c r="JC102" s="187"/>
      <c r="JI102" s="188"/>
      <c r="JJ102" s="187"/>
      <c r="JP102" s="188"/>
      <c r="JQ102" s="187"/>
      <c r="JR102" s="168"/>
      <c r="JS102" s="189"/>
      <c r="JW102" s="188"/>
      <c r="JX102" s="187"/>
      <c r="KD102" s="188"/>
      <c r="KE102" s="187"/>
      <c r="KK102" s="188"/>
      <c r="KL102" s="187"/>
      <c r="KR102" s="188"/>
      <c r="KS102" s="187"/>
      <c r="KW102" s="168"/>
      <c r="KX102" s="189"/>
      <c r="KY102" s="188"/>
      <c r="KZ102" s="187"/>
      <c r="LF102" s="188"/>
      <c r="LG102" s="187"/>
      <c r="LM102" s="188"/>
      <c r="LN102" s="187"/>
      <c r="LT102" s="188"/>
      <c r="LU102" s="187"/>
      <c r="MA102" s="168"/>
      <c r="MB102" s="189"/>
      <c r="MH102" s="188"/>
      <c r="MI102" s="187"/>
      <c r="MO102" s="188"/>
      <c r="MP102" s="187"/>
      <c r="MV102" s="188"/>
      <c r="MW102" s="187"/>
      <c r="NC102" s="188"/>
      <c r="ND102" s="187"/>
      <c r="NF102" s="168"/>
      <c r="NG102" s="189"/>
      <c r="NJ102" s="188"/>
      <c r="NK102" s="187"/>
      <c r="NQ102" s="188"/>
      <c r="NR102" s="187"/>
      <c r="NX102" s="188"/>
      <c r="NY102" s="187"/>
      <c r="OE102" s="188"/>
      <c r="OF102" s="187"/>
      <c r="OK102" s="168"/>
      <c r="OL102" s="191"/>
      <c r="OM102" s="187"/>
      <c r="OS102" s="188"/>
      <c r="OT102" s="187"/>
      <c r="OZ102" s="188"/>
      <c r="PA102" s="187"/>
      <c r="PG102" s="188"/>
      <c r="PH102" s="187"/>
      <c r="PN102" s="168"/>
      <c r="PO102" s="189"/>
      <c r="PU102" s="188"/>
      <c r="PV102" s="187"/>
      <c r="QB102" s="188"/>
      <c r="QC102" s="187"/>
      <c r="QI102" s="188"/>
      <c r="QJ102" s="187"/>
      <c r="QP102" s="188"/>
      <c r="QQ102" s="187"/>
      <c r="QS102" s="168"/>
      <c r="QT102" s="189"/>
      <c r="QW102" s="188"/>
      <c r="QX102" s="187"/>
      <c r="RD102" s="188"/>
      <c r="RE102" s="187"/>
      <c r="RK102" s="188"/>
      <c r="RL102" s="187"/>
      <c r="RR102" s="188"/>
      <c r="RS102" s="187"/>
      <c r="RW102" s="168"/>
      <c r="RX102" s="189"/>
      <c r="RY102" s="188"/>
      <c r="RZ102" s="187"/>
      <c r="SF102" s="188"/>
      <c r="SG102" s="187"/>
      <c r="SM102" s="188"/>
      <c r="SN102" s="187"/>
      <c r="ST102" s="188"/>
      <c r="SU102" s="187"/>
      <c r="TA102" s="188"/>
      <c r="TB102" s="190"/>
      <c r="TC102" s="189"/>
      <c r="TH102" s="188"/>
      <c r="TI102" s="187"/>
      <c r="TO102" s="188"/>
      <c r="TP102" s="187"/>
      <c r="TV102" s="188"/>
      <c r="TW102" s="187"/>
      <c r="UC102" s="188"/>
      <c r="UD102" s="187"/>
      <c r="UF102" s="168"/>
      <c r="UG102" s="189"/>
      <c r="UJ102" s="188"/>
      <c r="UK102" s="187"/>
      <c r="UQ102" s="188"/>
      <c r="UR102" s="187"/>
      <c r="UX102" s="188"/>
      <c r="UY102" s="187"/>
      <c r="VE102" s="188"/>
      <c r="VF102" s="187"/>
      <c r="VK102" s="168"/>
      <c r="VL102" s="191"/>
      <c r="VM102" s="187"/>
      <c r="VS102" s="188"/>
      <c r="VT102" s="187"/>
      <c r="VZ102" s="188"/>
      <c r="WA102" s="187"/>
      <c r="WG102" s="188"/>
      <c r="WH102" s="187"/>
      <c r="WN102" s="188"/>
      <c r="WO102" s="187"/>
      <c r="WP102" s="168"/>
      <c r="WQ102" s="189"/>
      <c r="WU102" s="188"/>
      <c r="WV102" s="187"/>
      <c r="XB102" s="188"/>
      <c r="XC102" s="187"/>
      <c r="XI102" s="188"/>
      <c r="XJ102" s="187"/>
      <c r="XP102" s="188"/>
      <c r="XQ102" s="187"/>
      <c r="XT102" s="168"/>
      <c r="XU102" s="189"/>
      <c r="XW102" s="188"/>
      <c r="XX102" s="187"/>
      <c r="YD102" s="188"/>
      <c r="YE102" s="187"/>
      <c r="YK102" s="188"/>
      <c r="YL102" s="187"/>
      <c r="YR102" s="188"/>
      <c r="YS102" s="187"/>
      <c r="YY102" s="168"/>
      <c r="YZ102" s="189"/>
      <c r="ZF102" s="188"/>
      <c r="ZG102" s="187"/>
      <c r="ZM102" s="188"/>
      <c r="ZN102" s="187"/>
      <c r="ZT102" s="188"/>
      <c r="ZU102" s="187"/>
      <c r="AAA102" s="188"/>
      <c r="AAB102" s="187"/>
      <c r="AAC102" s="168"/>
      <c r="AAD102" s="189"/>
      <c r="AAH102" s="188"/>
      <c r="AAI102" s="187"/>
      <c r="AAO102" s="188"/>
      <c r="AAP102" s="187"/>
      <c r="AAV102" s="188"/>
      <c r="AAW102" s="187"/>
      <c r="ABC102" s="188"/>
      <c r="ABD102" s="187"/>
      <c r="ABH102" s="168"/>
      <c r="ABI102" s="189"/>
      <c r="ABJ102" s="188"/>
      <c r="ABK102" s="187"/>
      <c r="ABQ102" s="188"/>
      <c r="ABR102" s="187"/>
      <c r="ABX102" s="188"/>
      <c r="ABY102" s="187"/>
      <c r="ACE102" s="188"/>
      <c r="ACF102" s="187"/>
      <c r="ACL102" s="188"/>
      <c r="ACM102" s="190"/>
      <c r="ACN102" s="189"/>
      <c r="ACS102" s="188"/>
      <c r="ACT102" s="187"/>
      <c r="ACZ102" s="188"/>
      <c r="ADA102" s="187"/>
      <c r="ADG102" s="188"/>
      <c r="ADH102" s="187"/>
      <c r="ADN102" s="188"/>
      <c r="ADO102" s="190"/>
      <c r="ADP102" s="189"/>
      <c r="ADU102" s="188"/>
      <c r="ADV102" s="187"/>
      <c r="AEB102" s="188"/>
      <c r="AEC102" s="187"/>
      <c r="AEI102" s="188"/>
      <c r="AEJ102" s="187"/>
      <c r="AEP102" s="188"/>
      <c r="AEQ102" s="187"/>
      <c r="AET102" s="168"/>
      <c r="AEU102" s="189"/>
      <c r="AEW102" s="188"/>
      <c r="AEX102" s="187"/>
      <c r="AFD102" s="188"/>
      <c r="AFE102" s="187"/>
      <c r="AFK102" s="188"/>
      <c r="AFL102" s="187"/>
      <c r="AFR102" s="188"/>
      <c r="AFS102" s="187"/>
      <c r="AFX102" s="168"/>
      <c r="AFY102" s="191"/>
      <c r="AFZ102" s="187"/>
      <c r="AGF102" s="188"/>
      <c r="AGG102" s="187"/>
      <c r="AGM102" s="188"/>
      <c r="AGN102" s="187"/>
      <c r="AGT102" s="188"/>
      <c r="AGU102" s="187"/>
      <c r="AHA102" s="188"/>
      <c r="AHB102" s="187"/>
      <c r="AHC102" s="168"/>
      <c r="AHD102" s="189"/>
      <c r="AHH102" s="188"/>
      <c r="AHI102" s="187"/>
      <c r="AHO102" s="188"/>
      <c r="AHP102" s="187"/>
      <c r="AHV102" s="188"/>
      <c r="AHW102" s="187"/>
      <c r="AIC102" s="188"/>
      <c r="AID102" s="187"/>
      <c r="AIG102" s="168"/>
      <c r="AIH102" s="189"/>
      <c r="AIJ102" s="188"/>
      <c r="AIK102" s="187"/>
      <c r="AIQ102" s="188"/>
      <c r="AIR102" s="187"/>
      <c r="AIX102" s="188"/>
      <c r="AIY102" s="187"/>
      <c r="AJE102" s="188"/>
      <c r="AJF102" s="187"/>
      <c r="AJL102" s="168"/>
      <c r="AJM102" s="189"/>
      <c r="AJS102" s="188"/>
      <c r="AJT102" s="187"/>
      <c r="AJZ102" s="188"/>
      <c r="AKA102" s="187"/>
      <c r="AKG102" s="188"/>
      <c r="AKH102" s="187"/>
      <c r="AKN102" s="188"/>
      <c r="AKO102" s="187"/>
      <c r="AKQ102" s="168"/>
      <c r="AKR102" s="189"/>
      <c r="AKU102" s="188"/>
      <c r="AKV102" s="187"/>
      <c r="ALB102" s="188"/>
      <c r="ALC102" s="187"/>
      <c r="ALI102" s="188"/>
      <c r="ALJ102" s="187"/>
      <c r="ALP102" s="188"/>
      <c r="ALQ102" s="187"/>
      <c r="ALU102" s="168"/>
      <c r="ALV102" s="189"/>
      <c r="ALW102" s="188"/>
      <c r="ALX102" s="187"/>
      <c r="AMD102" s="188"/>
      <c r="AME102" s="187"/>
      <c r="AMK102" s="188"/>
      <c r="AML102" s="187"/>
      <c r="AMR102" s="188"/>
      <c r="AMS102" s="187"/>
      <c r="AMY102" s="188"/>
      <c r="AMZ102" s="190"/>
      <c r="ANA102" s="189"/>
      <c r="ANF102" s="188"/>
      <c r="ANG102" s="187"/>
      <c r="ANM102" s="188"/>
      <c r="ANN102" s="187"/>
      <c r="ANT102" s="188"/>
      <c r="ANU102" s="187"/>
      <c r="AOA102" s="188"/>
      <c r="AOB102" s="187"/>
      <c r="AOD102" s="168"/>
      <c r="AOE102" s="189"/>
      <c r="AOH102" s="188"/>
      <c r="AOI102" s="187"/>
      <c r="AOO102" s="188"/>
      <c r="AOP102" s="187"/>
      <c r="AOV102" s="188"/>
      <c r="AOW102" s="187"/>
      <c r="APC102" s="188"/>
      <c r="APD102" s="187"/>
      <c r="API102" s="168"/>
      <c r="APJ102" s="191"/>
      <c r="APK102" s="187"/>
      <c r="APQ102" s="188"/>
      <c r="APR102" s="187"/>
      <c r="APX102" s="188"/>
      <c r="APY102" s="187"/>
      <c r="AQE102" s="188"/>
      <c r="AQF102" s="187"/>
      <c r="AQL102" s="188"/>
      <c r="AQM102" s="187"/>
      <c r="AQN102" s="168"/>
      <c r="AQO102" s="189"/>
      <c r="AQS102" s="188"/>
      <c r="AQT102" s="187"/>
      <c r="AQZ102" s="188"/>
      <c r="ARA102" s="187"/>
      <c r="ARG102" s="188"/>
      <c r="ARH102" s="187"/>
      <c r="ARN102" s="188"/>
      <c r="ARO102" s="187"/>
      <c r="ARP102" s="168"/>
      <c r="ARQ102" s="189"/>
      <c r="ARU102" s="188"/>
      <c r="ARV102" s="187"/>
      <c r="ASB102" s="188"/>
      <c r="ASC102" s="187"/>
      <c r="ASI102" s="188"/>
      <c r="ASJ102" s="187"/>
      <c r="ASP102" s="188"/>
      <c r="ASQ102" s="187"/>
      <c r="ASU102" s="168"/>
      <c r="ASV102" s="189"/>
      <c r="ASW102" s="188"/>
      <c r="ASX102" s="187"/>
      <c r="ATD102" s="188"/>
      <c r="ATE102" s="187"/>
      <c r="ATK102" s="188"/>
      <c r="ATL102" s="187"/>
      <c r="ATR102" s="188"/>
      <c r="ATS102" s="187"/>
      <c r="ATY102" s="168"/>
      <c r="ATZ102" s="189"/>
      <c r="AUF102" s="188"/>
      <c r="AUG102" s="187"/>
      <c r="AUM102" s="188"/>
      <c r="AUN102" s="187"/>
      <c r="AUT102" s="188"/>
      <c r="AUU102" s="187"/>
      <c r="AVA102" s="188"/>
      <c r="AVB102" s="187"/>
      <c r="AVD102" s="168"/>
      <c r="AVE102" s="189"/>
      <c r="AVH102" s="188"/>
      <c r="AVI102" s="187"/>
      <c r="AVO102" s="188"/>
      <c r="AVP102" s="187"/>
      <c r="AVV102" s="188"/>
      <c r="AVW102" s="187"/>
      <c r="AWC102" s="188"/>
      <c r="AWD102" s="187"/>
      <c r="AWH102" s="168"/>
      <c r="AWI102" s="189"/>
      <c r="AWJ102" s="188"/>
      <c r="AWK102" s="187"/>
      <c r="AWQ102" s="188"/>
      <c r="AWR102" s="187"/>
      <c r="AWX102" s="188"/>
      <c r="AWY102" s="187"/>
      <c r="AXE102" s="188"/>
      <c r="AXF102" s="187"/>
      <c r="AXL102" s="188"/>
      <c r="AXM102" s="190"/>
      <c r="AXN102" s="189"/>
      <c r="AXS102" s="188"/>
      <c r="AXT102" s="187"/>
      <c r="AXZ102" s="188"/>
      <c r="AYA102" s="187"/>
      <c r="AYG102" s="188"/>
      <c r="AYH102" s="187"/>
      <c r="AYN102" s="188"/>
      <c r="AYO102" s="187"/>
      <c r="AYR102" s="168"/>
      <c r="AYS102" s="189"/>
      <c r="AYU102" s="188"/>
      <c r="AYV102" s="187"/>
      <c r="AZB102" s="188"/>
      <c r="AZC102" s="187"/>
      <c r="AZI102" s="188"/>
      <c r="AZJ102" s="187"/>
      <c r="AZP102" s="188"/>
      <c r="AZQ102" s="187"/>
      <c r="AZV102" s="168"/>
      <c r="AZW102" s="191"/>
      <c r="AZX102" s="187"/>
      <c r="BAD102" s="188"/>
      <c r="BAE102" s="187"/>
      <c r="BAK102" s="188"/>
      <c r="BAL102" s="187"/>
      <c r="BAR102" s="188"/>
      <c r="BAS102" s="187"/>
      <c r="BAY102" s="188"/>
      <c r="BAZ102" s="187"/>
      <c r="BBA102" s="168"/>
      <c r="BBB102" s="189"/>
      <c r="BBF102" s="188"/>
      <c r="BBG102" s="187"/>
      <c r="BBM102" s="188"/>
      <c r="BBN102" s="187"/>
      <c r="BBT102" s="188"/>
      <c r="BBU102" s="187"/>
      <c r="BCA102" s="188"/>
      <c r="BCB102" s="187"/>
      <c r="BCE102" s="168"/>
      <c r="BCF102" s="189"/>
      <c r="BCH102" s="188"/>
      <c r="BCI102" s="187"/>
      <c r="BCO102" s="188"/>
      <c r="BCP102" s="187"/>
      <c r="BCV102" s="188"/>
      <c r="BCW102" s="187"/>
      <c r="BDC102" s="188"/>
      <c r="BDD102" s="187"/>
      <c r="BDJ102" s="168"/>
      <c r="BDK102" s="189"/>
      <c r="BDQ102" s="188"/>
      <c r="BDR102" s="187"/>
      <c r="BDX102" s="188"/>
      <c r="BDY102" s="187"/>
      <c r="BEE102" s="188"/>
      <c r="BEF102" s="187"/>
      <c r="BEL102" s="188"/>
      <c r="BEM102" s="187"/>
      <c r="BEO102" s="168"/>
      <c r="BEP102" s="189"/>
      <c r="BES102" s="188"/>
      <c r="BET102" s="187"/>
      <c r="BEZ102" s="188"/>
      <c r="BFA102" s="187"/>
      <c r="BFG102" s="188"/>
      <c r="BFH102" s="187"/>
      <c r="BFN102" s="188"/>
      <c r="BFO102" s="187"/>
      <c r="BFQ102" s="168"/>
      <c r="BFR102" s="189"/>
      <c r="BFU102" s="188"/>
      <c r="BFV102" s="187"/>
      <c r="BGB102" s="188"/>
      <c r="BGC102" s="187"/>
      <c r="BGI102" s="188"/>
      <c r="BGJ102" s="187"/>
      <c r="BGP102" s="188"/>
      <c r="BGQ102" s="187"/>
      <c r="BGV102" s="168"/>
      <c r="BGW102" s="191"/>
      <c r="BGX102" s="187"/>
      <c r="BHD102" s="188"/>
      <c r="BHE102" s="187"/>
      <c r="BHK102" s="188"/>
      <c r="BHL102" s="187"/>
      <c r="BHR102" s="188"/>
      <c r="BHS102" s="187"/>
      <c r="BHY102" s="188"/>
      <c r="BHZ102" s="190"/>
      <c r="BIA102" s="189"/>
      <c r="BIF102" s="188"/>
      <c r="BIG102" s="187"/>
      <c r="BIM102" s="188"/>
      <c r="BIN102" s="187"/>
      <c r="BIT102" s="188"/>
      <c r="BIU102" s="187"/>
      <c r="BJA102" s="188"/>
      <c r="BJB102" s="187"/>
      <c r="BJE102" s="168"/>
      <c r="BJF102" s="189"/>
      <c r="BJH102" s="188"/>
      <c r="BJI102" s="187"/>
      <c r="BJO102" s="188"/>
      <c r="BJP102" s="187"/>
      <c r="BJV102" s="188"/>
      <c r="BJW102" s="187"/>
      <c r="BKC102" s="188"/>
      <c r="BKD102" s="187"/>
      <c r="BKI102" s="168"/>
      <c r="BKJ102" s="191"/>
      <c r="BKK102" s="187"/>
      <c r="BKQ102" s="188"/>
      <c r="BKR102" s="187"/>
      <c r="BKX102" s="188"/>
      <c r="BKY102" s="187"/>
      <c r="BLE102" s="188"/>
      <c r="BLF102" s="187"/>
      <c r="BLL102" s="188"/>
      <c r="BLM102" s="187"/>
      <c r="BLN102" s="168"/>
      <c r="BLO102" s="189"/>
      <c r="BLS102" s="188"/>
      <c r="BLT102" s="187"/>
      <c r="BLZ102" s="188"/>
      <c r="BMA102" s="187"/>
      <c r="BMG102" s="188"/>
      <c r="BMH102" s="187"/>
      <c r="BMN102" s="188"/>
      <c r="BMO102" s="187"/>
      <c r="BMS102" s="168"/>
      <c r="BMT102" s="189"/>
      <c r="BMU102" s="188"/>
      <c r="BMV102" s="187"/>
      <c r="BNB102" s="188"/>
      <c r="BNC102" s="187"/>
      <c r="BNI102" s="188"/>
      <c r="BNJ102" s="187"/>
      <c r="BNP102" s="188"/>
      <c r="BNQ102" s="187"/>
      <c r="BNW102" s="168"/>
      <c r="BNX102" s="189"/>
      <c r="BOD102" s="188"/>
      <c r="BOE102" s="187"/>
      <c r="BOK102" s="188"/>
      <c r="BOL102" s="187"/>
      <c r="BOR102" s="188"/>
      <c r="BOS102" s="187"/>
      <c r="BOY102" s="188"/>
      <c r="BOZ102" s="187"/>
      <c r="BPB102" s="168"/>
      <c r="BPC102" s="189"/>
      <c r="BPF102" s="188"/>
      <c r="BPG102" s="187"/>
      <c r="BPM102" s="188"/>
      <c r="BPN102" s="187"/>
      <c r="BPT102" s="188"/>
      <c r="BPU102" s="187"/>
      <c r="BQA102" s="188"/>
      <c r="BQB102" s="187"/>
      <c r="BQF102" s="168"/>
      <c r="BQG102" s="189"/>
      <c r="BQH102" s="188"/>
      <c r="BQI102" s="187"/>
      <c r="BQO102" s="188"/>
      <c r="BQP102" s="187"/>
      <c r="BQV102" s="188"/>
      <c r="BQW102" s="187"/>
      <c r="BRC102" s="188"/>
      <c r="BRD102" s="187"/>
      <c r="BRJ102" s="188"/>
      <c r="BRK102" s="190"/>
      <c r="BRL102" s="189"/>
      <c r="BRQ102" s="188"/>
      <c r="BRR102" s="187"/>
      <c r="BRX102" s="188"/>
      <c r="BRY102" s="187"/>
      <c r="BSE102" s="188"/>
      <c r="BSF102" s="187"/>
      <c r="BSL102" s="188"/>
      <c r="BSM102" s="187"/>
      <c r="BSP102" s="168"/>
      <c r="BSQ102" s="189"/>
      <c r="BSS102" s="188"/>
      <c r="BST102" s="187"/>
      <c r="BSZ102" s="188"/>
      <c r="BTA102" s="187"/>
      <c r="BTG102" s="188"/>
      <c r="BTH102" s="187"/>
      <c r="BTN102" s="188"/>
      <c r="BTO102" s="187"/>
      <c r="BTS102" s="168"/>
      <c r="BTT102" s="189"/>
      <c r="BTU102" s="188"/>
      <c r="BTV102" s="187"/>
      <c r="BUB102" s="188"/>
      <c r="BUC102" s="187"/>
      <c r="BUI102" s="188"/>
      <c r="BUJ102" s="187"/>
      <c r="BUP102" s="188"/>
      <c r="BUQ102" s="187"/>
      <c r="BUW102" s="188"/>
      <c r="BUX102" s="190"/>
      <c r="BUY102" s="189"/>
      <c r="BVD102" s="188"/>
      <c r="BVE102" s="187"/>
      <c r="BVK102" s="188"/>
      <c r="BVL102" s="187"/>
      <c r="BVR102" s="188"/>
      <c r="BVS102" s="187"/>
      <c r="BVY102" s="188"/>
      <c r="BVZ102" s="187"/>
      <c r="BWB102" s="168"/>
      <c r="BWC102" s="189"/>
      <c r="BWF102" s="188"/>
      <c r="BWG102" s="187"/>
      <c r="BWM102" s="188"/>
      <c r="BWN102" s="187"/>
      <c r="BWT102" s="188"/>
      <c r="BWU102" s="187"/>
      <c r="BXA102" s="188"/>
      <c r="BXB102" s="187"/>
      <c r="BXG102" s="168"/>
      <c r="BXH102" s="191"/>
      <c r="BXI102" s="187"/>
      <c r="BXO102" s="188"/>
      <c r="BXP102" s="187"/>
      <c r="BXV102" s="188"/>
      <c r="BXW102" s="187"/>
      <c r="BYC102" s="188"/>
      <c r="BYD102" s="187"/>
      <c r="BYJ102" s="188"/>
      <c r="BYK102" s="190"/>
      <c r="BYL102" s="189"/>
      <c r="BYQ102" s="188"/>
      <c r="BYR102" s="187"/>
      <c r="BYX102" s="188"/>
      <c r="BYY102" s="187"/>
      <c r="BZE102" s="188"/>
      <c r="BZF102" s="187"/>
      <c r="BZL102" s="188"/>
      <c r="BZM102" s="187"/>
      <c r="BZP102" s="168"/>
      <c r="BZQ102" s="189"/>
      <c r="BZS102" s="188"/>
      <c r="BZT102" s="187"/>
      <c r="BZZ102" s="188"/>
      <c r="CAA102" s="187"/>
      <c r="CAG102" s="188"/>
      <c r="CAH102" s="187"/>
      <c r="CAN102" s="188"/>
      <c r="CAO102" s="187"/>
      <c r="CAU102" s="168"/>
      <c r="CAV102" s="189"/>
      <c r="CBB102" s="188"/>
      <c r="CBC102" s="187"/>
      <c r="CBI102" s="188"/>
      <c r="CBJ102" s="187"/>
      <c r="CBP102" s="188"/>
      <c r="CBQ102" s="187"/>
      <c r="CBW102" s="188"/>
      <c r="CBX102" s="187"/>
      <c r="CBY102" s="168"/>
      <c r="CBZ102" s="189"/>
      <c r="CCD102" s="188"/>
      <c r="CCE102" s="187"/>
      <c r="CCK102" s="188"/>
      <c r="CCL102" s="187"/>
      <c r="CCR102" s="188"/>
      <c r="CCS102" s="187"/>
      <c r="CCY102" s="188"/>
      <c r="CCZ102" s="187"/>
      <c r="CDD102" s="168"/>
      <c r="CDE102" s="189"/>
      <c r="CDF102" s="188"/>
      <c r="CDG102" s="187"/>
      <c r="CDM102" s="188"/>
      <c r="CDN102" s="187"/>
      <c r="CDT102" s="188"/>
      <c r="CDU102" s="187"/>
      <c r="CEA102" s="188"/>
      <c r="CEB102" s="187"/>
      <c r="CEH102" s="168"/>
      <c r="CEI102" s="189"/>
      <c r="CEO102" s="188"/>
      <c r="CEP102" s="187"/>
      <c r="CEV102" s="188"/>
      <c r="CEW102" s="187"/>
      <c r="CFC102" s="188"/>
      <c r="CFD102" s="187"/>
      <c r="CFJ102" s="188"/>
      <c r="CFK102" s="187"/>
    </row>
    <row r="103" spans="1:1019 1025:2048 2054:2195">
      <c r="A103" s="164" t="s">
        <v>383</v>
      </c>
      <c r="C103" s="164" t="s">
        <v>384</v>
      </c>
      <c r="D103" s="186"/>
      <c r="E103" s="186"/>
      <c r="K103" s="187"/>
      <c r="Q103" s="188"/>
      <c r="R103" s="187"/>
      <c r="X103" s="188"/>
      <c r="Y103" s="187"/>
      <c r="AE103" s="188"/>
      <c r="AF103" s="187"/>
      <c r="AJ103" s="168"/>
      <c r="AK103" s="189"/>
      <c r="AL103" s="188"/>
      <c r="AM103" s="187"/>
      <c r="AS103" s="188"/>
      <c r="AT103" s="187"/>
      <c r="AZ103" s="188"/>
      <c r="BA103" s="187"/>
      <c r="BG103" s="188"/>
      <c r="BH103" s="187"/>
      <c r="BL103" s="168"/>
      <c r="BM103" s="189"/>
      <c r="BN103" s="188"/>
      <c r="BO103" s="187"/>
      <c r="BU103" s="188"/>
      <c r="BV103" s="187"/>
      <c r="CB103" s="188"/>
      <c r="CC103" s="187"/>
      <c r="CI103" s="188"/>
      <c r="CJ103" s="187"/>
      <c r="CP103" s="188"/>
      <c r="CQ103" s="190"/>
      <c r="CR103" s="189"/>
      <c r="CW103" s="188"/>
      <c r="CX103" s="187"/>
      <c r="DD103" s="188"/>
      <c r="DE103" s="187"/>
      <c r="DK103" s="188"/>
      <c r="DL103" s="187"/>
      <c r="DR103" s="188"/>
      <c r="DS103" s="187"/>
      <c r="DU103" s="168"/>
      <c r="DV103" s="189"/>
      <c r="DY103" s="188"/>
      <c r="DZ103" s="187"/>
      <c r="EF103" s="188"/>
      <c r="EG103" s="187"/>
      <c r="EM103" s="188"/>
      <c r="EN103" s="187"/>
      <c r="ET103" s="188"/>
      <c r="EU103" s="187"/>
      <c r="EZ103" s="168"/>
      <c r="FA103" s="191"/>
      <c r="FB103" s="187"/>
      <c r="FH103" s="188"/>
      <c r="FI103" s="187"/>
      <c r="FO103" s="188"/>
      <c r="FP103" s="187"/>
      <c r="FV103" s="188"/>
      <c r="FW103" s="187"/>
      <c r="GC103" s="188"/>
      <c r="GD103" s="190"/>
      <c r="GE103" s="189"/>
      <c r="GJ103" s="188"/>
      <c r="GK103" s="187"/>
      <c r="GQ103" s="188"/>
      <c r="GR103" s="187"/>
      <c r="GX103" s="188"/>
      <c r="GY103" s="187"/>
      <c r="HE103" s="188"/>
      <c r="HF103" s="187"/>
      <c r="HI103" s="168"/>
      <c r="HJ103" s="189"/>
      <c r="HL103" s="188"/>
      <c r="HM103" s="187"/>
      <c r="HS103" s="188"/>
      <c r="HT103" s="187"/>
      <c r="HZ103" s="188"/>
      <c r="IA103" s="187"/>
      <c r="IG103" s="188"/>
      <c r="IH103" s="187"/>
      <c r="IN103" s="168"/>
      <c r="IO103" s="189"/>
      <c r="IU103" s="188"/>
      <c r="IV103" s="187"/>
      <c r="JB103" s="188"/>
      <c r="JC103" s="187"/>
      <c r="JI103" s="188"/>
      <c r="JJ103" s="187"/>
      <c r="JP103" s="188"/>
      <c r="JQ103" s="187"/>
      <c r="JR103" s="168"/>
      <c r="JS103" s="189"/>
      <c r="JW103" s="188"/>
      <c r="JX103" s="187"/>
      <c r="KD103" s="188"/>
      <c r="KE103" s="187"/>
      <c r="KK103" s="188"/>
      <c r="KL103" s="187"/>
      <c r="KR103" s="188"/>
      <c r="KS103" s="187"/>
      <c r="KW103" s="168"/>
      <c r="KX103" s="189"/>
      <c r="KY103" s="188"/>
      <c r="KZ103" s="187"/>
      <c r="LF103" s="188"/>
      <c r="LG103" s="187"/>
      <c r="LM103" s="188"/>
      <c r="LN103" s="187"/>
      <c r="LT103" s="188"/>
      <c r="LU103" s="187"/>
      <c r="MA103" s="168"/>
      <c r="MB103" s="189"/>
      <c r="MH103" s="188"/>
      <c r="MI103" s="187"/>
      <c r="MO103" s="188"/>
      <c r="MP103" s="187"/>
      <c r="MV103" s="188"/>
      <c r="MW103" s="187"/>
      <c r="NC103" s="188"/>
      <c r="ND103" s="187"/>
      <c r="NF103" s="168"/>
      <c r="NG103" s="189"/>
      <c r="NJ103" s="188"/>
      <c r="NK103" s="187"/>
      <c r="NQ103" s="188"/>
      <c r="NR103" s="187"/>
      <c r="NX103" s="188"/>
      <c r="NY103" s="187"/>
      <c r="OE103" s="188"/>
      <c r="OF103" s="187"/>
      <c r="OK103" s="168"/>
      <c r="OL103" s="191"/>
      <c r="OM103" s="187"/>
      <c r="OS103" s="188"/>
      <c r="OT103" s="187"/>
      <c r="OZ103" s="188"/>
      <c r="PA103" s="187"/>
      <c r="PG103" s="188"/>
      <c r="PH103" s="187"/>
      <c r="PN103" s="168"/>
      <c r="PO103" s="189"/>
      <c r="PU103" s="188"/>
      <c r="PV103" s="187"/>
      <c r="QB103" s="188"/>
      <c r="QC103" s="187"/>
      <c r="QI103" s="188"/>
      <c r="QJ103" s="187"/>
      <c r="QP103" s="188"/>
      <c r="QQ103" s="187"/>
      <c r="QS103" s="168"/>
      <c r="QT103" s="189"/>
      <c r="QW103" s="188"/>
      <c r="QX103" s="187"/>
      <c r="RD103" s="188"/>
      <c r="RE103" s="187"/>
      <c r="RK103" s="188"/>
      <c r="RL103" s="187"/>
      <c r="RR103" s="188"/>
      <c r="RS103" s="187"/>
      <c r="RW103" s="168"/>
      <c r="RX103" s="189"/>
      <c r="RY103" s="188"/>
      <c r="RZ103" s="187"/>
      <c r="SF103" s="188"/>
      <c r="SG103" s="187"/>
      <c r="SM103" s="188"/>
      <c r="SN103" s="187"/>
      <c r="ST103" s="188"/>
      <c r="SU103" s="187"/>
      <c r="TA103" s="188"/>
      <c r="TB103" s="190"/>
      <c r="TC103" s="189"/>
      <c r="TH103" s="188"/>
      <c r="TI103" s="187"/>
      <c r="TO103" s="188"/>
      <c r="TP103" s="187"/>
      <c r="TV103" s="188"/>
      <c r="TW103" s="187"/>
      <c r="UC103" s="188"/>
      <c r="UD103" s="187"/>
      <c r="UF103" s="168"/>
      <c r="UG103" s="189"/>
      <c r="UJ103" s="188"/>
      <c r="UK103" s="187"/>
      <c r="UQ103" s="188"/>
      <c r="UR103" s="187"/>
      <c r="UX103" s="188"/>
      <c r="UY103" s="187"/>
      <c r="VE103" s="188"/>
      <c r="VF103" s="187"/>
      <c r="VK103" s="168"/>
      <c r="VL103" s="191"/>
      <c r="VM103" s="187"/>
      <c r="VS103" s="188"/>
      <c r="VT103" s="187"/>
      <c r="VZ103" s="188"/>
      <c r="WA103" s="187"/>
      <c r="WG103" s="188"/>
      <c r="WH103" s="187"/>
      <c r="WN103" s="188"/>
      <c r="WO103" s="187"/>
      <c r="WP103" s="168"/>
      <c r="WQ103" s="189"/>
      <c r="WU103" s="188"/>
      <c r="WV103" s="187"/>
      <c r="XB103" s="188"/>
      <c r="XC103" s="187"/>
      <c r="XI103" s="188"/>
      <c r="XJ103" s="187"/>
      <c r="XP103" s="188"/>
      <c r="XQ103" s="187"/>
      <c r="XT103" s="168"/>
      <c r="XU103" s="189"/>
      <c r="XW103" s="188"/>
      <c r="XX103" s="187"/>
      <c r="YD103" s="188"/>
      <c r="YE103" s="187"/>
      <c r="YK103" s="188"/>
      <c r="YL103" s="187"/>
      <c r="YR103" s="188"/>
      <c r="YS103" s="187"/>
      <c r="YY103" s="168"/>
      <c r="YZ103" s="189"/>
      <c r="ZF103" s="188"/>
      <c r="ZG103" s="187"/>
      <c r="ZM103" s="188"/>
      <c r="ZN103" s="187"/>
      <c r="ZT103" s="188"/>
      <c r="ZU103" s="187"/>
      <c r="AAA103" s="188"/>
      <c r="AAB103" s="187"/>
      <c r="AAC103" s="168"/>
      <c r="AAD103" s="189"/>
      <c r="AAH103" s="188"/>
      <c r="AAI103" s="187"/>
      <c r="AAO103" s="188"/>
      <c r="AAP103" s="187"/>
      <c r="AAV103" s="188"/>
      <c r="AAW103" s="187"/>
      <c r="ABC103" s="188"/>
      <c r="ABD103" s="187"/>
      <c r="ABH103" s="168"/>
      <c r="ABI103" s="189"/>
      <c r="ABJ103" s="188"/>
      <c r="ABK103" s="187"/>
      <c r="ABQ103" s="188"/>
      <c r="ABR103" s="187"/>
      <c r="ABX103" s="188"/>
      <c r="ABY103" s="187"/>
      <c r="ACE103" s="188"/>
      <c r="ACF103" s="187"/>
      <c r="ACL103" s="188"/>
      <c r="ACM103" s="190"/>
      <c r="ACN103" s="189"/>
      <c r="ACS103" s="188"/>
      <c r="ACT103" s="187"/>
      <c r="ACZ103" s="188"/>
      <c r="ADA103" s="187"/>
      <c r="ADG103" s="188"/>
      <c r="ADH103" s="187"/>
      <c r="ADN103" s="188"/>
      <c r="ADO103" s="190"/>
      <c r="ADP103" s="189"/>
      <c r="ADU103" s="188"/>
      <c r="ADV103" s="187"/>
      <c r="AEB103" s="188"/>
      <c r="AEC103" s="187"/>
      <c r="AEI103" s="188"/>
      <c r="AEJ103" s="187"/>
      <c r="AEP103" s="188"/>
      <c r="AEQ103" s="187"/>
      <c r="AET103" s="168"/>
      <c r="AEU103" s="189"/>
      <c r="AEW103" s="188"/>
      <c r="AEX103" s="187"/>
      <c r="AFD103" s="188"/>
      <c r="AFE103" s="187"/>
      <c r="AFK103" s="188"/>
      <c r="AFL103" s="187"/>
      <c r="AFR103" s="188"/>
      <c r="AFS103" s="187"/>
      <c r="AFX103" s="168"/>
      <c r="AFY103" s="191"/>
      <c r="AFZ103" s="187"/>
      <c r="AGF103" s="188"/>
      <c r="AGG103" s="187"/>
      <c r="AGM103" s="188"/>
      <c r="AGN103" s="187"/>
      <c r="AGT103" s="188"/>
      <c r="AGU103" s="187"/>
      <c r="AHA103" s="188"/>
      <c r="AHB103" s="187"/>
      <c r="AHC103" s="168"/>
      <c r="AHD103" s="189"/>
      <c r="AHH103" s="188"/>
      <c r="AHI103" s="187"/>
      <c r="AHO103" s="188"/>
      <c r="AHP103" s="187"/>
      <c r="AHV103" s="188"/>
      <c r="AHW103" s="187"/>
      <c r="AIC103" s="188"/>
      <c r="AID103" s="187"/>
      <c r="AIG103" s="168"/>
      <c r="AIH103" s="189"/>
      <c r="AIJ103" s="188"/>
      <c r="AIK103" s="187"/>
      <c r="AIQ103" s="188"/>
      <c r="AIR103" s="187"/>
      <c r="AIX103" s="188"/>
      <c r="AIY103" s="187"/>
      <c r="AJE103" s="188"/>
      <c r="AJF103" s="187"/>
      <c r="AJL103" s="168"/>
      <c r="AJM103" s="189"/>
      <c r="AJS103" s="188"/>
      <c r="AJT103" s="187"/>
      <c r="AJZ103" s="188"/>
      <c r="AKA103" s="187"/>
      <c r="AKG103" s="188"/>
      <c r="AKH103" s="187"/>
      <c r="AKN103" s="188"/>
      <c r="AKO103" s="187"/>
      <c r="AKQ103" s="168"/>
      <c r="AKR103" s="189"/>
      <c r="AKU103" s="188"/>
      <c r="AKV103" s="187"/>
      <c r="ALB103" s="188"/>
      <c r="ALC103" s="187"/>
      <c r="ALI103" s="188"/>
      <c r="ALJ103" s="187"/>
      <c r="ALP103" s="188"/>
      <c r="ALQ103" s="187"/>
      <c r="ALU103" s="168"/>
      <c r="ALV103" s="189"/>
      <c r="ALW103" s="188"/>
      <c r="ALX103" s="187"/>
      <c r="AMD103" s="188"/>
      <c r="AME103" s="187"/>
      <c r="AMK103" s="188"/>
      <c r="AML103" s="187"/>
      <c r="AMR103" s="188"/>
      <c r="AMS103" s="187"/>
      <c r="AMY103" s="188"/>
      <c r="AMZ103" s="190"/>
      <c r="ANA103" s="189"/>
      <c r="ANF103" s="188"/>
      <c r="ANG103" s="187"/>
      <c r="ANM103" s="188"/>
      <c r="ANN103" s="187"/>
      <c r="ANT103" s="188"/>
      <c r="ANU103" s="187"/>
      <c r="AOA103" s="188"/>
      <c r="AOB103" s="187"/>
      <c r="AOD103" s="168"/>
      <c r="AOE103" s="189"/>
      <c r="AOH103" s="188"/>
      <c r="AOI103" s="187"/>
      <c r="AOO103" s="188"/>
      <c r="AOP103" s="187"/>
      <c r="AOV103" s="188"/>
      <c r="AOW103" s="187"/>
      <c r="APC103" s="188"/>
      <c r="APD103" s="187"/>
      <c r="API103" s="168"/>
      <c r="APJ103" s="191"/>
      <c r="APK103" s="187"/>
      <c r="APQ103" s="188"/>
      <c r="APR103" s="187"/>
      <c r="APX103" s="188"/>
      <c r="APY103" s="187"/>
      <c r="AQE103" s="188"/>
      <c r="AQF103" s="187"/>
      <c r="AQL103" s="188"/>
      <c r="AQM103" s="187"/>
      <c r="AQN103" s="168"/>
      <c r="AQO103" s="189"/>
      <c r="AQS103" s="188"/>
      <c r="AQT103" s="187"/>
      <c r="AQZ103" s="188"/>
      <c r="ARA103" s="187"/>
      <c r="ARG103" s="188"/>
      <c r="ARH103" s="187"/>
      <c r="ARN103" s="188"/>
      <c r="ARO103" s="187"/>
      <c r="ARP103" s="168"/>
      <c r="ARQ103" s="189"/>
      <c r="ARU103" s="188"/>
      <c r="ARV103" s="187"/>
      <c r="ASB103" s="188"/>
      <c r="ASC103" s="187"/>
      <c r="ASI103" s="188"/>
      <c r="ASJ103" s="187"/>
      <c r="ASP103" s="188"/>
      <c r="ASQ103" s="187"/>
      <c r="ASU103" s="168"/>
      <c r="ASV103" s="189"/>
      <c r="ASW103" s="188"/>
      <c r="ASX103" s="187"/>
      <c r="ATD103" s="188"/>
      <c r="ATE103" s="187"/>
      <c r="ATK103" s="188"/>
      <c r="ATL103" s="187"/>
      <c r="ATR103" s="188"/>
      <c r="ATS103" s="187"/>
      <c r="ATY103" s="168"/>
      <c r="ATZ103" s="189"/>
      <c r="AUF103" s="188"/>
      <c r="AUG103" s="187"/>
      <c r="AUM103" s="188"/>
      <c r="AUN103" s="187"/>
      <c r="AUT103" s="188"/>
      <c r="AUU103" s="187"/>
      <c r="AVA103" s="188"/>
      <c r="AVB103" s="187"/>
      <c r="AVD103" s="168"/>
      <c r="AVE103" s="189"/>
      <c r="AVH103" s="188"/>
      <c r="AVI103" s="187"/>
      <c r="AVO103" s="188"/>
      <c r="AVP103" s="187"/>
      <c r="AVV103" s="188"/>
      <c r="AVW103" s="187"/>
      <c r="AWC103" s="188"/>
      <c r="AWD103" s="187"/>
      <c r="AWH103" s="168"/>
      <c r="AWI103" s="189"/>
      <c r="AWJ103" s="188"/>
      <c r="AWK103" s="187"/>
      <c r="AWQ103" s="188"/>
      <c r="AWR103" s="187"/>
      <c r="AWX103" s="188"/>
      <c r="AWY103" s="187"/>
      <c r="AXE103" s="188"/>
      <c r="AXF103" s="187"/>
      <c r="AXL103" s="188"/>
      <c r="AXM103" s="190"/>
      <c r="AXN103" s="189"/>
      <c r="AXS103" s="188"/>
      <c r="AXT103" s="187"/>
      <c r="AXZ103" s="188"/>
      <c r="AYA103" s="187"/>
      <c r="AYG103" s="188"/>
      <c r="AYH103" s="187"/>
      <c r="AYN103" s="188"/>
      <c r="AYO103" s="187"/>
      <c r="AYR103" s="168"/>
      <c r="AYS103" s="189"/>
      <c r="AYU103" s="188"/>
      <c r="AYV103" s="187"/>
      <c r="AZB103" s="188"/>
      <c r="AZC103" s="187"/>
      <c r="AZI103" s="188"/>
      <c r="AZJ103" s="187"/>
      <c r="AZP103" s="188"/>
      <c r="AZQ103" s="187"/>
      <c r="AZV103" s="168"/>
      <c r="AZW103" s="191"/>
      <c r="AZX103" s="187"/>
      <c r="BAD103" s="188"/>
      <c r="BAE103" s="187"/>
      <c r="BAK103" s="188"/>
      <c r="BAL103" s="187"/>
      <c r="BAR103" s="188"/>
      <c r="BAS103" s="187"/>
      <c r="BAY103" s="188"/>
      <c r="BAZ103" s="187"/>
      <c r="BBA103" s="168"/>
      <c r="BBB103" s="189"/>
      <c r="BBF103" s="188"/>
      <c r="BBG103" s="187"/>
      <c r="BBM103" s="188"/>
      <c r="BBN103" s="187"/>
      <c r="BBT103" s="188"/>
      <c r="BBU103" s="187"/>
      <c r="BCA103" s="188"/>
      <c r="BCB103" s="187"/>
      <c r="BCE103" s="168"/>
      <c r="BCF103" s="189"/>
      <c r="BCH103" s="188"/>
      <c r="BCI103" s="187"/>
      <c r="BCO103" s="188"/>
      <c r="BCP103" s="187"/>
      <c r="BCV103" s="188"/>
      <c r="BCW103" s="187"/>
      <c r="BDC103" s="188"/>
      <c r="BDD103" s="187"/>
      <c r="BDJ103" s="168"/>
      <c r="BDK103" s="189"/>
      <c r="BDQ103" s="188"/>
      <c r="BDR103" s="187"/>
      <c r="BDX103" s="188"/>
      <c r="BDY103" s="187"/>
      <c r="BEE103" s="188"/>
      <c r="BEF103" s="187"/>
      <c r="BEL103" s="188"/>
      <c r="BEM103" s="187"/>
      <c r="BEO103" s="168"/>
      <c r="BEP103" s="189"/>
      <c r="BES103" s="188"/>
      <c r="BET103" s="187"/>
      <c r="BEZ103" s="188"/>
      <c r="BFA103" s="187"/>
      <c r="BFG103" s="188"/>
      <c r="BFH103" s="187"/>
      <c r="BFN103" s="188"/>
      <c r="BFO103" s="187"/>
      <c r="BFQ103" s="168"/>
      <c r="BFR103" s="189"/>
      <c r="BFU103" s="188"/>
      <c r="BFV103" s="187"/>
      <c r="BGB103" s="188"/>
      <c r="BGC103" s="187"/>
      <c r="BGI103" s="188"/>
      <c r="BGJ103" s="187"/>
      <c r="BGP103" s="188"/>
      <c r="BGQ103" s="187"/>
      <c r="BGV103" s="168"/>
      <c r="BGW103" s="191"/>
      <c r="BGX103" s="187"/>
      <c r="BHD103" s="188"/>
      <c r="BHE103" s="187"/>
      <c r="BHK103" s="188"/>
      <c r="BHL103" s="187"/>
      <c r="BHR103" s="188"/>
      <c r="BHS103" s="187"/>
      <c r="BHY103" s="188"/>
      <c r="BHZ103" s="190"/>
      <c r="BIA103" s="189"/>
      <c r="BIF103" s="188"/>
      <c r="BIG103" s="187"/>
      <c r="BIM103" s="188"/>
      <c r="BIN103" s="187"/>
      <c r="BIT103" s="188"/>
      <c r="BIU103" s="187"/>
      <c r="BJA103" s="188"/>
      <c r="BJB103" s="187"/>
      <c r="BJE103" s="168"/>
      <c r="BJF103" s="189"/>
      <c r="BJH103" s="188"/>
      <c r="BJI103" s="187"/>
      <c r="BJO103" s="188"/>
      <c r="BJP103" s="187"/>
      <c r="BJV103" s="188"/>
      <c r="BJW103" s="187"/>
      <c r="BKC103" s="188"/>
      <c r="BKD103" s="187"/>
      <c r="BKI103" s="168"/>
      <c r="BKJ103" s="191"/>
      <c r="BKK103" s="187"/>
      <c r="BKQ103" s="188"/>
      <c r="BKR103" s="187"/>
      <c r="BKX103" s="188"/>
      <c r="BKY103" s="187"/>
      <c r="BLE103" s="188"/>
      <c r="BLF103" s="187"/>
      <c r="BLL103" s="188"/>
      <c r="BLM103" s="187"/>
      <c r="BLN103" s="168"/>
      <c r="BLO103" s="189"/>
      <c r="BLS103" s="188"/>
      <c r="BLT103" s="187"/>
      <c r="BLZ103" s="188"/>
      <c r="BMA103" s="187"/>
      <c r="BMG103" s="188"/>
      <c r="BMH103" s="187"/>
      <c r="BMN103" s="188"/>
      <c r="BMO103" s="187"/>
      <c r="BMS103" s="168"/>
      <c r="BMT103" s="189"/>
      <c r="BMU103" s="188"/>
      <c r="BMV103" s="187"/>
      <c r="BNB103" s="188"/>
      <c r="BNC103" s="187"/>
      <c r="BNI103" s="188"/>
      <c r="BNJ103" s="187"/>
      <c r="BNP103" s="188"/>
      <c r="BNQ103" s="187"/>
      <c r="BNW103" s="168"/>
      <c r="BNX103" s="189"/>
      <c r="BOD103" s="188"/>
      <c r="BOE103" s="187"/>
      <c r="BOK103" s="188"/>
      <c r="BOL103" s="187"/>
      <c r="BOR103" s="188"/>
      <c r="BOS103" s="187"/>
      <c r="BOY103" s="188"/>
      <c r="BOZ103" s="187"/>
      <c r="BPB103" s="168"/>
      <c r="BPC103" s="189"/>
      <c r="BPF103" s="188"/>
      <c r="BPG103" s="187"/>
      <c r="BPM103" s="188"/>
      <c r="BPN103" s="187"/>
      <c r="BPT103" s="188"/>
      <c r="BPU103" s="187"/>
      <c r="BQA103" s="188"/>
      <c r="BQB103" s="187"/>
      <c r="BQF103" s="168"/>
      <c r="BQG103" s="189"/>
      <c r="BQH103" s="188"/>
      <c r="BQI103" s="187"/>
      <c r="BQO103" s="188"/>
      <c r="BQP103" s="187"/>
      <c r="BQV103" s="188"/>
      <c r="BQW103" s="187"/>
      <c r="BRC103" s="188"/>
      <c r="BRD103" s="187"/>
      <c r="BRJ103" s="188"/>
      <c r="BRK103" s="190"/>
      <c r="BRL103" s="189"/>
      <c r="BRQ103" s="188"/>
      <c r="BRR103" s="187"/>
      <c r="BRX103" s="188"/>
      <c r="BRY103" s="187"/>
      <c r="BSE103" s="188"/>
      <c r="BSF103" s="187"/>
      <c r="BSL103" s="188"/>
      <c r="BSM103" s="187"/>
      <c r="BSP103" s="168"/>
      <c r="BSQ103" s="189"/>
      <c r="BSS103" s="188"/>
      <c r="BST103" s="187"/>
      <c r="BSZ103" s="188"/>
      <c r="BTA103" s="187"/>
      <c r="BTG103" s="188"/>
      <c r="BTH103" s="187"/>
      <c r="BTN103" s="188"/>
      <c r="BTO103" s="187"/>
      <c r="BTS103" s="168"/>
      <c r="BTT103" s="189"/>
      <c r="BTU103" s="188"/>
      <c r="BTV103" s="187"/>
      <c r="BUB103" s="188"/>
      <c r="BUC103" s="187"/>
      <c r="BUI103" s="188"/>
      <c r="BUJ103" s="187"/>
      <c r="BUP103" s="188"/>
      <c r="BUQ103" s="187"/>
      <c r="BUW103" s="188"/>
      <c r="BUX103" s="190"/>
      <c r="BUY103" s="189"/>
      <c r="BVD103" s="188"/>
      <c r="BVE103" s="187"/>
      <c r="BVK103" s="188"/>
      <c r="BVL103" s="187"/>
      <c r="BVR103" s="188"/>
      <c r="BVS103" s="187"/>
      <c r="BVY103" s="188"/>
      <c r="BVZ103" s="187"/>
      <c r="BWB103" s="168"/>
      <c r="BWC103" s="189"/>
      <c r="BWF103" s="188"/>
      <c r="BWG103" s="187"/>
      <c r="BWM103" s="188"/>
      <c r="BWN103" s="187"/>
      <c r="BWT103" s="188"/>
      <c r="BWU103" s="187"/>
      <c r="BXA103" s="188"/>
      <c r="BXB103" s="187"/>
      <c r="BXG103" s="168"/>
      <c r="BXH103" s="191"/>
      <c r="BXI103" s="187"/>
      <c r="BXO103" s="188"/>
      <c r="BXP103" s="187"/>
      <c r="BXV103" s="188"/>
      <c r="BXW103" s="187"/>
      <c r="BYC103" s="188"/>
      <c r="BYD103" s="187"/>
      <c r="BYJ103" s="188"/>
      <c r="BYK103" s="190"/>
      <c r="BYL103" s="189"/>
      <c r="BYQ103" s="188"/>
      <c r="BYR103" s="187"/>
      <c r="BYX103" s="188"/>
      <c r="BYY103" s="187"/>
      <c r="BZE103" s="188"/>
      <c r="BZF103" s="187"/>
      <c r="BZL103" s="188"/>
      <c r="BZM103" s="187"/>
      <c r="BZP103" s="168"/>
      <c r="BZQ103" s="189"/>
      <c r="BZS103" s="188"/>
      <c r="BZT103" s="187"/>
      <c r="BZZ103" s="188"/>
      <c r="CAA103" s="187"/>
      <c r="CAG103" s="188"/>
      <c r="CAH103" s="187"/>
      <c r="CAN103" s="188"/>
      <c r="CAO103" s="187"/>
      <c r="CAU103" s="168"/>
      <c r="CAV103" s="189"/>
      <c r="CBB103" s="188"/>
      <c r="CBC103" s="187"/>
      <c r="CBI103" s="188"/>
      <c r="CBJ103" s="187"/>
      <c r="CBP103" s="188"/>
      <c r="CBQ103" s="187"/>
      <c r="CBW103" s="188"/>
      <c r="CBX103" s="187"/>
      <c r="CBY103" s="168"/>
      <c r="CBZ103" s="189"/>
      <c r="CCD103" s="188"/>
      <c r="CCE103" s="187"/>
      <c r="CCK103" s="188"/>
      <c r="CCL103" s="187"/>
      <c r="CCR103" s="188"/>
      <c r="CCS103" s="187"/>
      <c r="CCY103" s="188"/>
      <c r="CCZ103" s="187"/>
      <c r="CDD103" s="168"/>
      <c r="CDE103" s="189"/>
      <c r="CDF103" s="188"/>
      <c r="CDG103" s="187"/>
      <c r="CDM103" s="188"/>
      <c r="CDN103" s="187"/>
      <c r="CDT103" s="188"/>
      <c r="CDU103" s="187"/>
      <c r="CEA103" s="188"/>
      <c r="CEB103" s="187"/>
      <c r="CEH103" s="168"/>
      <c r="CEI103" s="189"/>
      <c r="CEO103" s="188"/>
      <c r="CEP103" s="187"/>
      <c r="CEV103" s="188"/>
      <c r="CEW103" s="187"/>
      <c r="CFC103" s="188"/>
      <c r="CFD103" s="187"/>
      <c r="CFJ103" s="188"/>
      <c r="CFK103" s="187"/>
    </row>
    <row r="104" spans="1:1019 1025:2048 2054:2195">
      <c r="A104" s="164" t="s">
        <v>385</v>
      </c>
      <c r="C104" s="164" t="s">
        <v>386</v>
      </c>
      <c r="D104" s="186"/>
      <c r="E104" s="186"/>
      <c r="K104" s="187"/>
      <c r="Q104" s="188"/>
      <c r="R104" s="187"/>
      <c r="X104" s="188"/>
      <c r="Y104" s="187"/>
      <c r="AE104" s="188"/>
      <c r="AF104" s="187"/>
      <c r="AJ104" s="168"/>
      <c r="AK104" s="189"/>
      <c r="AL104" s="188"/>
      <c r="AM104" s="187"/>
      <c r="AS104" s="188"/>
      <c r="AT104" s="187"/>
      <c r="AZ104" s="188"/>
      <c r="BA104" s="187"/>
      <c r="BG104" s="188"/>
      <c r="BH104" s="187"/>
      <c r="BL104" s="168"/>
      <c r="BM104" s="189"/>
      <c r="BN104" s="188"/>
      <c r="BO104" s="187"/>
      <c r="BU104" s="188"/>
      <c r="BV104" s="187"/>
      <c r="CB104" s="188"/>
      <c r="CC104" s="187"/>
      <c r="CI104" s="188"/>
      <c r="CJ104" s="187"/>
      <c r="CP104" s="188"/>
      <c r="CQ104" s="190"/>
      <c r="CR104" s="189"/>
      <c r="CW104" s="188"/>
      <c r="CX104" s="187"/>
      <c r="DD104" s="188"/>
      <c r="DE104" s="187"/>
      <c r="DK104" s="188"/>
      <c r="DL104" s="187"/>
      <c r="DR104" s="188"/>
      <c r="DS104" s="187"/>
      <c r="DU104" s="168"/>
      <c r="DV104" s="189"/>
      <c r="DY104" s="188"/>
      <c r="DZ104" s="187"/>
      <c r="EF104" s="188"/>
      <c r="EG104" s="187"/>
      <c r="EM104" s="188"/>
      <c r="EN104" s="187"/>
      <c r="ET104" s="188"/>
      <c r="EU104" s="187"/>
      <c r="EZ104" s="168"/>
      <c r="FA104" s="191"/>
      <c r="FB104" s="187"/>
      <c r="FH104" s="188"/>
      <c r="FI104" s="187"/>
      <c r="FO104" s="188"/>
      <c r="FP104" s="187"/>
      <c r="FV104" s="188"/>
      <c r="FW104" s="187"/>
      <c r="GC104" s="188"/>
      <c r="GD104" s="190"/>
      <c r="GE104" s="189"/>
      <c r="GJ104" s="188"/>
      <c r="GK104" s="187"/>
      <c r="GQ104" s="188"/>
      <c r="GR104" s="187"/>
      <c r="GX104" s="188"/>
      <c r="GY104" s="187"/>
      <c r="HE104" s="188"/>
      <c r="HF104" s="187"/>
      <c r="HI104" s="168"/>
      <c r="HJ104" s="189"/>
      <c r="HL104" s="188"/>
      <c r="HM104" s="187"/>
      <c r="HS104" s="188"/>
      <c r="HT104" s="187"/>
      <c r="HZ104" s="188"/>
      <c r="IA104" s="187"/>
      <c r="IG104" s="188"/>
      <c r="IH104" s="187"/>
      <c r="IN104" s="168"/>
      <c r="IO104" s="189"/>
      <c r="IU104" s="188"/>
      <c r="IV104" s="187"/>
      <c r="JB104" s="188"/>
      <c r="JC104" s="187"/>
      <c r="JI104" s="188"/>
      <c r="JJ104" s="187"/>
      <c r="JP104" s="188"/>
      <c r="JQ104" s="187"/>
      <c r="JR104" s="168"/>
      <c r="JS104" s="189"/>
      <c r="JW104" s="188"/>
      <c r="JX104" s="187"/>
      <c r="KD104" s="188"/>
      <c r="KE104" s="187"/>
      <c r="KK104" s="188"/>
      <c r="KL104" s="187"/>
      <c r="KR104" s="188"/>
      <c r="KS104" s="187"/>
      <c r="KW104" s="168"/>
      <c r="KX104" s="189"/>
      <c r="KY104" s="188"/>
      <c r="KZ104" s="187"/>
      <c r="LF104" s="188"/>
      <c r="LG104" s="187"/>
      <c r="LM104" s="188"/>
      <c r="LN104" s="187"/>
      <c r="LT104" s="188"/>
      <c r="LU104" s="187"/>
      <c r="MA104" s="168"/>
      <c r="MB104" s="189"/>
      <c r="MH104" s="188"/>
      <c r="MI104" s="187"/>
      <c r="MO104" s="188"/>
      <c r="MP104" s="187"/>
      <c r="MV104" s="188"/>
      <c r="MW104" s="187"/>
      <c r="NC104" s="188"/>
      <c r="ND104" s="187"/>
      <c r="NF104" s="168"/>
      <c r="NG104" s="189"/>
      <c r="NJ104" s="188"/>
      <c r="NK104" s="187"/>
      <c r="NQ104" s="188"/>
      <c r="NR104" s="187"/>
      <c r="NX104" s="188"/>
      <c r="NY104" s="187"/>
      <c r="OE104" s="188"/>
      <c r="OF104" s="187"/>
      <c r="OK104" s="168"/>
      <c r="OL104" s="191"/>
      <c r="OM104" s="187"/>
      <c r="OS104" s="188"/>
      <c r="OT104" s="187"/>
      <c r="OZ104" s="188"/>
      <c r="PA104" s="187"/>
      <c r="PG104" s="188"/>
      <c r="PH104" s="187"/>
      <c r="PN104" s="168"/>
      <c r="PO104" s="189"/>
      <c r="PU104" s="188"/>
      <c r="PV104" s="187"/>
      <c r="QB104" s="188"/>
      <c r="QC104" s="187"/>
      <c r="QI104" s="188"/>
      <c r="QJ104" s="187"/>
      <c r="QP104" s="188"/>
      <c r="QQ104" s="187"/>
      <c r="QS104" s="168"/>
      <c r="QT104" s="189"/>
      <c r="QW104" s="188"/>
      <c r="QX104" s="187"/>
      <c r="RD104" s="188"/>
      <c r="RE104" s="187"/>
      <c r="RK104" s="188"/>
      <c r="RL104" s="187"/>
      <c r="RR104" s="188"/>
      <c r="RS104" s="187"/>
      <c r="RW104" s="168"/>
      <c r="RX104" s="189"/>
      <c r="RY104" s="188"/>
      <c r="RZ104" s="187"/>
      <c r="SF104" s="188"/>
      <c r="SG104" s="187"/>
      <c r="SM104" s="188"/>
      <c r="SN104" s="187"/>
      <c r="ST104" s="188"/>
      <c r="SU104" s="187"/>
      <c r="TA104" s="188"/>
      <c r="TB104" s="190"/>
      <c r="TC104" s="189"/>
      <c r="TH104" s="188"/>
      <c r="TI104" s="187"/>
      <c r="TO104" s="188"/>
      <c r="TP104" s="187"/>
      <c r="TV104" s="188"/>
      <c r="TW104" s="187"/>
      <c r="UC104" s="188"/>
      <c r="UD104" s="187"/>
      <c r="UF104" s="168"/>
      <c r="UG104" s="189"/>
      <c r="UJ104" s="188"/>
      <c r="UK104" s="187"/>
      <c r="UQ104" s="188"/>
      <c r="UR104" s="187"/>
      <c r="UX104" s="188"/>
      <c r="UY104" s="187"/>
      <c r="VE104" s="188"/>
      <c r="VF104" s="187"/>
      <c r="VK104" s="168"/>
      <c r="VL104" s="191"/>
      <c r="VM104" s="187"/>
      <c r="VS104" s="188"/>
      <c r="VT104" s="187"/>
      <c r="VZ104" s="188"/>
      <c r="WA104" s="187"/>
      <c r="WG104" s="188"/>
      <c r="WH104" s="187"/>
      <c r="WN104" s="188"/>
      <c r="WO104" s="187"/>
      <c r="WP104" s="168"/>
      <c r="WQ104" s="189"/>
      <c r="WU104" s="188"/>
      <c r="WV104" s="187"/>
      <c r="XB104" s="188"/>
      <c r="XC104" s="187"/>
      <c r="XI104" s="188"/>
      <c r="XJ104" s="187"/>
      <c r="XP104" s="188"/>
      <c r="XQ104" s="187"/>
      <c r="XT104" s="168"/>
      <c r="XU104" s="189"/>
      <c r="XW104" s="188"/>
      <c r="XX104" s="187"/>
      <c r="YD104" s="188"/>
      <c r="YE104" s="187"/>
      <c r="YK104" s="188"/>
      <c r="YL104" s="187"/>
      <c r="YR104" s="188"/>
      <c r="YS104" s="187"/>
      <c r="YY104" s="168"/>
      <c r="YZ104" s="189"/>
      <c r="ZF104" s="188"/>
      <c r="ZG104" s="187"/>
      <c r="ZM104" s="188"/>
      <c r="ZN104" s="187"/>
      <c r="ZT104" s="188"/>
      <c r="ZU104" s="187"/>
      <c r="AAA104" s="188"/>
      <c r="AAB104" s="187"/>
      <c r="AAC104" s="168"/>
      <c r="AAD104" s="189"/>
      <c r="AAH104" s="188"/>
      <c r="AAI104" s="187"/>
      <c r="AAO104" s="188"/>
      <c r="AAP104" s="187"/>
      <c r="AAV104" s="188"/>
      <c r="AAW104" s="187"/>
      <c r="ABC104" s="188"/>
      <c r="ABD104" s="187"/>
      <c r="ABH104" s="168"/>
      <c r="ABI104" s="189"/>
      <c r="ABJ104" s="188"/>
      <c r="ABK104" s="187"/>
      <c r="ABQ104" s="188"/>
      <c r="ABR104" s="187"/>
      <c r="ABX104" s="188"/>
      <c r="ABY104" s="187"/>
      <c r="ACE104" s="188"/>
      <c r="ACF104" s="187"/>
      <c r="ACL104" s="188"/>
      <c r="ACM104" s="190"/>
      <c r="ACN104" s="189"/>
      <c r="ACS104" s="188"/>
      <c r="ACT104" s="187"/>
      <c r="ACZ104" s="188"/>
      <c r="ADA104" s="187"/>
      <c r="ADG104" s="188"/>
      <c r="ADH104" s="187"/>
      <c r="ADN104" s="188"/>
      <c r="ADO104" s="190"/>
      <c r="ADP104" s="189"/>
      <c r="ADU104" s="188"/>
      <c r="ADV104" s="187"/>
      <c r="AEB104" s="188"/>
      <c r="AEC104" s="187"/>
      <c r="AEI104" s="188"/>
      <c r="AEJ104" s="187"/>
      <c r="AEP104" s="188"/>
      <c r="AEQ104" s="187"/>
      <c r="AET104" s="168"/>
      <c r="AEU104" s="189"/>
      <c r="AEW104" s="188"/>
      <c r="AEX104" s="187"/>
      <c r="AFD104" s="188"/>
      <c r="AFE104" s="187"/>
      <c r="AFK104" s="188"/>
      <c r="AFL104" s="187"/>
      <c r="AFR104" s="188"/>
      <c r="AFS104" s="187"/>
      <c r="AFX104" s="168"/>
      <c r="AFY104" s="191"/>
      <c r="AFZ104" s="187"/>
      <c r="AGF104" s="188"/>
      <c r="AGG104" s="187"/>
      <c r="AGM104" s="188"/>
      <c r="AGN104" s="187"/>
      <c r="AGT104" s="188"/>
      <c r="AGU104" s="187"/>
      <c r="AHA104" s="188"/>
      <c r="AHB104" s="187"/>
      <c r="AHC104" s="168"/>
      <c r="AHD104" s="189"/>
      <c r="AHH104" s="188"/>
      <c r="AHI104" s="187"/>
      <c r="AHO104" s="188"/>
      <c r="AHP104" s="187"/>
      <c r="AHV104" s="188"/>
      <c r="AHW104" s="187"/>
      <c r="AIC104" s="188"/>
      <c r="AID104" s="187"/>
      <c r="AIG104" s="168"/>
      <c r="AIH104" s="189"/>
      <c r="AIJ104" s="188"/>
      <c r="AIK104" s="187"/>
      <c r="AIQ104" s="188"/>
      <c r="AIR104" s="187"/>
      <c r="AIX104" s="188"/>
      <c r="AIY104" s="187"/>
      <c r="AJE104" s="188"/>
      <c r="AJF104" s="187"/>
      <c r="AJL104" s="168"/>
      <c r="AJM104" s="189"/>
      <c r="AJS104" s="188"/>
      <c r="AJT104" s="187"/>
      <c r="AJZ104" s="188"/>
      <c r="AKA104" s="187"/>
      <c r="AKG104" s="188"/>
      <c r="AKH104" s="187"/>
      <c r="AKN104" s="188"/>
      <c r="AKO104" s="187"/>
      <c r="AKQ104" s="168"/>
      <c r="AKR104" s="189"/>
      <c r="AKU104" s="188"/>
      <c r="AKV104" s="187"/>
      <c r="ALB104" s="188"/>
      <c r="ALC104" s="187"/>
      <c r="ALI104" s="188"/>
      <c r="ALJ104" s="187"/>
      <c r="ALP104" s="188"/>
      <c r="ALQ104" s="187"/>
      <c r="ALU104" s="168"/>
      <c r="ALV104" s="189"/>
      <c r="ALW104" s="188"/>
      <c r="ALX104" s="187"/>
      <c r="AMD104" s="188"/>
      <c r="AME104" s="187"/>
      <c r="AMK104" s="188"/>
      <c r="AML104" s="187"/>
      <c r="AMR104" s="188"/>
      <c r="AMS104" s="187"/>
      <c r="AMY104" s="188"/>
      <c r="AMZ104" s="190"/>
      <c r="ANA104" s="189"/>
      <c r="ANF104" s="188"/>
      <c r="ANG104" s="187"/>
      <c r="ANM104" s="188"/>
      <c r="ANN104" s="187"/>
      <c r="ANT104" s="188"/>
      <c r="ANU104" s="187"/>
      <c r="AOA104" s="188"/>
      <c r="AOB104" s="187"/>
      <c r="AOD104" s="168"/>
      <c r="AOE104" s="189"/>
      <c r="AOH104" s="188"/>
      <c r="AOI104" s="187"/>
      <c r="AOO104" s="188"/>
      <c r="AOP104" s="187"/>
      <c r="AOV104" s="188"/>
      <c r="AOW104" s="187"/>
      <c r="APC104" s="188"/>
      <c r="APD104" s="187"/>
      <c r="API104" s="168"/>
      <c r="APJ104" s="191"/>
      <c r="APK104" s="187"/>
      <c r="APQ104" s="188"/>
      <c r="APR104" s="187"/>
      <c r="APX104" s="188"/>
      <c r="APY104" s="187"/>
      <c r="AQE104" s="188"/>
      <c r="AQF104" s="187"/>
      <c r="AQL104" s="188"/>
      <c r="AQM104" s="187"/>
      <c r="AQN104" s="168"/>
      <c r="AQO104" s="189"/>
      <c r="AQS104" s="188"/>
      <c r="AQT104" s="187"/>
      <c r="AQZ104" s="188"/>
      <c r="ARA104" s="187"/>
      <c r="ARG104" s="188"/>
      <c r="ARH104" s="187"/>
      <c r="ARN104" s="188"/>
      <c r="ARO104" s="187"/>
      <c r="ARP104" s="168"/>
      <c r="ARQ104" s="189"/>
      <c r="ARU104" s="188"/>
      <c r="ARV104" s="187"/>
      <c r="ASB104" s="188"/>
      <c r="ASC104" s="187"/>
      <c r="ASI104" s="188"/>
      <c r="ASJ104" s="187"/>
      <c r="ASP104" s="188"/>
      <c r="ASQ104" s="187"/>
      <c r="ASU104" s="168"/>
      <c r="ASV104" s="189"/>
      <c r="ASW104" s="188"/>
      <c r="ASX104" s="187"/>
      <c r="ATD104" s="188"/>
      <c r="ATE104" s="187"/>
      <c r="ATK104" s="188"/>
      <c r="ATL104" s="187"/>
      <c r="ATR104" s="188"/>
      <c r="ATS104" s="187"/>
      <c r="ATY104" s="168"/>
      <c r="ATZ104" s="189"/>
      <c r="AUF104" s="188"/>
      <c r="AUG104" s="187"/>
      <c r="AUM104" s="188"/>
      <c r="AUN104" s="187"/>
      <c r="AUT104" s="188"/>
      <c r="AUU104" s="187"/>
      <c r="AVA104" s="188"/>
      <c r="AVB104" s="187"/>
      <c r="AVD104" s="168"/>
      <c r="AVE104" s="189"/>
      <c r="AVH104" s="188"/>
      <c r="AVI104" s="187"/>
      <c r="AVO104" s="188"/>
      <c r="AVP104" s="187"/>
      <c r="AVV104" s="188"/>
      <c r="AVW104" s="187"/>
      <c r="AWC104" s="188"/>
      <c r="AWD104" s="187"/>
      <c r="AWH104" s="168"/>
      <c r="AWI104" s="189"/>
      <c r="AWJ104" s="188"/>
      <c r="AWK104" s="187"/>
      <c r="AWQ104" s="188"/>
      <c r="AWR104" s="187"/>
      <c r="AWX104" s="188"/>
      <c r="AWY104" s="187"/>
      <c r="AXE104" s="188"/>
      <c r="AXF104" s="187"/>
      <c r="AXL104" s="188"/>
      <c r="AXM104" s="190"/>
      <c r="AXN104" s="189"/>
      <c r="AXS104" s="188"/>
      <c r="AXT104" s="187"/>
      <c r="AXZ104" s="188"/>
      <c r="AYA104" s="187"/>
      <c r="AYG104" s="188"/>
      <c r="AYH104" s="187"/>
      <c r="AYN104" s="188"/>
      <c r="AYO104" s="187"/>
      <c r="AYR104" s="168"/>
      <c r="AYS104" s="189"/>
      <c r="AYU104" s="188"/>
      <c r="AYV104" s="187"/>
      <c r="AZB104" s="188"/>
      <c r="AZC104" s="187"/>
      <c r="AZI104" s="188"/>
      <c r="AZJ104" s="187"/>
      <c r="AZP104" s="188"/>
      <c r="AZQ104" s="187"/>
      <c r="AZV104" s="168"/>
      <c r="AZW104" s="191"/>
      <c r="AZX104" s="187"/>
      <c r="BAD104" s="188"/>
      <c r="BAE104" s="187"/>
      <c r="BAK104" s="188"/>
      <c r="BAL104" s="187"/>
      <c r="BAR104" s="188"/>
      <c r="BAS104" s="187"/>
      <c r="BAY104" s="188"/>
      <c r="BAZ104" s="187"/>
      <c r="BBA104" s="168"/>
      <c r="BBB104" s="189"/>
      <c r="BBF104" s="188"/>
      <c r="BBG104" s="187"/>
      <c r="BBM104" s="188"/>
      <c r="BBN104" s="187"/>
      <c r="BBT104" s="188"/>
      <c r="BBU104" s="187"/>
      <c r="BCA104" s="188"/>
      <c r="BCB104" s="187"/>
      <c r="BCE104" s="168"/>
      <c r="BCF104" s="189"/>
      <c r="BCH104" s="188"/>
      <c r="BCI104" s="187"/>
      <c r="BCO104" s="188"/>
      <c r="BCP104" s="187"/>
      <c r="BCV104" s="188"/>
      <c r="BCW104" s="187"/>
      <c r="BDC104" s="188"/>
      <c r="BDD104" s="187"/>
      <c r="BDJ104" s="168"/>
      <c r="BDK104" s="189"/>
      <c r="BDQ104" s="188"/>
      <c r="BDR104" s="187"/>
      <c r="BDX104" s="188"/>
      <c r="BDY104" s="187"/>
      <c r="BEE104" s="188"/>
      <c r="BEF104" s="187"/>
      <c r="BEL104" s="188"/>
      <c r="BEM104" s="187"/>
      <c r="BEO104" s="168"/>
      <c r="BEP104" s="189"/>
      <c r="BES104" s="188"/>
      <c r="BET104" s="187"/>
      <c r="BEZ104" s="188"/>
      <c r="BFA104" s="187"/>
      <c r="BFG104" s="188"/>
      <c r="BFH104" s="187"/>
      <c r="BFN104" s="188"/>
      <c r="BFO104" s="187"/>
      <c r="BFQ104" s="168"/>
      <c r="BFR104" s="189"/>
      <c r="BFU104" s="188"/>
      <c r="BFV104" s="187"/>
      <c r="BGB104" s="188"/>
      <c r="BGC104" s="187"/>
      <c r="BGI104" s="188"/>
      <c r="BGJ104" s="187"/>
      <c r="BGP104" s="188"/>
      <c r="BGQ104" s="187"/>
      <c r="BGV104" s="168"/>
      <c r="BGW104" s="191"/>
      <c r="BGX104" s="187"/>
      <c r="BHD104" s="188"/>
      <c r="BHE104" s="187"/>
      <c r="BHK104" s="188"/>
      <c r="BHL104" s="187"/>
      <c r="BHR104" s="188"/>
      <c r="BHS104" s="187"/>
      <c r="BHY104" s="188"/>
      <c r="BHZ104" s="190"/>
      <c r="BIA104" s="189"/>
      <c r="BIF104" s="188"/>
      <c r="BIG104" s="187"/>
      <c r="BIM104" s="188"/>
      <c r="BIN104" s="187"/>
      <c r="BIT104" s="188"/>
      <c r="BIU104" s="187"/>
      <c r="BJA104" s="188"/>
      <c r="BJB104" s="187"/>
      <c r="BJE104" s="168"/>
      <c r="BJF104" s="189"/>
      <c r="BJH104" s="188"/>
      <c r="BJI104" s="187"/>
      <c r="BJO104" s="188"/>
      <c r="BJP104" s="187"/>
      <c r="BJV104" s="188"/>
      <c r="BJW104" s="187"/>
      <c r="BKC104" s="188"/>
      <c r="BKD104" s="187"/>
      <c r="BKI104" s="168"/>
      <c r="BKJ104" s="191"/>
      <c r="BKK104" s="187"/>
      <c r="BKQ104" s="188"/>
      <c r="BKR104" s="187"/>
      <c r="BKX104" s="188"/>
      <c r="BKY104" s="187"/>
      <c r="BLE104" s="188"/>
      <c r="BLF104" s="187"/>
      <c r="BLL104" s="188"/>
      <c r="BLM104" s="187"/>
      <c r="BLN104" s="168"/>
      <c r="BLO104" s="189"/>
      <c r="BLS104" s="188"/>
      <c r="BLT104" s="187"/>
      <c r="BLZ104" s="188"/>
      <c r="BMA104" s="187"/>
      <c r="BMG104" s="188"/>
      <c r="BMH104" s="187"/>
      <c r="BMN104" s="188"/>
      <c r="BMO104" s="187"/>
      <c r="BMS104" s="168"/>
      <c r="BMT104" s="189"/>
      <c r="BMU104" s="188"/>
      <c r="BMV104" s="187"/>
      <c r="BNB104" s="188"/>
      <c r="BNC104" s="187"/>
      <c r="BNI104" s="188"/>
      <c r="BNJ104" s="187"/>
      <c r="BNP104" s="188"/>
      <c r="BNQ104" s="187"/>
      <c r="BNW104" s="168"/>
      <c r="BNX104" s="189"/>
      <c r="BOD104" s="188"/>
      <c r="BOE104" s="187"/>
      <c r="BOK104" s="188"/>
      <c r="BOL104" s="187"/>
      <c r="BOR104" s="188"/>
      <c r="BOS104" s="187"/>
      <c r="BOY104" s="188"/>
      <c r="BOZ104" s="187"/>
      <c r="BPB104" s="168"/>
      <c r="BPC104" s="189"/>
      <c r="BPF104" s="188"/>
      <c r="BPG104" s="187"/>
      <c r="BPM104" s="188"/>
      <c r="BPN104" s="187"/>
      <c r="BPT104" s="188"/>
      <c r="BPU104" s="187"/>
      <c r="BQA104" s="188"/>
      <c r="BQB104" s="187"/>
      <c r="BQF104" s="168"/>
      <c r="BQG104" s="189"/>
      <c r="BQH104" s="188"/>
      <c r="BQI104" s="187"/>
      <c r="BQO104" s="188"/>
      <c r="BQP104" s="187"/>
      <c r="BQV104" s="188"/>
      <c r="BQW104" s="187"/>
      <c r="BRC104" s="188"/>
      <c r="BRD104" s="187"/>
      <c r="BRJ104" s="188"/>
      <c r="BRK104" s="190"/>
      <c r="BRL104" s="189"/>
      <c r="BRQ104" s="188"/>
      <c r="BRR104" s="187"/>
      <c r="BRX104" s="188"/>
      <c r="BRY104" s="187"/>
      <c r="BSE104" s="188"/>
      <c r="BSF104" s="187"/>
      <c r="BSL104" s="188"/>
      <c r="BSM104" s="187"/>
      <c r="BSP104" s="168"/>
      <c r="BSQ104" s="189"/>
      <c r="BSS104" s="188"/>
      <c r="BST104" s="187"/>
      <c r="BSZ104" s="188"/>
      <c r="BTA104" s="187"/>
      <c r="BTG104" s="188"/>
      <c r="BTH104" s="187"/>
      <c r="BTN104" s="188"/>
      <c r="BTO104" s="187"/>
      <c r="BTS104" s="168"/>
      <c r="BTT104" s="189"/>
      <c r="BTU104" s="188"/>
      <c r="BTV104" s="187"/>
      <c r="BUB104" s="188"/>
      <c r="BUC104" s="187"/>
      <c r="BUI104" s="188"/>
      <c r="BUJ104" s="187"/>
      <c r="BUP104" s="188"/>
      <c r="BUQ104" s="187"/>
      <c r="BUW104" s="188"/>
      <c r="BUX104" s="190"/>
      <c r="BUY104" s="189"/>
      <c r="BVD104" s="188"/>
      <c r="BVE104" s="187"/>
      <c r="BVK104" s="188"/>
      <c r="BVL104" s="187"/>
      <c r="BVR104" s="188"/>
      <c r="BVS104" s="187"/>
      <c r="BVY104" s="188"/>
      <c r="BVZ104" s="187"/>
      <c r="BWB104" s="168"/>
      <c r="BWC104" s="189"/>
      <c r="BWF104" s="188"/>
      <c r="BWG104" s="187"/>
      <c r="BWM104" s="188"/>
      <c r="BWN104" s="187"/>
      <c r="BWT104" s="188"/>
      <c r="BWU104" s="187"/>
      <c r="BXA104" s="188"/>
      <c r="BXB104" s="187"/>
      <c r="BXG104" s="168"/>
      <c r="BXH104" s="191"/>
      <c r="BXI104" s="187"/>
      <c r="BXO104" s="188"/>
      <c r="BXP104" s="187"/>
      <c r="BXV104" s="188"/>
      <c r="BXW104" s="187"/>
      <c r="BYC104" s="188"/>
      <c r="BYD104" s="187"/>
      <c r="BYJ104" s="188"/>
      <c r="BYK104" s="190"/>
      <c r="BYL104" s="189"/>
      <c r="BYQ104" s="188"/>
      <c r="BYR104" s="187"/>
      <c r="BYX104" s="188"/>
      <c r="BYY104" s="187"/>
      <c r="BZE104" s="188"/>
      <c r="BZF104" s="187"/>
      <c r="BZL104" s="188"/>
      <c r="BZM104" s="187"/>
      <c r="BZP104" s="168"/>
      <c r="BZQ104" s="189"/>
      <c r="BZS104" s="188"/>
      <c r="BZT104" s="187"/>
      <c r="BZZ104" s="188"/>
      <c r="CAA104" s="187"/>
      <c r="CAG104" s="188"/>
      <c r="CAH104" s="187"/>
      <c r="CAN104" s="188"/>
      <c r="CAO104" s="187"/>
      <c r="CAU104" s="168"/>
      <c r="CAV104" s="189"/>
      <c r="CBB104" s="188"/>
      <c r="CBC104" s="187"/>
      <c r="CBI104" s="188"/>
      <c r="CBJ104" s="187"/>
      <c r="CBP104" s="188"/>
      <c r="CBQ104" s="187"/>
      <c r="CBW104" s="188"/>
      <c r="CBX104" s="187"/>
      <c r="CBY104" s="168"/>
      <c r="CBZ104" s="189"/>
      <c r="CCD104" s="188"/>
      <c r="CCE104" s="187"/>
      <c r="CCK104" s="188"/>
      <c r="CCL104" s="187"/>
      <c r="CCR104" s="188"/>
      <c r="CCS104" s="187"/>
      <c r="CCY104" s="188"/>
      <c r="CCZ104" s="187"/>
      <c r="CDD104" s="168"/>
      <c r="CDE104" s="189"/>
      <c r="CDF104" s="188"/>
      <c r="CDG104" s="187"/>
      <c r="CDM104" s="188"/>
      <c r="CDN104" s="187"/>
      <c r="CDT104" s="188"/>
      <c r="CDU104" s="187"/>
      <c r="CEA104" s="188"/>
      <c r="CEB104" s="187"/>
      <c r="CEH104" s="168"/>
      <c r="CEI104" s="189"/>
      <c r="CEO104" s="188"/>
      <c r="CEP104" s="187"/>
      <c r="CEV104" s="188"/>
      <c r="CEW104" s="187"/>
      <c r="CFC104" s="188"/>
      <c r="CFD104" s="187"/>
      <c r="CFJ104" s="188"/>
      <c r="CFK104" s="187"/>
    </row>
    <row r="105" spans="1:1019 1025:2048 2054:2195">
      <c r="A105" s="164" t="s">
        <v>387</v>
      </c>
      <c r="C105" s="164" t="s">
        <v>388</v>
      </c>
      <c r="D105" s="186"/>
      <c r="E105" s="186"/>
      <c r="K105" s="187"/>
      <c r="Q105" s="188"/>
      <c r="R105" s="187"/>
      <c r="X105" s="188"/>
      <c r="Y105" s="187"/>
      <c r="AE105" s="188"/>
      <c r="AF105" s="187"/>
      <c r="AJ105" s="168"/>
      <c r="AK105" s="189"/>
      <c r="AL105" s="188"/>
      <c r="AM105" s="187"/>
      <c r="AS105" s="188"/>
      <c r="AT105" s="187"/>
      <c r="AZ105" s="188"/>
      <c r="BA105" s="187"/>
      <c r="BG105" s="188"/>
      <c r="BH105" s="187"/>
      <c r="BL105" s="168"/>
      <c r="BM105" s="189"/>
      <c r="BN105" s="188"/>
      <c r="BO105" s="187"/>
      <c r="BU105" s="188"/>
      <c r="BV105" s="187"/>
      <c r="CB105" s="188"/>
      <c r="CC105" s="187"/>
      <c r="CI105" s="188"/>
      <c r="CJ105" s="187"/>
      <c r="CP105" s="188"/>
      <c r="CQ105" s="190"/>
      <c r="CR105" s="189"/>
      <c r="CW105" s="188"/>
      <c r="CX105" s="187"/>
      <c r="DD105" s="188"/>
      <c r="DE105" s="187"/>
      <c r="DK105" s="188"/>
      <c r="DL105" s="187"/>
      <c r="DR105" s="188"/>
      <c r="DS105" s="187"/>
      <c r="DU105" s="168"/>
      <c r="DV105" s="189"/>
      <c r="DY105" s="188"/>
      <c r="DZ105" s="187"/>
      <c r="EF105" s="188"/>
      <c r="EG105" s="187"/>
      <c r="EM105" s="188"/>
      <c r="EN105" s="187"/>
      <c r="ET105" s="188"/>
      <c r="EU105" s="187"/>
      <c r="EZ105" s="168"/>
      <c r="FA105" s="191"/>
      <c r="FB105" s="187"/>
      <c r="FH105" s="188"/>
      <c r="FI105" s="187"/>
      <c r="FO105" s="188"/>
      <c r="FP105" s="187"/>
      <c r="FV105" s="188"/>
      <c r="FW105" s="187"/>
      <c r="GC105" s="188"/>
      <c r="GD105" s="190"/>
      <c r="GE105" s="189"/>
      <c r="GJ105" s="188"/>
      <c r="GK105" s="187"/>
      <c r="GQ105" s="188"/>
      <c r="GR105" s="187"/>
      <c r="GX105" s="188"/>
      <c r="GY105" s="187"/>
      <c r="HE105" s="188"/>
      <c r="HF105" s="187"/>
      <c r="HI105" s="168"/>
      <c r="HJ105" s="189"/>
      <c r="HL105" s="188"/>
      <c r="HM105" s="187"/>
      <c r="HS105" s="188"/>
      <c r="HT105" s="187"/>
      <c r="HZ105" s="188"/>
      <c r="IA105" s="187"/>
      <c r="IG105" s="188"/>
      <c r="IH105" s="187"/>
      <c r="IN105" s="168"/>
      <c r="IO105" s="189"/>
      <c r="IU105" s="188"/>
      <c r="IV105" s="187"/>
      <c r="JB105" s="188"/>
      <c r="JC105" s="187"/>
      <c r="JI105" s="188"/>
      <c r="JJ105" s="187"/>
      <c r="JP105" s="188"/>
      <c r="JQ105" s="187"/>
      <c r="JR105" s="168"/>
      <c r="JS105" s="189"/>
      <c r="JW105" s="188"/>
      <c r="JX105" s="187"/>
      <c r="KD105" s="188"/>
      <c r="KE105" s="187"/>
      <c r="KK105" s="188"/>
      <c r="KL105" s="187"/>
      <c r="KR105" s="188"/>
      <c r="KS105" s="187"/>
      <c r="KW105" s="168"/>
      <c r="KX105" s="189"/>
      <c r="KY105" s="188"/>
      <c r="KZ105" s="187"/>
      <c r="LF105" s="188"/>
      <c r="LG105" s="187"/>
      <c r="LM105" s="188"/>
      <c r="LN105" s="187"/>
      <c r="LT105" s="188"/>
      <c r="LU105" s="187"/>
      <c r="MA105" s="168"/>
      <c r="MB105" s="189"/>
      <c r="MH105" s="188"/>
      <c r="MI105" s="187"/>
      <c r="MO105" s="188"/>
      <c r="MP105" s="187"/>
      <c r="MV105" s="188"/>
      <c r="MW105" s="187"/>
      <c r="NC105" s="188"/>
      <c r="ND105" s="187"/>
      <c r="NF105" s="168"/>
      <c r="NG105" s="189"/>
      <c r="NJ105" s="188"/>
      <c r="NK105" s="187"/>
      <c r="NQ105" s="188"/>
      <c r="NR105" s="187"/>
      <c r="NX105" s="188"/>
      <c r="NY105" s="187"/>
      <c r="OE105" s="188"/>
      <c r="OF105" s="187"/>
      <c r="OK105" s="168"/>
      <c r="OL105" s="191"/>
      <c r="OM105" s="187"/>
      <c r="OS105" s="188"/>
      <c r="OT105" s="187"/>
      <c r="OZ105" s="188"/>
      <c r="PA105" s="187"/>
      <c r="PG105" s="188"/>
      <c r="PH105" s="187"/>
      <c r="PN105" s="168"/>
      <c r="PO105" s="189"/>
      <c r="PU105" s="188"/>
      <c r="PV105" s="187"/>
      <c r="QB105" s="188"/>
      <c r="QC105" s="187"/>
      <c r="QI105" s="188"/>
      <c r="QJ105" s="187"/>
      <c r="QP105" s="188"/>
      <c r="QQ105" s="187"/>
      <c r="QS105" s="168"/>
      <c r="QT105" s="189"/>
      <c r="QW105" s="188"/>
      <c r="QX105" s="187"/>
      <c r="RD105" s="188"/>
      <c r="RE105" s="187"/>
      <c r="RK105" s="188"/>
      <c r="RL105" s="187"/>
      <c r="RR105" s="188"/>
      <c r="RS105" s="187"/>
      <c r="RW105" s="168"/>
      <c r="RX105" s="189"/>
      <c r="RY105" s="188"/>
      <c r="RZ105" s="187"/>
      <c r="SF105" s="188"/>
      <c r="SG105" s="187"/>
      <c r="SM105" s="188"/>
      <c r="SN105" s="187"/>
      <c r="ST105" s="188"/>
      <c r="SU105" s="187"/>
      <c r="TA105" s="188"/>
      <c r="TB105" s="190"/>
      <c r="TC105" s="189"/>
      <c r="TH105" s="188"/>
      <c r="TI105" s="187"/>
      <c r="TO105" s="188"/>
      <c r="TP105" s="187"/>
      <c r="TV105" s="188"/>
      <c r="TW105" s="187"/>
      <c r="UC105" s="188"/>
      <c r="UD105" s="187"/>
      <c r="UF105" s="168"/>
      <c r="UG105" s="189"/>
      <c r="UJ105" s="188"/>
      <c r="UK105" s="187"/>
      <c r="UQ105" s="188"/>
      <c r="UR105" s="187"/>
      <c r="UX105" s="188"/>
      <c r="UY105" s="187"/>
      <c r="VE105" s="188"/>
      <c r="VF105" s="187"/>
      <c r="VK105" s="168"/>
      <c r="VL105" s="191"/>
      <c r="VM105" s="187"/>
      <c r="VS105" s="188"/>
      <c r="VT105" s="187"/>
      <c r="VZ105" s="188"/>
      <c r="WA105" s="187"/>
      <c r="WG105" s="188"/>
      <c r="WH105" s="187"/>
      <c r="WN105" s="188"/>
      <c r="WO105" s="187"/>
      <c r="WP105" s="168"/>
      <c r="WQ105" s="189"/>
      <c r="WU105" s="188"/>
      <c r="WV105" s="187"/>
      <c r="XB105" s="188"/>
      <c r="XC105" s="187"/>
      <c r="XI105" s="188"/>
      <c r="XJ105" s="187"/>
      <c r="XP105" s="188"/>
      <c r="XQ105" s="187"/>
      <c r="XT105" s="168"/>
      <c r="XU105" s="189"/>
      <c r="XW105" s="188"/>
      <c r="XX105" s="187"/>
      <c r="YD105" s="188"/>
      <c r="YE105" s="187"/>
      <c r="YK105" s="188"/>
      <c r="YL105" s="187"/>
      <c r="YR105" s="188"/>
      <c r="YS105" s="187"/>
      <c r="YY105" s="168"/>
      <c r="YZ105" s="189"/>
      <c r="ZF105" s="188"/>
      <c r="ZG105" s="187"/>
      <c r="ZM105" s="188"/>
      <c r="ZN105" s="187"/>
      <c r="ZT105" s="188"/>
      <c r="ZU105" s="187"/>
      <c r="AAA105" s="188"/>
      <c r="AAB105" s="187"/>
      <c r="AAC105" s="168"/>
      <c r="AAD105" s="189"/>
      <c r="AAH105" s="188"/>
      <c r="AAI105" s="187"/>
      <c r="AAO105" s="188"/>
      <c r="AAP105" s="187"/>
      <c r="AAV105" s="188"/>
      <c r="AAW105" s="187"/>
      <c r="ABC105" s="188"/>
      <c r="ABD105" s="187"/>
      <c r="ABH105" s="168"/>
      <c r="ABI105" s="189"/>
      <c r="ABJ105" s="188"/>
      <c r="ABK105" s="187"/>
      <c r="ABQ105" s="188"/>
      <c r="ABR105" s="187"/>
      <c r="ABX105" s="188"/>
      <c r="ABY105" s="187"/>
      <c r="ACE105" s="188"/>
      <c r="ACF105" s="187"/>
      <c r="ACL105" s="188"/>
      <c r="ACM105" s="190"/>
      <c r="ACN105" s="189"/>
      <c r="ACS105" s="188"/>
      <c r="ACT105" s="187"/>
      <c r="ACZ105" s="188"/>
      <c r="ADA105" s="187"/>
      <c r="ADG105" s="188"/>
      <c r="ADH105" s="187"/>
      <c r="ADN105" s="188"/>
      <c r="ADO105" s="190"/>
      <c r="ADP105" s="189"/>
      <c r="ADU105" s="188"/>
      <c r="ADV105" s="187"/>
      <c r="AEB105" s="188"/>
      <c r="AEC105" s="187"/>
      <c r="AEI105" s="188"/>
      <c r="AEJ105" s="187"/>
      <c r="AEP105" s="188"/>
      <c r="AEQ105" s="187"/>
      <c r="AET105" s="168"/>
      <c r="AEU105" s="189"/>
      <c r="AEW105" s="188"/>
      <c r="AEX105" s="187"/>
      <c r="AFD105" s="188"/>
      <c r="AFE105" s="187"/>
      <c r="AFK105" s="188"/>
      <c r="AFL105" s="187"/>
      <c r="AFR105" s="188"/>
      <c r="AFS105" s="187"/>
      <c r="AFX105" s="168"/>
      <c r="AFY105" s="191"/>
      <c r="AFZ105" s="187"/>
      <c r="AGF105" s="188"/>
      <c r="AGG105" s="187"/>
      <c r="AGM105" s="188"/>
      <c r="AGN105" s="187"/>
      <c r="AGT105" s="188"/>
      <c r="AGU105" s="187"/>
      <c r="AHA105" s="188"/>
      <c r="AHB105" s="187"/>
      <c r="AHC105" s="168"/>
      <c r="AHD105" s="189"/>
      <c r="AHH105" s="188"/>
      <c r="AHI105" s="187"/>
      <c r="AHO105" s="188"/>
      <c r="AHP105" s="187"/>
      <c r="AHV105" s="188"/>
      <c r="AHW105" s="187"/>
      <c r="AIC105" s="188"/>
      <c r="AID105" s="187"/>
      <c r="AIG105" s="168"/>
      <c r="AIH105" s="189"/>
      <c r="AIJ105" s="188"/>
      <c r="AIK105" s="187"/>
      <c r="AIQ105" s="188"/>
      <c r="AIR105" s="187"/>
      <c r="AIX105" s="188"/>
      <c r="AIY105" s="187"/>
      <c r="AJE105" s="188"/>
      <c r="AJF105" s="187"/>
      <c r="AJL105" s="168"/>
      <c r="AJM105" s="189"/>
      <c r="AJS105" s="188"/>
      <c r="AJT105" s="187"/>
      <c r="AJZ105" s="188"/>
      <c r="AKA105" s="187"/>
      <c r="AKG105" s="188"/>
      <c r="AKH105" s="187"/>
      <c r="AKN105" s="188"/>
      <c r="AKO105" s="187"/>
      <c r="AKQ105" s="168"/>
      <c r="AKR105" s="189"/>
      <c r="AKU105" s="188"/>
      <c r="AKV105" s="187"/>
      <c r="ALB105" s="188"/>
      <c r="ALC105" s="187"/>
      <c r="ALI105" s="188"/>
      <c r="ALJ105" s="187"/>
      <c r="ALP105" s="188"/>
      <c r="ALQ105" s="187"/>
      <c r="ALU105" s="168"/>
      <c r="ALV105" s="189"/>
      <c r="ALW105" s="188"/>
      <c r="ALX105" s="187"/>
      <c r="AMD105" s="188"/>
      <c r="AME105" s="187"/>
      <c r="AMK105" s="188"/>
      <c r="AML105" s="187"/>
      <c r="AMR105" s="188"/>
      <c r="AMS105" s="187"/>
      <c r="AMY105" s="188"/>
      <c r="AMZ105" s="190"/>
      <c r="ANA105" s="189"/>
      <c r="ANF105" s="188"/>
      <c r="ANG105" s="187"/>
      <c r="ANM105" s="188"/>
      <c r="ANN105" s="187"/>
      <c r="ANT105" s="188"/>
      <c r="ANU105" s="187"/>
      <c r="AOA105" s="188"/>
      <c r="AOB105" s="187"/>
      <c r="AOD105" s="168"/>
      <c r="AOE105" s="189"/>
      <c r="AOH105" s="188"/>
      <c r="AOI105" s="187"/>
      <c r="AOO105" s="188"/>
      <c r="AOP105" s="187"/>
      <c r="AOV105" s="188"/>
      <c r="AOW105" s="187"/>
      <c r="APC105" s="188"/>
      <c r="APD105" s="187"/>
      <c r="API105" s="168"/>
      <c r="APJ105" s="191"/>
      <c r="APK105" s="187"/>
      <c r="APQ105" s="188"/>
      <c r="APR105" s="187"/>
      <c r="APX105" s="188"/>
      <c r="APY105" s="187"/>
      <c r="AQE105" s="188"/>
      <c r="AQF105" s="187"/>
      <c r="AQL105" s="188"/>
      <c r="AQM105" s="187"/>
      <c r="AQN105" s="168"/>
      <c r="AQO105" s="189"/>
      <c r="AQS105" s="188"/>
      <c r="AQT105" s="187"/>
      <c r="AQZ105" s="188"/>
      <c r="ARA105" s="187"/>
      <c r="ARG105" s="188"/>
      <c r="ARH105" s="187"/>
      <c r="ARN105" s="188"/>
      <c r="ARO105" s="187"/>
      <c r="ARP105" s="168"/>
      <c r="ARQ105" s="189"/>
      <c r="ARU105" s="188"/>
      <c r="ARV105" s="187"/>
      <c r="ASB105" s="188"/>
      <c r="ASC105" s="187"/>
      <c r="ASI105" s="188"/>
      <c r="ASJ105" s="187"/>
      <c r="ASP105" s="188"/>
      <c r="ASQ105" s="187"/>
      <c r="ASU105" s="168"/>
      <c r="ASV105" s="189"/>
      <c r="ASW105" s="188"/>
      <c r="ASX105" s="187"/>
      <c r="ATD105" s="188"/>
      <c r="ATE105" s="187"/>
      <c r="ATK105" s="188"/>
      <c r="ATL105" s="187"/>
      <c r="ATR105" s="188"/>
      <c r="ATS105" s="187"/>
      <c r="ATY105" s="168"/>
      <c r="ATZ105" s="189"/>
      <c r="AUF105" s="188"/>
      <c r="AUG105" s="187"/>
      <c r="AUM105" s="188"/>
      <c r="AUN105" s="187"/>
      <c r="AUT105" s="188"/>
      <c r="AUU105" s="187"/>
      <c r="AVA105" s="188"/>
      <c r="AVB105" s="187"/>
      <c r="AVD105" s="168"/>
      <c r="AVE105" s="189"/>
      <c r="AVH105" s="188"/>
      <c r="AVI105" s="187"/>
      <c r="AVO105" s="188"/>
      <c r="AVP105" s="187"/>
      <c r="AVV105" s="188"/>
      <c r="AVW105" s="187"/>
      <c r="AWC105" s="188"/>
      <c r="AWD105" s="187"/>
      <c r="AWH105" s="168"/>
      <c r="AWI105" s="189"/>
      <c r="AWJ105" s="188"/>
      <c r="AWK105" s="187"/>
      <c r="AWQ105" s="188"/>
      <c r="AWR105" s="187"/>
      <c r="AWX105" s="188"/>
      <c r="AWY105" s="187"/>
      <c r="AXE105" s="188"/>
      <c r="AXF105" s="187"/>
      <c r="AXL105" s="188"/>
      <c r="AXM105" s="190"/>
      <c r="AXN105" s="189"/>
      <c r="AXS105" s="188"/>
      <c r="AXT105" s="187"/>
      <c r="AXZ105" s="188"/>
      <c r="AYA105" s="187"/>
      <c r="AYG105" s="188"/>
      <c r="AYH105" s="187"/>
      <c r="AYN105" s="188"/>
      <c r="AYO105" s="187"/>
      <c r="AYR105" s="168"/>
      <c r="AYS105" s="189"/>
      <c r="AYU105" s="188"/>
      <c r="AYV105" s="187"/>
      <c r="AZB105" s="188"/>
      <c r="AZC105" s="187"/>
      <c r="AZI105" s="188"/>
      <c r="AZJ105" s="187"/>
      <c r="AZP105" s="188"/>
      <c r="AZQ105" s="187"/>
      <c r="AZV105" s="168"/>
      <c r="AZW105" s="191"/>
      <c r="AZX105" s="187"/>
      <c r="BAD105" s="188"/>
      <c r="BAE105" s="187"/>
      <c r="BAK105" s="188"/>
      <c r="BAL105" s="187"/>
      <c r="BAR105" s="188"/>
      <c r="BAS105" s="187"/>
      <c r="BAY105" s="188"/>
      <c r="BAZ105" s="187"/>
      <c r="BBA105" s="168"/>
      <c r="BBB105" s="189"/>
      <c r="BBF105" s="188"/>
      <c r="BBG105" s="187"/>
      <c r="BBM105" s="188"/>
      <c r="BBN105" s="187"/>
      <c r="BBT105" s="188"/>
      <c r="BBU105" s="187"/>
      <c r="BCA105" s="188"/>
      <c r="BCB105" s="187"/>
      <c r="BCE105" s="168"/>
      <c r="BCF105" s="189"/>
      <c r="BCH105" s="188"/>
      <c r="BCI105" s="187"/>
      <c r="BCO105" s="188"/>
      <c r="BCP105" s="187"/>
      <c r="BCV105" s="188"/>
      <c r="BCW105" s="187"/>
      <c r="BDC105" s="188"/>
      <c r="BDD105" s="187"/>
      <c r="BDJ105" s="168"/>
      <c r="BDK105" s="189"/>
      <c r="BDQ105" s="188"/>
      <c r="BDR105" s="187"/>
      <c r="BDX105" s="188"/>
      <c r="BDY105" s="187"/>
      <c r="BEE105" s="188"/>
      <c r="BEF105" s="187"/>
      <c r="BEL105" s="188"/>
      <c r="BEM105" s="187"/>
      <c r="BEO105" s="168"/>
      <c r="BEP105" s="189"/>
      <c r="BES105" s="188"/>
      <c r="BET105" s="187"/>
      <c r="BEZ105" s="188"/>
      <c r="BFA105" s="187"/>
      <c r="BFG105" s="188"/>
      <c r="BFH105" s="187"/>
      <c r="BFN105" s="188"/>
      <c r="BFO105" s="187"/>
      <c r="BFQ105" s="168"/>
      <c r="BFR105" s="189"/>
      <c r="BFU105" s="188"/>
      <c r="BFV105" s="187"/>
      <c r="BGB105" s="188"/>
      <c r="BGC105" s="187"/>
      <c r="BGI105" s="188"/>
      <c r="BGJ105" s="187"/>
      <c r="BGP105" s="188"/>
      <c r="BGQ105" s="187"/>
      <c r="BGV105" s="168"/>
      <c r="BGW105" s="191"/>
      <c r="BGX105" s="187"/>
      <c r="BHD105" s="188"/>
      <c r="BHE105" s="187"/>
      <c r="BHK105" s="188"/>
      <c r="BHL105" s="187"/>
      <c r="BHR105" s="188"/>
      <c r="BHS105" s="187"/>
      <c r="BHY105" s="188"/>
      <c r="BHZ105" s="190"/>
      <c r="BIA105" s="189"/>
      <c r="BIF105" s="188"/>
      <c r="BIG105" s="187"/>
      <c r="BIM105" s="188"/>
      <c r="BIN105" s="187"/>
      <c r="BIT105" s="188"/>
      <c r="BIU105" s="187"/>
      <c r="BJA105" s="188"/>
      <c r="BJB105" s="187"/>
      <c r="BJE105" s="168"/>
      <c r="BJF105" s="189"/>
      <c r="BJH105" s="188"/>
      <c r="BJI105" s="187"/>
      <c r="BJO105" s="188"/>
      <c r="BJP105" s="187"/>
      <c r="BJV105" s="188"/>
      <c r="BJW105" s="187"/>
      <c r="BKC105" s="188"/>
      <c r="BKD105" s="187"/>
      <c r="BKI105" s="168"/>
      <c r="BKJ105" s="191"/>
      <c r="BKK105" s="187"/>
      <c r="BKQ105" s="188"/>
      <c r="BKR105" s="187"/>
      <c r="BKX105" s="188"/>
      <c r="BKY105" s="187"/>
      <c r="BLE105" s="188"/>
      <c r="BLF105" s="187"/>
      <c r="BLL105" s="188"/>
      <c r="BLM105" s="187"/>
      <c r="BLN105" s="168"/>
      <c r="BLO105" s="189"/>
      <c r="BLS105" s="188"/>
      <c r="BLT105" s="187"/>
      <c r="BLZ105" s="188"/>
      <c r="BMA105" s="187"/>
      <c r="BMG105" s="188"/>
      <c r="BMH105" s="187"/>
      <c r="BMN105" s="188"/>
      <c r="BMO105" s="187"/>
      <c r="BMS105" s="168"/>
      <c r="BMT105" s="189"/>
      <c r="BMU105" s="188"/>
      <c r="BMV105" s="187"/>
      <c r="BNB105" s="188"/>
      <c r="BNC105" s="187"/>
      <c r="BNI105" s="188"/>
      <c r="BNJ105" s="187"/>
      <c r="BNP105" s="188"/>
      <c r="BNQ105" s="187"/>
      <c r="BNW105" s="168"/>
      <c r="BNX105" s="189"/>
      <c r="BOD105" s="188"/>
      <c r="BOE105" s="187"/>
      <c r="BOK105" s="188"/>
      <c r="BOL105" s="187"/>
      <c r="BOR105" s="188"/>
      <c r="BOS105" s="187"/>
      <c r="BOY105" s="188"/>
      <c r="BOZ105" s="187"/>
      <c r="BPB105" s="168"/>
      <c r="BPC105" s="189"/>
      <c r="BPF105" s="188"/>
      <c r="BPG105" s="187"/>
      <c r="BPM105" s="188"/>
      <c r="BPN105" s="187"/>
      <c r="BPT105" s="188"/>
      <c r="BPU105" s="187"/>
      <c r="BQA105" s="188"/>
      <c r="BQB105" s="187"/>
      <c r="BQF105" s="168"/>
      <c r="BQG105" s="189"/>
      <c r="BQH105" s="188"/>
      <c r="BQI105" s="187"/>
      <c r="BQO105" s="188"/>
      <c r="BQP105" s="187"/>
      <c r="BQV105" s="188"/>
      <c r="BQW105" s="187"/>
      <c r="BRC105" s="188"/>
      <c r="BRD105" s="187"/>
      <c r="BRJ105" s="188"/>
      <c r="BRK105" s="190"/>
      <c r="BRL105" s="189"/>
      <c r="BRQ105" s="188"/>
      <c r="BRR105" s="187"/>
      <c r="BRX105" s="188"/>
      <c r="BRY105" s="187"/>
      <c r="BSE105" s="188"/>
      <c r="BSF105" s="187"/>
      <c r="BSL105" s="188"/>
      <c r="BSM105" s="187"/>
      <c r="BSP105" s="168"/>
      <c r="BSQ105" s="189"/>
      <c r="BSS105" s="188"/>
      <c r="BST105" s="187"/>
      <c r="BSZ105" s="188"/>
      <c r="BTA105" s="187"/>
      <c r="BTG105" s="188"/>
      <c r="BTH105" s="187"/>
      <c r="BTN105" s="188"/>
      <c r="BTO105" s="187"/>
      <c r="BTS105" s="168"/>
      <c r="BTT105" s="189"/>
      <c r="BTU105" s="188"/>
      <c r="BTV105" s="187"/>
      <c r="BUB105" s="188"/>
      <c r="BUC105" s="187"/>
      <c r="BUI105" s="188"/>
      <c r="BUJ105" s="187"/>
      <c r="BUP105" s="188"/>
      <c r="BUQ105" s="187"/>
      <c r="BUW105" s="188"/>
      <c r="BUX105" s="190"/>
      <c r="BUY105" s="189"/>
      <c r="BVD105" s="188"/>
      <c r="BVE105" s="187"/>
      <c r="BVK105" s="188"/>
      <c r="BVL105" s="187"/>
      <c r="BVR105" s="188"/>
      <c r="BVS105" s="187"/>
      <c r="BVY105" s="188"/>
      <c r="BVZ105" s="187"/>
      <c r="BWB105" s="168"/>
      <c r="BWC105" s="189"/>
      <c r="BWF105" s="188"/>
      <c r="BWG105" s="187"/>
      <c r="BWM105" s="188"/>
      <c r="BWN105" s="187"/>
      <c r="BWT105" s="188"/>
      <c r="BWU105" s="187"/>
      <c r="BXA105" s="188"/>
      <c r="BXB105" s="187"/>
      <c r="BXG105" s="168"/>
      <c r="BXH105" s="191"/>
      <c r="BXI105" s="187"/>
      <c r="BXO105" s="188"/>
      <c r="BXP105" s="187"/>
      <c r="BXV105" s="188"/>
      <c r="BXW105" s="187"/>
      <c r="BYC105" s="188"/>
      <c r="BYD105" s="187"/>
      <c r="BYJ105" s="188"/>
      <c r="BYK105" s="190"/>
      <c r="BYL105" s="189"/>
      <c r="BYQ105" s="188"/>
      <c r="BYR105" s="187"/>
      <c r="BYX105" s="188"/>
      <c r="BYY105" s="187"/>
      <c r="BZE105" s="188"/>
      <c r="BZF105" s="187"/>
      <c r="BZL105" s="188"/>
      <c r="BZM105" s="187"/>
      <c r="BZP105" s="168"/>
      <c r="BZQ105" s="189"/>
      <c r="BZS105" s="188"/>
      <c r="BZT105" s="187"/>
      <c r="BZZ105" s="188"/>
      <c r="CAA105" s="187"/>
      <c r="CAG105" s="188"/>
      <c r="CAH105" s="187"/>
      <c r="CAN105" s="188"/>
      <c r="CAO105" s="187"/>
      <c r="CAU105" s="168"/>
      <c r="CAV105" s="189"/>
      <c r="CBB105" s="188"/>
      <c r="CBC105" s="187"/>
      <c r="CBI105" s="188"/>
      <c r="CBJ105" s="187"/>
      <c r="CBP105" s="188"/>
      <c r="CBQ105" s="187"/>
      <c r="CBW105" s="188"/>
      <c r="CBX105" s="187"/>
      <c r="CBY105" s="168"/>
      <c r="CBZ105" s="189"/>
      <c r="CCD105" s="188"/>
      <c r="CCE105" s="187"/>
      <c r="CCK105" s="188"/>
      <c r="CCL105" s="187"/>
      <c r="CCR105" s="188"/>
      <c r="CCS105" s="187"/>
      <c r="CCY105" s="188"/>
      <c r="CCZ105" s="187"/>
      <c r="CDD105" s="168"/>
      <c r="CDE105" s="189"/>
      <c r="CDF105" s="188"/>
      <c r="CDG105" s="187"/>
      <c r="CDM105" s="188"/>
      <c r="CDN105" s="187"/>
      <c r="CDT105" s="188"/>
      <c r="CDU105" s="187"/>
      <c r="CEA105" s="188"/>
      <c r="CEB105" s="187"/>
      <c r="CEH105" s="168"/>
      <c r="CEI105" s="189"/>
      <c r="CEO105" s="188"/>
      <c r="CEP105" s="187"/>
      <c r="CEV105" s="188"/>
      <c r="CEW105" s="187"/>
      <c r="CFC105" s="188"/>
      <c r="CFD105" s="187"/>
      <c r="CFJ105" s="188"/>
      <c r="CFK105" s="187"/>
    </row>
    <row r="106" spans="1:1019 1025:2048 2054:2195">
      <c r="A106" s="164" t="s">
        <v>389</v>
      </c>
      <c r="C106" s="164" t="s">
        <v>390</v>
      </c>
      <c r="D106" s="186"/>
      <c r="E106" s="186"/>
      <c r="K106" s="187"/>
      <c r="Q106" s="188"/>
      <c r="R106" s="187"/>
      <c r="X106" s="188"/>
      <c r="Y106" s="187"/>
      <c r="AE106" s="188"/>
      <c r="AF106" s="187"/>
      <c r="AJ106" s="168"/>
      <c r="AK106" s="189"/>
      <c r="AL106" s="188"/>
      <c r="AM106" s="187"/>
      <c r="AS106" s="188"/>
      <c r="AT106" s="187"/>
      <c r="AZ106" s="188"/>
      <c r="BA106" s="187"/>
      <c r="BG106" s="188"/>
      <c r="BH106" s="187"/>
      <c r="BL106" s="168"/>
      <c r="BM106" s="189"/>
      <c r="BN106" s="188"/>
      <c r="BO106" s="187"/>
      <c r="BU106" s="188"/>
      <c r="BV106" s="187"/>
      <c r="CB106" s="188"/>
      <c r="CC106" s="187"/>
      <c r="CI106" s="188"/>
      <c r="CJ106" s="187"/>
      <c r="CP106" s="188"/>
      <c r="CQ106" s="190"/>
      <c r="CR106" s="189"/>
      <c r="CW106" s="188"/>
      <c r="CX106" s="187"/>
      <c r="DD106" s="188"/>
      <c r="DE106" s="187"/>
      <c r="DK106" s="188"/>
      <c r="DL106" s="187"/>
      <c r="DR106" s="188"/>
      <c r="DS106" s="187"/>
      <c r="DU106" s="168"/>
      <c r="DV106" s="189"/>
      <c r="DY106" s="188"/>
      <c r="DZ106" s="187"/>
      <c r="EF106" s="188"/>
      <c r="EG106" s="187"/>
      <c r="EM106" s="188"/>
      <c r="EN106" s="187"/>
      <c r="ET106" s="188"/>
      <c r="EU106" s="187"/>
      <c r="EZ106" s="168"/>
      <c r="FA106" s="191"/>
      <c r="FB106" s="187"/>
      <c r="FH106" s="188"/>
      <c r="FI106" s="187"/>
      <c r="FO106" s="188"/>
      <c r="FP106" s="187"/>
      <c r="FV106" s="188"/>
      <c r="FW106" s="187"/>
      <c r="GC106" s="188"/>
      <c r="GD106" s="190"/>
      <c r="GE106" s="189"/>
      <c r="GJ106" s="188"/>
      <c r="GK106" s="187"/>
      <c r="GQ106" s="188"/>
      <c r="GR106" s="187"/>
      <c r="GX106" s="188"/>
      <c r="GY106" s="187"/>
      <c r="HE106" s="188"/>
      <c r="HF106" s="187"/>
      <c r="HI106" s="168"/>
      <c r="HJ106" s="189"/>
      <c r="HL106" s="188"/>
      <c r="HM106" s="187"/>
      <c r="HS106" s="188"/>
      <c r="HT106" s="187"/>
      <c r="HZ106" s="188"/>
      <c r="IA106" s="187"/>
      <c r="IG106" s="188"/>
      <c r="IH106" s="187"/>
      <c r="IN106" s="168"/>
      <c r="IO106" s="189"/>
      <c r="IU106" s="188"/>
      <c r="IV106" s="187"/>
      <c r="JB106" s="188"/>
      <c r="JC106" s="187"/>
      <c r="JI106" s="188"/>
      <c r="JJ106" s="187"/>
      <c r="JP106" s="188"/>
      <c r="JQ106" s="187"/>
      <c r="JR106" s="168"/>
      <c r="JS106" s="189"/>
      <c r="JW106" s="188"/>
      <c r="JX106" s="187"/>
      <c r="KD106" s="188"/>
      <c r="KE106" s="187"/>
      <c r="KK106" s="188"/>
      <c r="KL106" s="187"/>
      <c r="KR106" s="188"/>
      <c r="KS106" s="187"/>
      <c r="KW106" s="168"/>
      <c r="KX106" s="189"/>
      <c r="KY106" s="188"/>
      <c r="KZ106" s="187"/>
      <c r="LF106" s="188"/>
      <c r="LG106" s="187"/>
      <c r="LM106" s="188"/>
      <c r="LN106" s="187"/>
      <c r="LT106" s="188"/>
      <c r="LU106" s="187"/>
      <c r="MA106" s="168"/>
      <c r="MB106" s="189"/>
      <c r="MH106" s="188"/>
      <c r="MI106" s="187"/>
      <c r="MO106" s="188"/>
      <c r="MP106" s="187"/>
      <c r="MV106" s="188"/>
      <c r="MW106" s="187"/>
      <c r="NC106" s="188"/>
      <c r="ND106" s="187"/>
      <c r="NF106" s="168"/>
      <c r="NG106" s="189"/>
      <c r="NJ106" s="188"/>
      <c r="NK106" s="187"/>
      <c r="NQ106" s="188"/>
      <c r="NR106" s="187"/>
      <c r="NX106" s="188"/>
      <c r="NY106" s="187"/>
      <c r="OE106" s="188"/>
      <c r="OF106" s="187"/>
      <c r="OK106" s="168"/>
      <c r="OL106" s="191"/>
      <c r="OM106" s="187"/>
      <c r="OS106" s="188"/>
      <c r="OT106" s="187"/>
      <c r="OZ106" s="188"/>
      <c r="PA106" s="187"/>
      <c r="PG106" s="188"/>
      <c r="PH106" s="187"/>
      <c r="PN106" s="168"/>
      <c r="PO106" s="189"/>
      <c r="PU106" s="188"/>
      <c r="PV106" s="187"/>
      <c r="QB106" s="188"/>
      <c r="QC106" s="187"/>
      <c r="QI106" s="188"/>
      <c r="QJ106" s="187"/>
      <c r="QP106" s="188"/>
      <c r="QQ106" s="187"/>
      <c r="QS106" s="168"/>
      <c r="QT106" s="189"/>
      <c r="QW106" s="188"/>
      <c r="QX106" s="187"/>
      <c r="RD106" s="188"/>
      <c r="RE106" s="187"/>
      <c r="RK106" s="188"/>
      <c r="RL106" s="187"/>
      <c r="RR106" s="188"/>
      <c r="RS106" s="187"/>
      <c r="RW106" s="168"/>
      <c r="RX106" s="189"/>
      <c r="RY106" s="188"/>
      <c r="RZ106" s="187"/>
      <c r="SF106" s="188"/>
      <c r="SG106" s="187"/>
      <c r="SM106" s="188"/>
      <c r="SN106" s="187"/>
      <c r="ST106" s="188"/>
      <c r="SU106" s="187"/>
      <c r="TA106" s="188"/>
      <c r="TB106" s="190"/>
      <c r="TC106" s="189"/>
      <c r="TH106" s="188"/>
      <c r="TI106" s="187"/>
      <c r="TO106" s="188"/>
      <c r="TP106" s="187"/>
      <c r="TV106" s="188"/>
      <c r="TW106" s="187"/>
      <c r="UC106" s="188"/>
      <c r="UD106" s="187"/>
      <c r="UF106" s="168"/>
      <c r="UG106" s="189"/>
      <c r="UJ106" s="188"/>
      <c r="UK106" s="187"/>
      <c r="UQ106" s="188"/>
      <c r="UR106" s="187"/>
      <c r="UX106" s="188"/>
      <c r="UY106" s="187"/>
      <c r="VE106" s="188"/>
      <c r="VF106" s="187"/>
      <c r="VK106" s="168"/>
      <c r="VL106" s="191"/>
      <c r="VM106" s="187"/>
      <c r="VS106" s="188"/>
      <c r="VT106" s="187"/>
      <c r="VZ106" s="188"/>
      <c r="WA106" s="187"/>
      <c r="WG106" s="188"/>
      <c r="WH106" s="187"/>
      <c r="WN106" s="188"/>
      <c r="WO106" s="187"/>
      <c r="WP106" s="168"/>
      <c r="WQ106" s="189"/>
      <c r="WU106" s="188"/>
      <c r="WV106" s="187"/>
      <c r="XB106" s="188"/>
      <c r="XC106" s="187"/>
      <c r="XI106" s="188"/>
      <c r="XJ106" s="187"/>
      <c r="XP106" s="188"/>
      <c r="XQ106" s="187"/>
      <c r="XT106" s="168"/>
      <c r="XU106" s="189"/>
      <c r="XW106" s="188"/>
      <c r="XX106" s="187"/>
      <c r="YD106" s="188"/>
      <c r="YE106" s="187"/>
      <c r="YK106" s="188"/>
      <c r="YL106" s="187"/>
      <c r="YR106" s="188"/>
      <c r="YS106" s="187"/>
      <c r="YY106" s="168"/>
      <c r="YZ106" s="189"/>
      <c r="ZF106" s="188"/>
      <c r="ZG106" s="187"/>
      <c r="ZM106" s="188"/>
      <c r="ZN106" s="187"/>
      <c r="ZT106" s="188"/>
      <c r="ZU106" s="187"/>
      <c r="AAA106" s="188"/>
      <c r="AAB106" s="187"/>
      <c r="AAC106" s="168"/>
      <c r="AAD106" s="189"/>
      <c r="AAH106" s="188"/>
      <c r="AAI106" s="187"/>
      <c r="AAO106" s="188"/>
      <c r="AAP106" s="187"/>
      <c r="AAV106" s="188"/>
      <c r="AAW106" s="187"/>
      <c r="ABC106" s="188"/>
      <c r="ABD106" s="187"/>
      <c r="ABH106" s="168"/>
      <c r="ABI106" s="189"/>
      <c r="ABJ106" s="188"/>
      <c r="ABK106" s="187"/>
      <c r="ABQ106" s="188"/>
      <c r="ABR106" s="187"/>
      <c r="ABX106" s="188"/>
      <c r="ABY106" s="187"/>
      <c r="ACE106" s="188"/>
      <c r="ACF106" s="187"/>
      <c r="ACL106" s="188"/>
      <c r="ACM106" s="190"/>
      <c r="ACN106" s="189"/>
      <c r="ACS106" s="188"/>
      <c r="ACT106" s="187"/>
      <c r="ACZ106" s="188"/>
      <c r="ADA106" s="187"/>
      <c r="ADG106" s="188"/>
      <c r="ADH106" s="187"/>
      <c r="ADN106" s="188"/>
      <c r="ADO106" s="190"/>
      <c r="ADP106" s="189"/>
      <c r="ADU106" s="188"/>
      <c r="ADV106" s="187"/>
      <c r="AEB106" s="188"/>
      <c r="AEC106" s="187"/>
      <c r="AEI106" s="188"/>
      <c r="AEJ106" s="187"/>
      <c r="AEP106" s="188"/>
      <c r="AEQ106" s="187"/>
      <c r="AET106" s="168"/>
      <c r="AEU106" s="189"/>
      <c r="AEW106" s="188"/>
      <c r="AEX106" s="187"/>
      <c r="AFD106" s="188"/>
      <c r="AFE106" s="187"/>
      <c r="AFK106" s="188"/>
      <c r="AFL106" s="187"/>
      <c r="AFR106" s="188"/>
      <c r="AFS106" s="187"/>
      <c r="AFX106" s="168"/>
      <c r="AFY106" s="191"/>
      <c r="AFZ106" s="187"/>
      <c r="AGF106" s="188"/>
      <c r="AGG106" s="187"/>
      <c r="AGM106" s="188"/>
      <c r="AGN106" s="187"/>
      <c r="AGT106" s="188"/>
      <c r="AGU106" s="187"/>
      <c r="AHA106" s="188"/>
      <c r="AHB106" s="187"/>
      <c r="AHC106" s="168"/>
      <c r="AHD106" s="189"/>
      <c r="AHH106" s="188"/>
      <c r="AHI106" s="187"/>
      <c r="AHO106" s="188"/>
      <c r="AHP106" s="187"/>
      <c r="AHV106" s="188"/>
      <c r="AHW106" s="187"/>
      <c r="AIC106" s="188"/>
      <c r="AID106" s="187"/>
      <c r="AIG106" s="168"/>
      <c r="AIH106" s="189"/>
      <c r="AIJ106" s="188"/>
      <c r="AIK106" s="187"/>
      <c r="AIQ106" s="188"/>
      <c r="AIR106" s="187"/>
      <c r="AIX106" s="188"/>
      <c r="AIY106" s="187"/>
      <c r="AJE106" s="188"/>
      <c r="AJF106" s="187"/>
      <c r="AJL106" s="168"/>
      <c r="AJM106" s="189"/>
      <c r="AJS106" s="188"/>
      <c r="AJT106" s="187"/>
      <c r="AJZ106" s="188"/>
      <c r="AKA106" s="187"/>
      <c r="AKG106" s="188"/>
      <c r="AKH106" s="187"/>
      <c r="AKN106" s="188"/>
      <c r="AKO106" s="187"/>
      <c r="AKQ106" s="168"/>
      <c r="AKR106" s="189"/>
      <c r="AKU106" s="188"/>
      <c r="AKV106" s="187"/>
      <c r="ALB106" s="188"/>
      <c r="ALC106" s="187"/>
      <c r="ALI106" s="188"/>
      <c r="ALJ106" s="187"/>
      <c r="ALP106" s="188"/>
      <c r="ALQ106" s="187"/>
      <c r="ALU106" s="168"/>
      <c r="ALV106" s="189"/>
      <c r="ALW106" s="188"/>
      <c r="ALX106" s="187"/>
      <c r="AMD106" s="188"/>
      <c r="AME106" s="187"/>
      <c r="AMK106" s="188"/>
      <c r="AML106" s="187"/>
      <c r="AMR106" s="188"/>
      <c r="AMS106" s="187"/>
      <c r="AMY106" s="188"/>
      <c r="AMZ106" s="190"/>
      <c r="ANA106" s="189"/>
      <c r="ANF106" s="188"/>
      <c r="ANG106" s="187"/>
      <c r="ANM106" s="188"/>
      <c r="ANN106" s="187"/>
      <c r="ANT106" s="188"/>
      <c r="ANU106" s="187"/>
      <c r="AOA106" s="188"/>
      <c r="AOB106" s="187"/>
      <c r="AOD106" s="168"/>
      <c r="AOE106" s="189"/>
      <c r="AOH106" s="188"/>
      <c r="AOI106" s="187"/>
      <c r="AOO106" s="188"/>
      <c r="AOP106" s="187"/>
      <c r="AOV106" s="188"/>
      <c r="AOW106" s="187"/>
      <c r="APC106" s="188"/>
      <c r="APD106" s="187"/>
      <c r="API106" s="168"/>
      <c r="APJ106" s="191"/>
      <c r="APK106" s="187"/>
      <c r="APQ106" s="188"/>
      <c r="APR106" s="187"/>
      <c r="APX106" s="188"/>
      <c r="APY106" s="187"/>
      <c r="AQE106" s="188"/>
      <c r="AQF106" s="187"/>
      <c r="AQL106" s="188"/>
      <c r="AQM106" s="187"/>
      <c r="AQN106" s="168"/>
      <c r="AQO106" s="189"/>
      <c r="AQS106" s="188"/>
      <c r="AQT106" s="187"/>
      <c r="AQZ106" s="188"/>
      <c r="ARA106" s="187"/>
      <c r="ARG106" s="188"/>
      <c r="ARH106" s="187"/>
      <c r="ARN106" s="188"/>
      <c r="ARO106" s="187"/>
      <c r="ARP106" s="168"/>
      <c r="ARQ106" s="189"/>
      <c r="ARU106" s="188"/>
      <c r="ARV106" s="187"/>
      <c r="ASB106" s="188"/>
      <c r="ASC106" s="187"/>
      <c r="ASI106" s="188"/>
      <c r="ASJ106" s="187"/>
      <c r="ASP106" s="188"/>
      <c r="ASQ106" s="187"/>
      <c r="ASU106" s="168"/>
      <c r="ASV106" s="189"/>
      <c r="ASW106" s="188"/>
      <c r="ASX106" s="187"/>
      <c r="ATD106" s="188"/>
      <c r="ATE106" s="187"/>
      <c r="ATK106" s="188"/>
      <c r="ATL106" s="187"/>
      <c r="ATR106" s="188"/>
      <c r="ATS106" s="187"/>
      <c r="ATY106" s="168"/>
      <c r="ATZ106" s="189"/>
      <c r="AUF106" s="188"/>
      <c r="AUG106" s="187"/>
      <c r="AUM106" s="188"/>
      <c r="AUN106" s="187"/>
      <c r="AUT106" s="188"/>
      <c r="AUU106" s="187"/>
      <c r="AVA106" s="188"/>
      <c r="AVB106" s="187"/>
      <c r="AVD106" s="168"/>
      <c r="AVE106" s="189"/>
      <c r="AVH106" s="188"/>
      <c r="AVI106" s="187"/>
      <c r="AVO106" s="188"/>
      <c r="AVP106" s="187"/>
      <c r="AVV106" s="188"/>
      <c r="AVW106" s="187"/>
      <c r="AWC106" s="188"/>
      <c r="AWD106" s="187"/>
      <c r="AWH106" s="168"/>
      <c r="AWI106" s="189"/>
      <c r="AWJ106" s="188"/>
      <c r="AWK106" s="187"/>
      <c r="AWQ106" s="188"/>
      <c r="AWR106" s="187"/>
      <c r="AWX106" s="188"/>
      <c r="AWY106" s="187"/>
      <c r="AXE106" s="188"/>
      <c r="AXF106" s="187"/>
      <c r="AXL106" s="188"/>
      <c r="AXM106" s="190"/>
      <c r="AXN106" s="189"/>
      <c r="AXS106" s="188"/>
      <c r="AXT106" s="187"/>
      <c r="AXZ106" s="188"/>
      <c r="AYA106" s="187"/>
      <c r="AYG106" s="188"/>
      <c r="AYH106" s="187"/>
      <c r="AYN106" s="188"/>
      <c r="AYO106" s="187"/>
      <c r="AYR106" s="168"/>
      <c r="AYS106" s="189"/>
      <c r="AYU106" s="188"/>
      <c r="AYV106" s="187"/>
      <c r="AZB106" s="188"/>
      <c r="AZC106" s="187"/>
      <c r="AZI106" s="188"/>
      <c r="AZJ106" s="187"/>
      <c r="AZP106" s="188"/>
      <c r="AZQ106" s="187"/>
      <c r="AZV106" s="168"/>
      <c r="AZW106" s="191"/>
      <c r="AZX106" s="187"/>
      <c r="BAD106" s="188"/>
      <c r="BAE106" s="187"/>
      <c r="BAK106" s="188"/>
      <c r="BAL106" s="187"/>
      <c r="BAR106" s="188"/>
      <c r="BAS106" s="187"/>
      <c r="BAY106" s="188"/>
      <c r="BAZ106" s="187"/>
      <c r="BBA106" s="168"/>
      <c r="BBB106" s="189"/>
      <c r="BBF106" s="188"/>
      <c r="BBG106" s="187"/>
      <c r="BBM106" s="188"/>
      <c r="BBN106" s="187"/>
      <c r="BBT106" s="188"/>
      <c r="BBU106" s="187"/>
      <c r="BCA106" s="188"/>
      <c r="BCB106" s="187"/>
      <c r="BCE106" s="168"/>
      <c r="BCF106" s="189"/>
      <c r="BCH106" s="188"/>
      <c r="BCI106" s="187"/>
      <c r="BCO106" s="188"/>
      <c r="BCP106" s="187"/>
      <c r="BCV106" s="188"/>
      <c r="BCW106" s="187"/>
      <c r="BDC106" s="188"/>
      <c r="BDD106" s="187"/>
      <c r="BDJ106" s="168"/>
      <c r="BDK106" s="189"/>
      <c r="BDQ106" s="188"/>
      <c r="BDR106" s="187"/>
      <c r="BDX106" s="188"/>
      <c r="BDY106" s="187"/>
      <c r="BEE106" s="188"/>
      <c r="BEF106" s="187"/>
      <c r="BEL106" s="188"/>
      <c r="BEM106" s="187"/>
      <c r="BEO106" s="168"/>
      <c r="BEP106" s="189"/>
      <c r="BES106" s="188"/>
      <c r="BET106" s="187"/>
      <c r="BEZ106" s="188"/>
      <c r="BFA106" s="187"/>
      <c r="BFG106" s="188"/>
      <c r="BFH106" s="187"/>
      <c r="BFN106" s="188"/>
      <c r="BFO106" s="187"/>
      <c r="BFQ106" s="168"/>
      <c r="BFR106" s="189"/>
      <c r="BFU106" s="188"/>
      <c r="BFV106" s="187"/>
      <c r="BGB106" s="188"/>
      <c r="BGC106" s="187"/>
      <c r="BGI106" s="188"/>
      <c r="BGJ106" s="187"/>
      <c r="BGP106" s="188"/>
      <c r="BGQ106" s="187"/>
      <c r="BGV106" s="168"/>
      <c r="BGW106" s="191"/>
      <c r="BGX106" s="187"/>
      <c r="BHD106" s="188"/>
      <c r="BHE106" s="187"/>
      <c r="BHK106" s="188"/>
      <c r="BHL106" s="187"/>
      <c r="BHR106" s="188"/>
      <c r="BHS106" s="187"/>
      <c r="BHY106" s="188"/>
      <c r="BHZ106" s="190"/>
      <c r="BIA106" s="189"/>
      <c r="BIF106" s="188"/>
      <c r="BIG106" s="187"/>
      <c r="BIM106" s="188"/>
      <c r="BIN106" s="187"/>
      <c r="BIT106" s="188"/>
      <c r="BIU106" s="187"/>
      <c r="BJA106" s="188"/>
      <c r="BJB106" s="187"/>
      <c r="BJE106" s="168"/>
      <c r="BJF106" s="189"/>
      <c r="BJH106" s="188"/>
      <c r="BJI106" s="187"/>
      <c r="BJO106" s="188"/>
      <c r="BJP106" s="187"/>
      <c r="BJV106" s="188"/>
      <c r="BJW106" s="187"/>
      <c r="BKC106" s="188"/>
      <c r="BKD106" s="187"/>
      <c r="BKI106" s="168"/>
      <c r="BKJ106" s="191"/>
      <c r="BKK106" s="187"/>
      <c r="BKQ106" s="188"/>
      <c r="BKR106" s="187"/>
      <c r="BKX106" s="188"/>
      <c r="BKY106" s="187"/>
      <c r="BLE106" s="188"/>
      <c r="BLF106" s="187"/>
      <c r="BLL106" s="188"/>
      <c r="BLM106" s="187"/>
      <c r="BLN106" s="168"/>
      <c r="BLO106" s="189"/>
      <c r="BLS106" s="188"/>
      <c r="BLT106" s="187"/>
      <c r="BLZ106" s="188"/>
      <c r="BMA106" s="187"/>
      <c r="BMG106" s="188"/>
      <c r="BMH106" s="187"/>
      <c r="BMN106" s="188"/>
      <c r="BMO106" s="187"/>
      <c r="BMS106" s="168"/>
      <c r="BMT106" s="189"/>
      <c r="BMU106" s="188"/>
      <c r="BMV106" s="187"/>
      <c r="BNB106" s="188"/>
      <c r="BNC106" s="187"/>
      <c r="BNI106" s="188"/>
      <c r="BNJ106" s="187"/>
      <c r="BNP106" s="188"/>
      <c r="BNQ106" s="187"/>
      <c r="BNW106" s="168"/>
      <c r="BNX106" s="189"/>
      <c r="BOD106" s="188"/>
      <c r="BOE106" s="187"/>
      <c r="BOK106" s="188"/>
      <c r="BOL106" s="187"/>
      <c r="BOR106" s="188"/>
      <c r="BOS106" s="187"/>
      <c r="BOY106" s="188"/>
      <c r="BOZ106" s="187"/>
      <c r="BPB106" s="168"/>
      <c r="BPC106" s="189"/>
      <c r="BPF106" s="188"/>
      <c r="BPG106" s="187"/>
      <c r="BPM106" s="188"/>
      <c r="BPN106" s="187"/>
      <c r="BPT106" s="188"/>
      <c r="BPU106" s="187"/>
      <c r="BQA106" s="188"/>
      <c r="BQB106" s="187"/>
      <c r="BQF106" s="168"/>
      <c r="BQG106" s="189"/>
      <c r="BQH106" s="188"/>
      <c r="BQI106" s="187"/>
      <c r="BQO106" s="188"/>
      <c r="BQP106" s="187"/>
      <c r="BQV106" s="188"/>
      <c r="BQW106" s="187"/>
      <c r="BRC106" s="188"/>
      <c r="BRD106" s="187"/>
      <c r="BRJ106" s="188"/>
      <c r="BRK106" s="190"/>
      <c r="BRL106" s="189"/>
      <c r="BRQ106" s="188"/>
      <c r="BRR106" s="187"/>
      <c r="BRX106" s="188"/>
      <c r="BRY106" s="187"/>
      <c r="BSE106" s="188"/>
      <c r="BSF106" s="187"/>
      <c r="BSL106" s="188"/>
      <c r="BSM106" s="187"/>
      <c r="BSP106" s="168"/>
      <c r="BSQ106" s="189"/>
      <c r="BSS106" s="188"/>
      <c r="BST106" s="187"/>
      <c r="BSZ106" s="188"/>
      <c r="BTA106" s="187"/>
      <c r="BTG106" s="188"/>
      <c r="BTH106" s="187"/>
      <c r="BTN106" s="188"/>
      <c r="BTO106" s="187"/>
      <c r="BTS106" s="168"/>
      <c r="BTT106" s="189"/>
      <c r="BTU106" s="188"/>
      <c r="BTV106" s="187"/>
      <c r="BUB106" s="188"/>
      <c r="BUC106" s="187"/>
      <c r="BUI106" s="188"/>
      <c r="BUJ106" s="187"/>
      <c r="BUP106" s="188"/>
      <c r="BUQ106" s="187"/>
      <c r="BUW106" s="188"/>
      <c r="BUX106" s="190"/>
      <c r="BUY106" s="189"/>
      <c r="BVD106" s="188"/>
      <c r="BVE106" s="187"/>
      <c r="BVK106" s="188"/>
      <c r="BVL106" s="187"/>
      <c r="BVR106" s="188"/>
      <c r="BVS106" s="187"/>
      <c r="BVY106" s="188"/>
      <c r="BVZ106" s="187"/>
      <c r="BWB106" s="168"/>
      <c r="BWC106" s="189"/>
      <c r="BWF106" s="188"/>
      <c r="BWG106" s="187"/>
      <c r="BWM106" s="188"/>
      <c r="BWN106" s="187"/>
      <c r="BWT106" s="188"/>
      <c r="BWU106" s="187"/>
      <c r="BXA106" s="188"/>
      <c r="BXB106" s="187"/>
      <c r="BXG106" s="168"/>
      <c r="BXH106" s="191"/>
      <c r="BXI106" s="187"/>
      <c r="BXO106" s="188"/>
      <c r="BXP106" s="187"/>
      <c r="BXV106" s="188"/>
      <c r="BXW106" s="187"/>
      <c r="BYC106" s="188"/>
      <c r="BYD106" s="187"/>
      <c r="BYJ106" s="188"/>
      <c r="BYK106" s="190"/>
      <c r="BYL106" s="189"/>
      <c r="BYQ106" s="188"/>
      <c r="BYR106" s="187"/>
      <c r="BYX106" s="188"/>
      <c r="BYY106" s="187"/>
      <c r="BZE106" s="188"/>
      <c r="BZF106" s="187"/>
      <c r="BZL106" s="188"/>
      <c r="BZM106" s="187"/>
      <c r="BZP106" s="168"/>
      <c r="BZQ106" s="189"/>
      <c r="BZS106" s="188"/>
      <c r="BZT106" s="187"/>
      <c r="BZZ106" s="188"/>
      <c r="CAA106" s="187"/>
      <c r="CAG106" s="188"/>
      <c r="CAH106" s="187"/>
      <c r="CAN106" s="188"/>
      <c r="CAO106" s="187"/>
      <c r="CAU106" s="168"/>
      <c r="CAV106" s="189"/>
      <c r="CBB106" s="188"/>
      <c r="CBC106" s="187"/>
      <c r="CBI106" s="188"/>
      <c r="CBJ106" s="187"/>
      <c r="CBP106" s="188"/>
      <c r="CBQ106" s="187"/>
      <c r="CBW106" s="188"/>
      <c r="CBX106" s="187"/>
      <c r="CBY106" s="168"/>
      <c r="CBZ106" s="189"/>
      <c r="CCD106" s="188"/>
      <c r="CCE106" s="187"/>
      <c r="CCK106" s="188"/>
      <c r="CCL106" s="187"/>
      <c r="CCR106" s="188"/>
      <c r="CCS106" s="187"/>
      <c r="CCY106" s="188"/>
      <c r="CCZ106" s="187"/>
      <c r="CDD106" s="168"/>
      <c r="CDE106" s="189"/>
      <c r="CDF106" s="188"/>
      <c r="CDG106" s="187"/>
      <c r="CDM106" s="188"/>
      <c r="CDN106" s="187"/>
      <c r="CDT106" s="188"/>
      <c r="CDU106" s="187"/>
      <c r="CEA106" s="188"/>
      <c r="CEB106" s="187"/>
      <c r="CEH106" s="168"/>
      <c r="CEI106" s="189"/>
      <c r="CEO106" s="188"/>
      <c r="CEP106" s="187"/>
      <c r="CEV106" s="188"/>
      <c r="CEW106" s="187"/>
      <c r="CFC106" s="188"/>
      <c r="CFD106" s="187"/>
      <c r="CFJ106" s="188"/>
      <c r="CFK106" s="187"/>
    </row>
    <row r="107" spans="1:1019 1025:2048 2054:2195">
      <c r="A107" s="164" t="s">
        <v>391</v>
      </c>
      <c r="C107" s="164" t="s">
        <v>392</v>
      </c>
      <c r="D107" s="186"/>
      <c r="E107" s="186"/>
      <c r="K107" s="187"/>
      <c r="Q107" s="188"/>
      <c r="R107" s="187"/>
      <c r="X107" s="188"/>
      <c r="Y107" s="187"/>
      <c r="AE107" s="188"/>
      <c r="AF107" s="187"/>
      <c r="AJ107" s="168"/>
      <c r="AK107" s="189"/>
      <c r="AL107" s="188"/>
      <c r="AM107" s="187"/>
      <c r="AS107" s="188"/>
      <c r="AT107" s="187"/>
      <c r="AZ107" s="188"/>
      <c r="BA107" s="187"/>
      <c r="BG107" s="188"/>
      <c r="BH107" s="187"/>
      <c r="BL107" s="168"/>
      <c r="BM107" s="189"/>
      <c r="BN107" s="188"/>
      <c r="BO107" s="187"/>
      <c r="BU107" s="188"/>
      <c r="BV107" s="187"/>
      <c r="CB107" s="188"/>
      <c r="CC107" s="187"/>
      <c r="CI107" s="188"/>
      <c r="CJ107" s="187"/>
      <c r="CP107" s="188"/>
      <c r="CQ107" s="190"/>
      <c r="CR107" s="189"/>
      <c r="CW107" s="188"/>
      <c r="CX107" s="187"/>
      <c r="DD107" s="188"/>
      <c r="DE107" s="187"/>
      <c r="DK107" s="188"/>
      <c r="DL107" s="187"/>
      <c r="DR107" s="188"/>
      <c r="DS107" s="187"/>
      <c r="DU107" s="168"/>
      <c r="DV107" s="189"/>
      <c r="DY107" s="188"/>
      <c r="DZ107" s="187"/>
      <c r="EF107" s="188"/>
      <c r="EG107" s="187"/>
      <c r="EM107" s="188"/>
      <c r="EN107" s="187"/>
      <c r="ET107" s="188"/>
      <c r="EU107" s="187"/>
      <c r="EZ107" s="168"/>
      <c r="FA107" s="191"/>
      <c r="FB107" s="187"/>
      <c r="FH107" s="188"/>
      <c r="FI107" s="187"/>
      <c r="FO107" s="188"/>
      <c r="FP107" s="187"/>
      <c r="FV107" s="188"/>
      <c r="FW107" s="187"/>
      <c r="GC107" s="188"/>
      <c r="GD107" s="190"/>
      <c r="GE107" s="189"/>
      <c r="GJ107" s="188"/>
      <c r="GK107" s="187"/>
      <c r="GQ107" s="188"/>
      <c r="GR107" s="187"/>
      <c r="GX107" s="188"/>
      <c r="GY107" s="187"/>
      <c r="HE107" s="188"/>
      <c r="HF107" s="187"/>
      <c r="HI107" s="168"/>
      <c r="HJ107" s="189"/>
      <c r="HL107" s="188"/>
      <c r="HM107" s="187"/>
      <c r="HS107" s="188"/>
      <c r="HT107" s="187"/>
      <c r="HZ107" s="188"/>
      <c r="IA107" s="187"/>
      <c r="IG107" s="188"/>
      <c r="IH107" s="187"/>
      <c r="IN107" s="168"/>
      <c r="IO107" s="189"/>
      <c r="IU107" s="188"/>
      <c r="IV107" s="187"/>
      <c r="JB107" s="188"/>
      <c r="JC107" s="187"/>
      <c r="JI107" s="188"/>
      <c r="JJ107" s="187"/>
      <c r="JP107" s="188"/>
      <c r="JQ107" s="187"/>
      <c r="JR107" s="168"/>
      <c r="JS107" s="189"/>
      <c r="JW107" s="188"/>
      <c r="JX107" s="187"/>
      <c r="KD107" s="188"/>
      <c r="KE107" s="187"/>
      <c r="KK107" s="188"/>
      <c r="KL107" s="187"/>
      <c r="KR107" s="188"/>
      <c r="KS107" s="187"/>
      <c r="KW107" s="168"/>
      <c r="KX107" s="189"/>
      <c r="KY107" s="188"/>
      <c r="KZ107" s="187"/>
      <c r="LF107" s="188"/>
      <c r="LG107" s="187"/>
      <c r="LM107" s="188"/>
      <c r="LN107" s="187"/>
      <c r="LT107" s="188"/>
      <c r="LU107" s="187"/>
      <c r="MA107" s="168"/>
      <c r="MB107" s="189"/>
      <c r="MH107" s="188"/>
      <c r="MI107" s="187"/>
      <c r="MO107" s="188"/>
      <c r="MP107" s="187"/>
      <c r="MV107" s="188"/>
      <c r="MW107" s="187"/>
      <c r="NC107" s="188"/>
      <c r="ND107" s="187"/>
      <c r="NF107" s="168"/>
      <c r="NG107" s="189"/>
      <c r="NJ107" s="188"/>
      <c r="NK107" s="187"/>
      <c r="NQ107" s="188"/>
      <c r="NR107" s="187"/>
      <c r="NX107" s="188"/>
      <c r="NY107" s="187"/>
      <c r="OE107" s="188"/>
      <c r="OF107" s="187"/>
      <c r="OK107" s="168"/>
      <c r="OL107" s="191"/>
      <c r="OM107" s="187"/>
      <c r="OS107" s="188"/>
      <c r="OT107" s="187"/>
      <c r="OZ107" s="188"/>
      <c r="PA107" s="187"/>
      <c r="PG107" s="188"/>
      <c r="PH107" s="187"/>
      <c r="PN107" s="168"/>
      <c r="PO107" s="189"/>
      <c r="PU107" s="188"/>
      <c r="PV107" s="187"/>
      <c r="QB107" s="188"/>
      <c r="QC107" s="187"/>
      <c r="QI107" s="188"/>
      <c r="QJ107" s="187"/>
      <c r="QP107" s="188"/>
      <c r="QQ107" s="187"/>
      <c r="QS107" s="168"/>
      <c r="QT107" s="189"/>
      <c r="QW107" s="188"/>
      <c r="QX107" s="187"/>
      <c r="RD107" s="188"/>
      <c r="RE107" s="187"/>
      <c r="RK107" s="188"/>
      <c r="RL107" s="187"/>
      <c r="RR107" s="188"/>
      <c r="RS107" s="187"/>
      <c r="RW107" s="168"/>
      <c r="RX107" s="189"/>
      <c r="RY107" s="188"/>
      <c r="RZ107" s="187"/>
      <c r="SF107" s="188"/>
      <c r="SG107" s="187"/>
      <c r="SM107" s="188"/>
      <c r="SN107" s="187"/>
      <c r="ST107" s="188"/>
      <c r="SU107" s="187"/>
      <c r="TA107" s="188"/>
      <c r="TB107" s="190"/>
      <c r="TC107" s="189"/>
      <c r="TH107" s="188"/>
      <c r="TI107" s="187"/>
      <c r="TO107" s="188"/>
      <c r="TP107" s="187"/>
      <c r="TV107" s="188"/>
      <c r="TW107" s="187"/>
      <c r="UC107" s="188"/>
      <c r="UD107" s="187"/>
      <c r="UF107" s="168"/>
      <c r="UG107" s="189"/>
      <c r="UJ107" s="188"/>
      <c r="UK107" s="187"/>
      <c r="UQ107" s="188"/>
      <c r="UR107" s="187"/>
      <c r="UX107" s="188"/>
      <c r="UY107" s="187"/>
      <c r="VE107" s="188"/>
      <c r="VF107" s="187"/>
      <c r="VK107" s="168"/>
      <c r="VL107" s="191"/>
      <c r="VM107" s="187"/>
      <c r="VS107" s="188"/>
      <c r="VT107" s="187"/>
      <c r="VZ107" s="188"/>
      <c r="WA107" s="187"/>
      <c r="WG107" s="188"/>
      <c r="WH107" s="187"/>
      <c r="WN107" s="188"/>
      <c r="WO107" s="187"/>
      <c r="WP107" s="168"/>
      <c r="WQ107" s="189"/>
      <c r="WU107" s="188"/>
      <c r="WV107" s="187"/>
      <c r="XB107" s="188"/>
      <c r="XC107" s="187"/>
      <c r="XI107" s="188"/>
      <c r="XJ107" s="187"/>
      <c r="XP107" s="188"/>
      <c r="XQ107" s="187"/>
      <c r="XT107" s="168"/>
      <c r="XU107" s="189"/>
      <c r="XW107" s="188"/>
      <c r="XX107" s="187"/>
      <c r="YD107" s="188"/>
      <c r="YE107" s="187"/>
      <c r="YK107" s="188"/>
      <c r="YL107" s="187"/>
      <c r="YR107" s="188"/>
      <c r="YS107" s="187"/>
      <c r="YY107" s="168"/>
      <c r="YZ107" s="189"/>
      <c r="ZF107" s="188"/>
      <c r="ZG107" s="187"/>
      <c r="ZM107" s="188"/>
      <c r="ZN107" s="187"/>
      <c r="ZT107" s="188"/>
      <c r="ZU107" s="187"/>
      <c r="AAA107" s="188"/>
      <c r="AAB107" s="187"/>
      <c r="AAC107" s="168"/>
      <c r="AAD107" s="189"/>
      <c r="AAH107" s="188"/>
      <c r="AAI107" s="187"/>
      <c r="AAO107" s="188"/>
      <c r="AAP107" s="187"/>
      <c r="AAV107" s="188"/>
      <c r="AAW107" s="187"/>
      <c r="ABC107" s="188"/>
      <c r="ABD107" s="187"/>
      <c r="ABH107" s="168"/>
      <c r="ABI107" s="189"/>
      <c r="ABJ107" s="188"/>
      <c r="ABK107" s="187"/>
      <c r="ABQ107" s="188"/>
      <c r="ABR107" s="187"/>
      <c r="ABX107" s="188"/>
      <c r="ABY107" s="187"/>
      <c r="ACE107" s="188"/>
      <c r="ACF107" s="187"/>
      <c r="ACL107" s="188"/>
      <c r="ACM107" s="190"/>
      <c r="ACN107" s="189"/>
      <c r="ACS107" s="188"/>
      <c r="ACT107" s="187"/>
      <c r="ACZ107" s="188"/>
      <c r="ADA107" s="187"/>
      <c r="ADG107" s="188"/>
      <c r="ADH107" s="187"/>
      <c r="ADN107" s="188"/>
      <c r="ADO107" s="190"/>
      <c r="ADP107" s="189"/>
      <c r="ADU107" s="188"/>
      <c r="ADV107" s="187"/>
      <c r="AEB107" s="188"/>
      <c r="AEC107" s="187"/>
      <c r="AEI107" s="188"/>
      <c r="AEJ107" s="187"/>
      <c r="AEP107" s="188"/>
      <c r="AEQ107" s="187"/>
      <c r="AET107" s="168"/>
      <c r="AEU107" s="189"/>
      <c r="AEW107" s="188"/>
      <c r="AEX107" s="187"/>
      <c r="AFD107" s="188"/>
      <c r="AFE107" s="187"/>
      <c r="AFK107" s="188"/>
      <c r="AFL107" s="187"/>
      <c r="AFR107" s="188"/>
      <c r="AFS107" s="187"/>
      <c r="AFX107" s="168"/>
      <c r="AFY107" s="191"/>
      <c r="AFZ107" s="187"/>
      <c r="AGF107" s="188"/>
      <c r="AGG107" s="187"/>
      <c r="AGM107" s="188"/>
      <c r="AGN107" s="187"/>
      <c r="AGT107" s="188"/>
      <c r="AGU107" s="187"/>
      <c r="AHA107" s="188"/>
      <c r="AHB107" s="187"/>
      <c r="AHC107" s="168"/>
      <c r="AHD107" s="189"/>
      <c r="AHH107" s="188"/>
      <c r="AHI107" s="187"/>
      <c r="AHO107" s="188"/>
      <c r="AHP107" s="187"/>
      <c r="AHV107" s="188"/>
      <c r="AHW107" s="187"/>
      <c r="AIC107" s="188"/>
      <c r="AID107" s="187"/>
      <c r="AIG107" s="168"/>
      <c r="AIH107" s="189"/>
      <c r="AIJ107" s="188"/>
      <c r="AIK107" s="187"/>
      <c r="AIQ107" s="188"/>
      <c r="AIR107" s="187"/>
      <c r="AIX107" s="188"/>
      <c r="AIY107" s="187"/>
      <c r="AJE107" s="188"/>
      <c r="AJF107" s="187"/>
      <c r="AJL107" s="168"/>
      <c r="AJM107" s="189"/>
      <c r="AJS107" s="188"/>
      <c r="AJT107" s="187"/>
      <c r="AJZ107" s="188"/>
      <c r="AKA107" s="187"/>
      <c r="AKG107" s="188"/>
      <c r="AKH107" s="187"/>
      <c r="AKN107" s="188"/>
      <c r="AKO107" s="187"/>
      <c r="AKQ107" s="168"/>
      <c r="AKR107" s="189"/>
      <c r="AKU107" s="188"/>
      <c r="AKV107" s="187"/>
      <c r="ALB107" s="188"/>
      <c r="ALC107" s="187"/>
      <c r="ALI107" s="188"/>
      <c r="ALJ107" s="187"/>
      <c r="ALP107" s="188"/>
      <c r="ALQ107" s="187"/>
      <c r="ALU107" s="168"/>
      <c r="ALV107" s="189"/>
      <c r="ALW107" s="188"/>
      <c r="ALX107" s="187"/>
      <c r="AMD107" s="188"/>
      <c r="AME107" s="187"/>
      <c r="AMK107" s="188"/>
      <c r="AML107" s="187"/>
      <c r="AMR107" s="188"/>
      <c r="AMS107" s="187"/>
      <c r="AMY107" s="188"/>
      <c r="AMZ107" s="190"/>
      <c r="ANA107" s="189"/>
      <c r="ANF107" s="188"/>
      <c r="ANG107" s="187"/>
      <c r="ANM107" s="188"/>
      <c r="ANN107" s="187"/>
      <c r="ANT107" s="188"/>
      <c r="ANU107" s="187"/>
      <c r="AOA107" s="188"/>
      <c r="AOB107" s="187"/>
      <c r="AOD107" s="168"/>
      <c r="AOE107" s="189"/>
      <c r="AOH107" s="188"/>
      <c r="AOI107" s="187"/>
      <c r="AOO107" s="188"/>
      <c r="AOP107" s="187"/>
      <c r="AOV107" s="188"/>
      <c r="AOW107" s="187"/>
      <c r="APC107" s="188"/>
      <c r="APD107" s="187"/>
      <c r="API107" s="168"/>
      <c r="APJ107" s="191"/>
      <c r="APK107" s="187"/>
      <c r="APQ107" s="188"/>
      <c r="APR107" s="187"/>
      <c r="APX107" s="188"/>
      <c r="APY107" s="187"/>
      <c r="AQE107" s="188"/>
      <c r="AQF107" s="187"/>
      <c r="AQL107" s="188"/>
      <c r="AQM107" s="187"/>
      <c r="AQN107" s="168"/>
      <c r="AQO107" s="189"/>
      <c r="AQS107" s="188"/>
      <c r="AQT107" s="187"/>
      <c r="AQZ107" s="188"/>
      <c r="ARA107" s="187"/>
      <c r="ARG107" s="188"/>
      <c r="ARH107" s="187"/>
      <c r="ARN107" s="188"/>
      <c r="ARO107" s="187"/>
      <c r="ARP107" s="168"/>
      <c r="ARQ107" s="189"/>
      <c r="ARU107" s="188"/>
      <c r="ARV107" s="187"/>
      <c r="ASB107" s="188"/>
      <c r="ASC107" s="187"/>
      <c r="ASI107" s="188"/>
      <c r="ASJ107" s="187"/>
      <c r="ASP107" s="188"/>
      <c r="ASQ107" s="187"/>
      <c r="ASU107" s="168"/>
      <c r="ASV107" s="189"/>
      <c r="ASW107" s="188"/>
      <c r="ASX107" s="187"/>
      <c r="ATD107" s="188"/>
      <c r="ATE107" s="187"/>
      <c r="ATK107" s="188"/>
      <c r="ATL107" s="187"/>
      <c r="ATR107" s="188"/>
      <c r="ATS107" s="187"/>
      <c r="ATY107" s="168"/>
      <c r="ATZ107" s="189"/>
      <c r="AUF107" s="188"/>
      <c r="AUG107" s="187"/>
      <c r="AUM107" s="188"/>
      <c r="AUN107" s="187"/>
      <c r="AUT107" s="188"/>
      <c r="AUU107" s="187"/>
      <c r="AVA107" s="188"/>
      <c r="AVB107" s="187"/>
      <c r="AVD107" s="168"/>
      <c r="AVE107" s="189"/>
      <c r="AVH107" s="188"/>
      <c r="AVI107" s="187"/>
      <c r="AVO107" s="188"/>
      <c r="AVP107" s="187"/>
      <c r="AVV107" s="188"/>
      <c r="AVW107" s="187"/>
      <c r="AWC107" s="188"/>
      <c r="AWD107" s="187"/>
      <c r="AWH107" s="168"/>
      <c r="AWI107" s="189"/>
      <c r="AWJ107" s="188"/>
      <c r="AWK107" s="187"/>
      <c r="AWQ107" s="188"/>
      <c r="AWR107" s="187"/>
      <c r="AWX107" s="188"/>
      <c r="AWY107" s="187"/>
      <c r="AXE107" s="188"/>
      <c r="AXF107" s="187"/>
      <c r="AXL107" s="188"/>
      <c r="AXM107" s="190"/>
      <c r="AXN107" s="189"/>
      <c r="AXS107" s="188"/>
      <c r="AXT107" s="187"/>
      <c r="AXZ107" s="188"/>
      <c r="AYA107" s="187"/>
      <c r="AYG107" s="188"/>
      <c r="AYH107" s="187"/>
      <c r="AYN107" s="188"/>
      <c r="AYO107" s="187"/>
      <c r="AYR107" s="168"/>
      <c r="AYS107" s="189"/>
      <c r="AYU107" s="188"/>
      <c r="AYV107" s="187"/>
      <c r="AZB107" s="188"/>
      <c r="AZC107" s="187"/>
      <c r="AZI107" s="188"/>
      <c r="AZJ107" s="187"/>
      <c r="AZP107" s="188"/>
      <c r="AZQ107" s="187"/>
      <c r="AZV107" s="168"/>
      <c r="AZW107" s="191"/>
      <c r="AZX107" s="187"/>
      <c r="BAD107" s="188"/>
      <c r="BAE107" s="187"/>
      <c r="BAK107" s="188"/>
      <c r="BAL107" s="187"/>
      <c r="BAR107" s="188"/>
      <c r="BAS107" s="187"/>
      <c r="BAY107" s="188"/>
      <c r="BAZ107" s="187"/>
      <c r="BBA107" s="168"/>
      <c r="BBB107" s="189"/>
      <c r="BBF107" s="188"/>
      <c r="BBG107" s="187"/>
      <c r="BBM107" s="188"/>
      <c r="BBN107" s="187"/>
      <c r="BBT107" s="188"/>
      <c r="BBU107" s="187"/>
      <c r="BCA107" s="188"/>
      <c r="BCB107" s="187"/>
      <c r="BCE107" s="168"/>
      <c r="BCF107" s="189"/>
      <c r="BCH107" s="188"/>
      <c r="BCI107" s="187"/>
      <c r="BCO107" s="188"/>
      <c r="BCP107" s="187"/>
      <c r="BCV107" s="188"/>
      <c r="BCW107" s="187"/>
      <c r="BDC107" s="188"/>
      <c r="BDD107" s="187"/>
      <c r="BDJ107" s="168"/>
      <c r="BDK107" s="189"/>
      <c r="BDQ107" s="188"/>
      <c r="BDR107" s="187"/>
      <c r="BDX107" s="188"/>
      <c r="BDY107" s="187"/>
      <c r="BEE107" s="188"/>
      <c r="BEF107" s="187"/>
      <c r="BEL107" s="188"/>
      <c r="BEM107" s="187"/>
      <c r="BEO107" s="168"/>
      <c r="BEP107" s="189"/>
      <c r="BES107" s="188"/>
      <c r="BET107" s="187"/>
      <c r="BEZ107" s="188"/>
      <c r="BFA107" s="187"/>
      <c r="BFG107" s="188"/>
      <c r="BFH107" s="187"/>
      <c r="BFN107" s="188"/>
      <c r="BFO107" s="187"/>
      <c r="BFQ107" s="168"/>
      <c r="BFR107" s="189"/>
      <c r="BFU107" s="188"/>
      <c r="BFV107" s="187"/>
      <c r="BGB107" s="188"/>
      <c r="BGC107" s="187"/>
      <c r="BGI107" s="188"/>
      <c r="BGJ107" s="187"/>
      <c r="BGP107" s="188"/>
      <c r="BGQ107" s="187"/>
      <c r="BGV107" s="168"/>
      <c r="BGW107" s="191"/>
      <c r="BGX107" s="187"/>
      <c r="BHD107" s="188"/>
      <c r="BHE107" s="187"/>
      <c r="BHK107" s="188"/>
      <c r="BHL107" s="187"/>
      <c r="BHR107" s="188"/>
      <c r="BHS107" s="187"/>
      <c r="BHY107" s="188"/>
      <c r="BHZ107" s="190"/>
      <c r="BIA107" s="189"/>
      <c r="BIF107" s="188"/>
      <c r="BIG107" s="187"/>
      <c r="BIM107" s="188"/>
      <c r="BIN107" s="187"/>
      <c r="BIT107" s="188"/>
      <c r="BIU107" s="187"/>
      <c r="BJA107" s="188"/>
      <c r="BJB107" s="187"/>
      <c r="BJE107" s="168"/>
      <c r="BJF107" s="189"/>
      <c r="BJH107" s="188"/>
      <c r="BJI107" s="187"/>
      <c r="BJO107" s="188"/>
      <c r="BJP107" s="187"/>
      <c r="BJV107" s="188"/>
      <c r="BJW107" s="187"/>
      <c r="BKC107" s="188"/>
      <c r="BKD107" s="187"/>
      <c r="BKI107" s="168"/>
      <c r="BKJ107" s="191"/>
      <c r="BKK107" s="187"/>
      <c r="BKQ107" s="188"/>
      <c r="BKR107" s="187"/>
      <c r="BKX107" s="188"/>
      <c r="BKY107" s="187"/>
      <c r="BLE107" s="188"/>
      <c r="BLF107" s="187"/>
      <c r="BLL107" s="188"/>
      <c r="BLM107" s="187"/>
      <c r="BLN107" s="168"/>
      <c r="BLO107" s="189"/>
      <c r="BLS107" s="188"/>
      <c r="BLT107" s="187"/>
      <c r="BLZ107" s="188"/>
      <c r="BMA107" s="187"/>
      <c r="BMG107" s="188"/>
      <c r="BMH107" s="187"/>
      <c r="BMN107" s="188"/>
      <c r="BMO107" s="187"/>
      <c r="BMS107" s="168"/>
      <c r="BMT107" s="189"/>
      <c r="BMU107" s="188"/>
      <c r="BMV107" s="187"/>
      <c r="BNB107" s="188"/>
      <c r="BNC107" s="187"/>
      <c r="BNI107" s="188"/>
      <c r="BNJ107" s="187"/>
      <c r="BNP107" s="188"/>
      <c r="BNQ107" s="187"/>
      <c r="BNW107" s="168"/>
      <c r="BNX107" s="189"/>
      <c r="BOD107" s="188"/>
      <c r="BOE107" s="187"/>
      <c r="BOK107" s="188"/>
      <c r="BOL107" s="187"/>
      <c r="BOR107" s="188"/>
      <c r="BOS107" s="187"/>
      <c r="BOY107" s="188"/>
      <c r="BOZ107" s="187"/>
      <c r="BPB107" s="168"/>
      <c r="BPC107" s="189"/>
      <c r="BPF107" s="188"/>
      <c r="BPG107" s="187"/>
      <c r="BPM107" s="188"/>
      <c r="BPN107" s="187"/>
      <c r="BPT107" s="188"/>
      <c r="BPU107" s="187"/>
      <c r="BQA107" s="188"/>
      <c r="BQB107" s="187"/>
      <c r="BQF107" s="168"/>
      <c r="BQG107" s="189"/>
      <c r="BQH107" s="188"/>
      <c r="BQI107" s="187"/>
      <c r="BQO107" s="188"/>
      <c r="BQP107" s="187"/>
      <c r="BQV107" s="188"/>
      <c r="BQW107" s="187"/>
      <c r="BRC107" s="188"/>
      <c r="BRD107" s="187"/>
      <c r="BRJ107" s="188"/>
      <c r="BRK107" s="190"/>
      <c r="BRL107" s="189"/>
      <c r="BRQ107" s="188"/>
      <c r="BRR107" s="187"/>
      <c r="BRX107" s="188"/>
      <c r="BRY107" s="187"/>
      <c r="BSE107" s="188"/>
      <c r="BSF107" s="187"/>
      <c r="BSL107" s="188"/>
      <c r="BSM107" s="187"/>
      <c r="BSP107" s="168"/>
      <c r="BSQ107" s="189"/>
      <c r="BSS107" s="188"/>
      <c r="BST107" s="187"/>
      <c r="BSZ107" s="188"/>
      <c r="BTA107" s="187"/>
      <c r="BTG107" s="188"/>
      <c r="BTH107" s="187"/>
      <c r="BTN107" s="188"/>
      <c r="BTO107" s="187"/>
      <c r="BTS107" s="168"/>
      <c r="BTT107" s="189"/>
      <c r="BTU107" s="188"/>
      <c r="BTV107" s="187"/>
      <c r="BUB107" s="188"/>
      <c r="BUC107" s="187"/>
      <c r="BUI107" s="188"/>
      <c r="BUJ107" s="187"/>
      <c r="BUP107" s="188"/>
      <c r="BUQ107" s="187"/>
      <c r="BUW107" s="188"/>
      <c r="BUX107" s="190"/>
      <c r="BUY107" s="189"/>
      <c r="BVD107" s="188"/>
      <c r="BVE107" s="187"/>
      <c r="BVK107" s="188"/>
      <c r="BVL107" s="187"/>
      <c r="BVR107" s="188"/>
      <c r="BVS107" s="187"/>
      <c r="BVY107" s="188"/>
      <c r="BVZ107" s="187"/>
      <c r="BWB107" s="168"/>
      <c r="BWC107" s="189"/>
      <c r="BWF107" s="188"/>
      <c r="BWG107" s="187"/>
      <c r="BWM107" s="188"/>
      <c r="BWN107" s="187"/>
      <c r="BWT107" s="188"/>
      <c r="BWU107" s="187"/>
      <c r="BXA107" s="188"/>
      <c r="BXB107" s="187"/>
      <c r="BXG107" s="168"/>
      <c r="BXH107" s="191"/>
      <c r="BXI107" s="187"/>
      <c r="BXO107" s="188"/>
      <c r="BXP107" s="187"/>
      <c r="BXV107" s="188"/>
      <c r="BXW107" s="187"/>
      <c r="BYC107" s="188"/>
      <c r="BYD107" s="187"/>
      <c r="BYJ107" s="188"/>
      <c r="BYK107" s="190"/>
      <c r="BYL107" s="189"/>
      <c r="BYQ107" s="188"/>
      <c r="BYR107" s="187"/>
      <c r="BYX107" s="188"/>
      <c r="BYY107" s="187"/>
      <c r="BZE107" s="188"/>
      <c r="BZF107" s="187"/>
      <c r="BZL107" s="188"/>
      <c r="BZM107" s="187"/>
      <c r="BZP107" s="168"/>
      <c r="BZQ107" s="189"/>
      <c r="BZS107" s="188"/>
      <c r="BZT107" s="187"/>
      <c r="BZZ107" s="188"/>
      <c r="CAA107" s="187"/>
      <c r="CAG107" s="188"/>
      <c r="CAH107" s="187"/>
      <c r="CAN107" s="188"/>
      <c r="CAO107" s="187"/>
      <c r="CAU107" s="168"/>
      <c r="CAV107" s="189"/>
      <c r="CBB107" s="188"/>
      <c r="CBC107" s="187"/>
      <c r="CBI107" s="188"/>
      <c r="CBJ107" s="187"/>
      <c r="CBP107" s="188"/>
      <c r="CBQ107" s="187"/>
      <c r="CBW107" s="188"/>
      <c r="CBX107" s="187"/>
      <c r="CBY107" s="168"/>
      <c r="CBZ107" s="189"/>
      <c r="CCD107" s="188"/>
      <c r="CCE107" s="187"/>
      <c r="CCK107" s="188"/>
      <c r="CCL107" s="187"/>
      <c r="CCR107" s="188"/>
      <c r="CCS107" s="187"/>
      <c r="CCY107" s="188"/>
      <c r="CCZ107" s="187"/>
      <c r="CDD107" s="168"/>
      <c r="CDE107" s="189"/>
      <c r="CDF107" s="188"/>
      <c r="CDG107" s="187"/>
      <c r="CDM107" s="188"/>
      <c r="CDN107" s="187"/>
      <c r="CDT107" s="188"/>
      <c r="CDU107" s="187"/>
      <c r="CEA107" s="188"/>
      <c r="CEB107" s="187"/>
      <c r="CEH107" s="168"/>
      <c r="CEI107" s="189"/>
      <c r="CEO107" s="188"/>
      <c r="CEP107" s="187"/>
      <c r="CEV107" s="188"/>
      <c r="CEW107" s="187"/>
      <c r="CFC107" s="188"/>
      <c r="CFD107" s="187"/>
      <c r="CFJ107" s="188"/>
      <c r="CFK107" s="187"/>
    </row>
    <row r="108" spans="1:1019 1025:2048 2054:2195">
      <c r="A108" s="164" t="s">
        <v>393</v>
      </c>
      <c r="C108" s="164" t="s">
        <v>394</v>
      </c>
      <c r="D108" s="186"/>
      <c r="E108" s="186"/>
      <c r="K108" s="187"/>
      <c r="Q108" s="188"/>
      <c r="R108" s="187"/>
      <c r="X108" s="188"/>
      <c r="Y108" s="187"/>
      <c r="AE108" s="188"/>
      <c r="AF108" s="187"/>
      <c r="AJ108" s="168"/>
      <c r="AK108" s="189"/>
      <c r="AL108" s="188"/>
      <c r="AM108" s="187"/>
      <c r="AS108" s="188"/>
      <c r="AT108" s="187"/>
      <c r="AZ108" s="188"/>
      <c r="BA108" s="187"/>
      <c r="BG108" s="188"/>
      <c r="BH108" s="187"/>
      <c r="BL108" s="168"/>
      <c r="BM108" s="189"/>
      <c r="BN108" s="188"/>
      <c r="BO108" s="187"/>
      <c r="BU108" s="188"/>
      <c r="BV108" s="187"/>
      <c r="CB108" s="188"/>
      <c r="CC108" s="187"/>
      <c r="CI108" s="188"/>
      <c r="CJ108" s="187"/>
      <c r="CP108" s="188"/>
      <c r="CQ108" s="190"/>
      <c r="CR108" s="189"/>
      <c r="CW108" s="188"/>
      <c r="CX108" s="187"/>
      <c r="DD108" s="188"/>
      <c r="DE108" s="187"/>
      <c r="DK108" s="188"/>
      <c r="DL108" s="187"/>
      <c r="DR108" s="188"/>
      <c r="DS108" s="187"/>
      <c r="DU108" s="168"/>
      <c r="DV108" s="189"/>
      <c r="DY108" s="188"/>
      <c r="DZ108" s="187"/>
      <c r="EF108" s="188"/>
      <c r="EG108" s="187"/>
      <c r="EM108" s="188"/>
      <c r="EN108" s="187"/>
      <c r="ET108" s="188"/>
      <c r="EU108" s="187"/>
      <c r="EZ108" s="168"/>
      <c r="FA108" s="191"/>
      <c r="FB108" s="187"/>
      <c r="FH108" s="188"/>
      <c r="FI108" s="187"/>
      <c r="FO108" s="188"/>
      <c r="FP108" s="187"/>
      <c r="FV108" s="188"/>
      <c r="FW108" s="187"/>
      <c r="GC108" s="188"/>
      <c r="GD108" s="190"/>
      <c r="GE108" s="189"/>
      <c r="GJ108" s="188"/>
      <c r="GK108" s="187"/>
      <c r="GQ108" s="188"/>
      <c r="GR108" s="187"/>
      <c r="GX108" s="188"/>
      <c r="GY108" s="187"/>
      <c r="HE108" s="188"/>
      <c r="HF108" s="187"/>
      <c r="HI108" s="168"/>
      <c r="HJ108" s="189"/>
      <c r="HL108" s="188"/>
      <c r="HM108" s="187"/>
      <c r="HS108" s="188"/>
      <c r="HT108" s="187"/>
      <c r="HZ108" s="188"/>
      <c r="IA108" s="187"/>
      <c r="IG108" s="188"/>
      <c r="IH108" s="187"/>
      <c r="IN108" s="168"/>
      <c r="IO108" s="189"/>
      <c r="IU108" s="188"/>
      <c r="IV108" s="187"/>
      <c r="JB108" s="188"/>
      <c r="JC108" s="187"/>
      <c r="JI108" s="188"/>
      <c r="JJ108" s="187"/>
      <c r="JP108" s="188"/>
      <c r="JQ108" s="187"/>
      <c r="JR108" s="168"/>
      <c r="JS108" s="189"/>
      <c r="JW108" s="188"/>
      <c r="JX108" s="187"/>
      <c r="KD108" s="188"/>
      <c r="KE108" s="187"/>
      <c r="KK108" s="188"/>
      <c r="KL108" s="187"/>
      <c r="KR108" s="188"/>
      <c r="KS108" s="187"/>
      <c r="KW108" s="168"/>
      <c r="KX108" s="189"/>
      <c r="KY108" s="188"/>
      <c r="KZ108" s="187"/>
      <c r="LF108" s="188"/>
      <c r="LG108" s="187"/>
      <c r="LM108" s="188"/>
      <c r="LN108" s="187"/>
      <c r="LT108" s="188"/>
      <c r="LU108" s="187"/>
      <c r="MA108" s="168"/>
      <c r="MB108" s="189"/>
      <c r="MH108" s="188"/>
      <c r="MI108" s="187"/>
      <c r="MO108" s="188"/>
      <c r="MP108" s="187"/>
      <c r="MV108" s="188"/>
      <c r="MW108" s="187"/>
      <c r="NC108" s="188"/>
      <c r="ND108" s="187"/>
      <c r="NF108" s="168"/>
      <c r="NG108" s="189"/>
      <c r="NJ108" s="188"/>
      <c r="NK108" s="187"/>
      <c r="NQ108" s="188"/>
      <c r="NR108" s="187"/>
      <c r="NX108" s="188"/>
      <c r="NY108" s="187"/>
      <c r="OE108" s="188"/>
      <c r="OF108" s="187"/>
      <c r="OK108" s="168"/>
      <c r="OL108" s="191"/>
      <c r="OM108" s="187"/>
      <c r="OS108" s="188"/>
      <c r="OT108" s="187"/>
      <c r="OZ108" s="188"/>
      <c r="PA108" s="187"/>
      <c r="PG108" s="188"/>
      <c r="PH108" s="187"/>
      <c r="PN108" s="168"/>
      <c r="PO108" s="189"/>
      <c r="PU108" s="188"/>
      <c r="PV108" s="187"/>
      <c r="QB108" s="188"/>
      <c r="QC108" s="187"/>
      <c r="QI108" s="188"/>
      <c r="QJ108" s="187"/>
      <c r="QP108" s="188"/>
      <c r="QQ108" s="187"/>
      <c r="QS108" s="168"/>
      <c r="QT108" s="189"/>
      <c r="QW108" s="188"/>
      <c r="QX108" s="187"/>
      <c r="RD108" s="188"/>
      <c r="RE108" s="187"/>
      <c r="RK108" s="188"/>
      <c r="RL108" s="187"/>
      <c r="RR108" s="188"/>
      <c r="RS108" s="187"/>
      <c r="RW108" s="168"/>
      <c r="RX108" s="189"/>
      <c r="RY108" s="188"/>
      <c r="RZ108" s="187"/>
      <c r="SF108" s="188"/>
      <c r="SG108" s="187"/>
      <c r="SM108" s="188"/>
      <c r="SN108" s="187"/>
      <c r="ST108" s="188"/>
      <c r="SU108" s="187"/>
      <c r="TA108" s="188"/>
      <c r="TB108" s="190"/>
      <c r="TC108" s="189"/>
      <c r="TH108" s="188"/>
      <c r="TI108" s="187"/>
      <c r="TO108" s="188"/>
      <c r="TP108" s="187"/>
      <c r="TV108" s="188"/>
      <c r="TW108" s="187"/>
      <c r="UC108" s="188"/>
      <c r="UD108" s="187"/>
      <c r="UF108" s="168"/>
      <c r="UG108" s="189"/>
      <c r="UJ108" s="188"/>
      <c r="UK108" s="187"/>
      <c r="UQ108" s="188"/>
      <c r="UR108" s="187"/>
      <c r="UX108" s="188"/>
      <c r="UY108" s="187"/>
      <c r="VE108" s="188"/>
      <c r="VF108" s="187"/>
      <c r="VK108" s="168"/>
      <c r="VL108" s="191"/>
      <c r="VM108" s="187"/>
      <c r="VS108" s="188"/>
      <c r="VT108" s="187"/>
      <c r="VZ108" s="188"/>
      <c r="WA108" s="187"/>
      <c r="WG108" s="188"/>
      <c r="WH108" s="187"/>
      <c r="WN108" s="188"/>
      <c r="WO108" s="187"/>
      <c r="WP108" s="168"/>
      <c r="WQ108" s="189"/>
      <c r="WU108" s="188"/>
      <c r="WV108" s="187"/>
      <c r="XB108" s="188"/>
      <c r="XC108" s="187"/>
      <c r="XI108" s="188"/>
      <c r="XJ108" s="187"/>
      <c r="XP108" s="188"/>
      <c r="XQ108" s="187"/>
      <c r="XT108" s="168"/>
      <c r="XU108" s="189"/>
      <c r="XW108" s="188"/>
      <c r="XX108" s="187"/>
      <c r="YD108" s="188"/>
      <c r="YE108" s="187"/>
      <c r="YK108" s="188"/>
      <c r="YL108" s="187"/>
      <c r="YR108" s="188"/>
      <c r="YS108" s="187"/>
      <c r="YY108" s="168"/>
      <c r="YZ108" s="189"/>
      <c r="ZF108" s="188"/>
      <c r="ZG108" s="187"/>
      <c r="ZM108" s="188"/>
      <c r="ZN108" s="187"/>
      <c r="ZT108" s="188"/>
      <c r="ZU108" s="187"/>
      <c r="AAA108" s="188"/>
      <c r="AAB108" s="187"/>
      <c r="AAC108" s="168"/>
      <c r="AAD108" s="189"/>
      <c r="AAH108" s="188"/>
      <c r="AAI108" s="187"/>
      <c r="AAO108" s="188"/>
      <c r="AAP108" s="187"/>
      <c r="AAV108" s="188"/>
      <c r="AAW108" s="187"/>
      <c r="ABC108" s="188"/>
      <c r="ABD108" s="187"/>
      <c r="ABH108" s="168"/>
      <c r="ABI108" s="189"/>
      <c r="ABJ108" s="188"/>
      <c r="ABK108" s="187"/>
      <c r="ABQ108" s="188"/>
      <c r="ABR108" s="187"/>
      <c r="ABX108" s="188"/>
      <c r="ABY108" s="187"/>
      <c r="ACE108" s="188"/>
      <c r="ACF108" s="187"/>
      <c r="ACL108" s="188"/>
      <c r="ACM108" s="190"/>
      <c r="ACN108" s="189"/>
      <c r="ACS108" s="188"/>
      <c r="ACT108" s="187"/>
      <c r="ACZ108" s="188"/>
      <c r="ADA108" s="187"/>
      <c r="ADG108" s="188"/>
      <c r="ADH108" s="187"/>
      <c r="ADN108" s="188"/>
      <c r="ADO108" s="190"/>
      <c r="ADP108" s="189"/>
      <c r="ADU108" s="188"/>
      <c r="ADV108" s="187"/>
      <c r="AEB108" s="188"/>
      <c r="AEC108" s="187"/>
      <c r="AEI108" s="188"/>
      <c r="AEJ108" s="187"/>
      <c r="AEP108" s="188"/>
      <c r="AEQ108" s="187"/>
      <c r="AET108" s="168"/>
      <c r="AEU108" s="189"/>
      <c r="AEW108" s="188"/>
      <c r="AEX108" s="187"/>
      <c r="AFD108" s="188"/>
      <c r="AFE108" s="187"/>
      <c r="AFK108" s="188"/>
      <c r="AFL108" s="187"/>
      <c r="AFR108" s="188"/>
      <c r="AFS108" s="187"/>
      <c r="AFX108" s="168"/>
      <c r="AFY108" s="191"/>
      <c r="AFZ108" s="187"/>
      <c r="AGF108" s="188"/>
      <c r="AGG108" s="187"/>
      <c r="AGM108" s="188"/>
      <c r="AGN108" s="187"/>
      <c r="AGT108" s="188"/>
      <c r="AGU108" s="187"/>
      <c r="AHA108" s="188"/>
      <c r="AHB108" s="187"/>
      <c r="AHC108" s="168"/>
      <c r="AHD108" s="189"/>
      <c r="AHH108" s="188"/>
      <c r="AHI108" s="187"/>
      <c r="AHO108" s="188"/>
      <c r="AHP108" s="187"/>
      <c r="AHV108" s="188"/>
      <c r="AHW108" s="187"/>
      <c r="AIC108" s="188"/>
      <c r="AID108" s="187"/>
      <c r="AIG108" s="168"/>
      <c r="AIH108" s="189"/>
      <c r="AIJ108" s="188"/>
      <c r="AIK108" s="187"/>
      <c r="AIQ108" s="188"/>
      <c r="AIR108" s="187"/>
      <c r="AIX108" s="188"/>
      <c r="AIY108" s="187"/>
      <c r="AJE108" s="188"/>
      <c r="AJF108" s="187"/>
      <c r="AJL108" s="168"/>
      <c r="AJM108" s="189"/>
      <c r="AJS108" s="188"/>
      <c r="AJT108" s="187"/>
      <c r="AJZ108" s="188"/>
      <c r="AKA108" s="187"/>
      <c r="AKG108" s="188"/>
      <c r="AKH108" s="187"/>
      <c r="AKN108" s="188"/>
      <c r="AKO108" s="187"/>
      <c r="AKQ108" s="168"/>
      <c r="AKR108" s="189"/>
      <c r="AKU108" s="188"/>
      <c r="AKV108" s="187"/>
      <c r="ALB108" s="188"/>
      <c r="ALC108" s="187"/>
      <c r="ALI108" s="188"/>
      <c r="ALJ108" s="187"/>
      <c r="ALP108" s="188"/>
      <c r="ALQ108" s="187"/>
      <c r="ALU108" s="168"/>
      <c r="ALV108" s="189"/>
      <c r="ALW108" s="188"/>
      <c r="ALX108" s="187"/>
      <c r="AMD108" s="188"/>
      <c r="AME108" s="187"/>
      <c r="AMK108" s="188"/>
      <c r="AML108" s="187"/>
      <c r="AMR108" s="188"/>
      <c r="AMS108" s="187"/>
      <c r="AMY108" s="188"/>
      <c r="AMZ108" s="190"/>
      <c r="ANA108" s="189"/>
      <c r="ANF108" s="188"/>
      <c r="ANG108" s="187"/>
      <c r="ANM108" s="188"/>
      <c r="ANN108" s="187"/>
      <c r="ANT108" s="188"/>
      <c r="ANU108" s="187"/>
      <c r="AOA108" s="188"/>
      <c r="AOB108" s="187"/>
      <c r="AOD108" s="168"/>
      <c r="AOE108" s="189"/>
      <c r="AOH108" s="188"/>
      <c r="AOI108" s="187"/>
      <c r="AOO108" s="188"/>
      <c r="AOP108" s="187"/>
      <c r="AOV108" s="188"/>
      <c r="AOW108" s="187"/>
      <c r="APC108" s="188"/>
      <c r="APD108" s="187"/>
      <c r="API108" s="168"/>
      <c r="APJ108" s="191"/>
      <c r="APK108" s="187"/>
      <c r="APQ108" s="188"/>
      <c r="APR108" s="187"/>
      <c r="APX108" s="188"/>
      <c r="APY108" s="187"/>
      <c r="AQE108" s="188"/>
      <c r="AQF108" s="187"/>
      <c r="AQL108" s="188"/>
      <c r="AQM108" s="187"/>
      <c r="AQN108" s="168"/>
      <c r="AQO108" s="189"/>
      <c r="AQS108" s="188"/>
      <c r="AQT108" s="187"/>
      <c r="AQZ108" s="188"/>
      <c r="ARA108" s="187"/>
      <c r="ARG108" s="188"/>
      <c r="ARH108" s="187"/>
      <c r="ARN108" s="188"/>
      <c r="ARO108" s="187"/>
      <c r="ARP108" s="168"/>
      <c r="ARQ108" s="189"/>
      <c r="ARU108" s="188"/>
      <c r="ARV108" s="187"/>
      <c r="ASB108" s="188"/>
      <c r="ASC108" s="187"/>
      <c r="ASI108" s="188"/>
      <c r="ASJ108" s="187"/>
      <c r="ASP108" s="188"/>
      <c r="ASQ108" s="187"/>
      <c r="ASU108" s="168"/>
      <c r="ASV108" s="189"/>
      <c r="ASW108" s="188"/>
      <c r="ASX108" s="187"/>
      <c r="ATD108" s="188"/>
      <c r="ATE108" s="187"/>
      <c r="ATK108" s="188"/>
      <c r="ATL108" s="187"/>
      <c r="ATR108" s="188"/>
      <c r="ATS108" s="187"/>
      <c r="ATY108" s="168"/>
      <c r="ATZ108" s="189"/>
      <c r="AUF108" s="188"/>
      <c r="AUG108" s="187"/>
      <c r="AUM108" s="188"/>
      <c r="AUN108" s="187"/>
      <c r="AUT108" s="188"/>
      <c r="AUU108" s="187"/>
      <c r="AVA108" s="188"/>
      <c r="AVB108" s="187"/>
      <c r="AVD108" s="168"/>
      <c r="AVE108" s="189"/>
      <c r="AVH108" s="188"/>
      <c r="AVI108" s="187"/>
      <c r="AVO108" s="188"/>
      <c r="AVP108" s="187"/>
      <c r="AVV108" s="188"/>
      <c r="AVW108" s="187"/>
      <c r="AWC108" s="188"/>
      <c r="AWD108" s="187"/>
      <c r="AWH108" s="168"/>
      <c r="AWI108" s="189"/>
      <c r="AWJ108" s="188"/>
      <c r="AWK108" s="187"/>
      <c r="AWQ108" s="188"/>
      <c r="AWR108" s="187"/>
      <c r="AWX108" s="188"/>
      <c r="AWY108" s="187"/>
      <c r="AXE108" s="188"/>
      <c r="AXF108" s="187"/>
      <c r="AXL108" s="188"/>
      <c r="AXM108" s="190"/>
      <c r="AXN108" s="189"/>
      <c r="AXS108" s="188"/>
      <c r="AXT108" s="187"/>
      <c r="AXZ108" s="188"/>
      <c r="AYA108" s="187"/>
      <c r="AYG108" s="188"/>
      <c r="AYH108" s="187"/>
      <c r="AYN108" s="188"/>
      <c r="AYO108" s="187"/>
      <c r="AYR108" s="168"/>
      <c r="AYS108" s="189"/>
      <c r="AYU108" s="188"/>
      <c r="AYV108" s="187"/>
      <c r="AZB108" s="188"/>
      <c r="AZC108" s="187"/>
      <c r="AZI108" s="188"/>
      <c r="AZJ108" s="187"/>
      <c r="AZP108" s="188"/>
      <c r="AZQ108" s="187"/>
      <c r="AZV108" s="168"/>
      <c r="AZW108" s="191"/>
      <c r="AZX108" s="187"/>
      <c r="BAD108" s="188"/>
      <c r="BAE108" s="187"/>
      <c r="BAK108" s="188"/>
      <c r="BAL108" s="187"/>
      <c r="BAR108" s="188"/>
      <c r="BAS108" s="187"/>
      <c r="BAY108" s="188"/>
      <c r="BAZ108" s="187"/>
      <c r="BBA108" s="168"/>
      <c r="BBB108" s="189"/>
      <c r="BBF108" s="188"/>
      <c r="BBG108" s="187"/>
      <c r="BBM108" s="188"/>
      <c r="BBN108" s="187"/>
      <c r="BBT108" s="188"/>
      <c r="BBU108" s="187"/>
      <c r="BCA108" s="188"/>
      <c r="BCB108" s="187"/>
      <c r="BCE108" s="168"/>
      <c r="BCF108" s="189"/>
      <c r="BCH108" s="188"/>
      <c r="BCI108" s="187"/>
      <c r="BCO108" s="188"/>
      <c r="BCP108" s="187"/>
      <c r="BCV108" s="188"/>
      <c r="BCW108" s="187"/>
      <c r="BDC108" s="188"/>
      <c r="BDD108" s="187"/>
      <c r="BDJ108" s="168"/>
      <c r="BDK108" s="189"/>
      <c r="BDQ108" s="188"/>
      <c r="BDR108" s="187"/>
      <c r="BDX108" s="188"/>
      <c r="BDY108" s="187"/>
      <c r="BEE108" s="188"/>
      <c r="BEF108" s="187"/>
      <c r="BEL108" s="188"/>
      <c r="BEM108" s="187"/>
      <c r="BEO108" s="168"/>
      <c r="BEP108" s="189"/>
      <c r="BES108" s="188"/>
      <c r="BET108" s="187"/>
      <c r="BEZ108" s="188"/>
      <c r="BFA108" s="187"/>
      <c r="BFG108" s="188"/>
      <c r="BFH108" s="187"/>
      <c r="BFN108" s="188"/>
      <c r="BFO108" s="187"/>
      <c r="BFQ108" s="168"/>
      <c r="BFR108" s="189"/>
      <c r="BFU108" s="188"/>
      <c r="BFV108" s="187"/>
      <c r="BGB108" s="188"/>
      <c r="BGC108" s="187"/>
      <c r="BGI108" s="188"/>
      <c r="BGJ108" s="187"/>
      <c r="BGP108" s="188"/>
      <c r="BGQ108" s="187"/>
      <c r="BGV108" s="168"/>
      <c r="BGW108" s="191"/>
      <c r="BGX108" s="187"/>
      <c r="BHD108" s="188"/>
      <c r="BHE108" s="187"/>
      <c r="BHK108" s="188"/>
      <c r="BHL108" s="187"/>
      <c r="BHR108" s="188"/>
      <c r="BHS108" s="187"/>
      <c r="BHY108" s="188"/>
      <c r="BHZ108" s="190"/>
      <c r="BIA108" s="189"/>
      <c r="BIF108" s="188"/>
      <c r="BIG108" s="187"/>
      <c r="BIM108" s="188"/>
      <c r="BIN108" s="187"/>
      <c r="BIT108" s="188"/>
      <c r="BIU108" s="187"/>
      <c r="BJA108" s="188"/>
      <c r="BJB108" s="187"/>
      <c r="BJE108" s="168"/>
      <c r="BJF108" s="189"/>
      <c r="BJH108" s="188"/>
      <c r="BJI108" s="187"/>
      <c r="BJO108" s="188"/>
      <c r="BJP108" s="187"/>
      <c r="BJV108" s="188"/>
      <c r="BJW108" s="187"/>
      <c r="BKC108" s="188"/>
      <c r="BKD108" s="187"/>
      <c r="BKI108" s="168"/>
      <c r="BKJ108" s="191"/>
      <c r="BKK108" s="187"/>
      <c r="BKQ108" s="188"/>
      <c r="BKR108" s="187"/>
      <c r="BKX108" s="188"/>
      <c r="BKY108" s="187"/>
      <c r="BLE108" s="188"/>
      <c r="BLF108" s="187"/>
      <c r="BLL108" s="188"/>
      <c r="BLM108" s="187"/>
      <c r="BLN108" s="168"/>
      <c r="BLO108" s="189"/>
      <c r="BLS108" s="188"/>
      <c r="BLT108" s="187"/>
      <c r="BLZ108" s="188"/>
      <c r="BMA108" s="187"/>
      <c r="BMG108" s="188"/>
      <c r="BMH108" s="187"/>
      <c r="BMN108" s="188"/>
      <c r="BMO108" s="187"/>
      <c r="BMS108" s="168"/>
      <c r="BMT108" s="189"/>
      <c r="BMU108" s="188"/>
      <c r="BMV108" s="187"/>
      <c r="BNB108" s="188"/>
      <c r="BNC108" s="187"/>
      <c r="BNI108" s="188"/>
      <c r="BNJ108" s="187"/>
      <c r="BNP108" s="188"/>
      <c r="BNQ108" s="187"/>
      <c r="BNW108" s="168"/>
      <c r="BNX108" s="189"/>
      <c r="BOD108" s="188"/>
      <c r="BOE108" s="187"/>
      <c r="BOK108" s="188"/>
      <c r="BOL108" s="187"/>
      <c r="BOR108" s="188"/>
      <c r="BOS108" s="187"/>
      <c r="BOY108" s="188"/>
      <c r="BOZ108" s="187"/>
      <c r="BPB108" s="168"/>
      <c r="BPC108" s="189"/>
      <c r="BPF108" s="188"/>
      <c r="BPG108" s="187"/>
      <c r="BPM108" s="188"/>
      <c r="BPN108" s="187"/>
      <c r="BPT108" s="188"/>
      <c r="BPU108" s="187"/>
      <c r="BQA108" s="188"/>
      <c r="BQB108" s="187"/>
      <c r="BQF108" s="168"/>
      <c r="BQG108" s="189"/>
      <c r="BQH108" s="188"/>
      <c r="BQI108" s="187"/>
      <c r="BQO108" s="188"/>
      <c r="BQP108" s="187"/>
      <c r="BQV108" s="188"/>
      <c r="BQW108" s="187"/>
      <c r="BRC108" s="188"/>
      <c r="BRD108" s="187"/>
      <c r="BRJ108" s="188"/>
      <c r="BRK108" s="190"/>
      <c r="BRL108" s="189"/>
      <c r="BRQ108" s="188"/>
      <c r="BRR108" s="187"/>
      <c r="BRX108" s="188"/>
      <c r="BRY108" s="187"/>
      <c r="BSE108" s="188"/>
      <c r="BSF108" s="187"/>
      <c r="BSL108" s="188"/>
      <c r="BSM108" s="187"/>
      <c r="BSP108" s="168"/>
      <c r="BSQ108" s="189"/>
      <c r="BSS108" s="188"/>
      <c r="BST108" s="187"/>
      <c r="BSZ108" s="188"/>
      <c r="BTA108" s="187"/>
      <c r="BTG108" s="188"/>
      <c r="BTH108" s="187"/>
      <c r="BTN108" s="188"/>
      <c r="BTO108" s="187"/>
      <c r="BTS108" s="168"/>
      <c r="BTT108" s="189"/>
      <c r="BTU108" s="188"/>
      <c r="BTV108" s="187"/>
      <c r="BUB108" s="188"/>
      <c r="BUC108" s="187"/>
      <c r="BUI108" s="188"/>
      <c r="BUJ108" s="187"/>
      <c r="BUP108" s="188"/>
      <c r="BUQ108" s="187"/>
      <c r="BUW108" s="188"/>
      <c r="BUX108" s="190"/>
      <c r="BUY108" s="189"/>
      <c r="BVD108" s="188"/>
      <c r="BVE108" s="187"/>
      <c r="BVK108" s="188"/>
      <c r="BVL108" s="187"/>
      <c r="BVR108" s="188"/>
      <c r="BVS108" s="187"/>
      <c r="BVY108" s="188"/>
      <c r="BVZ108" s="187"/>
      <c r="BWB108" s="168"/>
      <c r="BWC108" s="189"/>
      <c r="BWF108" s="188"/>
      <c r="BWG108" s="187"/>
      <c r="BWM108" s="188"/>
      <c r="BWN108" s="187"/>
      <c r="BWT108" s="188"/>
      <c r="BWU108" s="187"/>
      <c r="BXA108" s="188"/>
      <c r="BXB108" s="187"/>
      <c r="BXG108" s="168"/>
      <c r="BXH108" s="191"/>
      <c r="BXI108" s="187"/>
      <c r="BXO108" s="188"/>
      <c r="BXP108" s="187"/>
      <c r="BXV108" s="188"/>
      <c r="BXW108" s="187"/>
      <c r="BYC108" s="188"/>
      <c r="BYD108" s="187"/>
      <c r="BYJ108" s="188"/>
      <c r="BYK108" s="190"/>
      <c r="BYL108" s="189"/>
      <c r="BYQ108" s="188"/>
      <c r="BYR108" s="187"/>
      <c r="BYX108" s="188"/>
      <c r="BYY108" s="187"/>
      <c r="BZE108" s="188"/>
      <c r="BZF108" s="187"/>
      <c r="BZL108" s="188"/>
      <c r="BZM108" s="187"/>
      <c r="BZP108" s="168"/>
      <c r="BZQ108" s="189"/>
      <c r="BZS108" s="188"/>
      <c r="BZT108" s="187"/>
      <c r="BZZ108" s="188"/>
      <c r="CAA108" s="187"/>
      <c r="CAG108" s="188"/>
      <c r="CAH108" s="187"/>
      <c r="CAN108" s="188"/>
      <c r="CAO108" s="187"/>
      <c r="CAU108" s="168"/>
      <c r="CAV108" s="189"/>
      <c r="CBB108" s="188"/>
      <c r="CBC108" s="187"/>
      <c r="CBI108" s="188"/>
      <c r="CBJ108" s="187"/>
      <c r="CBP108" s="188"/>
      <c r="CBQ108" s="187"/>
      <c r="CBW108" s="188"/>
      <c r="CBX108" s="187"/>
      <c r="CBY108" s="168"/>
      <c r="CBZ108" s="189"/>
      <c r="CCD108" s="188"/>
      <c r="CCE108" s="187"/>
      <c r="CCK108" s="188"/>
      <c r="CCL108" s="187"/>
      <c r="CCR108" s="188"/>
      <c r="CCS108" s="187"/>
      <c r="CCY108" s="188"/>
      <c r="CCZ108" s="187"/>
      <c r="CDD108" s="168"/>
      <c r="CDE108" s="189"/>
      <c r="CDF108" s="188"/>
      <c r="CDG108" s="187"/>
      <c r="CDM108" s="188"/>
      <c r="CDN108" s="187"/>
      <c r="CDT108" s="188"/>
      <c r="CDU108" s="187"/>
      <c r="CEA108" s="188"/>
      <c r="CEB108" s="187"/>
      <c r="CEH108" s="168"/>
      <c r="CEI108" s="189"/>
      <c r="CEO108" s="188"/>
      <c r="CEP108" s="187"/>
      <c r="CEV108" s="188"/>
      <c r="CEW108" s="187"/>
      <c r="CFC108" s="188"/>
      <c r="CFD108" s="187"/>
      <c r="CFJ108" s="188"/>
      <c r="CFK108" s="187"/>
    </row>
    <row r="109" spans="1:1019 1025:2048 2054:2195">
      <c r="A109" s="164" t="s">
        <v>395</v>
      </c>
      <c r="C109" s="164" t="s">
        <v>396</v>
      </c>
      <c r="D109" s="186"/>
      <c r="E109" s="186"/>
      <c r="K109" s="187"/>
      <c r="Q109" s="188"/>
      <c r="R109" s="187"/>
      <c r="X109" s="188"/>
      <c r="Y109" s="187"/>
      <c r="AE109" s="188"/>
      <c r="AF109" s="187"/>
      <c r="AJ109" s="168"/>
      <c r="AK109" s="189"/>
      <c r="AL109" s="188"/>
      <c r="AM109" s="187"/>
      <c r="AS109" s="188"/>
      <c r="AT109" s="187"/>
      <c r="AZ109" s="188"/>
      <c r="BA109" s="187"/>
      <c r="BG109" s="188"/>
      <c r="BH109" s="187"/>
      <c r="BL109" s="168"/>
      <c r="BM109" s="189"/>
      <c r="BN109" s="188"/>
      <c r="BO109" s="187"/>
      <c r="BU109" s="188"/>
      <c r="BV109" s="187"/>
      <c r="CB109" s="188"/>
      <c r="CC109" s="187"/>
      <c r="CI109" s="188"/>
      <c r="CJ109" s="187"/>
      <c r="CP109" s="188"/>
      <c r="CQ109" s="190"/>
      <c r="CR109" s="189"/>
      <c r="CW109" s="188"/>
      <c r="CX109" s="187"/>
      <c r="DD109" s="188"/>
      <c r="DE109" s="187"/>
      <c r="DK109" s="188"/>
      <c r="DL109" s="187"/>
      <c r="DR109" s="188"/>
      <c r="DS109" s="187"/>
      <c r="DU109" s="168"/>
      <c r="DV109" s="189"/>
      <c r="DY109" s="188"/>
      <c r="DZ109" s="187"/>
      <c r="EF109" s="188"/>
      <c r="EG109" s="187"/>
      <c r="EM109" s="188"/>
      <c r="EN109" s="187"/>
      <c r="ET109" s="188"/>
      <c r="EU109" s="187"/>
      <c r="EZ109" s="168"/>
      <c r="FA109" s="191"/>
      <c r="FB109" s="187"/>
      <c r="FH109" s="188"/>
      <c r="FI109" s="187"/>
      <c r="FO109" s="188"/>
      <c r="FP109" s="187"/>
      <c r="FV109" s="188"/>
      <c r="FW109" s="187"/>
      <c r="GC109" s="188"/>
      <c r="GD109" s="190"/>
      <c r="GE109" s="189"/>
      <c r="GJ109" s="188"/>
      <c r="GK109" s="187"/>
      <c r="GQ109" s="188"/>
      <c r="GR109" s="187"/>
      <c r="GX109" s="188"/>
      <c r="GY109" s="187"/>
      <c r="HE109" s="188"/>
      <c r="HF109" s="187"/>
      <c r="HI109" s="168"/>
      <c r="HJ109" s="189"/>
      <c r="HL109" s="188"/>
      <c r="HM109" s="187"/>
      <c r="HS109" s="188"/>
      <c r="HT109" s="187"/>
      <c r="HZ109" s="188"/>
      <c r="IA109" s="187"/>
      <c r="IG109" s="188"/>
      <c r="IH109" s="187"/>
      <c r="IN109" s="168"/>
      <c r="IO109" s="189"/>
      <c r="IU109" s="188"/>
      <c r="IV109" s="187"/>
      <c r="JB109" s="188"/>
      <c r="JC109" s="187"/>
      <c r="JI109" s="188"/>
      <c r="JJ109" s="187"/>
      <c r="JP109" s="188"/>
      <c r="JQ109" s="187"/>
      <c r="JR109" s="168"/>
      <c r="JS109" s="189"/>
      <c r="JW109" s="188"/>
      <c r="JX109" s="187"/>
      <c r="KD109" s="188"/>
      <c r="KE109" s="187"/>
      <c r="KK109" s="188"/>
      <c r="KL109" s="187"/>
      <c r="KR109" s="188"/>
      <c r="KS109" s="187"/>
      <c r="KW109" s="168"/>
      <c r="KX109" s="189"/>
      <c r="KY109" s="188"/>
      <c r="KZ109" s="187"/>
      <c r="LF109" s="188"/>
      <c r="LG109" s="187"/>
      <c r="LM109" s="188"/>
      <c r="LN109" s="187"/>
      <c r="LT109" s="188"/>
      <c r="LU109" s="187"/>
      <c r="MA109" s="168"/>
      <c r="MB109" s="189"/>
      <c r="MH109" s="188"/>
      <c r="MI109" s="187"/>
      <c r="MO109" s="188"/>
      <c r="MP109" s="187"/>
      <c r="MV109" s="188"/>
      <c r="MW109" s="187"/>
      <c r="NC109" s="188"/>
      <c r="ND109" s="187"/>
      <c r="NF109" s="168"/>
      <c r="NG109" s="189"/>
      <c r="NJ109" s="188"/>
      <c r="NK109" s="187"/>
      <c r="NQ109" s="188"/>
      <c r="NR109" s="187"/>
      <c r="NX109" s="188"/>
      <c r="NY109" s="187"/>
      <c r="OE109" s="188"/>
      <c r="OF109" s="187"/>
      <c r="OK109" s="168"/>
      <c r="OL109" s="191"/>
      <c r="OM109" s="187"/>
      <c r="OS109" s="188"/>
      <c r="OT109" s="187"/>
      <c r="OZ109" s="188"/>
      <c r="PA109" s="187"/>
      <c r="PG109" s="188"/>
      <c r="PH109" s="187"/>
      <c r="PN109" s="168"/>
      <c r="PO109" s="189"/>
      <c r="PU109" s="188"/>
      <c r="PV109" s="187"/>
      <c r="QB109" s="188"/>
      <c r="QC109" s="187"/>
      <c r="QI109" s="188"/>
      <c r="QJ109" s="187"/>
      <c r="QP109" s="188"/>
      <c r="QQ109" s="187"/>
      <c r="QS109" s="168"/>
      <c r="QT109" s="189"/>
      <c r="QW109" s="188"/>
      <c r="QX109" s="187"/>
      <c r="RD109" s="188"/>
      <c r="RE109" s="187"/>
      <c r="RK109" s="188"/>
      <c r="RL109" s="187"/>
      <c r="RR109" s="188"/>
      <c r="RS109" s="187"/>
      <c r="RW109" s="168"/>
      <c r="RX109" s="189"/>
      <c r="RY109" s="188"/>
      <c r="RZ109" s="187"/>
      <c r="SF109" s="188"/>
      <c r="SG109" s="187"/>
      <c r="SM109" s="188"/>
      <c r="SN109" s="187"/>
      <c r="ST109" s="188"/>
      <c r="SU109" s="187"/>
      <c r="TA109" s="188"/>
      <c r="TB109" s="190"/>
      <c r="TC109" s="189"/>
      <c r="TH109" s="188"/>
      <c r="TI109" s="187"/>
      <c r="TO109" s="188"/>
      <c r="TP109" s="187"/>
      <c r="TV109" s="188"/>
      <c r="TW109" s="187"/>
      <c r="UC109" s="188"/>
      <c r="UD109" s="187"/>
      <c r="UF109" s="168"/>
      <c r="UG109" s="189"/>
      <c r="UJ109" s="188"/>
      <c r="UK109" s="187"/>
      <c r="UQ109" s="188"/>
      <c r="UR109" s="187"/>
      <c r="UX109" s="188"/>
      <c r="UY109" s="187"/>
      <c r="VE109" s="188"/>
      <c r="VF109" s="187"/>
      <c r="VK109" s="168"/>
      <c r="VL109" s="191"/>
      <c r="VM109" s="187"/>
      <c r="VS109" s="188"/>
      <c r="VT109" s="187"/>
      <c r="VZ109" s="188"/>
      <c r="WA109" s="187"/>
      <c r="WG109" s="188"/>
      <c r="WH109" s="187"/>
      <c r="WN109" s="188"/>
      <c r="WO109" s="187"/>
      <c r="WP109" s="168"/>
      <c r="WQ109" s="189"/>
      <c r="WU109" s="188"/>
      <c r="WV109" s="187"/>
      <c r="XB109" s="188"/>
      <c r="XC109" s="187"/>
      <c r="XI109" s="188"/>
      <c r="XJ109" s="187"/>
      <c r="XP109" s="188"/>
      <c r="XQ109" s="187"/>
      <c r="XT109" s="168"/>
      <c r="XU109" s="189"/>
      <c r="XW109" s="188"/>
      <c r="XX109" s="187"/>
      <c r="YD109" s="188"/>
      <c r="YE109" s="187"/>
      <c r="YK109" s="188"/>
      <c r="YL109" s="187"/>
      <c r="YR109" s="188"/>
      <c r="YS109" s="187"/>
      <c r="YY109" s="168"/>
      <c r="YZ109" s="189"/>
      <c r="ZF109" s="188"/>
      <c r="ZG109" s="187"/>
      <c r="ZM109" s="188"/>
      <c r="ZN109" s="187"/>
      <c r="ZT109" s="188"/>
      <c r="ZU109" s="187"/>
      <c r="AAA109" s="188"/>
      <c r="AAB109" s="187"/>
      <c r="AAC109" s="168"/>
      <c r="AAD109" s="189"/>
      <c r="AAH109" s="188"/>
      <c r="AAI109" s="187"/>
      <c r="AAO109" s="188"/>
      <c r="AAP109" s="187"/>
      <c r="AAV109" s="188"/>
      <c r="AAW109" s="187"/>
      <c r="ABC109" s="188"/>
      <c r="ABD109" s="187"/>
      <c r="ABH109" s="168"/>
      <c r="ABI109" s="189"/>
      <c r="ABJ109" s="188"/>
      <c r="ABK109" s="187"/>
      <c r="ABQ109" s="188"/>
      <c r="ABR109" s="187"/>
      <c r="ABX109" s="188"/>
      <c r="ABY109" s="187"/>
      <c r="ACE109" s="188"/>
      <c r="ACF109" s="187"/>
      <c r="ACL109" s="188"/>
      <c r="ACM109" s="190"/>
      <c r="ACN109" s="189"/>
      <c r="ACS109" s="188"/>
      <c r="ACT109" s="187"/>
      <c r="ACZ109" s="188"/>
      <c r="ADA109" s="187"/>
      <c r="ADG109" s="188"/>
      <c r="ADH109" s="187"/>
      <c r="ADN109" s="188"/>
      <c r="ADO109" s="190"/>
      <c r="ADP109" s="189"/>
      <c r="ADU109" s="188"/>
      <c r="ADV109" s="187"/>
      <c r="AEB109" s="188"/>
      <c r="AEC109" s="187"/>
      <c r="AEI109" s="188"/>
      <c r="AEJ109" s="187"/>
      <c r="AEP109" s="188"/>
      <c r="AEQ109" s="187"/>
      <c r="AET109" s="168"/>
      <c r="AEU109" s="189"/>
      <c r="AEW109" s="188"/>
      <c r="AEX109" s="187"/>
      <c r="AFD109" s="188"/>
      <c r="AFE109" s="187"/>
      <c r="AFK109" s="188"/>
      <c r="AFL109" s="187"/>
      <c r="AFR109" s="188"/>
      <c r="AFS109" s="187"/>
      <c r="AFX109" s="168"/>
      <c r="AFY109" s="191"/>
      <c r="AFZ109" s="187"/>
      <c r="AGF109" s="188"/>
      <c r="AGG109" s="187"/>
      <c r="AGM109" s="188"/>
      <c r="AGN109" s="187"/>
      <c r="AGT109" s="188"/>
      <c r="AGU109" s="187"/>
      <c r="AHA109" s="188"/>
      <c r="AHB109" s="187"/>
      <c r="AHC109" s="168"/>
      <c r="AHD109" s="189"/>
      <c r="AHH109" s="188"/>
      <c r="AHI109" s="187"/>
      <c r="AHO109" s="188"/>
      <c r="AHP109" s="187"/>
      <c r="AHV109" s="188"/>
      <c r="AHW109" s="187"/>
      <c r="AIC109" s="188"/>
      <c r="AID109" s="187"/>
      <c r="AIG109" s="168"/>
      <c r="AIH109" s="189"/>
      <c r="AIJ109" s="188"/>
      <c r="AIK109" s="187"/>
      <c r="AIQ109" s="188"/>
      <c r="AIR109" s="187"/>
      <c r="AIX109" s="188"/>
      <c r="AIY109" s="187"/>
      <c r="AJE109" s="188"/>
      <c r="AJF109" s="187"/>
      <c r="AJL109" s="168"/>
      <c r="AJM109" s="189"/>
      <c r="AJS109" s="188"/>
      <c r="AJT109" s="187"/>
      <c r="AJZ109" s="188"/>
      <c r="AKA109" s="187"/>
      <c r="AKG109" s="188"/>
      <c r="AKH109" s="187"/>
      <c r="AKN109" s="188"/>
      <c r="AKO109" s="187"/>
      <c r="AKQ109" s="168"/>
      <c r="AKR109" s="189"/>
      <c r="AKU109" s="188"/>
      <c r="AKV109" s="187"/>
      <c r="ALB109" s="188"/>
      <c r="ALC109" s="187"/>
      <c r="ALI109" s="188"/>
      <c r="ALJ109" s="187"/>
      <c r="ALP109" s="188"/>
      <c r="ALQ109" s="187"/>
      <c r="ALU109" s="168"/>
      <c r="ALV109" s="189"/>
      <c r="ALW109" s="188"/>
      <c r="ALX109" s="187"/>
      <c r="AMD109" s="188"/>
      <c r="AME109" s="187"/>
      <c r="AMK109" s="188"/>
      <c r="AML109" s="187"/>
      <c r="AMR109" s="188"/>
      <c r="AMS109" s="187"/>
      <c r="AMY109" s="188"/>
      <c r="AMZ109" s="190"/>
      <c r="ANA109" s="189"/>
      <c r="ANF109" s="188"/>
      <c r="ANG109" s="187"/>
      <c r="ANM109" s="188"/>
      <c r="ANN109" s="187"/>
      <c r="ANT109" s="188"/>
      <c r="ANU109" s="187"/>
      <c r="AOA109" s="188"/>
      <c r="AOB109" s="187"/>
      <c r="AOD109" s="168"/>
      <c r="AOE109" s="189"/>
      <c r="AOH109" s="188"/>
      <c r="AOI109" s="187"/>
      <c r="AOO109" s="188"/>
      <c r="AOP109" s="187"/>
      <c r="AOV109" s="188"/>
      <c r="AOW109" s="187"/>
      <c r="APC109" s="188"/>
      <c r="APD109" s="187"/>
      <c r="API109" s="168"/>
      <c r="APJ109" s="191"/>
      <c r="APK109" s="187"/>
      <c r="APQ109" s="188"/>
      <c r="APR109" s="187"/>
      <c r="APX109" s="188"/>
      <c r="APY109" s="187"/>
      <c r="AQE109" s="188"/>
      <c r="AQF109" s="187"/>
      <c r="AQL109" s="188"/>
      <c r="AQM109" s="187"/>
      <c r="AQN109" s="168"/>
      <c r="AQO109" s="189"/>
      <c r="AQS109" s="188"/>
      <c r="AQT109" s="187"/>
      <c r="AQZ109" s="188"/>
      <c r="ARA109" s="187"/>
      <c r="ARG109" s="188"/>
      <c r="ARH109" s="187"/>
      <c r="ARN109" s="188"/>
      <c r="ARO109" s="187"/>
      <c r="ARP109" s="168"/>
      <c r="ARQ109" s="189"/>
      <c r="ARU109" s="188"/>
      <c r="ARV109" s="187"/>
      <c r="ASB109" s="188"/>
      <c r="ASC109" s="187"/>
      <c r="ASI109" s="188"/>
      <c r="ASJ109" s="187"/>
      <c r="ASP109" s="188"/>
      <c r="ASQ109" s="187"/>
      <c r="ASU109" s="168"/>
      <c r="ASV109" s="189"/>
      <c r="ASW109" s="188"/>
      <c r="ASX109" s="187"/>
      <c r="ATD109" s="188"/>
      <c r="ATE109" s="187"/>
      <c r="ATK109" s="188"/>
      <c r="ATL109" s="187"/>
      <c r="ATR109" s="188"/>
      <c r="ATS109" s="187"/>
      <c r="ATY109" s="168"/>
      <c r="ATZ109" s="189"/>
      <c r="AUF109" s="188"/>
      <c r="AUG109" s="187"/>
      <c r="AUM109" s="188"/>
      <c r="AUN109" s="187"/>
      <c r="AUT109" s="188"/>
      <c r="AUU109" s="187"/>
      <c r="AVA109" s="188"/>
      <c r="AVB109" s="187"/>
      <c r="AVD109" s="168"/>
      <c r="AVE109" s="189"/>
      <c r="AVH109" s="188"/>
      <c r="AVI109" s="187"/>
      <c r="AVO109" s="188"/>
      <c r="AVP109" s="187"/>
      <c r="AVV109" s="188"/>
      <c r="AVW109" s="187"/>
      <c r="AWC109" s="188"/>
      <c r="AWD109" s="187"/>
      <c r="AWH109" s="168"/>
      <c r="AWI109" s="189"/>
      <c r="AWJ109" s="188"/>
      <c r="AWK109" s="187"/>
      <c r="AWQ109" s="188"/>
      <c r="AWR109" s="187"/>
      <c r="AWX109" s="188"/>
      <c r="AWY109" s="187"/>
      <c r="AXE109" s="188"/>
      <c r="AXF109" s="187"/>
      <c r="AXL109" s="188"/>
      <c r="AXM109" s="190"/>
      <c r="AXN109" s="189"/>
      <c r="AXS109" s="188"/>
      <c r="AXT109" s="187"/>
      <c r="AXZ109" s="188"/>
      <c r="AYA109" s="187"/>
      <c r="AYG109" s="188"/>
      <c r="AYH109" s="187"/>
      <c r="AYN109" s="188"/>
      <c r="AYO109" s="187"/>
      <c r="AYR109" s="168"/>
      <c r="AYS109" s="189"/>
      <c r="AYU109" s="188"/>
      <c r="AYV109" s="187"/>
      <c r="AZB109" s="188"/>
      <c r="AZC109" s="187"/>
      <c r="AZI109" s="188"/>
      <c r="AZJ109" s="187"/>
      <c r="AZP109" s="188"/>
      <c r="AZQ109" s="187"/>
      <c r="AZV109" s="168"/>
      <c r="AZW109" s="191"/>
      <c r="AZX109" s="187"/>
      <c r="BAD109" s="188"/>
      <c r="BAE109" s="187"/>
      <c r="BAK109" s="188"/>
      <c r="BAL109" s="187"/>
      <c r="BAR109" s="188"/>
      <c r="BAS109" s="187"/>
      <c r="BAY109" s="188"/>
      <c r="BAZ109" s="187"/>
      <c r="BBA109" s="168"/>
      <c r="BBB109" s="189"/>
      <c r="BBF109" s="188"/>
      <c r="BBG109" s="187"/>
      <c r="BBM109" s="188"/>
      <c r="BBN109" s="187"/>
      <c r="BBT109" s="188"/>
      <c r="BBU109" s="187"/>
      <c r="BCA109" s="188"/>
      <c r="BCB109" s="187"/>
      <c r="BCE109" s="168"/>
      <c r="BCF109" s="189"/>
      <c r="BCH109" s="188"/>
      <c r="BCI109" s="187"/>
      <c r="BCO109" s="188"/>
      <c r="BCP109" s="187"/>
      <c r="BCV109" s="188"/>
      <c r="BCW109" s="187"/>
      <c r="BDC109" s="188"/>
      <c r="BDD109" s="187"/>
      <c r="BDJ109" s="168"/>
      <c r="BDK109" s="189"/>
      <c r="BDQ109" s="188"/>
      <c r="BDR109" s="187"/>
      <c r="BDX109" s="188"/>
      <c r="BDY109" s="187"/>
      <c r="BEE109" s="188"/>
      <c r="BEF109" s="187"/>
      <c r="BEL109" s="188"/>
      <c r="BEM109" s="187"/>
      <c r="BEO109" s="168"/>
      <c r="BEP109" s="189"/>
      <c r="BES109" s="188"/>
      <c r="BET109" s="187"/>
      <c r="BEZ109" s="188"/>
      <c r="BFA109" s="187"/>
      <c r="BFG109" s="188"/>
      <c r="BFH109" s="187"/>
      <c r="BFN109" s="188"/>
      <c r="BFO109" s="187"/>
      <c r="BFQ109" s="168"/>
      <c r="BFR109" s="189"/>
      <c r="BFU109" s="188"/>
      <c r="BFV109" s="187"/>
      <c r="BGB109" s="188"/>
      <c r="BGC109" s="187"/>
      <c r="BGI109" s="188"/>
      <c r="BGJ109" s="187"/>
      <c r="BGP109" s="188"/>
      <c r="BGQ109" s="187"/>
      <c r="BGV109" s="168"/>
      <c r="BGW109" s="191"/>
      <c r="BGX109" s="187"/>
      <c r="BHD109" s="188"/>
      <c r="BHE109" s="187"/>
      <c r="BHK109" s="188"/>
      <c r="BHL109" s="187"/>
      <c r="BHR109" s="188"/>
      <c r="BHS109" s="187"/>
      <c r="BHY109" s="188"/>
      <c r="BHZ109" s="190"/>
      <c r="BIA109" s="189"/>
      <c r="BIF109" s="188"/>
      <c r="BIG109" s="187"/>
      <c r="BIM109" s="188"/>
      <c r="BIN109" s="187"/>
      <c r="BIT109" s="188"/>
      <c r="BIU109" s="187"/>
      <c r="BJA109" s="188"/>
      <c r="BJB109" s="187"/>
      <c r="BJE109" s="168"/>
      <c r="BJF109" s="189"/>
      <c r="BJH109" s="188"/>
      <c r="BJI109" s="187"/>
      <c r="BJO109" s="188"/>
      <c r="BJP109" s="187"/>
      <c r="BJV109" s="188"/>
      <c r="BJW109" s="187"/>
      <c r="BKC109" s="188"/>
      <c r="BKD109" s="187"/>
      <c r="BKI109" s="168"/>
      <c r="BKJ109" s="191"/>
      <c r="BKK109" s="187"/>
      <c r="BKQ109" s="188"/>
      <c r="BKR109" s="187"/>
      <c r="BKX109" s="188"/>
      <c r="BKY109" s="187"/>
      <c r="BLE109" s="188"/>
      <c r="BLF109" s="187"/>
      <c r="BLL109" s="188"/>
      <c r="BLM109" s="187"/>
      <c r="BLN109" s="168"/>
      <c r="BLO109" s="189"/>
      <c r="BLS109" s="188"/>
      <c r="BLT109" s="187"/>
      <c r="BLZ109" s="188"/>
      <c r="BMA109" s="187"/>
      <c r="BMG109" s="188"/>
      <c r="BMH109" s="187"/>
      <c r="BMN109" s="188"/>
      <c r="BMO109" s="187"/>
      <c r="BMS109" s="168"/>
      <c r="BMT109" s="189"/>
      <c r="BMU109" s="188"/>
      <c r="BMV109" s="187"/>
      <c r="BNB109" s="188"/>
      <c r="BNC109" s="187"/>
      <c r="BNI109" s="188"/>
      <c r="BNJ109" s="187"/>
      <c r="BNP109" s="188"/>
      <c r="BNQ109" s="187"/>
      <c r="BNW109" s="168"/>
      <c r="BNX109" s="189"/>
      <c r="BOD109" s="188"/>
      <c r="BOE109" s="187"/>
      <c r="BOK109" s="188"/>
      <c r="BOL109" s="187"/>
      <c r="BOR109" s="188"/>
      <c r="BOS109" s="187"/>
      <c r="BOY109" s="188"/>
      <c r="BOZ109" s="187"/>
      <c r="BPB109" s="168"/>
      <c r="BPC109" s="189"/>
      <c r="BPF109" s="188"/>
      <c r="BPG109" s="187"/>
      <c r="BPM109" s="188"/>
      <c r="BPN109" s="187"/>
      <c r="BPT109" s="188"/>
      <c r="BPU109" s="187"/>
      <c r="BQA109" s="188"/>
      <c r="BQB109" s="187"/>
      <c r="BQF109" s="168"/>
      <c r="BQG109" s="189"/>
      <c r="BQH109" s="188"/>
      <c r="BQI109" s="187"/>
      <c r="BQO109" s="188"/>
      <c r="BQP109" s="187"/>
      <c r="BQV109" s="188"/>
      <c r="BQW109" s="187"/>
      <c r="BRC109" s="188"/>
      <c r="BRD109" s="187"/>
      <c r="BRJ109" s="188"/>
      <c r="BRK109" s="190"/>
      <c r="BRL109" s="189"/>
      <c r="BRQ109" s="188"/>
      <c r="BRR109" s="187"/>
      <c r="BRX109" s="188"/>
      <c r="BRY109" s="187"/>
      <c r="BSE109" s="188"/>
      <c r="BSF109" s="187"/>
      <c r="BSL109" s="188"/>
      <c r="BSM109" s="187"/>
      <c r="BSP109" s="168"/>
      <c r="BSQ109" s="189"/>
      <c r="BSS109" s="188"/>
      <c r="BST109" s="187"/>
      <c r="BSZ109" s="188"/>
      <c r="BTA109" s="187"/>
      <c r="BTG109" s="188"/>
      <c r="BTH109" s="187"/>
      <c r="BTN109" s="188"/>
      <c r="BTO109" s="187"/>
      <c r="BTS109" s="168"/>
      <c r="BTT109" s="189"/>
      <c r="BTU109" s="188"/>
      <c r="BTV109" s="187"/>
      <c r="BUB109" s="188"/>
      <c r="BUC109" s="187"/>
      <c r="BUI109" s="188"/>
      <c r="BUJ109" s="187"/>
      <c r="BUP109" s="188"/>
      <c r="BUQ109" s="187"/>
      <c r="BUW109" s="188"/>
      <c r="BUX109" s="190"/>
      <c r="BUY109" s="189"/>
      <c r="BVD109" s="188"/>
      <c r="BVE109" s="187"/>
      <c r="BVK109" s="188"/>
      <c r="BVL109" s="187"/>
      <c r="BVR109" s="188"/>
      <c r="BVS109" s="187"/>
      <c r="BVY109" s="188"/>
      <c r="BVZ109" s="187"/>
      <c r="BWB109" s="168"/>
      <c r="BWC109" s="189"/>
      <c r="BWF109" s="188"/>
      <c r="BWG109" s="187"/>
      <c r="BWM109" s="188"/>
      <c r="BWN109" s="187"/>
      <c r="BWT109" s="188"/>
      <c r="BWU109" s="187"/>
      <c r="BXA109" s="188"/>
      <c r="BXB109" s="187"/>
      <c r="BXG109" s="168"/>
      <c r="BXH109" s="191"/>
      <c r="BXI109" s="187"/>
      <c r="BXO109" s="188"/>
      <c r="BXP109" s="187"/>
      <c r="BXV109" s="188"/>
      <c r="BXW109" s="187"/>
      <c r="BYC109" s="188"/>
      <c r="BYD109" s="187"/>
      <c r="BYJ109" s="188"/>
      <c r="BYK109" s="190"/>
      <c r="BYL109" s="189"/>
      <c r="BYQ109" s="188"/>
      <c r="BYR109" s="187"/>
      <c r="BYX109" s="188"/>
      <c r="BYY109" s="187"/>
      <c r="BZE109" s="188"/>
      <c r="BZF109" s="187"/>
      <c r="BZL109" s="188"/>
      <c r="BZM109" s="187"/>
      <c r="BZP109" s="168"/>
      <c r="BZQ109" s="189"/>
      <c r="BZS109" s="188"/>
      <c r="BZT109" s="187"/>
      <c r="BZZ109" s="188"/>
      <c r="CAA109" s="187"/>
      <c r="CAG109" s="188"/>
      <c r="CAH109" s="187"/>
      <c r="CAN109" s="188"/>
      <c r="CAO109" s="187"/>
      <c r="CAU109" s="168"/>
      <c r="CAV109" s="189"/>
      <c r="CBB109" s="188"/>
      <c r="CBC109" s="187"/>
      <c r="CBI109" s="188"/>
      <c r="CBJ109" s="187"/>
      <c r="CBP109" s="188"/>
      <c r="CBQ109" s="187"/>
      <c r="CBW109" s="188"/>
      <c r="CBX109" s="187"/>
      <c r="CBY109" s="168"/>
      <c r="CBZ109" s="189"/>
      <c r="CCD109" s="188"/>
      <c r="CCE109" s="187"/>
      <c r="CCK109" s="188"/>
      <c r="CCL109" s="187"/>
      <c r="CCR109" s="188"/>
      <c r="CCS109" s="187"/>
      <c r="CCY109" s="188"/>
      <c r="CCZ109" s="187"/>
      <c r="CDD109" s="168"/>
      <c r="CDE109" s="189"/>
      <c r="CDF109" s="188"/>
      <c r="CDG109" s="187"/>
      <c r="CDM109" s="188"/>
      <c r="CDN109" s="187"/>
      <c r="CDT109" s="188"/>
      <c r="CDU109" s="187"/>
      <c r="CEA109" s="188"/>
      <c r="CEB109" s="187"/>
      <c r="CEH109" s="168"/>
      <c r="CEI109" s="189"/>
      <c r="CEO109" s="188"/>
      <c r="CEP109" s="187"/>
      <c r="CEV109" s="188"/>
      <c r="CEW109" s="187"/>
      <c r="CFC109" s="188"/>
      <c r="CFD109" s="187"/>
      <c r="CFJ109" s="188"/>
      <c r="CFK109" s="187"/>
    </row>
    <row r="110" spans="1:1019 1025:2048 2054:2195">
      <c r="A110" s="164" t="s">
        <v>397</v>
      </c>
      <c r="C110" s="164" t="s">
        <v>398</v>
      </c>
      <c r="D110" s="186"/>
      <c r="E110" s="186"/>
      <c r="K110" s="187"/>
      <c r="Q110" s="188"/>
      <c r="R110" s="187"/>
      <c r="X110" s="188"/>
      <c r="Y110" s="187"/>
      <c r="AE110" s="188"/>
      <c r="AF110" s="187"/>
      <c r="AJ110" s="168"/>
      <c r="AK110" s="189"/>
      <c r="AL110" s="188"/>
      <c r="AM110" s="187"/>
      <c r="AS110" s="188"/>
      <c r="AT110" s="187"/>
      <c r="AZ110" s="188"/>
      <c r="BA110" s="187"/>
      <c r="BG110" s="188"/>
      <c r="BH110" s="187"/>
      <c r="BL110" s="168"/>
      <c r="BM110" s="189"/>
      <c r="BN110" s="188"/>
      <c r="BO110" s="187"/>
      <c r="BU110" s="188"/>
      <c r="BV110" s="187"/>
      <c r="CB110" s="188"/>
      <c r="CC110" s="187"/>
      <c r="CI110" s="188"/>
      <c r="CJ110" s="187"/>
      <c r="CP110" s="188"/>
      <c r="CQ110" s="190"/>
      <c r="CR110" s="189"/>
      <c r="CW110" s="188"/>
      <c r="CX110" s="187"/>
      <c r="DD110" s="188"/>
      <c r="DE110" s="187"/>
      <c r="DK110" s="188"/>
      <c r="DL110" s="187"/>
      <c r="DR110" s="188"/>
      <c r="DS110" s="187"/>
      <c r="DU110" s="168"/>
      <c r="DV110" s="189"/>
      <c r="DY110" s="188"/>
      <c r="DZ110" s="187"/>
      <c r="EF110" s="188"/>
      <c r="EG110" s="187"/>
      <c r="EM110" s="188"/>
      <c r="EN110" s="187"/>
      <c r="ET110" s="188"/>
      <c r="EU110" s="187"/>
      <c r="EZ110" s="168"/>
      <c r="FA110" s="191"/>
      <c r="FB110" s="187"/>
      <c r="FH110" s="188"/>
      <c r="FI110" s="187"/>
      <c r="FO110" s="188"/>
      <c r="FP110" s="187"/>
      <c r="FV110" s="188"/>
      <c r="FW110" s="187"/>
      <c r="GC110" s="188"/>
      <c r="GD110" s="190"/>
      <c r="GE110" s="189"/>
      <c r="GJ110" s="188"/>
      <c r="GK110" s="187"/>
      <c r="GQ110" s="188"/>
      <c r="GR110" s="187"/>
      <c r="GX110" s="188"/>
      <c r="GY110" s="187"/>
      <c r="HE110" s="188"/>
      <c r="HF110" s="187"/>
      <c r="HI110" s="168"/>
      <c r="HJ110" s="189"/>
      <c r="HL110" s="188"/>
      <c r="HM110" s="187"/>
      <c r="HS110" s="188"/>
      <c r="HT110" s="187"/>
      <c r="HZ110" s="188"/>
      <c r="IA110" s="187"/>
      <c r="IG110" s="188"/>
      <c r="IH110" s="187"/>
      <c r="IN110" s="168"/>
      <c r="IO110" s="189"/>
      <c r="IU110" s="188"/>
      <c r="IV110" s="187"/>
      <c r="JB110" s="188"/>
      <c r="JC110" s="187"/>
      <c r="JI110" s="188"/>
      <c r="JJ110" s="187"/>
      <c r="JP110" s="188"/>
      <c r="JQ110" s="187"/>
      <c r="JR110" s="168"/>
      <c r="JS110" s="189"/>
      <c r="JW110" s="188"/>
      <c r="JX110" s="187"/>
      <c r="KD110" s="188"/>
      <c r="KE110" s="187"/>
      <c r="KK110" s="188"/>
      <c r="KL110" s="187"/>
      <c r="KR110" s="188"/>
      <c r="KS110" s="187"/>
      <c r="KW110" s="168"/>
      <c r="KX110" s="189"/>
      <c r="KY110" s="188"/>
      <c r="KZ110" s="187"/>
      <c r="LF110" s="188"/>
      <c r="LG110" s="187"/>
      <c r="LM110" s="188"/>
      <c r="LN110" s="187"/>
      <c r="LT110" s="188"/>
      <c r="LU110" s="187"/>
      <c r="MA110" s="168"/>
      <c r="MB110" s="189"/>
      <c r="MH110" s="188"/>
      <c r="MI110" s="187"/>
      <c r="MO110" s="188"/>
      <c r="MP110" s="187"/>
      <c r="MV110" s="188"/>
      <c r="MW110" s="187"/>
      <c r="NC110" s="188"/>
      <c r="ND110" s="187"/>
      <c r="NF110" s="168"/>
      <c r="NG110" s="189"/>
      <c r="NJ110" s="188"/>
      <c r="NK110" s="187"/>
      <c r="NQ110" s="188"/>
      <c r="NR110" s="187"/>
      <c r="NX110" s="188"/>
      <c r="NY110" s="187"/>
      <c r="OE110" s="188"/>
      <c r="OF110" s="187"/>
      <c r="OK110" s="168"/>
      <c r="OL110" s="191"/>
      <c r="OM110" s="187"/>
      <c r="OS110" s="188"/>
      <c r="OT110" s="187"/>
      <c r="OZ110" s="188"/>
      <c r="PA110" s="187"/>
      <c r="PG110" s="188"/>
      <c r="PH110" s="187"/>
      <c r="PN110" s="168"/>
      <c r="PO110" s="189"/>
      <c r="PU110" s="188"/>
      <c r="PV110" s="187"/>
      <c r="QB110" s="188"/>
      <c r="QC110" s="187"/>
      <c r="QI110" s="188"/>
      <c r="QJ110" s="187"/>
      <c r="QP110" s="188"/>
      <c r="QQ110" s="187"/>
      <c r="QS110" s="168"/>
      <c r="QT110" s="189"/>
      <c r="QW110" s="188"/>
      <c r="QX110" s="187"/>
      <c r="RD110" s="188"/>
      <c r="RE110" s="187"/>
      <c r="RK110" s="188"/>
      <c r="RL110" s="187"/>
      <c r="RR110" s="188"/>
      <c r="RS110" s="187"/>
      <c r="RW110" s="168"/>
      <c r="RX110" s="189"/>
      <c r="RY110" s="188"/>
      <c r="RZ110" s="187"/>
      <c r="SF110" s="188"/>
      <c r="SG110" s="187"/>
      <c r="SM110" s="188"/>
      <c r="SN110" s="187"/>
      <c r="ST110" s="188"/>
      <c r="SU110" s="187"/>
      <c r="TA110" s="188"/>
      <c r="TB110" s="190"/>
      <c r="TC110" s="189"/>
      <c r="TH110" s="188"/>
      <c r="TI110" s="187"/>
      <c r="TO110" s="188"/>
      <c r="TP110" s="187"/>
      <c r="TV110" s="188"/>
      <c r="TW110" s="187"/>
      <c r="UC110" s="188"/>
      <c r="UD110" s="187"/>
      <c r="UF110" s="168"/>
      <c r="UG110" s="189"/>
      <c r="UJ110" s="188"/>
      <c r="UK110" s="187"/>
      <c r="UQ110" s="188"/>
      <c r="UR110" s="187"/>
      <c r="UX110" s="188"/>
      <c r="UY110" s="187"/>
      <c r="VE110" s="188"/>
      <c r="VF110" s="187"/>
      <c r="VK110" s="168"/>
      <c r="VL110" s="191"/>
      <c r="VM110" s="187"/>
      <c r="VS110" s="188"/>
      <c r="VT110" s="187"/>
      <c r="VZ110" s="188"/>
      <c r="WA110" s="187"/>
      <c r="WG110" s="188"/>
      <c r="WH110" s="187"/>
      <c r="WN110" s="188"/>
      <c r="WO110" s="187"/>
      <c r="WP110" s="168"/>
      <c r="WQ110" s="189"/>
      <c r="WU110" s="188"/>
      <c r="WV110" s="187"/>
      <c r="XB110" s="188"/>
      <c r="XC110" s="187"/>
      <c r="XI110" s="188"/>
      <c r="XJ110" s="187"/>
      <c r="XP110" s="188"/>
      <c r="XQ110" s="187"/>
      <c r="XT110" s="168"/>
      <c r="XU110" s="189"/>
      <c r="XW110" s="188"/>
      <c r="XX110" s="187"/>
      <c r="YD110" s="188"/>
      <c r="YE110" s="187"/>
      <c r="YK110" s="188"/>
      <c r="YL110" s="187"/>
      <c r="YR110" s="188"/>
      <c r="YS110" s="187"/>
      <c r="YY110" s="168"/>
      <c r="YZ110" s="189"/>
      <c r="ZF110" s="188"/>
      <c r="ZG110" s="187"/>
      <c r="ZM110" s="188"/>
      <c r="ZN110" s="187"/>
      <c r="ZT110" s="188"/>
      <c r="ZU110" s="187"/>
      <c r="AAA110" s="188"/>
      <c r="AAB110" s="187"/>
      <c r="AAC110" s="168"/>
      <c r="AAD110" s="189"/>
      <c r="AAH110" s="188"/>
      <c r="AAI110" s="187"/>
      <c r="AAO110" s="188"/>
      <c r="AAP110" s="187"/>
      <c r="AAV110" s="188"/>
      <c r="AAW110" s="187"/>
      <c r="ABC110" s="188"/>
      <c r="ABD110" s="187"/>
      <c r="ABH110" s="168"/>
      <c r="ABI110" s="189"/>
      <c r="ABJ110" s="188"/>
      <c r="ABK110" s="187"/>
      <c r="ABQ110" s="188"/>
      <c r="ABR110" s="187"/>
      <c r="ABX110" s="188"/>
      <c r="ABY110" s="187"/>
      <c r="ACE110" s="188"/>
      <c r="ACF110" s="187"/>
      <c r="ACL110" s="188"/>
      <c r="ACM110" s="190"/>
      <c r="ACN110" s="189"/>
      <c r="ACS110" s="188"/>
      <c r="ACT110" s="187"/>
      <c r="ACZ110" s="188"/>
      <c r="ADA110" s="187"/>
      <c r="ADG110" s="188"/>
      <c r="ADH110" s="187"/>
      <c r="ADN110" s="188"/>
      <c r="ADO110" s="190"/>
      <c r="ADP110" s="189"/>
      <c r="ADU110" s="188"/>
      <c r="ADV110" s="187"/>
      <c r="AEB110" s="188"/>
      <c r="AEC110" s="187"/>
      <c r="AEI110" s="188"/>
      <c r="AEJ110" s="187"/>
      <c r="AEP110" s="188"/>
      <c r="AEQ110" s="187"/>
      <c r="AET110" s="168"/>
      <c r="AEU110" s="189"/>
      <c r="AEW110" s="188"/>
      <c r="AEX110" s="187"/>
      <c r="AFD110" s="188"/>
      <c r="AFE110" s="187"/>
      <c r="AFK110" s="188"/>
      <c r="AFL110" s="187"/>
      <c r="AFR110" s="188"/>
      <c r="AFS110" s="187"/>
      <c r="AFX110" s="168"/>
      <c r="AFY110" s="191"/>
      <c r="AFZ110" s="187"/>
      <c r="AGF110" s="188"/>
      <c r="AGG110" s="187"/>
      <c r="AGM110" s="188"/>
      <c r="AGN110" s="187"/>
      <c r="AGT110" s="188"/>
      <c r="AGU110" s="187"/>
      <c r="AHA110" s="188"/>
      <c r="AHB110" s="187"/>
      <c r="AHC110" s="168"/>
      <c r="AHD110" s="189"/>
      <c r="AHH110" s="188"/>
      <c r="AHI110" s="187"/>
      <c r="AHO110" s="188"/>
      <c r="AHP110" s="187"/>
      <c r="AHV110" s="188"/>
      <c r="AHW110" s="187"/>
      <c r="AIC110" s="188"/>
      <c r="AID110" s="187"/>
      <c r="AIG110" s="168"/>
      <c r="AIH110" s="189"/>
      <c r="AIJ110" s="188"/>
      <c r="AIK110" s="187"/>
      <c r="AIQ110" s="188"/>
      <c r="AIR110" s="187"/>
      <c r="AIX110" s="188"/>
      <c r="AIY110" s="187"/>
      <c r="AJE110" s="188"/>
      <c r="AJF110" s="187"/>
      <c r="AJL110" s="168"/>
      <c r="AJM110" s="189"/>
      <c r="AJS110" s="188"/>
      <c r="AJT110" s="187"/>
      <c r="AJZ110" s="188"/>
      <c r="AKA110" s="187"/>
      <c r="AKG110" s="188"/>
      <c r="AKH110" s="187"/>
      <c r="AKN110" s="188"/>
      <c r="AKO110" s="187"/>
      <c r="AKQ110" s="168"/>
      <c r="AKR110" s="189"/>
      <c r="AKU110" s="188"/>
      <c r="AKV110" s="187"/>
      <c r="ALB110" s="188"/>
      <c r="ALC110" s="187"/>
      <c r="ALI110" s="188"/>
      <c r="ALJ110" s="187"/>
      <c r="ALP110" s="188"/>
      <c r="ALQ110" s="187"/>
      <c r="ALU110" s="168"/>
      <c r="ALV110" s="189"/>
      <c r="ALW110" s="188"/>
      <c r="ALX110" s="187"/>
      <c r="AMD110" s="188"/>
      <c r="AME110" s="187"/>
      <c r="AMK110" s="188"/>
      <c r="AML110" s="187"/>
      <c r="AMR110" s="188"/>
      <c r="AMS110" s="187"/>
      <c r="AMY110" s="188"/>
      <c r="AMZ110" s="190"/>
      <c r="ANA110" s="189"/>
      <c r="ANF110" s="188"/>
      <c r="ANG110" s="187"/>
      <c r="ANM110" s="188"/>
      <c r="ANN110" s="187"/>
      <c r="ANT110" s="188"/>
      <c r="ANU110" s="187"/>
      <c r="AOA110" s="188"/>
      <c r="AOB110" s="187"/>
      <c r="AOD110" s="168"/>
      <c r="AOE110" s="189"/>
      <c r="AOH110" s="188"/>
      <c r="AOI110" s="187"/>
      <c r="AOO110" s="188"/>
      <c r="AOP110" s="187"/>
      <c r="AOV110" s="188"/>
      <c r="AOW110" s="187"/>
      <c r="APC110" s="188"/>
      <c r="APD110" s="187"/>
      <c r="API110" s="168"/>
      <c r="APJ110" s="191"/>
      <c r="APK110" s="187"/>
      <c r="APQ110" s="188"/>
      <c r="APR110" s="187"/>
      <c r="APX110" s="188"/>
      <c r="APY110" s="187"/>
      <c r="AQE110" s="188"/>
      <c r="AQF110" s="187"/>
      <c r="AQL110" s="188"/>
      <c r="AQM110" s="187"/>
      <c r="AQN110" s="168"/>
      <c r="AQO110" s="189"/>
      <c r="AQS110" s="188"/>
      <c r="AQT110" s="187"/>
      <c r="AQZ110" s="188"/>
      <c r="ARA110" s="187"/>
      <c r="ARG110" s="188"/>
      <c r="ARH110" s="187"/>
      <c r="ARN110" s="188"/>
      <c r="ARO110" s="187"/>
      <c r="ARP110" s="168"/>
      <c r="ARQ110" s="189"/>
      <c r="ARU110" s="188"/>
      <c r="ARV110" s="187"/>
      <c r="ASB110" s="188"/>
      <c r="ASC110" s="187"/>
      <c r="ASI110" s="188"/>
      <c r="ASJ110" s="187"/>
      <c r="ASP110" s="188"/>
      <c r="ASQ110" s="187"/>
      <c r="ASU110" s="168"/>
      <c r="ASV110" s="189"/>
      <c r="ASW110" s="188"/>
      <c r="ASX110" s="187"/>
      <c r="ATD110" s="188"/>
      <c r="ATE110" s="187"/>
      <c r="ATK110" s="188"/>
      <c r="ATL110" s="187"/>
      <c r="ATR110" s="188"/>
      <c r="ATS110" s="187"/>
      <c r="ATY110" s="168"/>
      <c r="ATZ110" s="189"/>
      <c r="AUF110" s="188"/>
      <c r="AUG110" s="187"/>
      <c r="AUM110" s="188"/>
      <c r="AUN110" s="187"/>
      <c r="AUT110" s="188"/>
      <c r="AUU110" s="187"/>
      <c r="AVA110" s="188"/>
      <c r="AVB110" s="187"/>
      <c r="AVD110" s="168"/>
      <c r="AVE110" s="189"/>
      <c r="AVH110" s="188"/>
      <c r="AVI110" s="187"/>
      <c r="AVO110" s="188"/>
      <c r="AVP110" s="187"/>
      <c r="AVV110" s="188"/>
      <c r="AVW110" s="187"/>
      <c r="AWC110" s="188"/>
      <c r="AWD110" s="187"/>
      <c r="AWH110" s="168"/>
      <c r="AWI110" s="189"/>
      <c r="AWJ110" s="188"/>
      <c r="AWK110" s="187"/>
      <c r="AWQ110" s="188"/>
      <c r="AWR110" s="187"/>
      <c r="AWX110" s="188"/>
      <c r="AWY110" s="187"/>
      <c r="AXE110" s="188"/>
      <c r="AXF110" s="187"/>
      <c r="AXL110" s="188"/>
      <c r="AXM110" s="190"/>
      <c r="AXN110" s="189"/>
      <c r="AXS110" s="188"/>
      <c r="AXT110" s="187"/>
      <c r="AXZ110" s="188"/>
      <c r="AYA110" s="187"/>
      <c r="AYG110" s="188"/>
      <c r="AYH110" s="187"/>
      <c r="AYN110" s="188"/>
      <c r="AYO110" s="187"/>
      <c r="AYR110" s="168"/>
      <c r="AYS110" s="189"/>
      <c r="AYU110" s="188"/>
      <c r="AYV110" s="187"/>
      <c r="AZB110" s="188"/>
      <c r="AZC110" s="187"/>
      <c r="AZI110" s="188"/>
      <c r="AZJ110" s="187"/>
      <c r="AZP110" s="188"/>
      <c r="AZQ110" s="187"/>
      <c r="AZV110" s="168"/>
      <c r="AZW110" s="191"/>
      <c r="AZX110" s="187"/>
      <c r="BAD110" s="188"/>
      <c r="BAE110" s="187"/>
      <c r="BAK110" s="188"/>
      <c r="BAL110" s="187"/>
      <c r="BAR110" s="188"/>
      <c r="BAS110" s="187"/>
      <c r="BAY110" s="188"/>
      <c r="BAZ110" s="187"/>
      <c r="BBA110" s="168"/>
      <c r="BBB110" s="189"/>
      <c r="BBF110" s="188"/>
      <c r="BBG110" s="187"/>
      <c r="BBM110" s="188"/>
      <c r="BBN110" s="187"/>
      <c r="BBT110" s="188"/>
      <c r="BBU110" s="187"/>
      <c r="BCA110" s="188"/>
      <c r="BCB110" s="187"/>
      <c r="BCE110" s="168"/>
      <c r="BCF110" s="189"/>
      <c r="BCH110" s="188"/>
      <c r="BCI110" s="187"/>
      <c r="BCO110" s="188"/>
      <c r="BCP110" s="187"/>
      <c r="BCV110" s="188"/>
      <c r="BCW110" s="187"/>
      <c r="BDC110" s="188"/>
      <c r="BDD110" s="187"/>
      <c r="BDJ110" s="168"/>
      <c r="BDK110" s="189"/>
      <c r="BDQ110" s="188"/>
      <c r="BDR110" s="187"/>
      <c r="BDX110" s="188"/>
      <c r="BDY110" s="187"/>
      <c r="BEE110" s="188"/>
      <c r="BEF110" s="187"/>
      <c r="BEL110" s="188"/>
      <c r="BEM110" s="187"/>
      <c r="BEO110" s="168"/>
      <c r="BEP110" s="189"/>
      <c r="BES110" s="188"/>
      <c r="BET110" s="187"/>
      <c r="BEZ110" s="188"/>
      <c r="BFA110" s="187"/>
      <c r="BFG110" s="188"/>
      <c r="BFH110" s="187"/>
      <c r="BFN110" s="188"/>
      <c r="BFO110" s="187"/>
      <c r="BFQ110" s="168"/>
      <c r="BFR110" s="189"/>
      <c r="BFU110" s="188"/>
      <c r="BFV110" s="187"/>
      <c r="BGB110" s="188"/>
      <c r="BGC110" s="187"/>
      <c r="BGI110" s="188"/>
      <c r="BGJ110" s="187"/>
      <c r="BGP110" s="188"/>
      <c r="BGQ110" s="187"/>
      <c r="BGV110" s="168"/>
      <c r="BGW110" s="191"/>
      <c r="BGX110" s="187"/>
      <c r="BHD110" s="188"/>
      <c r="BHE110" s="187"/>
      <c r="BHK110" s="188"/>
      <c r="BHL110" s="187"/>
      <c r="BHR110" s="188"/>
      <c r="BHS110" s="187"/>
      <c r="BHY110" s="188"/>
      <c r="BHZ110" s="190"/>
      <c r="BIA110" s="189"/>
      <c r="BIF110" s="188"/>
      <c r="BIG110" s="187"/>
      <c r="BIM110" s="188"/>
      <c r="BIN110" s="187"/>
      <c r="BIT110" s="188"/>
      <c r="BIU110" s="187"/>
      <c r="BJA110" s="188"/>
      <c r="BJB110" s="187"/>
      <c r="BJE110" s="168"/>
      <c r="BJF110" s="189"/>
      <c r="BJH110" s="188"/>
      <c r="BJI110" s="187"/>
      <c r="BJO110" s="188"/>
      <c r="BJP110" s="187"/>
      <c r="BJV110" s="188"/>
      <c r="BJW110" s="187"/>
      <c r="BKC110" s="188"/>
      <c r="BKD110" s="187"/>
      <c r="BKI110" s="168"/>
      <c r="BKJ110" s="191"/>
      <c r="BKK110" s="187"/>
      <c r="BKQ110" s="188"/>
      <c r="BKR110" s="187"/>
      <c r="BKX110" s="188"/>
      <c r="BKY110" s="187"/>
      <c r="BLE110" s="188"/>
      <c r="BLF110" s="187"/>
      <c r="BLL110" s="188"/>
      <c r="BLM110" s="187"/>
      <c r="BLN110" s="168"/>
      <c r="BLO110" s="189"/>
      <c r="BLS110" s="188"/>
      <c r="BLT110" s="187"/>
      <c r="BLZ110" s="188"/>
      <c r="BMA110" s="187"/>
      <c r="BMG110" s="188"/>
      <c r="BMH110" s="187"/>
      <c r="BMN110" s="188"/>
      <c r="BMO110" s="187"/>
      <c r="BMS110" s="168"/>
      <c r="BMT110" s="189"/>
      <c r="BMU110" s="188"/>
      <c r="BMV110" s="187"/>
      <c r="BNB110" s="188"/>
      <c r="BNC110" s="187"/>
      <c r="BNI110" s="188"/>
      <c r="BNJ110" s="187"/>
      <c r="BNP110" s="188"/>
      <c r="BNQ110" s="187"/>
      <c r="BNW110" s="168"/>
      <c r="BNX110" s="189"/>
      <c r="BOD110" s="188"/>
      <c r="BOE110" s="187"/>
      <c r="BOK110" s="188"/>
      <c r="BOL110" s="187"/>
      <c r="BOR110" s="188"/>
      <c r="BOS110" s="187"/>
      <c r="BOY110" s="188"/>
      <c r="BOZ110" s="187"/>
      <c r="BPB110" s="168"/>
      <c r="BPC110" s="189"/>
      <c r="BPF110" s="188"/>
      <c r="BPG110" s="187"/>
      <c r="BPM110" s="188"/>
      <c r="BPN110" s="187"/>
      <c r="BPT110" s="188"/>
      <c r="BPU110" s="187"/>
      <c r="BQA110" s="188"/>
      <c r="BQB110" s="187"/>
      <c r="BQF110" s="168"/>
      <c r="BQG110" s="189"/>
      <c r="BQH110" s="188"/>
      <c r="BQI110" s="187"/>
      <c r="BQO110" s="188"/>
      <c r="BQP110" s="187"/>
      <c r="BQV110" s="188"/>
      <c r="BQW110" s="187"/>
      <c r="BRC110" s="188"/>
      <c r="BRD110" s="187"/>
      <c r="BRJ110" s="188"/>
      <c r="BRK110" s="190"/>
      <c r="BRL110" s="189"/>
      <c r="BRQ110" s="188"/>
      <c r="BRR110" s="187"/>
      <c r="BRX110" s="188"/>
      <c r="BRY110" s="187"/>
      <c r="BSE110" s="188"/>
      <c r="BSF110" s="187"/>
      <c r="BSL110" s="188"/>
      <c r="BSM110" s="187"/>
      <c r="BSP110" s="168"/>
      <c r="BSQ110" s="189"/>
      <c r="BSS110" s="188"/>
      <c r="BST110" s="187"/>
      <c r="BSZ110" s="188"/>
      <c r="BTA110" s="187"/>
      <c r="BTG110" s="188"/>
      <c r="BTH110" s="187"/>
      <c r="BTN110" s="188"/>
      <c r="BTO110" s="187"/>
      <c r="BTS110" s="168"/>
      <c r="BTT110" s="189"/>
      <c r="BTU110" s="188"/>
      <c r="BTV110" s="187"/>
      <c r="BUB110" s="188"/>
      <c r="BUC110" s="187"/>
      <c r="BUI110" s="188"/>
      <c r="BUJ110" s="187"/>
      <c r="BUP110" s="188"/>
      <c r="BUQ110" s="187"/>
      <c r="BUW110" s="188"/>
      <c r="BUX110" s="190"/>
      <c r="BUY110" s="189"/>
      <c r="BVD110" s="188"/>
      <c r="BVE110" s="187"/>
      <c r="BVK110" s="188"/>
      <c r="BVL110" s="187"/>
      <c r="BVR110" s="188"/>
      <c r="BVS110" s="187"/>
      <c r="BVY110" s="188"/>
      <c r="BVZ110" s="187"/>
      <c r="BWB110" s="168"/>
      <c r="BWC110" s="189"/>
      <c r="BWF110" s="188"/>
      <c r="BWG110" s="187"/>
      <c r="BWM110" s="188"/>
      <c r="BWN110" s="187"/>
      <c r="BWT110" s="188"/>
      <c r="BWU110" s="187"/>
      <c r="BXA110" s="188"/>
      <c r="BXB110" s="187"/>
      <c r="BXG110" s="168"/>
      <c r="BXH110" s="191"/>
      <c r="BXI110" s="187"/>
      <c r="BXO110" s="188"/>
      <c r="BXP110" s="187"/>
      <c r="BXV110" s="188"/>
      <c r="BXW110" s="187"/>
      <c r="BYC110" s="188"/>
      <c r="BYD110" s="187"/>
      <c r="BYJ110" s="188"/>
      <c r="BYK110" s="190"/>
      <c r="BYL110" s="189"/>
      <c r="BYQ110" s="188"/>
      <c r="BYR110" s="187"/>
      <c r="BYX110" s="188"/>
      <c r="BYY110" s="187"/>
      <c r="BZE110" s="188"/>
      <c r="BZF110" s="187"/>
      <c r="BZL110" s="188"/>
      <c r="BZM110" s="187"/>
      <c r="BZP110" s="168"/>
      <c r="BZQ110" s="189"/>
      <c r="BZS110" s="188"/>
      <c r="BZT110" s="187"/>
      <c r="BZZ110" s="188"/>
      <c r="CAA110" s="187"/>
      <c r="CAG110" s="188"/>
      <c r="CAH110" s="187"/>
      <c r="CAN110" s="188"/>
      <c r="CAO110" s="187"/>
      <c r="CAU110" s="168"/>
      <c r="CAV110" s="189"/>
      <c r="CBB110" s="188"/>
      <c r="CBC110" s="187"/>
      <c r="CBI110" s="188"/>
      <c r="CBJ110" s="187"/>
      <c r="CBP110" s="188"/>
      <c r="CBQ110" s="187"/>
      <c r="CBW110" s="188"/>
      <c r="CBX110" s="187"/>
      <c r="CBY110" s="168"/>
      <c r="CBZ110" s="189"/>
      <c r="CCD110" s="188"/>
      <c r="CCE110" s="187"/>
      <c r="CCK110" s="188"/>
      <c r="CCL110" s="187"/>
      <c r="CCR110" s="188"/>
      <c r="CCS110" s="187"/>
      <c r="CCY110" s="188"/>
      <c r="CCZ110" s="187"/>
      <c r="CDD110" s="168"/>
      <c r="CDE110" s="189"/>
      <c r="CDF110" s="188"/>
      <c r="CDG110" s="187"/>
      <c r="CDM110" s="188"/>
      <c r="CDN110" s="187"/>
      <c r="CDT110" s="188"/>
      <c r="CDU110" s="187"/>
      <c r="CEA110" s="188"/>
      <c r="CEB110" s="187"/>
      <c r="CEH110" s="168"/>
      <c r="CEI110" s="189"/>
      <c r="CEO110" s="188"/>
      <c r="CEP110" s="187"/>
      <c r="CEV110" s="188"/>
      <c r="CEW110" s="187"/>
      <c r="CFC110" s="188"/>
      <c r="CFD110" s="187"/>
      <c r="CFJ110" s="188"/>
      <c r="CFK110" s="187"/>
    </row>
    <row r="111" spans="1:1019 1025:2048 2054:2195">
      <c r="A111" s="164" t="s">
        <v>399</v>
      </c>
      <c r="C111" s="164" t="s">
        <v>400</v>
      </c>
      <c r="D111" s="186"/>
      <c r="E111" s="186"/>
      <c r="K111" s="187"/>
      <c r="Q111" s="188"/>
      <c r="R111" s="187"/>
      <c r="X111" s="188"/>
      <c r="Y111" s="187"/>
      <c r="AE111" s="188"/>
      <c r="AF111" s="187"/>
      <c r="AJ111" s="168"/>
      <c r="AK111" s="189"/>
      <c r="AL111" s="188"/>
      <c r="AM111" s="187"/>
      <c r="AS111" s="188"/>
      <c r="AT111" s="187"/>
      <c r="AZ111" s="188"/>
      <c r="BA111" s="187"/>
      <c r="BG111" s="188"/>
      <c r="BH111" s="187"/>
      <c r="BL111" s="168"/>
      <c r="BM111" s="189"/>
      <c r="BN111" s="188"/>
      <c r="BO111" s="187"/>
      <c r="BU111" s="188"/>
      <c r="BV111" s="187"/>
      <c r="CB111" s="188"/>
      <c r="CC111" s="187"/>
      <c r="CI111" s="188"/>
      <c r="CJ111" s="187"/>
      <c r="CP111" s="188"/>
      <c r="CQ111" s="190"/>
      <c r="CR111" s="189"/>
      <c r="CW111" s="188"/>
      <c r="CX111" s="187"/>
      <c r="DD111" s="188"/>
      <c r="DE111" s="187"/>
      <c r="DK111" s="188"/>
      <c r="DL111" s="187"/>
      <c r="DR111" s="188"/>
      <c r="DS111" s="187"/>
      <c r="DU111" s="168"/>
      <c r="DV111" s="189"/>
      <c r="DY111" s="188"/>
      <c r="DZ111" s="187"/>
      <c r="EF111" s="188"/>
      <c r="EG111" s="187"/>
      <c r="EM111" s="188"/>
      <c r="EN111" s="187"/>
      <c r="ET111" s="188"/>
      <c r="EU111" s="187"/>
      <c r="EZ111" s="168"/>
      <c r="FA111" s="191"/>
      <c r="FB111" s="187"/>
      <c r="FH111" s="188"/>
      <c r="FI111" s="187"/>
      <c r="FO111" s="188"/>
      <c r="FP111" s="187"/>
      <c r="FV111" s="188"/>
      <c r="FW111" s="187"/>
      <c r="GC111" s="188"/>
      <c r="GD111" s="190"/>
      <c r="GE111" s="189"/>
      <c r="GJ111" s="188"/>
      <c r="GK111" s="187"/>
      <c r="GQ111" s="188"/>
      <c r="GR111" s="187"/>
      <c r="GX111" s="188"/>
      <c r="GY111" s="187"/>
      <c r="HE111" s="188"/>
      <c r="HF111" s="187"/>
      <c r="HI111" s="168"/>
      <c r="HJ111" s="189"/>
      <c r="HL111" s="188"/>
      <c r="HM111" s="187"/>
      <c r="HS111" s="188"/>
      <c r="HT111" s="187"/>
      <c r="HZ111" s="188"/>
      <c r="IA111" s="187"/>
      <c r="IG111" s="188"/>
      <c r="IH111" s="187"/>
      <c r="IN111" s="168"/>
      <c r="IO111" s="189"/>
      <c r="IU111" s="188"/>
      <c r="IV111" s="187"/>
      <c r="JB111" s="188"/>
      <c r="JC111" s="187"/>
      <c r="JI111" s="188"/>
      <c r="JJ111" s="187"/>
      <c r="JP111" s="188"/>
      <c r="JQ111" s="187"/>
      <c r="JR111" s="168"/>
      <c r="JS111" s="189"/>
      <c r="JW111" s="188"/>
      <c r="JX111" s="187"/>
      <c r="KD111" s="188"/>
      <c r="KE111" s="187"/>
      <c r="KK111" s="188"/>
      <c r="KL111" s="187"/>
      <c r="KR111" s="188"/>
      <c r="KS111" s="187"/>
      <c r="KW111" s="168"/>
      <c r="KX111" s="189"/>
      <c r="KY111" s="188"/>
      <c r="KZ111" s="187"/>
      <c r="LF111" s="188"/>
      <c r="LG111" s="187"/>
      <c r="LM111" s="188"/>
      <c r="LN111" s="187"/>
      <c r="LT111" s="188"/>
      <c r="LU111" s="187"/>
      <c r="MA111" s="168"/>
      <c r="MB111" s="189"/>
      <c r="MH111" s="188"/>
      <c r="MI111" s="187"/>
      <c r="MO111" s="188"/>
      <c r="MP111" s="187"/>
      <c r="MV111" s="188"/>
      <c r="MW111" s="187"/>
      <c r="NC111" s="188"/>
      <c r="ND111" s="187"/>
      <c r="NF111" s="168"/>
      <c r="NG111" s="189"/>
      <c r="NJ111" s="188"/>
      <c r="NK111" s="187"/>
      <c r="NQ111" s="188"/>
      <c r="NR111" s="187"/>
      <c r="NX111" s="188"/>
      <c r="NY111" s="187"/>
      <c r="OE111" s="188"/>
      <c r="OF111" s="187"/>
      <c r="OK111" s="168"/>
      <c r="OL111" s="191"/>
      <c r="OM111" s="187"/>
      <c r="OS111" s="188"/>
      <c r="OT111" s="187"/>
      <c r="OZ111" s="188"/>
      <c r="PA111" s="187"/>
      <c r="PG111" s="188"/>
      <c r="PH111" s="187"/>
      <c r="PN111" s="168"/>
      <c r="PO111" s="189"/>
      <c r="PU111" s="188"/>
      <c r="PV111" s="187"/>
      <c r="QB111" s="188"/>
      <c r="QC111" s="187"/>
      <c r="QI111" s="188"/>
      <c r="QJ111" s="187"/>
      <c r="QP111" s="188"/>
      <c r="QQ111" s="187"/>
      <c r="QS111" s="168"/>
      <c r="QT111" s="189"/>
      <c r="QW111" s="188"/>
      <c r="QX111" s="187"/>
      <c r="RD111" s="188"/>
      <c r="RE111" s="187"/>
      <c r="RK111" s="188"/>
      <c r="RL111" s="187"/>
      <c r="RR111" s="188"/>
      <c r="RS111" s="187"/>
      <c r="RW111" s="168"/>
      <c r="RX111" s="189"/>
      <c r="RY111" s="188"/>
      <c r="RZ111" s="187"/>
      <c r="SF111" s="188"/>
      <c r="SG111" s="187"/>
      <c r="SM111" s="188"/>
      <c r="SN111" s="187"/>
      <c r="ST111" s="188"/>
      <c r="SU111" s="187"/>
      <c r="TA111" s="188"/>
      <c r="TB111" s="190"/>
      <c r="TC111" s="189"/>
      <c r="TH111" s="188"/>
      <c r="TI111" s="187"/>
      <c r="TO111" s="188"/>
      <c r="TP111" s="187"/>
      <c r="TV111" s="188"/>
      <c r="TW111" s="187"/>
      <c r="UC111" s="188"/>
      <c r="UD111" s="187"/>
      <c r="UF111" s="168"/>
      <c r="UG111" s="189"/>
      <c r="UJ111" s="188"/>
      <c r="UK111" s="187"/>
      <c r="UQ111" s="188"/>
      <c r="UR111" s="187"/>
      <c r="UX111" s="188"/>
      <c r="UY111" s="187"/>
      <c r="VE111" s="188"/>
      <c r="VF111" s="187"/>
      <c r="VK111" s="168"/>
      <c r="VL111" s="191"/>
      <c r="VM111" s="187"/>
      <c r="VS111" s="188"/>
      <c r="VT111" s="187"/>
      <c r="VZ111" s="188"/>
      <c r="WA111" s="187"/>
      <c r="WG111" s="188"/>
      <c r="WH111" s="187"/>
      <c r="WN111" s="188"/>
      <c r="WO111" s="187"/>
      <c r="WP111" s="168"/>
      <c r="WQ111" s="189"/>
      <c r="WU111" s="188"/>
      <c r="WV111" s="187"/>
      <c r="XB111" s="188"/>
      <c r="XC111" s="187"/>
      <c r="XI111" s="188"/>
      <c r="XJ111" s="187"/>
      <c r="XP111" s="188"/>
      <c r="XQ111" s="187"/>
      <c r="XT111" s="168"/>
      <c r="XU111" s="189"/>
      <c r="XW111" s="188"/>
      <c r="XX111" s="187"/>
      <c r="YD111" s="188"/>
      <c r="YE111" s="187"/>
      <c r="YK111" s="188"/>
      <c r="YL111" s="187"/>
      <c r="YR111" s="188"/>
      <c r="YS111" s="187"/>
      <c r="YY111" s="168"/>
      <c r="YZ111" s="189"/>
      <c r="ZF111" s="188"/>
      <c r="ZG111" s="187"/>
      <c r="ZM111" s="188"/>
      <c r="ZN111" s="187"/>
      <c r="ZT111" s="188"/>
      <c r="ZU111" s="187"/>
      <c r="AAA111" s="188"/>
      <c r="AAB111" s="187"/>
      <c r="AAC111" s="168"/>
      <c r="AAD111" s="189"/>
      <c r="AAH111" s="188"/>
      <c r="AAI111" s="187"/>
      <c r="AAO111" s="188"/>
      <c r="AAP111" s="187"/>
      <c r="AAV111" s="188"/>
      <c r="AAW111" s="187"/>
      <c r="ABC111" s="188"/>
      <c r="ABD111" s="187"/>
      <c r="ABH111" s="168"/>
      <c r="ABI111" s="189"/>
      <c r="ABJ111" s="188"/>
      <c r="ABK111" s="187"/>
      <c r="ABQ111" s="188"/>
      <c r="ABR111" s="187"/>
      <c r="ABX111" s="188"/>
      <c r="ABY111" s="187"/>
      <c r="ACE111" s="188"/>
      <c r="ACF111" s="187"/>
      <c r="ACL111" s="188"/>
      <c r="ACM111" s="190"/>
      <c r="ACN111" s="189"/>
      <c r="ACS111" s="188"/>
      <c r="ACT111" s="187"/>
      <c r="ACZ111" s="188"/>
      <c r="ADA111" s="187"/>
      <c r="ADG111" s="188"/>
      <c r="ADH111" s="187"/>
      <c r="ADN111" s="188"/>
      <c r="ADO111" s="190"/>
      <c r="ADP111" s="189"/>
      <c r="ADU111" s="188"/>
      <c r="ADV111" s="187"/>
      <c r="AEB111" s="188"/>
      <c r="AEC111" s="187"/>
      <c r="AEI111" s="188"/>
      <c r="AEJ111" s="187"/>
      <c r="AEP111" s="188"/>
      <c r="AEQ111" s="187"/>
      <c r="AET111" s="168"/>
      <c r="AEU111" s="189"/>
      <c r="AEW111" s="188"/>
      <c r="AEX111" s="187"/>
      <c r="AFD111" s="188"/>
      <c r="AFE111" s="187"/>
      <c r="AFK111" s="188"/>
      <c r="AFL111" s="187"/>
      <c r="AFR111" s="188"/>
      <c r="AFS111" s="187"/>
      <c r="AFX111" s="168"/>
      <c r="AFY111" s="191"/>
      <c r="AFZ111" s="187"/>
      <c r="AGF111" s="188"/>
      <c r="AGG111" s="187"/>
      <c r="AGM111" s="188"/>
      <c r="AGN111" s="187"/>
      <c r="AGT111" s="188"/>
      <c r="AGU111" s="187"/>
      <c r="AHA111" s="188"/>
      <c r="AHB111" s="187"/>
      <c r="AHC111" s="168"/>
      <c r="AHD111" s="189"/>
      <c r="AHH111" s="188"/>
      <c r="AHI111" s="187"/>
      <c r="AHO111" s="188"/>
      <c r="AHP111" s="187"/>
      <c r="AHV111" s="188"/>
      <c r="AHW111" s="187"/>
      <c r="AIC111" s="188"/>
      <c r="AID111" s="187"/>
      <c r="AIG111" s="168"/>
      <c r="AIH111" s="189"/>
      <c r="AIJ111" s="188"/>
      <c r="AIK111" s="187"/>
      <c r="AIQ111" s="188"/>
      <c r="AIR111" s="187"/>
      <c r="AIX111" s="188"/>
      <c r="AIY111" s="187"/>
      <c r="AJE111" s="188"/>
      <c r="AJF111" s="187"/>
      <c r="AJL111" s="168"/>
      <c r="AJM111" s="189"/>
      <c r="AJS111" s="188"/>
      <c r="AJT111" s="187"/>
      <c r="AJZ111" s="188"/>
      <c r="AKA111" s="187"/>
      <c r="AKG111" s="188"/>
      <c r="AKH111" s="187"/>
      <c r="AKN111" s="188"/>
      <c r="AKO111" s="187"/>
      <c r="AKQ111" s="168"/>
      <c r="AKR111" s="189"/>
      <c r="AKU111" s="188"/>
      <c r="AKV111" s="187"/>
      <c r="ALB111" s="188"/>
      <c r="ALC111" s="187"/>
      <c r="ALI111" s="188"/>
      <c r="ALJ111" s="187"/>
      <c r="ALP111" s="188"/>
      <c r="ALQ111" s="187"/>
      <c r="ALU111" s="168"/>
      <c r="ALV111" s="189"/>
      <c r="ALW111" s="188"/>
      <c r="ALX111" s="187"/>
      <c r="AMD111" s="188"/>
      <c r="AME111" s="187"/>
      <c r="AMK111" s="188"/>
      <c r="AML111" s="187"/>
      <c r="AMR111" s="188"/>
      <c r="AMS111" s="187"/>
      <c r="AMY111" s="188"/>
      <c r="AMZ111" s="190"/>
      <c r="ANA111" s="189"/>
      <c r="ANF111" s="188"/>
      <c r="ANG111" s="187"/>
      <c r="ANM111" s="188"/>
      <c r="ANN111" s="187"/>
      <c r="ANT111" s="188"/>
      <c r="ANU111" s="187"/>
      <c r="AOA111" s="188"/>
      <c r="AOB111" s="187"/>
      <c r="AOD111" s="168"/>
      <c r="AOE111" s="189"/>
      <c r="AOH111" s="188"/>
      <c r="AOI111" s="187"/>
      <c r="AOO111" s="188"/>
      <c r="AOP111" s="187"/>
      <c r="AOV111" s="188"/>
      <c r="AOW111" s="187"/>
      <c r="APC111" s="188"/>
      <c r="APD111" s="187"/>
      <c r="API111" s="168"/>
      <c r="APJ111" s="191"/>
      <c r="APK111" s="187"/>
      <c r="APQ111" s="188"/>
      <c r="APR111" s="187"/>
      <c r="APX111" s="188"/>
      <c r="APY111" s="187"/>
      <c r="AQE111" s="188"/>
      <c r="AQF111" s="187"/>
      <c r="AQL111" s="188"/>
      <c r="AQM111" s="187"/>
      <c r="AQN111" s="168"/>
      <c r="AQO111" s="189"/>
      <c r="AQS111" s="188"/>
      <c r="AQT111" s="187"/>
      <c r="AQZ111" s="188"/>
      <c r="ARA111" s="187"/>
      <c r="ARG111" s="188"/>
      <c r="ARH111" s="187"/>
      <c r="ARN111" s="188"/>
      <c r="ARO111" s="187"/>
      <c r="ARP111" s="168"/>
      <c r="ARQ111" s="189"/>
      <c r="ARU111" s="188"/>
      <c r="ARV111" s="187"/>
      <c r="ASB111" s="188"/>
      <c r="ASC111" s="187"/>
      <c r="ASI111" s="188"/>
      <c r="ASJ111" s="187"/>
      <c r="ASP111" s="188"/>
      <c r="ASQ111" s="187"/>
      <c r="ASU111" s="168"/>
      <c r="ASV111" s="189"/>
      <c r="ASW111" s="188"/>
      <c r="ASX111" s="187"/>
      <c r="ATD111" s="188"/>
      <c r="ATE111" s="187"/>
      <c r="ATK111" s="188"/>
      <c r="ATL111" s="187"/>
      <c r="ATR111" s="188"/>
      <c r="ATS111" s="187"/>
      <c r="ATY111" s="168"/>
      <c r="ATZ111" s="189"/>
      <c r="AUF111" s="188"/>
      <c r="AUG111" s="187"/>
      <c r="AUM111" s="188"/>
      <c r="AUN111" s="187"/>
      <c r="AUT111" s="188"/>
      <c r="AUU111" s="187"/>
      <c r="AVA111" s="188"/>
      <c r="AVB111" s="187"/>
      <c r="AVD111" s="168"/>
      <c r="AVE111" s="189"/>
      <c r="AVH111" s="188"/>
      <c r="AVI111" s="187"/>
      <c r="AVO111" s="188"/>
      <c r="AVP111" s="187"/>
      <c r="AVV111" s="188"/>
      <c r="AVW111" s="187"/>
      <c r="AWC111" s="188"/>
      <c r="AWD111" s="187"/>
      <c r="AWH111" s="168"/>
      <c r="AWI111" s="189"/>
      <c r="AWJ111" s="188"/>
      <c r="AWK111" s="187"/>
      <c r="AWQ111" s="188"/>
      <c r="AWR111" s="187"/>
      <c r="AWX111" s="188"/>
      <c r="AWY111" s="187"/>
      <c r="AXE111" s="188"/>
      <c r="AXF111" s="187"/>
      <c r="AXL111" s="188"/>
      <c r="AXM111" s="190"/>
      <c r="AXN111" s="189"/>
      <c r="AXS111" s="188"/>
      <c r="AXT111" s="187"/>
      <c r="AXZ111" s="188"/>
      <c r="AYA111" s="187"/>
      <c r="AYG111" s="188"/>
      <c r="AYH111" s="187"/>
      <c r="AYN111" s="188"/>
      <c r="AYO111" s="187"/>
      <c r="AYR111" s="168"/>
      <c r="AYS111" s="189"/>
      <c r="AYU111" s="188"/>
      <c r="AYV111" s="187"/>
      <c r="AZB111" s="188"/>
      <c r="AZC111" s="187"/>
      <c r="AZI111" s="188"/>
      <c r="AZJ111" s="187"/>
      <c r="AZP111" s="188"/>
      <c r="AZQ111" s="187"/>
      <c r="AZV111" s="168"/>
      <c r="AZW111" s="191"/>
      <c r="AZX111" s="187"/>
      <c r="BAD111" s="188"/>
      <c r="BAE111" s="187"/>
      <c r="BAK111" s="188"/>
      <c r="BAL111" s="187"/>
      <c r="BAR111" s="188"/>
      <c r="BAS111" s="187"/>
      <c r="BAY111" s="188"/>
      <c r="BAZ111" s="187"/>
      <c r="BBA111" s="168"/>
      <c r="BBB111" s="189"/>
      <c r="BBF111" s="188"/>
      <c r="BBG111" s="187"/>
      <c r="BBM111" s="188"/>
      <c r="BBN111" s="187"/>
      <c r="BBT111" s="188"/>
      <c r="BBU111" s="187"/>
      <c r="BCA111" s="188"/>
      <c r="BCB111" s="187"/>
      <c r="BCE111" s="168"/>
      <c r="BCF111" s="189"/>
      <c r="BCH111" s="188"/>
      <c r="BCI111" s="187"/>
      <c r="BCO111" s="188"/>
      <c r="BCP111" s="187"/>
      <c r="BCV111" s="188"/>
      <c r="BCW111" s="187"/>
      <c r="BDC111" s="188"/>
      <c r="BDD111" s="187"/>
      <c r="BDJ111" s="168"/>
      <c r="BDK111" s="189"/>
      <c r="BDQ111" s="188"/>
      <c r="BDR111" s="187"/>
      <c r="BDX111" s="188"/>
      <c r="BDY111" s="187"/>
      <c r="BEE111" s="188"/>
      <c r="BEF111" s="187"/>
      <c r="BEL111" s="188"/>
      <c r="BEM111" s="187"/>
      <c r="BEO111" s="168"/>
      <c r="BEP111" s="189"/>
      <c r="BES111" s="188"/>
      <c r="BET111" s="187"/>
      <c r="BEZ111" s="188"/>
      <c r="BFA111" s="187"/>
      <c r="BFG111" s="188"/>
      <c r="BFH111" s="187"/>
      <c r="BFN111" s="188"/>
      <c r="BFO111" s="187"/>
      <c r="BFQ111" s="168"/>
      <c r="BFR111" s="189"/>
      <c r="BFU111" s="188"/>
      <c r="BFV111" s="187"/>
      <c r="BGB111" s="188"/>
      <c r="BGC111" s="187"/>
      <c r="BGI111" s="188"/>
      <c r="BGJ111" s="187"/>
      <c r="BGP111" s="188"/>
      <c r="BGQ111" s="187"/>
      <c r="BGV111" s="168"/>
      <c r="BGW111" s="191"/>
      <c r="BGX111" s="187"/>
      <c r="BHD111" s="188"/>
      <c r="BHE111" s="187"/>
      <c r="BHK111" s="188"/>
      <c r="BHL111" s="187"/>
      <c r="BHR111" s="188"/>
      <c r="BHS111" s="187"/>
      <c r="BHY111" s="188"/>
      <c r="BHZ111" s="190"/>
      <c r="BIA111" s="189"/>
      <c r="BIF111" s="188"/>
      <c r="BIG111" s="187"/>
      <c r="BIM111" s="188"/>
      <c r="BIN111" s="187"/>
      <c r="BIT111" s="188"/>
      <c r="BIU111" s="187"/>
      <c r="BJA111" s="188"/>
      <c r="BJB111" s="187"/>
      <c r="BJE111" s="168"/>
      <c r="BJF111" s="189"/>
      <c r="BJH111" s="188"/>
      <c r="BJI111" s="187"/>
      <c r="BJO111" s="188"/>
      <c r="BJP111" s="187"/>
      <c r="BJV111" s="188"/>
      <c r="BJW111" s="187"/>
      <c r="BKC111" s="188"/>
      <c r="BKD111" s="187"/>
      <c r="BKI111" s="168"/>
      <c r="BKJ111" s="191"/>
      <c r="BKK111" s="187"/>
      <c r="BKQ111" s="188"/>
      <c r="BKR111" s="187"/>
      <c r="BKX111" s="188"/>
      <c r="BKY111" s="187"/>
      <c r="BLE111" s="188"/>
      <c r="BLF111" s="187"/>
      <c r="BLL111" s="188"/>
      <c r="BLM111" s="187"/>
      <c r="BLN111" s="168"/>
      <c r="BLO111" s="189"/>
      <c r="BLS111" s="188"/>
      <c r="BLT111" s="187"/>
      <c r="BLZ111" s="188"/>
      <c r="BMA111" s="187"/>
      <c r="BMG111" s="188"/>
      <c r="BMH111" s="187"/>
      <c r="BMN111" s="188"/>
      <c r="BMO111" s="187"/>
      <c r="BMS111" s="168"/>
      <c r="BMT111" s="189"/>
      <c r="BMU111" s="188"/>
      <c r="BMV111" s="187"/>
      <c r="BNB111" s="188"/>
      <c r="BNC111" s="187"/>
      <c r="BNI111" s="188"/>
      <c r="BNJ111" s="187"/>
      <c r="BNP111" s="188"/>
      <c r="BNQ111" s="187"/>
      <c r="BNW111" s="168"/>
      <c r="BNX111" s="189"/>
      <c r="BOD111" s="188"/>
      <c r="BOE111" s="187"/>
      <c r="BOK111" s="188"/>
      <c r="BOL111" s="187"/>
      <c r="BOR111" s="188"/>
      <c r="BOS111" s="187"/>
      <c r="BOY111" s="188"/>
      <c r="BOZ111" s="187"/>
      <c r="BPB111" s="168"/>
      <c r="BPC111" s="189"/>
      <c r="BPF111" s="188"/>
      <c r="BPG111" s="187"/>
      <c r="BPM111" s="188"/>
      <c r="BPN111" s="187"/>
      <c r="BPT111" s="188"/>
      <c r="BPU111" s="187"/>
      <c r="BQA111" s="188"/>
      <c r="BQB111" s="187"/>
      <c r="BQF111" s="168"/>
      <c r="BQG111" s="189"/>
      <c r="BQH111" s="188"/>
      <c r="BQI111" s="187"/>
      <c r="BQO111" s="188"/>
      <c r="BQP111" s="187"/>
      <c r="BQV111" s="188"/>
      <c r="BQW111" s="187"/>
      <c r="BRC111" s="188"/>
      <c r="BRD111" s="187"/>
      <c r="BRJ111" s="188"/>
      <c r="BRK111" s="190"/>
      <c r="BRL111" s="189"/>
      <c r="BRQ111" s="188"/>
      <c r="BRR111" s="187"/>
      <c r="BRX111" s="188"/>
      <c r="BRY111" s="187"/>
      <c r="BSE111" s="188"/>
      <c r="BSF111" s="187"/>
      <c r="BSL111" s="188"/>
      <c r="BSM111" s="187"/>
      <c r="BSP111" s="168"/>
      <c r="BSQ111" s="189"/>
      <c r="BSS111" s="188"/>
      <c r="BST111" s="187"/>
      <c r="BSZ111" s="188"/>
      <c r="BTA111" s="187"/>
      <c r="BTG111" s="188"/>
      <c r="BTH111" s="187"/>
      <c r="BTN111" s="188"/>
      <c r="BTO111" s="187"/>
      <c r="BTS111" s="168"/>
      <c r="BTT111" s="189"/>
      <c r="BTU111" s="188"/>
      <c r="BTV111" s="187"/>
      <c r="BUB111" s="188"/>
      <c r="BUC111" s="187"/>
      <c r="BUI111" s="188"/>
      <c r="BUJ111" s="187"/>
      <c r="BUP111" s="188"/>
      <c r="BUQ111" s="187"/>
      <c r="BUW111" s="188"/>
      <c r="BUX111" s="190"/>
      <c r="BUY111" s="189"/>
      <c r="BVD111" s="188"/>
      <c r="BVE111" s="187"/>
      <c r="BVK111" s="188"/>
      <c r="BVL111" s="187"/>
      <c r="BVR111" s="188"/>
      <c r="BVS111" s="187"/>
      <c r="BVY111" s="188"/>
      <c r="BVZ111" s="187"/>
      <c r="BWB111" s="168"/>
      <c r="BWC111" s="189"/>
      <c r="BWF111" s="188"/>
      <c r="BWG111" s="187"/>
      <c r="BWM111" s="188"/>
      <c r="BWN111" s="187"/>
      <c r="BWT111" s="188"/>
      <c r="BWU111" s="187"/>
      <c r="BXA111" s="188"/>
      <c r="BXB111" s="187"/>
      <c r="BXG111" s="168"/>
      <c r="BXH111" s="191"/>
      <c r="BXI111" s="187"/>
      <c r="BXO111" s="188"/>
      <c r="BXP111" s="187"/>
      <c r="BXV111" s="188"/>
      <c r="BXW111" s="187"/>
      <c r="BYC111" s="188"/>
      <c r="BYD111" s="187"/>
      <c r="BYJ111" s="188"/>
      <c r="BYK111" s="190"/>
      <c r="BYL111" s="189"/>
      <c r="BYQ111" s="188"/>
      <c r="BYR111" s="187"/>
      <c r="BYX111" s="188"/>
      <c r="BYY111" s="187"/>
      <c r="BZE111" s="188"/>
      <c r="BZF111" s="187"/>
      <c r="BZL111" s="188"/>
      <c r="BZM111" s="187"/>
      <c r="BZP111" s="168"/>
      <c r="BZQ111" s="189"/>
      <c r="BZS111" s="188"/>
      <c r="BZT111" s="187"/>
      <c r="BZZ111" s="188"/>
      <c r="CAA111" s="187"/>
      <c r="CAG111" s="188"/>
      <c r="CAH111" s="187"/>
      <c r="CAN111" s="188"/>
      <c r="CAO111" s="187"/>
      <c r="CAU111" s="168"/>
      <c r="CAV111" s="189"/>
      <c r="CBB111" s="188"/>
      <c r="CBC111" s="187"/>
      <c r="CBI111" s="188"/>
      <c r="CBJ111" s="187"/>
      <c r="CBP111" s="188"/>
      <c r="CBQ111" s="187"/>
      <c r="CBW111" s="188"/>
      <c r="CBX111" s="187"/>
      <c r="CBY111" s="168"/>
      <c r="CBZ111" s="189"/>
      <c r="CCD111" s="188"/>
      <c r="CCE111" s="187"/>
      <c r="CCK111" s="188"/>
      <c r="CCL111" s="187"/>
      <c r="CCR111" s="188"/>
      <c r="CCS111" s="187"/>
      <c r="CCY111" s="188"/>
      <c r="CCZ111" s="187"/>
      <c r="CDD111" s="168"/>
      <c r="CDE111" s="189"/>
      <c r="CDF111" s="188"/>
      <c r="CDG111" s="187"/>
      <c r="CDM111" s="188"/>
      <c r="CDN111" s="187"/>
      <c r="CDT111" s="188"/>
      <c r="CDU111" s="187"/>
      <c r="CEA111" s="188"/>
      <c r="CEB111" s="187"/>
      <c r="CEH111" s="168"/>
      <c r="CEI111" s="189"/>
      <c r="CEO111" s="188"/>
      <c r="CEP111" s="187"/>
      <c r="CEV111" s="188"/>
      <c r="CEW111" s="187"/>
      <c r="CFC111" s="188"/>
      <c r="CFD111" s="187"/>
      <c r="CFJ111" s="188"/>
      <c r="CFK111" s="187"/>
    </row>
    <row r="112" spans="1:1019 1025:2048 2054:2195">
      <c r="D112" s="186"/>
      <c r="E112" s="186"/>
      <c r="K112" s="187"/>
      <c r="Q112" s="188"/>
      <c r="R112" s="187"/>
      <c r="X112" s="188"/>
      <c r="Y112" s="187"/>
      <c r="AE112" s="188"/>
      <c r="AF112" s="187"/>
      <c r="AJ112" s="168"/>
      <c r="AK112" s="189"/>
      <c r="AL112" s="188"/>
      <c r="AM112" s="187"/>
      <c r="AS112" s="188"/>
      <c r="AT112" s="187"/>
      <c r="AZ112" s="188"/>
      <c r="BA112" s="187"/>
      <c r="BG112" s="188"/>
      <c r="BH112" s="187"/>
      <c r="BL112" s="168"/>
      <c r="BM112" s="189"/>
      <c r="BN112" s="188"/>
      <c r="BO112" s="187"/>
      <c r="BU112" s="188"/>
      <c r="BV112" s="187"/>
      <c r="CB112" s="188"/>
      <c r="CC112" s="187"/>
      <c r="CI112" s="188"/>
      <c r="CJ112" s="187"/>
      <c r="CP112" s="188"/>
      <c r="CQ112" s="190"/>
      <c r="CR112" s="189"/>
      <c r="CW112" s="188"/>
      <c r="CX112" s="187"/>
      <c r="DD112" s="188"/>
      <c r="DE112" s="187"/>
      <c r="DK112" s="188"/>
      <c r="DL112" s="187"/>
      <c r="DR112" s="188"/>
      <c r="DS112" s="187"/>
      <c r="DU112" s="168"/>
      <c r="DV112" s="189"/>
      <c r="DY112" s="188"/>
      <c r="DZ112" s="187"/>
      <c r="EF112" s="188"/>
      <c r="EG112" s="187"/>
      <c r="EM112" s="188"/>
      <c r="EN112" s="187"/>
      <c r="ET112" s="188"/>
      <c r="EU112" s="187"/>
      <c r="EZ112" s="168"/>
      <c r="FA112" s="191"/>
      <c r="FB112" s="187"/>
      <c r="FH112" s="188"/>
      <c r="FI112" s="187"/>
      <c r="FO112" s="188"/>
      <c r="FP112" s="187"/>
      <c r="FV112" s="188"/>
      <c r="FW112" s="187"/>
      <c r="GC112" s="188"/>
      <c r="GD112" s="190"/>
      <c r="GE112" s="189"/>
      <c r="GJ112" s="188"/>
      <c r="GK112" s="187"/>
      <c r="GQ112" s="188"/>
      <c r="GR112" s="187"/>
      <c r="GX112" s="188"/>
      <c r="GY112" s="187"/>
      <c r="HE112" s="188"/>
      <c r="HF112" s="187"/>
      <c r="HI112" s="168"/>
      <c r="HJ112" s="189"/>
      <c r="HL112" s="188"/>
      <c r="HM112" s="187"/>
      <c r="HS112" s="188"/>
      <c r="HT112" s="187"/>
      <c r="HZ112" s="188"/>
      <c r="IA112" s="187"/>
      <c r="IG112" s="188"/>
      <c r="IH112" s="187"/>
      <c r="IN112" s="168"/>
      <c r="IO112" s="189"/>
      <c r="IU112" s="188"/>
      <c r="IV112" s="187"/>
      <c r="JB112" s="188"/>
      <c r="JC112" s="187"/>
      <c r="JI112" s="188"/>
      <c r="JJ112" s="187"/>
      <c r="JP112" s="188"/>
      <c r="JQ112" s="187"/>
      <c r="JR112" s="168"/>
      <c r="JS112" s="189"/>
      <c r="JW112" s="188"/>
      <c r="JX112" s="187"/>
      <c r="KD112" s="188"/>
      <c r="KE112" s="187"/>
      <c r="KK112" s="188"/>
      <c r="KL112" s="187"/>
      <c r="KR112" s="188"/>
      <c r="KS112" s="187"/>
      <c r="KW112" s="168"/>
      <c r="KX112" s="189"/>
      <c r="KY112" s="188"/>
      <c r="KZ112" s="187"/>
      <c r="LF112" s="188"/>
      <c r="LG112" s="187"/>
      <c r="LM112" s="188"/>
      <c r="LN112" s="187"/>
      <c r="LT112" s="188"/>
      <c r="LU112" s="187"/>
      <c r="MA112" s="168"/>
      <c r="MB112" s="189"/>
      <c r="MH112" s="188"/>
      <c r="MI112" s="187"/>
      <c r="MO112" s="188"/>
      <c r="MP112" s="187"/>
      <c r="MV112" s="188"/>
      <c r="MW112" s="187"/>
      <c r="NC112" s="188"/>
      <c r="ND112" s="187"/>
      <c r="NF112" s="168"/>
      <c r="NG112" s="189"/>
      <c r="NJ112" s="188"/>
      <c r="NK112" s="187"/>
      <c r="NQ112" s="188"/>
      <c r="NR112" s="187"/>
      <c r="NX112" s="188"/>
      <c r="NY112" s="187"/>
      <c r="OE112" s="188"/>
      <c r="OF112" s="187"/>
      <c r="OK112" s="168"/>
      <c r="OL112" s="191"/>
      <c r="OM112" s="187"/>
      <c r="OS112" s="188"/>
      <c r="OT112" s="187"/>
      <c r="OZ112" s="188"/>
      <c r="PA112" s="187"/>
      <c r="PG112" s="188"/>
      <c r="PH112" s="187"/>
      <c r="PN112" s="168"/>
      <c r="PO112" s="189"/>
      <c r="PU112" s="188"/>
      <c r="PV112" s="187"/>
      <c r="QB112" s="188"/>
      <c r="QC112" s="187"/>
      <c r="QI112" s="188"/>
      <c r="QJ112" s="187"/>
      <c r="QP112" s="188"/>
      <c r="QQ112" s="187"/>
      <c r="QS112" s="168"/>
      <c r="QT112" s="189"/>
      <c r="QW112" s="188"/>
      <c r="QX112" s="187"/>
      <c r="RD112" s="188"/>
      <c r="RE112" s="187"/>
      <c r="RK112" s="188"/>
      <c r="RL112" s="187"/>
      <c r="RR112" s="188"/>
      <c r="RS112" s="187"/>
      <c r="RW112" s="168"/>
      <c r="RX112" s="189"/>
      <c r="RY112" s="188"/>
      <c r="RZ112" s="187"/>
      <c r="SF112" s="188"/>
      <c r="SG112" s="187"/>
      <c r="SM112" s="188"/>
      <c r="SN112" s="187"/>
      <c r="ST112" s="188"/>
      <c r="SU112" s="187"/>
      <c r="TA112" s="188"/>
      <c r="TB112" s="190"/>
      <c r="TC112" s="189"/>
      <c r="TH112" s="188"/>
      <c r="TI112" s="187"/>
      <c r="TO112" s="188"/>
      <c r="TP112" s="187"/>
      <c r="TV112" s="188"/>
      <c r="TW112" s="187"/>
      <c r="UC112" s="188"/>
      <c r="UD112" s="187"/>
      <c r="UF112" s="168"/>
      <c r="UG112" s="189"/>
      <c r="UJ112" s="188"/>
      <c r="UK112" s="187"/>
      <c r="UQ112" s="188"/>
      <c r="UR112" s="187"/>
      <c r="UX112" s="188"/>
      <c r="UY112" s="187"/>
      <c r="VE112" s="188"/>
      <c r="VF112" s="187"/>
      <c r="VK112" s="168"/>
      <c r="VL112" s="191"/>
      <c r="VM112" s="187"/>
      <c r="VS112" s="188"/>
      <c r="VT112" s="187"/>
      <c r="VZ112" s="188"/>
      <c r="WA112" s="187"/>
      <c r="WG112" s="188"/>
      <c r="WH112" s="187"/>
      <c r="WN112" s="188"/>
      <c r="WO112" s="187"/>
      <c r="WP112" s="168"/>
      <c r="WQ112" s="189"/>
      <c r="WU112" s="188"/>
      <c r="WV112" s="187"/>
      <c r="XB112" s="188"/>
      <c r="XC112" s="187"/>
      <c r="XI112" s="188"/>
      <c r="XJ112" s="187"/>
      <c r="XP112" s="188"/>
      <c r="XQ112" s="187"/>
      <c r="XT112" s="168"/>
      <c r="XU112" s="189"/>
      <c r="XW112" s="188"/>
      <c r="XX112" s="187"/>
      <c r="YD112" s="188"/>
      <c r="YE112" s="187"/>
      <c r="YK112" s="188"/>
      <c r="YL112" s="187"/>
      <c r="YR112" s="188"/>
      <c r="YS112" s="187"/>
      <c r="YY112" s="168"/>
      <c r="YZ112" s="189"/>
      <c r="ZF112" s="188"/>
      <c r="ZG112" s="187"/>
      <c r="ZM112" s="188"/>
      <c r="ZN112" s="187"/>
      <c r="ZT112" s="188"/>
      <c r="ZU112" s="187"/>
      <c r="AAA112" s="188"/>
      <c r="AAB112" s="187"/>
      <c r="AAC112" s="168"/>
      <c r="AAD112" s="189"/>
      <c r="AAH112" s="188"/>
      <c r="AAI112" s="187"/>
      <c r="AAO112" s="188"/>
      <c r="AAP112" s="187"/>
      <c r="AAV112" s="188"/>
      <c r="AAW112" s="187"/>
      <c r="ABC112" s="188"/>
      <c r="ABD112" s="187"/>
      <c r="ABH112" s="168"/>
      <c r="ABI112" s="189"/>
      <c r="ABJ112" s="188"/>
      <c r="ABK112" s="187"/>
      <c r="ABQ112" s="188"/>
      <c r="ABR112" s="187"/>
      <c r="ABX112" s="188"/>
      <c r="ABY112" s="187"/>
      <c r="ACE112" s="188"/>
      <c r="ACF112" s="187"/>
      <c r="ACL112" s="188"/>
      <c r="ACM112" s="190"/>
      <c r="ACN112" s="189"/>
      <c r="ACS112" s="188"/>
      <c r="ACT112" s="187"/>
      <c r="ACZ112" s="188"/>
      <c r="ADA112" s="187"/>
      <c r="ADG112" s="188"/>
      <c r="ADH112" s="187"/>
      <c r="ADN112" s="188"/>
      <c r="ADO112" s="190"/>
      <c r="ADP112" s="189"/>
      <c r="ADU112" s="188"/>
      <c r="ADV112" s="187"/>
      <c r="AEB112" s="188"/>
      <c r="AEC112" s="187"/>
      <c r="AEI112" s="188"/>
      <c r="AEJ112" s="187"/>
      <c r="AEP112" s="188"/>
      <c r="AEQ112" s="187"/>
      <c r="AET112" s="168"/>
      <c r="AEU112" s="189"/>
      <c r="AEW112" s="188"/>
      <c r="AEX112" s="187"/>
      <c r="AFD112" s="188"/>
      <c r="AFE112" s="187"/>
      <c r="AFK112" s="188"/>
      <c r="AFL112" s="187"/>
      <c r="AFR112" s="188"/>
      <c r="AFS112" s="187"/>
      <c r="AFX112" s="168"/>
      <c r="AFY112" s="191"/>
      <c r="AFZ112" s="187"/>
      <c r="AGF112" s="188"/>
      <c r="AGG112" s="187"/>
      <c r="AGM112" s="188"/>
      <c r="AGN112" s="187"/>
      <c r="AGT112" s="188"/>
      <c r="AGU112" s="187"/>
      <c r="AHA112" s="188"/>
      <c r="AHB112" s="187"/>
      <c r="AHC112" s="168"/>
      <c r="AHD112" s="189"/>
      <c r="AHH112" s="188"/>
      <c r="AHI112" s="187"/>
      <c r="AHO112" s="188"/>
      <c r="AHP112" s="187"/>
      <c r="AHV112" s="188"/>
      <c r="AHW112" s="187"/>
      <c r="AIC112" s="188"/>
      <c r="AID112" s="187"/>
      <c r="AIG112" s="168"/>
      <c r="AIH112" s="189"/>
      <c r="AIJ112" s="188"/>
      <c r="AIK112" s="187"/>
      <c r="AIQ112" s="188"/>
      <c r="AIR112" s="187"/>
      <c r="AIX112" s="188"/>
      <c r="AIY112" s="187"/>
      <c r="AJE112" s="188"/>
      <c r="AJF112" s="187"/>
      <c r="AJL112" s="168"/>
      <c r="AJM112" s="189"/>
      <c r="AJS112" s="188"/>
      <c r="AJT112" s="187"/>
      <c r="AJZ112" s="188"/>
      <c r="AKA112" s="187"/>
      <c r="AKG112" s="188"/>
      <c r="AKH112" s="187"/>
      <c r="AKN112" s="188"/>
      <c r="AKO112" s="187"/>
      <c r="AKQ112" s="168"/>
      <c r="AKR112" s="189"/>
      <c r="AKU112" s="188"/>
      <c r="AKV112" s="187"/>
      <c r="ALB112" s="188"/>
      <c r="ALC112" s="187"/>
      <c r="ALI112" s="188"/>
      <c r="ALJ112" s="187"/>
      <c r="ALP112" s="188"/>
      <c r="ALQ112" s="187"/>
      <c r="ALU112" s="168"/>
      <c r="ALV112" s="189"/>
      <c r="ALW112" s="188"/>
      <c r="ALX112" s="187"/>
      <c r="AMD112" s="188"/>
      <c r="AME112" s="187"/>
      <c r="AMK112" s="188"/>
      <c r="AML112" s="187"/>
      <c r="AMR112" s="188"/>
      <c r="AMS112" s="187"/>
      <c r="AMY112" s="188"/>
      <c r="AMZ112" s="190"/>
      <c r="ANA112" s="189"/>
      <c r="ANF112" s="188"/>
      <c r="ANG112" s="187"/>
      <c r="ANM112" s="188"/>
      <c r="ANN112" s="187"/>
      <c r="ANT112" s="188"/>
      <c r="ANU112" s="187"/>
      <c r="AOA112" s="188"/>
      <c r="AOB112" s="187"/>
      <c r="AOD112" s="168"/>
      <c r="AOE112" s="189"/>
      <c r="AOH112" s="188"/>
      <c r="AOI112" s="187"/>
      <c r="AOO112" s="188"/>
      <c r="AOP112" s="187"/>
      <c r="AOV112" s="188"/>
      <c r="AOW112" s="187"/>
      <c r="APC112" s="188"/>
      <c r="APD112" s="187"/>
      <c r="API112" s="168"/>
      <c r="APJ112" s="191"/>
      <c r="APK112" s="187"/>
      <c r="APQ112" s="188"/>
      <c r="APR112" s="187"/>
      <c r="APX112" s="188"/>
      <c r="APY112" s="187"/>
      <c r="AQE112" s="188"/>
      <c r="AQF112" s="187"/>
      <c r="AQL112" s="188"/>
      <c r="AQM112" s="187"/>
      <c r="AQN112" s="168"/>
      <c r="AQO112" s="189"/>
      <c r="AQS112" s="188"/>
      <c r="AQT112" s="187"/>
      <c r="AQZ112" s="188"/>
      <c r="ARA112" s="187"/>
      <c r="ARG112" s="188"/>
      <c r="ARH112" s="187"/>
      <c r="ARN112" s="188"/>
      <c r="ARO112" s="187"/>
      <c r="ARP112" s="168"/>
      <c r="ARQ112" s="189"/>
      <c r="ARU112" s="188"/>
      <c r="ARV112" s="187"/>
      <c r="ASB112" s="188"/>
      <c r="ASC112" s="187"/>
      <c r="ASI112" s="188"/>
      <c r="ASJ112" s="187"/>
      <c r="ASP112" s="188"/>
      <c r="ASQ112" s="187"/>
      <c r="ASU112" s="168"/>
      <c r="ASV112" s="189"/>
      <c r="ASW112" s="188"/>
      <c r="ASX112" s="187"/>
      <c r="ATD112" s="188"/>
      <c r="ATE112" s="187"/>
      <c r="ATK112" s="188"/>
      <c r="ATL112" s="187"/>
      <c r="ATR112" s="188"/>
      <c r="ATS112" s="187"/>
      <c r="ATY112" s="168"/>
      <c r="ATZ112" s="189"/>
      <c r="AUF112" s="188"/>
      <c r="AUG112" s="187"/>
      <c r="AUM112" s="188"/>
      <c r="AUN112" s="187"/>
      <c r="AUT112" s="188"/>
      <c r="AUU112" s="187"/>
      <c r="AVA112" s="188"/>
      <c r="AVB112" s="187"/>
      <c r="AVD112" s="168"/>
      <c r="AVE112" s="189"/>
      <c r="AVH112" s="188"/>
      <c r="AVI112" s="187"/>
      <c r="AVO112" s="188"/>
      <c r="AVP112" s="187"/>
      <c r="AVV112" s="188"/>
      <c r="AVW112" s="187"/>
      <c r="AWC112" s="188"/>
      <c r="AWD112" s="187"/>
      <c r="AWH112" s="168"/>
      <c r="AWI112" s="189"/>
      <c r="AWJ112" s="188"/>
      <c r="AWK112" s="187"/>
      <c r="AWQ112" s="188"/>
      <c r="AWR112" s="187"/>
      <c r="AWX112" s="188"/>
      <c r="AWY112" s="187"/>
      <c r="AXE112" s="188"/>
      <c r="AXF112" s="187"/>
      <c r="AXL112" s="188"/>
      <c r="AXM112" s="190"/>
      <c r="AXN112" s="189"/>
      <c r="AXS112" s="188"/>
      <c r="AXT112" s="187"/>
      <c r="AXZ112" s="188"/>
      <c r="AYA112" s="187"/>
      <c r="AYG112" s="188"/>
      <c r="AYH112" s="187"/>
      <c r="AYN112" s="188"/>
      <c r="AYO112" s="187"/>
      <c r="AYR112" s="168"/>
      <c r="AYS112" s="189"/>
      <c r="AYU112" s="188"/>
      <c r="AYV112" s="187"/>
      <c r="AZB112" s="188"/>
      <c r="AZC112" s="187"/>
      <c r="AZI112" s="188"/>
      <c r="AZJ112" s="187"/>
      <c r="AZP112" s="188"/>
      <c r="AZQ112" s="187"/>
      <c r="AZV112" s="168"/>
      <c r="AZW112" s="191"/>
      <c r="AZX112" s="187"/>
      <c r="BAD112" s="188"/>
      <c r="BAE112" s="187"/>
      <c r="BAK112" s="188"/>
      <c r="BAL112" s="187"/>
      <c r="BAR112" s="188"/>
      <c r="BAS112" s="187"/>
      <c r="BAY112" s="188"/>
      <c r="BAZ112" s="187"/>
      <c r="BBA112" s="168"/>
      <c r="BBB112" s="189"/>
      <c r="BBF112" s="188"/>
      <c r="BBG112" s="187"/>
      <c r="BBM112" s="188"/>
      <c r="BBN112" s="187"/>
      <c r="BBT112" s="188"/>
      <c r="BBU112" s="187"/>
      <c r="BCA112" s="188"/>
      <c r="BCB112" s="187"/>
      <c r="BCE112" s="168"/>
      <c r="BCF112" s="189"/>
      <c r="BCH112" s="188"/>
      <c r="BCI112" s="187"/>
      <c r="BCO112" s="188"/>
      <c r="BCP112" s="187"/>
      <c r="BCV112" s="188"/>
      <c r="BCW112" s="187"/>
      <c r="BDC112" s="188"/>
      <c r="BDD112" s="187"/>
      <c r="BDJ112" s="168"/>
      <c r="BDK112" s="189"/>
      <c r="BDQ112" s="188"/>
      <c r="BDR112" s="187"/>
      <c r="BDX112" s="188"/>
      <c r="BDY112" s="187"/>
      <c r="BEE112" s="188"/>
      <c r="BEF112" s="187"/>
      <c r="BEL112" s="188"/>
      <c r="BEM112" s="187"/>
      <c r="BEO112" s="168"/>
      <c r="BEP112" s="189"/>
      <c r="BES112" s="188"/>
      <c r="BET112" s="187"/>
      <c r="BEZ112" s="188"/>
      <c r="BFA112" s="187"/>
      <c r="BFG112" s="188"/>
      <c r="BFH112" s="187"/>
      <c r="BFN112" s="188"/>
      <c r="BFO112" s="187"/>
      <c r="BFQ112" s="168"/>
      <c r="BFR112" s="189"/>
      <c r="BFU112" s="188"/>
      <c r="BFV112" s="187"/>
      <c r="BGB112" s="188"/>
      <c r="BGC112" s="187"/>
      <c r="BGI112" s="188"/>
      <c r="BGJ112" s="187"/>
      <c r="BGP112" s="188"/>
      <c r="BGQ112" s="187"/>
      <c r="BGV112" s="168"/>
      <c r="BGW112" s="191"/>
      <c r="BGX112" s="187"/>
      <c r="BHD112" s="188"/>
      <c r="BHE112" s="187"/>
      <c r="BHK112" s="188"/>
      <c r="BHL112" s="187"/>
      <c r="BHR112" s="188"/>
      <c r="BHS112" s="187"/>
      <c r="BHY112" s="188"/>
      <c r="BHZ112" s="190"/>
      <c r="BIA112" s="189"/>
      <c r="BIF112" s="188"/>
      <c r="BIG112" s="187"/>
      <c r="BIM112" s="188"/>
      <c r="BIN112" s="187"/>
      <c r="BIT112" s="188"/>
      <c r="BIU112" s="187"/>
      <c r="BJA112" s="188"/>
      <c r="BJB112" s="187"/>
      <c r="BJE112" s="168"/>
      <c r="BJF112" s="189"/>
      <c r="BJH112" s="188"/>
      <c r="BJI112" s="187"/>
      <c r="BJO112" s="188"/>
      <c r="BJP112" s="187"/>
      <c r="BJV112" s="188"/>
      <c r="BJW112" s="187"/>
      <c r="BKC112" s="188"/>
      <c r="BKD112" s="187"/>
      <c r="BKI112" s="168"/>
      <c r="BKJ112" s="191"/>
      <c r="BKK112" s="187"/>
      <c r="BKQ112" s="188"/>
      <c r="BKR112" s="187"/>
      <c r="BKX112" s="188"/>
      <c r="BKY112" s="187"/>
      <c r="BLE112" s="188"/>
      <c r="BLF112" s="187"/>
      <c r="BLL112" s="188"/>
      <c r="BLM112" s="187"/>
      <c r="BLN112" s="168"/>
      <c r="BLO112" s="189"/>
      <c r="BLS112" s="188"/>
      <c r="BLT112" s="187"/>
      <c r="BLZ112" s="188"/>
      <c r="BMA112" s="187"/>
      <c r="BMG112" s="188"/>
      <c r="BMH112" s="187"/>
      <c r="BMN112" s="188"/>
      <c r="BMO112" s="187"/>
      <c r="BMS112" s="168"/>
      <c r="BMT112" s="189"/>
      <c r="BMU112" s="188"/>
      <c r="BMV112" s="187"/>
      <c r="BNB112" s="188"/>
      <c r="BNC112" s="187"/>
      <c r="BNI112" s="188"/>
      <c r="BNJ112" s="187"/>
      <c r="BNP112" s="188"/>
      <c r="BNQ112" s="187"/>
      <c r="BNW112" s="168"/>
      <c r="BNX112" s="189"/>
      <c r="BOD112" s="188"/>
      <c r="BOE112" s="187"/>
      <c r="BOK112" s="188"/>
      <c r="BOL112" s="187"/>
      <c r="BOR112" s="188"/>
      <c r="BOS112" s="187"/>
      <c r="BOY112" s="188"/>
      <c r="BOZ112" s="187"/>
      <c r="BPB112" s="168"/>
      <c r="BPC112" s="189"/>
      <c r="BPF112" s="188"/>
      <c r="BPG112" s="187"/>
      <c r="BPM112" s="188"/>
      <c r="BPN112" s="187"/>
      <c r="BPT112" s="188"/>
      <c r="BPU112" s="187"/>
      <c r="BQA112" s="188"/>
      <c r="BQB112" s="187"/>
      <c r="BQF112" s="168"/>
      <c r="BQG112" s="189"/>
      <c r="BQH112" s="188"/>
      <c r="BQI112" s="187"/>
      <c r="BQO112" s="188"/>
      <c r="BQP112" s="187"/>
      <c r="BQV112" s="188"/>
      <c r="BQW112" s="187"/>
      <c r="BRC112" s="188"/>
      <c r="BRD112" s="187"/>
      <c r="BRJ112" s="188"/>
      <c r="BRK112" s="190"/>
      <c r="BRL112" s="189"/>
      <c r="BRQ112" s="188"/>
      <c r="BRR112" s="187"/>
      <c r="BRX112" s="188"/>
      <c r="BRY112" s="187"/>
      <c r="BSE112" s="188"/>
      <c r="BSF112" s="187"/>
      <c r="BSL112" s="188"/>
      <c r="BSM112" s="187"/>
      <c r="BSP112" s="168"/>
      <c r="BSQ112" s="189"/>
      <c r="BSS112" s="188"/>
      <c r="BST112" s="187"/>
      <c r="BSZ112" s="188"/>
      <c r="BTA112" s="187"/>
      <c r="BTG112" s="188"/>
      <c r="BTH112" s="187"/>
      <c r="BTN112" s="188"/>
      <c r="BTO112" s="187"/>
      <c r="BTS112" s="168"/>
      <c r="BTT112" s="189"/>
      <c r="BTU112" s="188"/>
      <c r="BTV112" s="187"/>
      <c r="BUB112" s="188"/>
      <c r="BUC112" s="187"/>
      <c r="BUI112" s="188"/>
      <c r="BUJ112" s="187"/>
      <c r="BUP112" s="188"/>
      <c r="BUQ112" s="187"/>
      <c r="BUW112" s="188"/>
      <c r="BUX112" s="190"/>
      <c r="BUY112" s="189"/>
      <c r="BVD112" s="188"/>
      <c r="BVE112" s="187"/>
      <c r="BVK112" s="188"/>
      <c r="BVL112" s="187"/>
      <c r="BVR112" s="188"/>
      <c r="BVS112" s="187"/>
      <c r="BVY112" s="188"/>
      <c r="BVZ112" s="187"/>
      <c r="BWB112" s="168"/>
      <c r="BWC112" s="189"/>
      <c r="BWF112" s="188"/>
      <c r="BWG112" s="187"/>
      <c r="BWM112" s="188"/>
      <c r="BWN112" s="187"/>
      <c r="BWT112" s="188"/>
      <c r="BWU112" s="187"/>
      <c r="BXA112" s="188"/>
      <c r="BXB112" s="187"/>
      <c r="BXG112" s="168"/>
      <c r="BXH112" s="191"/>
      <c r="BXI112" s="187"/>
      <c r="BXO112" s="188"/>
      <c r="BXP112" s="187"/>
      <c r="BXV112" s="188"/>
      <c r="BXW112" s="187"/>
      <c r="BYC112" s="188"/>
      <c r="BYD112" s="187"/>
      <c r="BYJ112" s="188"/>
      <c r="BYK112" s="190"/>
      <c r="BYL112" s="189"/>
      <c r="BYQ112" s="188"/>
      <c r="BYR112" s="187"/>
      <c r="BYX112" s="188"/>
      <c r="BYY112" s="187"/>
      <c r="BZE112" s="188"/>
      <c r="BZF112" s="187"/>
      <c r="BZL112" s="188"/>
      <c r="BZM112" s="187"/>
      <c r="BZP112" s="168"/>
      <c r="BZQ112" s="189"/>
      <c r="BZS112" s="188"/>
      <c r="BZT112" s="187"/>
      <c r="BZZ112" s="188"/>
      <c r="CAA112" s="187"/>
      <c r="CAG112" s="188"/>
      <c r="CAH112" s="187"/>
      <c r="CAN112" s="188"/>
      <c r="CAO112" s="187"/>
      <c r="CAU112" s="168"/>
      <c r="CAV112" s="189"/>
      <c r="CBB112" s="188"/>
      <c r="CBC112" s="187"/>
      <c r="CBI112" s="188"/>
      <c r="CBJ112" s="187"/>
      <c r="CBP112" s="188"/>
      <c r="CBQ112" s="187"/>
      <c r="CBW112" s="188"/>
      <c r="CBX112" s="187"/>
      <c r="CBY112" s="168"/>
      <c r="CBZ112" s="189"/>
      <c r="CCD112" s="188"/>
      <c r="CCE112" s="187"/>
      <c r="CCK112" s="188"/>
      <c r="CCL112" s="187"/>
      <c r="CCR112" s="188"/>
      <c r="CCS112" s="187"/>
      <c r="CCY112" s="188"/>
      <c r="CCZ112" s="187"/>
      <c r="CDD112" s="168"/>
      <c r="CDE112" s="189"/>
      <c r="CDF112" s="188"/>
      <c r="CDG112" s="187"/>
      <c r="CDM112" s="188"/>
      <c r="CDN112" s="187"/>
      <c r="CDT112" s="188"/>
      <c r="CDU112" s="187"/>
      <c r="CEA112" s="188"/>
      <c r="CEB112" s="187"/>
      <c r="CEH112" s="168"/>
      <c r="CEI112" s="189"/>
      <c r="CEO112" s="188"/>
      <c r="CEP112" s="187"/>
      <c r="CEV112" s="188"/>
      <c r="CEW112" s="187"/>
      <c r="CFC112" s="188"/>
      <c r="CFD112" s="187"/>
      <c r="CFJ112" s="188"/>
      <c r="CFK112" s="187"/>
    </row>
    <row r="113" spans="1:1019 1025:2048 2054:2195">
      <c r="D113" s="186"/>
      <c r="E113" s="186"/>
      <c r="K113" s="187"/>
      <c r="Q113" s="188"/>
      <c r="R113" s="187"/>
      <c r="X113" s="188"/>
      <c r="Y113" s="187"/>
      <c r="AE113" s="188"/>
      <c r="AF113" s="187"/>
      <c r="AJ113" s="168"/>
      <c r="AK113" s="189"/>
      <c r="AL113" s="188"/>
      <c r="AM113" s="187"/>
      <c r="AS113" s="188"/>
      <c r="AT113" s="187"/>
      <c r="AZ113" s="188"/>
      <c r="BA113" s="187"/>
      <c r="BG113" s="188"/>
      <c r="BH113" s="187"/>
      <c r="BL113" s="168"/>
      <c r="BM113" s="189"/>
      <c r="BN113" s="188"/>
      <c r="BO113" s="187"/>
      <c r="BU113" s="188"/>
      <c r="BV113" s="187"/>
      <c r="CB113" s="188"/>
      <c r="CC113" s="187"/>
      <c r="CI113" s="188"/>
      <c r="CJ113" s="187"/>
      <c r="CP113" s="188"/>
      <c r="CQ113" s="190"/>
      <c r="CR113" s="189"/>
      <c r="CW113" s="188"/>
      <c r="CX113" s="187"/>
      <c r="DD113" s="188"/>
      <c r="DE113" s="187"/>
      <c r="DK113" s="188"/>
      <c r="DL113" s="187"/>
      <c r="DR113" s="188"/>
      <c r="DS113" s="187"/>
      <c r="DU113" s="168"/>
      <c r="DV113" s="189"/>
      <c r="DY113" s="188"/>
      <c r="DZ113" s="187"/>
      <c r="EF113" s="188"/>
      <c r="EG113" s="187"/>
      <c r="EM113" s="188"/>
      <c r="EN113" s="187"/>
      <c r="ET113" s="188"/>
      <c r="EU113" s="187"/>
      <c r="EZ113" s="168"/>
      <c r="FA113" s="191"/>
      <c r="FB113" s="187"/>
      <c r="FH113" s="188"/>
      <c r="FI113" s="187"/>
      <c r="FO113" s="188"/>
      <c r="FP113" s="187"/>
      <c r="FV113" s="188"/>
      <c r="FW113" s="187"/>
      <c r="GC113" s="188"/>
      <c r="GD113" s="190"/>
      <c r="GE113" s="189"/>
      <c r="GJ113" s="188"/>
      <c r="GK113" s="187"/>
      <c r="GQ113" s="188"/>
      <c r="GR113" s="187"/>
      <c r="GX113" s="188"/>
      <c r="GY113" s="187"/>
      <c r="HE113" s="188"/>
      <c r="HF113" s="187"/>
      <c r="HI113" s="168"/>
      <c r="HJ113" s="189"/>
      <c r="HL113" s="188"/>
      <c r="HM113" s="187"/>
      <c r="HS113" s="188"/>
      <c r="HT113" s="187"/>
      <c r="HZ113" s="188"/>
      <c r="IA113" s="187"/>
      <c r="IG113" s="188"/>
      <c r="IH113" s="187"/>
      <c r="IN113" s="168"/>
      <c r="IO113" s="189"/>
      <c r="IU113" s="188"/>
      <c r="IV113" s="187"/>
      <c r="JB113" s="188"/>
      <c r="JC113" s="187"/>
      <c r="JI113" s="188"/>
      <c r="JJ113" s="187"/>
      <c r="JP113" s="188"/>
      <c r="JQ113" s="187"/>
      <c r="JR113" s="168"/>
      <c r="JS113" s="189"/>
      <c r="JW113" s="188"/>
      <c r="JX113" s="187"/>
      <c r="KD113" s="188"/>
      <c r="KE113" s="187"/>
      <c r="KK113" s="188"/>
      <c r="KL113" s="187"/>
      <c r="KR113" s="188"/>
      <c r="KS113" s="187"/>
      <c r="KW113" s="168"/>
      <c r="KX113" s="189"/>
      <c r="KY113" s="188"/>
      <c r="KZ113" s="187"/>
      <c r="LF113" s="188"/>
      <c r="LG113" s="187"/>
      <c r="LM113" s="188"/>
      <c r="LN113" s="187"/>
      <c r="LT113" s="188"/>
      <c r="LU113" s="187"/>
      <c r="MA113" s="168"/>
      <c r="MB113" s="189"/>
      <c r="MH113" s="188"/>
      <c r="MI113" s="187"/>
      <c r="MO113" s="188"/>
      <c r="MP113" s="187"/>
      <c r="MV113" s="188"/>
      <c r="MW113" s="187"/>
      <c r="NC113" s="188"/>
      <c r="ND113" s="187"/>
      <c r="NF113" s="168"/>
      <c r="NG113" s="189"/>
      <c r="NJ113" s="188"/>
      <c r="NK113" s="187"/>
      <c r="NQ113" s="188"/>
      <c r="NR113" s="187"/>
      <c r="NX113" s="188"/>
      <c r="NY113" s="187"/>
      <c r="OE113" s="188"/>
      <c r="OF113" s="187"/>
      <c r="OK113" s="168"/>
      <c r="OL113" s="191"/>
      <c r="OM113" s="187"/>
      <c r="OS113" s="188"/>
      <c r="OT113" s="187"/>
      <c r="OZ113" s="188"/>
      <c r="PA113" s="187"/>
      <c r="PG113" s="188"/>
      <c r="PH113" s="187"/>
      <c r="PN113" s="168"/>
      <c r="PO113" s="189"/>
      <c r="PU113" s="188"/>
      <c r="PV113" s="187"/>
      <c r="QB113" s="188"/>
      <c r="QC113" s="187"/>
      <c r="QI113" s="188"/>
      <c r="QJ113" s="187"/>
      <c r="QP113" s="188"/>
      <c r="QQ113" s="187"/>
      <c r="QS113" s="168"/>
      <c r="QT113" s="189"/>
      <c r="QW113" s="188"/>
      <c r="QX113" s="187"/>
      <c r="RD113" s="188"/>
      <c r="RE113" s="187"/>
      <c r="RK113" s="188"/>
      <c r="RL113" s="187"/>
      <c r="RR113" s="188"/>
      <c r="RS113" s="187"/>
      <c r="RW113" s="168"/>
      <c r="RX113" s="189"/>
      <c r="RY113" s="188"/>
      <c r="RZ113" s="187"/>
      <c r="SF113" s="188"/>
      <c r="SG113" s="187"/>
      <c r="SM113" s="188"/>
      <c r="SN113" s="187"/>
      <c r="ST113" s="188"/>
      <c r="SU113" s="187"/>
      <c r="TA113" s="188"/>
      <c r="TB113" s="190"/>
      <c r="TC113" s="189"/>
      <c r="TH113" s="188"/>
      <c r="TI113" s="187"/>
      <c r="TO113" s="188"/>
      <c r="TP113" s="187"/>
      <c r="TV113" s="188"/>
      <c r="TW113" s="187"/>
      <c r="UC113" s="188"/>
      <c r="UD113" s="187"/>
      <c r="UF113" s="168"/>
      <c r="UG113" s="189"/>
      <c r="UJ113" s="188"/>
      <c r="UK113" s="187"/>
      <c r="UQ113" s="188"/>
      <c r="UR113" s="187"/>
      <c r="UX113" s="188"/>
      <c r="UY113" s="187"/>
      <c r="VE113" s="188"/>
      <c r="VF113" s="187"/>
      <c r="VK113" s="168"/>
      <c r="VL113" s="191"/>
      <c r="VM113" s="187"/>
      <c r="VS113" s="188"/>
      <c r="VT113" s="187"/>
      <c r="VZ113" s="188"/>
      <c r="WA113" s="187"/>
      <c r="WG113" s="188"/>
      <c r="WH113" s="187"/>
      <c r="WN113" s="188"/>
      <c r="WO113" s="187"/>
      <c r="WP113" s="168"/>
      <c r="WQ113" s="189"/>
      <c r="WU113" s="188"/>
      <c r="WV113" s="187"/>
      <c r="XB113" s="188"/>
      <c r="XC113" s="187"/>
      <c r="XI113" s="188"/>
      <c r="XJ113" s="187"/>
      <c r="XP113" s="188"/>
      <c r="XQ113" s="187"/>
      <c r="XT113" s="168"/>
      <c r="XU113" s="189"/>
      <c r="XW113" s="188"/>
      <c r="XX113" s="187"/>
      <c r="YD113" s="188"/>
      <c r="YE113" s="187"/>
      <c r="YK113" s="188"/>
      <c r="YL113" s="187"/>
      <c r="YR113" s="188"/>
      <c r="YS113" s="187"/>
      <c r="YY113" s="168"/>
      <c r="YZ113" s="189"/>
      <c r="ZF113" s="188"/>
      <c r="ZG113" s="187"/>
      <c r="ZM113" s="188"/>
      <c r="ZN113" s="187"/>
      <c r="ZT113" s="188"/>
      <c r="ZU113" s="187"/>
      <c r="AAA113" s="188"/>
      <c r="AAB113" s="187"/>
      <c r="AAC113" s="168"/>
      <c r="AAD113" s="189"/>
      <c r="AAH113" s="188"/>
      <c r="AAI113" s="187"/>
      <c r="AAO113" s="188"/>
      <c r="AAP113" s="187"/>
      <c r="AAV113" s="188"/>
      <c r="AAW113" s="187"/>
      <c r="ABC113" s="188"/>
      <c r="ABD113" s="187"/>
      <c r="ABH113" s="168"/>
      <c r="ABI113" s="189"/>
      <c r="ABJ113" s="188"/>
      <c r="ABK113" s="187"/>
      <c r="ABQ113" s="188"/>
      <c r="ABR113" s="187"/>
      <c r="ABX113" s="188"/>
      <c r="ABY113" s="187"/>
      <c r="ACE113" s="188"/>
      <c r="ACF113" s="187"/>
      <c r="ACL113" s="188"/>
      <c r="ACM113" s="190"/>
      <c r="ACN113" s="189"/>
      <c r="ACS113" s="188"/>
      <c r="ACT113" s="187"/>
      <c r="ACZ113" s="188"/>
      <c r="ADA113" s="187"/>
      <c r="ADG113" s="188"/>
      <c r="ADH113" s="187"/>
      <c r="ADN113" s="188"/>
      <c r="ADO113" s="190"/>
      <c r="ADP113" s="189"/>
      <c r="ADU113" s="188"/>
      <c r="ADV113" s="187"/>
      <c r="AEB113" s="188"/>
      <c r="AEC113" s="187"/>
      <c r="AEI113" s="188"/>
      <c r="AEJ113" s="187"/>
      <c r="AEP113" s="188"/>
      <c r="AEQ113" s="187"/>
      <c r="AET113" s="168"/>
      <c r="AEU113" s="189"/>
      <c r="AEW113" s="188"/>
      <c r="AEX113" s="187"/>
      <c r="AFD113" s="188"/>
      <c r="AFE113" s="187"/>
      <c r="AFK113" s="188"/>
      <c r="AFL113" s="187"/>
      <c r="AFR113" s="188"/>
      <c r="AFS113" s="187"/>
      <c r="AFX113" s="168"/>
      <c r="AFY113" s="191"/>
      <c r="AFZ113" s="187"/>
      <c r="AGF113" s="188"/>
      <c r="AGG113" s="187"/>
      <c r="AGM113" s="188"/>
      <c r="AGN113" s="187"/>
      <c r="AGT113" s="188"/>
      <c r="AGU113" s="187"/>
      <c r="AHA113" s="188"/>
      <c r="AHB113" s="187"/>
      <c r="AHC113" s="168"/>
      <c r="AHD113" s="189"/>
      <c r="AHH113" s="188"/>
      <c r="AHI113" s="187"/>
      <c r="AHO113" s="188"/>
      <c r="AHP113" s="187"/>
      <c r="AHV113" s="188"/>
      <c r="AHW113" s="187"/>
      <c r="AIC113" s="188"/>
      <c r="AID113" s="187"/>
      <c r="AIG113" s="168"/>
      <c r="AIH113" s="189"/>
      <c r="AIJ113" s="188"/>
      <c r="AIK113" s="187"/>
      <c r="AIQ113" s="188"/>
      <c r="AIR113" s="187"/>
      <c r="AIX113" s="188"/>
      <c r="AIY113" s="187"/>
      <c r="AJE113" s="188"/>
      <c r="AJF113" s="187"/>
      <c r="AJL113" s="168"/>
      <c r="AJM113" s="189"/>
      <c r="AJS113" s="188"/>
      <c r="AJT113" s="187"/>
      <c r="AJZ113" s="188"/>
      <c r="AKA113" s="187"/>
      <c r="AKG113" s="188"/>
      <c r="AKH113" s="187"/>
      <c r="AKN113" s="188"/>
      <c r="AKO113" s="187"/>
      <c r="AKQ113" s="168"/>
      <c r="AKR113" s="189"/>
      <c r="AKU113" s="188"/>
      <c r="AKV113" s="187"/>
      <c r="ALB113" s="188"/>
      <c r="ALC113" s="187"/>
      <c r="ALI113" s="188"/>
      <c r="ALJ113" s="187"/>
      <c r="ALP113" s="188"/>
      <c r="ALQ113" s="187"/>
      <c r="ALU113" s="168"/>
      <c r="ALV113" s="189"/>
      <c r="ALW113" s="188"/>
      <c r="ALX113" s="187"/>
      <c r="AMD113" s="188"/>
      <c r="AME113" s="187"/>
      <c r="AMK113" s="188"/>
      <c r="AML113" s="187"/>
      <c r="AMR113" s="188"/>
      <c r="AMS113" s="187"/>
      <c r="AMY113" s="188"/>
      <c r="AMZ113" s="190"/>
      <c r="ANA113" s="189"/>
      <c r="ANF113" s="188"/>
      <c r="ANG113" s="187"/>
      <c r="ANM113" s="188"/>
      <c r="ANN113" s="187"/>
      <c r="ANT113" s="188"/>
      <c r="ANU113" s="187"/>
      <c r="AOA113" s="188"/>
      <c r="AOB113" s="187"/>
      <c r="AOD113" s="168"/>
      <c r="AOE113" s="189"/>
      <c r="AOH113" s="188"/>
      <c r="AOI113" s="187"/>
      <c r="AOO113" s="188"/>
      <c r="AOP113" s="187"/>
      <c r="AOV113" s="188"/>
      <c r="AOW113" s="187"/>
      <c r="APC113" s="188"/>
      <c r="APD113" s="187"/>
      <c r="API113" s="168"/>
      <c r="APJ113" s="191"/>
      <c r="APK113" s="187"/>
      <c r="APQ113" s="188"/>
      <c r="APR113" s="187"/>
      <c r="APX113" s="188"/>
      <c r="APY113" s="187"/>
      <c r="AQE113" s="188"/>
      <c r="AQF113" s="187"/>
      <c r="AQL113" s="188"/>
      <c r="AQM113" s="187"/>
      <c r="AQN113" s="168"/>
      <c r="AQO113" s="189"/>
      <c r="AQS113" s="188"/>
      <c r="AQT113" s="187"/>
      <c r="AQZ113" s="188"/>
      <c r="ARA113" s="187"/>
      <c r="ARG113" s="188"/>
      <c r="ARH113" s="187"/>
      <c r="ARN113" s="188"/>
      <c r="ARO113" s="187"/>
      <c r="ARP113" s="168"/>
      <c r="ARQ113" s="189"/>
      <c r="ARU113" s="188"/>
      <c r="ARV113" s="187"/>
      <c r="ASB113" s="188"/>
      <c r="ASC113" s="187"/>
      <c r="ASI113" s="188"/>
      <c r="ASJ113" s="187"/>
      <c r="ASP113" s="188"/>
      <c r="ASQ113" s="187"/>
      <c r="ASU113" s="168"/>
      <c r="ASV113" s="189"/>
      <c r="ASW113" s="188"/>
      <c r="ASX113" s="187"/>
      <c r="ATD113" s="188"/>
      <c r="ATE113" s="187"/>
      <c r="ATK113" s="188"/>
      <c r="ATL113" s="187"/>
      <c r="ATR113" s="188"/>
      <c r="ATS113" s="187"/>
      <c r="ATY113" s="168"/>
      <c r="ATZ113" s="189"/>
      <c r="AUF113" s="188"/>
      <c r="AUG113" s="187"/>
      <c r="AUM113" s="188"/>
      <c r="AUN113" s="187"/>
      <c r="AUT113" s="188"/>
      <c r="AUU113" s="187"/>
      <c r="AVA113" s="188"/>
      <c r="AVB113" s="187"/>
      <c r="AVD113" s="168"/>
      <c r="AVE113" s="189"/>
      <c r="AVH113" s="188"/>
      <c r="AVI113" s="187"/>
      <c r="AVO113" s="188"/>
      <c r="AVP113" s="187"/>
      <c r="AVV113" s="188"/>
      <c r="AVW113" s="187"/>
      <c r="AWC113" s="188"/>
      <c r="AWD113" s="187"/>
      <c r="AWH113" s="168"/>
      <c r="AWI113" s="189"/>
      <c r="AWJ113" s="188"/>
      <c r="AWK113" s="187"/>
      <c r="AWQ113" s="188"/>
      <c r="AWR113" s="187"/>
      <c r="AWX113" s="188"/>
      <c r="AWY113" s="187"/>
      <c r="AXE113" s="188"/>
      <c r="AXF113" s="187"/>
      <c r="AXL113" s="188"/>
      <c r="AXM113" s="190"/>
      <c r="AXN113" s="189"/>
      <c r="AXS113" s="188"/>
      <c r="AXT113" s="187"/>
      <c r="AXZ113" s="188"/>
      <c r="AYA113" s="187"/>
      <c r="AYG113" s="188"/>
      <c r="AYH113" s="187"/>
      <c r="AYN113" s="188"/>
      <c r="AYO113" s="187"/>
      <c r="AYR113" s="168"/>
      <c r="AYS113" s="189"/>
      <c r="AYU113" s="188"/>
      <c r="AYV113" s="187"/>
      <c r="AZB113" s="188"/>
      <c r="AZC113" s="187"/>
      <c r="AZI113" s="188"/>
      <c r="AZJ113" s="187"/>
      <c r="AZP113" s="188"/>
      <c r="AZQ113" s="187"/>
      <c r="AZV113" s="168"/>
      <c r="AZW113" s="191"/>
      <c r="AZX113" s="187"/>
      <c r="BAD113" s="188"/>
      <c r="BAE113" s="187"/>
      <c r="BAK113" s="188"/>
      <c r="BAL113" s="187"/>
      <c r="BAR113" s="188"/>
      <c r="BAS113" s="187"/>
      <c r="BAY113" s="188"/>
      <c r="BAZ113" s="187"/>
      <c r="BBA113" s="168"/>
      <c r="BBB113" s="189"/>
      <c r="BBF113" s="188"/>
      <c r="BBG113" s="187"/>
      <c r="BBM113" s="188"/>
      <c r="BBN113" s="187"/>
      <c r="BBT113" s="188"/>
      <c r="BBU113" s="187"/>
      <c r="BCA113" s="188"/>
      <c r="BCB113" s="187"/>
      <c r="BCE113" s="168"/>
      <c r="BCF113" s="189"/>
      <c r="BCH113" s="188"/>
      <c r="BCI113" s="187"/>
      <c r="BCO113" s="188"/>
      <c r="BCP113" s="187"/>
      <c r="BCV113" s="188"/>
      <c r="BCW113" s="187"/>
      <c r="BDC113" s="188"/>
      <c r="BDD113" s="187"/>
      <c r="BDJ113" s="168"/>
      <c r="BDK113" s="189"/>
      <c r="BDQ113" s="188"/>
      <c r="BDR113" s="187"/>
      <c r="BDX113" s="188"/>
      <c r="BDY113" s="187"/>
      <c r="BEE113" s="188"/>
      <c r="BEF113" s="187"/>
      <c r="BEL113" s="188"/>
      <c r="BEM113" s="187"/>
      <c r="BEO113" s="168"/>
      <c r="BEP113" s="189"/>
      <c r="BES113" s="188"/>
      <c r="BET113" s="187"/>
      <c r="BEZ113" s="188"/>
      <c r="BFA113" s="187"/>
      <c r="BFG113" s="188"/>
      <c r="BFH113" s="187"/>
      <c r="BFN113" s="188"/>
      <c r="BFO113" s="187"/>
      <c r="BFQ113" s="168"/>
      <c r="BFR113" s="189"/>
      <c r="BFU113" s="188"/>
      <c r="BFV113" s="187"/>
      <c r="BGB113" s="188"/>
      <c r="BGC113" s="187"/>
      <c r="BGI113" s="188"/>
      <c r="BGJ113" s="187"/>
      <c r="BGP113" s="188"/>
      <c r="BGQ113" s="187"/>
      <c r="BGV113" s="168"/>
      <c r="BGW113" s="191"/>
      <c r="BGX113" s="187"/>
      <c r="BHD113" s="188"/>
      <c r="BHE113" s="187"/>
      <c r="BHK113" s="188"/>
      <c r="BHL113" s="187"/>
      <c r="BHR113" s="188"/>
      <c r="BHS113" s="187"/>
      <c r="BHY113" s="188"/>
      <c r="BHZ113" s="190"/>
      <c r="BIA113" s="189"/>
      <c r="BIF113" s="188"/>
      <c r="BIG113" s="187"/>
      <c r="BIM113" s="188"/>
      <c r="BIN113" s="187"/>
      <c r="BIT113" s="188"/>
      <c r="BIU113" s="187"/>
      <c r="BJA113" s="188"/>
      <c r="BJB113" s="187"/>
      <c r="BJE113" s="168"/>
      <c r="BJF113" s="189"/>
      <c r="BJH113" s="188"/>
      <c r="BJI113" s="187"/>
      <c r="BJO113" s="188"/>
      <c r="BJP113" s="187"/>
      <c r="BJV113" s="188"/>
      <c r="BJW113" s="187"/>
      <c r="BKC113" s="188"/>
      <c r="BKD113" s="187"/>
      <c r="BKI113" s="168"/>
      <c r="BKJ113" s="191"/>
      <c r="BKK113" s="187"/>
      <c r="BKQ113" s="188"/>
      <c r="BKR113" s="187"/>
      <c r="BKX113" s="188"/>
      <c r="BKY113" s="187"/>
      <c r="BLE113" s="188"/>
      <c r="BLF113" s="187"/>
      <c r="BLL113" s="188"/>
      <c r="BLM113" s="187"/>
      <c r="BLN113" s="168"/>
      <c r="BLO113" s="189"/>
      <c r="BLS113" s="188"/>
      <c r="BLT113" s="187"/>
      <c r="BLZ113" s="188"/>
      <c r="BMA113" s="187"/>
      <c r="BMG113" s="188"/>
      <c r="BMH113" s="187"/>
      <c r="BMN113" s="188"/>
      <c r="BMO113" s="187"/>
      <c r="BMS113" s="168"/>
      <c r="BMT113" s="189"/>
      <c r="BMU113" s="188"/>
      <c r="BMV113" s="187"/>
      <c r="BNB113" s="188"/>
      <c r="BNC113" s="187"/>
      <c r="BNI113" s="188"/>
      <c r="BNJ113" s="187"/>
      <c r="BNP113" s="188"/>
      <c r="BNQ113" s="187"/>
      <c r="BNW113" s="168"/>
      <c r="BNX113" s="189"/>
      <c r="BOD113" s="188"/>
      <c r="BOE113" s="187"/>
      <c r="BOK113" s="188"/>
      <c r="BOL113" s="187"/>
      <c r="BOR113" s="188"/>
      <c r="BOS113" s="187"/>
      <c r="BOY113" s="188"/>
      <c r="BOZ113" s="187"/>
      <c r="BPB113" s="168"/>
      <c r="BPC113" s="189"/>
      <c r="BPF113" s="188"/>
      <c r="BPG113" s="187"/>
      <c r="BPM113" s="188"/>
      <c r="BPN113" s="187"/>
      <c r="BPT113" s="188"/>
      <c r="BPU113" s="187"/>
      <c r="BQA113" s="188"/>
      <c r="BQB113" s="187"/>
      <c r="BQF113" s="168"/>
      <c r="BQG113" s="189"/>
      <c r="BQH113" s="188"/>
      <c r="BQI113" s="187"/>
      <c r="BQO113" s="188"/>
      <c r="BQP113" s="187"/>
      <c r="BQV113" s="188"/>
      <c r="BQW113" s="187"/>
      <c r="BRC113" s="188"/>
      <c r="BRD113" s="187"/>
      <c r="BRJ113" s="188"/>
      <c r="BRK113" s="190"/>
      <c r="BRL113" s="189"/>
      <c r="BRQ113" s="188"/>
      <c r="BRR113" s="187"/>
      <c r="BRX113" s="188"/>
      <c r="BRY113" s="187"/>
      <c r="BSE113" s="188"/>
      <c r="BSF113" s="187"/>
      <c r="BSL113" s="188"/>
      <c r="BSM113" s="187"/>
      <c r="BSP113" s="168"/>
      <c r="BSQ113" s="189"/>
      <c r="BSS113" s="188"/>
      <c r="BST113" s="187"/>
      <c r="BSZ113" s="188"/>
      <c r="BTA113" s="187"/>
      <c r="BTG113" s="188"/>
      <c r="BTH113" s="187"/>
      <c r="BTN113" s="188"/>
      <c r="BTO113" s="187"/>
      <c r="BTS113" s="168"/>
      <c r="BTT113" s="189"/>
      <c r="BTU113" s="188"/>
      <c r="BTV113" s="187"/>
      <c r="BUB113" s="188"/>
      <c r="BUC113" s="187"/>
      <c r="BUI113" s="188"/>
      <c r="BUJ113" s="187"/>
      <c r="BUP113" s="188"/>
      <c r="BUQ113" s="187"/>
      <c r="BUW113" s="188"/>
      <c r="BUX113" s="190"/>
      <c r="BUY113" s="189"/>
      <c r="BVD113" s="188"/>
      <c r="BVE113" s="187"/>
      <c r="BVK113" s="188"/>
      <c r="BVL113" s="187"/>
      <c r="BVR113" s="188"/>
      <c r="BVS113" s="187"/>
      <c r="BVY113" s="188"/>
      <c r="BVZ113" s="187"/>
      <c r="BWB113" s="168"/>
      <c r="BWC113" s="189"/>
      <c r="BWF113" s="188"/>
      <c r="BWG113" s="187"/>
      <c r="BWM113" s="188"/>
      <c r="BWN113" s="187"/>
      <c r="BWT113" s="188"/>
      <c r="BWU113" s="187"/>
      <c r="BXA113" s="188"/>
      <c r="BXB113" s="187"/>
      <c r="BXG113" s="168"/>
      <c r="BXH113" s="191"/>
      <c r="BXI113" s="187"/>
      <c r="BXO113" s="188"/>
      <c r="BXP113" s="187"/>
      <c r="BXV113" s="188"/>
      <c r="BXW113" s="187"/>
      <c r="BYC113" s="188"/>
      <c r="BYD113" s="187"/>
      <c r="BYJ113" s="188"/>
      <c r="BYK113" s="190"/>
      <c r="BYL113" s="189"/>
      <c r="BYQ113" s="188"/>
      <c r="BYR113" s="187"/>
      <c r="BYX113" s="188"/>
      <c r="BYY113" s="187"/>
      <c r="BZE113" s="188"/>
      <c r="BZF113" s="187"/>
      <c r="BZL113" s="188"/>
      <c r="BZM113" s="187"/>
      <c r="BZP113" s="168"/>
      <c r="BZQ113" s="189"/>
      <c r="BZS113" s="188"/>
      <c r="BZT113" s="187"/>
      <c r="BZZ113" s="188"/>
      <c r="CAA113" s="187"/>
      <c r="CAG113" s="188"/>
      <c r="CAH113" s="187"/>
      <c r="CAN113" s="188"/>
      <c r="CAO113" s="187"/>
      <c r="CAU113" s="168"/>
      <c r="CAV113" s="189"/>
      <c r="CBB113" s="188"/>
      <c r="CBC113" s="187"/>
      <c r="CBI113" s="188"/>
      <c r="CBJ113" s="187"/>
      <c r="CBP113" s="188"/>
      <c r="CBQ113" s="187"/>
      <c r="CBW113" s="188"/>
      <c r="CBX113" s="187"/>
      <c r="CBY113" s="168"/>
      <c r="CBZ113" s="189"/>
      <c r="CCD113" s="188"/>
      <c r="CCE113" s="187"/>
      <c r="CCK113" s="188"/>
      <c r="CCL113" s="187"/>
      <c r="CCR113" s="188"/>
      <c r="CCS113" s="187"/>
      <c r="CCY113" s="188"/>
      <c r="CCZ113" s="187"/>
      <c r="CDD113" s="168"/>
      <c r="CDE113" s="189"/>
      <c r="CDF113" s="188"/>
      <c r="CDG113" s="187"/>
      <c r="CDM113" s="188"/>
      <c r="CDN113" s="187"/>
      <c r="CDT113" s="188"/>
      <c r="CDU113" s="187"/>
      <c r="CEA113" s="188"/>
      <c r="CEB113" s="187"/>
      <c r="CEH113" s="168"/>
      <c r="CEI113" s="189"/>
      <c r="CEO113" s="188"/>
      <c r="CEP113" s="187"/>
      <c r="CEV113" s="188"/>
      <c r="CEW113" s="187"/>
      <c r="CFC113" s="188"/>
      <c r="CFD113" s="187"/>
      <c r="CFJ113" s="188"/>
      <c r="CFK113" s="187"/>
    </row>
    <row r="114" spans="1:1019 1025:2048 2054:2195">
      <c r="A114" s="164" t="s">
        <v>401</v>
      </c>
      <c r="C114" s="164" t="s">
        <v>402</v>
      </c>
      <c r="D114" s="186">
        <v>44677</v>
      </c>
      <c r="E114" s="186">
        <v>44681</v>
      </c>
      <c r="K114" s="187"/>
      <c r="Q114" s="188"/>
      <c r="R114" s="187"/>
      <c r="X114" s="188"/>
      <c r="Y114" s="187"/>
      <c r="AE114" s="188"/>
      <c r="AF114" s="187"/>
      <c r="AJ114" s="168"/>
      <c r="AK114" s="189"/>
      <c r="AL114" s="188"/>
      <c r="AM114" s="187"/>
      <c r="AS114" s="188"/>
      <c r="AT114" s="187"/>
      <c r="AZ114" s="188"/>
      <c r="BA114" s="187"/>
      <c r="BG114" s="188"/>
      <c r="BH114" s="187"/>
      <c r="BL114" s="168"/>
      <c r="BM114" s="189"/>
      <c r="BN114" s="188"/>
      <c r="BO114" s="187"/>
      <c r="BU114" s="188"/>
      <c r="BV114" s="187"/>
      <c r="CB114" s="188"/>
      <c r="CC114" s="187"/>
      <c r="CI114" s="188"/>
      <c r="CJ114" s="187"/>
      <c r="CP114" s="188"/>
      <c r="CQ114" s="190"/>
      <c r="CR114" s="189"/>
      <c r="CW114" s="188"/>
      <c r="CX114" s="187"/>
      <c r="DD114" s="188"/>
      <c r="DE114" s="187"/>
      <c r="DK114" s="188"/>
      <c r="DL114" s="187"/>
      <c r="DR114" s="188"/>
      <c r="DS114" s="187"/>
      <c r="DU114" s="168"/>
      <c r="DV114" s="189"/>
      <c r="DY114" s="188"/>
      <c r="DZ114" s="187"/>
      <c r="EF114" s="188"/>
      <c r="EG114" s="187"/>
      <c r="EM114" s="188"/>
      <c r="EN114" s="187"/>
      <c r="ET114" s="188"/>
      <c r="EU114" s="187"/>
      <c r="EZ114" s="168"/>
      <c r="FA114" s="191"/>
      <c r="FB114" s="187"/>
      <c r="FH114" s="188"/>
      <c r="FI114" s="187"/>
      <c r="FO114" s="188"/>
      <c r="FP114" s="187"/>
      <c r="FV114" s="188"/>
      <c r="FW114" s="187"/>
      <c r="GC114" s="188"/>
      <c r="GD114" s="190"/>
      <c r="GE114" s="189"/>
      <c r="GJ114" s="188"/>
      <c r="GK114" s="187"/>
      <c r="GQ114" s="188"/>
      <c r="GR114" s="187"/>
      <c r="GX114" s="188"/>
      <c r="GY114" s="187"/>
      <c r="HE114" s="188"/>
      <c r="HF114" s="187"/>
      <c r="HI114" s="168"/>
      <c r="HJ114" s="189"/>
      <c r="HL114" s="188"/>
      <c r="HM114" s="187"/>
      <c r="HS114" s="188"/>
      <c r="HT114" s="187"/>
      <c r="HZ114" s="188"/>
      <c r="IA114" s="187"/>
      <c r="IG114" s="188"/>
      <c r="IH114" s="187"/>
      <c r="IN114" s="168"/>
      <c r="IO114" s="189"/>
      <c r="IU114" s="188"/>
      <c r="IV114" s="187"/>
      <c r="JB114" s="188"/>
      <c r="JC114" s="187"/>
      <c r="JI114" s="188"/>
      <c r="JJ114" s="187"/>
      <c r="JP114" s="188"/>
      <c r="JQ114" s="187"/>
      <c r="JR114" s="168"/>
      <c r="JS114" s="189"/>
      <c r="JW114" s="188"/>
      <c r="JX114" s="187"/>
      <c r="KD114" s="188"/>
      <c r="KE114" s="187"/>
      <c r="KK114" s="188"/>
      <c r="KL114" s="187"/>
      <c r="KR114" s="188"/>
      <c r="KS114" s="187"/>
      <c r="KW114" s="168"/>
      <c r="KX114" s="189"/>
      <c r="KY114" s="188"/>
      <c r="KZ114" s="187"/>
      <c r="LF114" s="188"/>
      <c r="LG114" s="187"/>
      <c r="LM114" s="188"/>
      <c r="LN114" s="187"/>
      <c r="LT114" s="188"/>
      <c r="LU114" s="187"/>
      <c r="MA114" s="168"/>
      <c r="MB114" s="189"/>
      <c r="MH114" s="188"/>
      <c r="MI114" s="187"/>
      <c r="MO114" s="188"/>
      <c r="MP114" s="187"/>
      <c r="MV114" s="188"/>
      <c r="MW114" s="187"/>
      <c r="NC114" s="188"/>
      <c r="ND114" s="187"/>
      <c r="NF114" s="168"/>
      <c r="NG114" s="189"/>
      <c r="NJ114" s="188"/>
      <c r="NK114" s="187"/>
      <c r="NQ114" s="188"/>
      <c r="NR114" s="187"/>
      <c r="NX114" s="188"/>
      <c r="NY114" s="187"/>
      <c r="OE114" s="188"/>
      <c r="OF114" s="187"/>
      <c r="OK114" s="168"/>
      <c r="OL114" s="191"/>
      <c r="OM114" s="187"/>
      <c r="OS114" s="188"/>
      <c r="OT114" s="187"/>
      <c r="OZ114" s="188"/>
      <c r="PA114" s="187"/>
      <c r="PG114" s="188"/>
      <c r="PH114" s="187"/>
      <c r="PN114" s="168"/>
      <c r="PO114" s="189"/>
      <c r="PU114" s="188"/>
      <c r="PV114" s="187"/>
      <c r="QB114" s="188"/>
      <c r="QC114" s="187"/>
      <c r="QI114" s="188"/>
      <c r="QJ114" s="187"/>
      <c r="QP114" s="188"/>
      <c r="QQ114" s="187"/>
      <c r="QS114" s="168"/>
      <c r="QT114" s="189"/>
      <c r="QW114" s="188"/>
      <c r="QX114" s="187"/>
      <c r="RD114" s="188"/>
      <c r="RE114" s="187"/>
      <c r="RK114" s="188"/>
      <c r="RL114" s="187"/>
      <c r="RR114" s="188"/>
      <c r="RS114" s="187"/>
      <c r="RW114" s="168"/>
      <c r="RX114" s="189"/>
      <c r="RY114" s="188"/>
      <c r="RZ114" s="187"/>
      <c r="SF114" s="188"/>
      <c r="SG114" s="187"/>
      <c r="SM114" s="188"/>
      <c r="SN114" s="187"/>
      <c r="ST114" s="188"/>
      <c r="SU114" s="187"/>
      <c r="TA114" s="188"/>
      <c r="TB114" s="190"/>
      <c r="TC114" s="189"/>
      <c r="TH114" s="188"/>
      <c r="TI114" s="187"/>
      <c r="TO114" s="188"/>
      <c r="TP114" s="187"/>
      <c r="TV114" s="188"/>
      <c r="TW114" s="187"/>
      <c r="UC114" s="188"/>
      <c r="UD114" s="187"/>
      <c r="UF114" s="168"/>
      <c r="UG114" s="189"/>
      <c r="UJ114" s="188"/>
      <c r="UK114" s="187"/>
      <c r="UQ114" s="188"/>
      <c r="UR114" s="187"/>
      <c r="UX114" s="188"/>
      <c r="UY114" s="187"/>
      <c r="VE114" s="188"/>
      <c r="VF114" s="187"/>
      <c r="VK114" s="168"/>
      <c r="VL114" s="191"/>
      <c r="VM114" s="187"/>
      <c r="VS114" s="188"/>
      <c r="VT114" s="187"/>
      <c r="VZ114" s="188"/>
      <c r="WA114" s="187"/>
      <c r="WG114" s="188"/>
      <c r="WH114" s="187"/>
      <c r="WN114" s="188"/>
      <c r="WO114" s="187"/>
      <c r="WP114" s="168"/>
      <c r="WQ114" s="189"/>
      <c r="WU114" s="188"/>
      <c r="WV114" s="187"/>
      <c r="XB114" s="188"/>
      <c r="XC114" s="187"/>
      <c r="XI114" s="188"/>
      <c r="XJ114" s="187"/>
      <c r="XP114" s="188"/>
      <c r="XQ114" s="187"/>
      <c r="XT114" s="168"/>
      <c r="XU114" s="189"/>
      <c r="XW114" s="188"/>
      <c r="XX114" s="187"/>
      <c r="YD114" s="188"/>
      <c r="YE114" s="187"/>
      <c r="YK114" s="188"/>
      <c r="YL114" s="187"/>
      <c r="YR114" s="188"/>
      <c r="YS114" s="187"/>
      <c r="YY114" s="168"/>
      <c r="YZ114" s="189"/>
      <c r="ZF114" s="188"/>
      <c r="ZG114" s="187"/>
      <c r="ZM114" s="188"/>
      <c r="ZN114" s="187"/>
      <c r="ZT114" s="188"/>
      <c r="ZU114" s="187"/>
      <c r="AAA114" s="188"/>
      <c r="AAB114" s="187"/>
      <c r="AAC114" s="168"/>
      <c r="AAD114" s="189"/>
      <c r="AAH114" s="188"/>
      <c r="AAI114" s="187"/>
      <c r="AAO114" s="188"/>
      <c r="AAP114" s="187"/>
      <c r="AAV114" s="188"/>
      <c r="AAW114" s="187"/>
      <c r="ABC114" s="188"/>
      <c r="ABD114" s="187"/>
      <c r="ABH114" s="168"/>
      <c r="ABI114" s="189"/>
      <c r="ABJ114" s="188"/>
      <c r="ABK114" s="187"/>
      <c r="ABQ114" s="188"/>
      <c r="ABR114" s="187"/>
      <c r="ABX114" s="188"/>
      <c r="ABY114" s="187"/>
      <c r="ACE114" s="188"/>
      <c r="ACF114" s="187"/>
      <c r="ACL114" s="188"/>
      <c r="ACM114" s="190"/>
      <c r="ACN114" s="189"/>
      <c r="ACS114" s="188"/>
      <c r="ACT114" s="187"/>
      <c r="ACZ114" s="188"/>
      <c r="ADA114" s="187"/>
      <c r="ADG114" s="188"/>
      <c r="ADH114" s="187"/>
      <c r="ADN114" s="188"/>
      <c r="ADO114" s="190"/>
      <c r="ADP114" s="189"/>
      <c r="ADU114" s="188"/>
      <c r="ADV114" s="187"/>
      <c r="AEB114" s="188"/>
      <c r="AEC114" s="187"/>
      <c r="AEI114" s="188"/>
      <c r="AEJ114" s="187"/>
      <c r="AEP114" s="188"/>
      <c r="AEQ114" s="187"/>
      <c r="AET114" s="168"/>
      <c r="AEU114" s="189"/>
      <c r="AEW114" s="188"/>
      <c r="AEX114" s="187"/>
      <c r="AFD114" s="188"/>
      <c r="AFE114" s="187"/>
      <c r="AFK114" s="188"/>
      <c r="AFL114" s="187"/>
      <c r="AFR114" s="188"/>
      <c r="AFS114" s="187"/>
      <c r="AFX114" s="168"/>
      <c r="AFY114" s="191"/>
      <c r="AFZ114" s="187"/>
      <c r="AGF114" s="188"/>
      <c r="AGG114" s="187"/>
      <c r="AGM114" s="188"/>
      <c r="AGN114" s="187"/>
      <c r="AGT114" s="188"/>
      <c r="AGU114" s="187"/>
      <c r="AHA114" s="188"/>
      <c r="AHB114" s="187"/>
      <c r="AHC114" s="168"/>
      <c r="AHD114" s="189"/>
      <c r="AHH114" s="188"/>
      <c r="AHI114" s="187"/>
      <c r="AHO114" s="188"/>
      <c r="AHP114" s="187"/>
      <c r="AHV114" s="188"/>
      <c r="AHW114" s="187"/>
      <c r="AIC114" s="188"/>
      <c r="AID114" s="187"/>
      <c r="AIG114" s="168"/>
      <c r="AIH114" s="189"/>
      <c r="AIJ114" s="188"/>
      <c r="AIK114" s="187"/>
      <c r="AIQ114" s="188"/>
      <c r="AIR114" s="187"/>
      <c r="AIX114" s="188"/>
      <c r="AIY114" s="187"/>
      <c r="AJE114" s="188"/>
      <c r="AJF114" s="187"/>
      <c r="AJL114" s="168"/>
      <c r="AJM114" s="189"/>
      <c r="AJS114" s="188"/>
      <c r="AJT114" s="187"/>
      <c r="AJZ114" s="188"/>
      <c r="AKA114" s="187"/>
      <c r="AKG114" s="188"/>
      <c r="AKH114" s="187"/>
      <c r="AKN114" s="188"/>
      <c r="AKO114" s="187"/>
      <c r="AKQ114" s="168"/>
      <c r="AKR114" s="189"/>
      <c r="AKU114" s="188"/>
      <c r="AKV114" s="187"/>
      <c r="ALB114" s="188"/>
      <c r="ALC114" s="187"/>
      <c r="ALI114" s="188"/>
      <c r="ALJ114" s="187"/>
      <c r="ALP114" s="188"/>
      <c r="ALQ114" s="187"/>
      <c r="ALU114" s="168"/>
      <c r="ALV114" s="189"/>
      <c r="ALW114" s="188"/>
      <c r="ALX114" s="187"/>
      <c r="AMD114" s="188"/>
      <c r="AME114" s="187"/>
      <c r="AMK114" s="188"/>
      <c r="AML114" s="187"/>
      <c r="AMR114" s="188"/>
      <c r="AMS114" s="187"/>
      <c r="AMY114" s="188"/>
      <c r="AMZ114" s="190"/>
      <c r="ANA114" s="189"/>
      <c r="ANF114" s="188"/>
      <c r="ANG114" s="187"/>
      <c r="ANM114" s="188"/>
      <c r="ANN114" s="187"/>
      <c r="ANT114" s="188"/>
      <c r="ANU114" s="187"/>
      <c r="AOA114" s="188"/>
      <c r="AOB114" s="187"/>
      <c r="AOD114" s="168"/>
      <c r="AOE114" s="189"/>
      <c r="AOH114" s="188"/>
      <c r="AOI114" s="187"/>
      <c r="AOO114" s="188"/>
      <c r="AOP114" s="187"/>
      <c r="AOV114" s="188"/>
      <c r="AOW114" s="187"/>
      <c r="APC114" s="188"/>
      <c r="APD114" s="187"/>
      <c r="API114" s="168"/>
      <c r="APJ114" s="191"/>
      <c r="APK114" s="187"/>
      <c r="APQ114" s="188"/>
      <c r="APR114" s="187"/>
      <c r="APX114" s="188"/>
      <c r="APY114" s="187"/>
      <c r="AQE114" s="188"/>
      <c r="AQF114" s="187"/>
      <c r="AQL114" s="188"/>
      <c r="AQM114" s="187"/>
      <c r="AQN114" s="168"/>
      <c r="AQO114" s="189"/>
      <c r="AQS114" s="188"/>
      <c r="AQT114" s="187"/>
      <c r="AQZ114" s="188"/>
      <c r="ARA114" s="187"/>
      <c r="ARG114" s="188"/>
      <c r="ARH114" s="187"/>
      <c r="ARN114" s="188"/>
      <c r="ARO114" s="187"/>
      <c r="ARP114" s="168"/>
      <c r="ARQ114" s="189"/>
      <c r="ARU114" s="188"/>
      <c r="ARV114" s="187"/>
      <c r="ASB114" s="188"/>
      <c r="ASC114" s="187"/>
      <c r="ASI114" s="188"/>
      <c r="ASJ114" s="187"/>
      <c r="ASP114" s="188"/>
      <c r="ASQ114" s="187"/>
      <c r="ASU114" s="168"/>
      <c r="ASV114" s="189"/>
      <c r="ASW114" s="188"/>
      <c r="ASX114" s="187"/>
      <c r="ATD114" s="188"/>
      <c r="ATE114" s="187"/>
      <c r="ATK114" s="188"/>
      <c r="ATL114" s="187"/>
      <c r="ATR114" s="188"/>
      <c r="ATS114" s="187"/>
      <c r="ATU114" s="164">
        <v>1</v>
      </c>
      <c r="ATV114" s="164">
        <v>1</v>
      </c>
      <c r="ATW114" s="164">
        <v>1</v>
      </c>
      <c r="ATX114" s="164">
        <v>1</v>
      </c>
      <c r="ATY114" s="168">
        <v>1</v>
      </c>
      <c r="ATZ114" s="189"/>
      <c r="AUF114" s="188"/>
      <c r="AUG114" s="187"/>
      <c r="AUM114" s="188"/>
      <c r="AUN114" s="187"/>
      <c r="AUT114" s="188"/>
      <c r="AUU114" s="187"/>
      <c r="AVA114" s="188"/>
      <c r="AVB114" s="187"/>
      <c r="AVD114" s="168"/>
      <c r="AVE114" s="189"/>
      <c r="AVH114" s="188"/>
      <c r="AVI114" s="187"/>
      <c r="AVO114" s="188"/>
      <c r="AVP114" s="187"/>
      <c r="AVV114" s="188"/>
      <c r="AVW114" s="187"/>
      <c r="AWC114" s="188"/>
      <c r="AWD114" s="187"/>
      <c r="AWH114" s="168"/>
      <c r="AWI114" s="189"/>
      <c r="AWJ114" s="188"/>
      <c r="AWK114" s="187"/>
      <c r="AWQ114" s="188"/>
      <c r="AWR114" s="187"/>
      <c r="AWX114" s="188"/>
      <c r="AWY114" s="187"/>
      <c r="AXE114" s="188"/>
      <c r="AXF114" s="187"/>
      <c r="AXL114" s="188"/>
      <c r="AXM114" s="190"/>
      <c r="AXN114" s="189"/>
      <c r="AXS114" s="188"/>
      <c r="AXT114" s="187"/>
      <c r="AXZ114" s="188"/>
      <c r="AYA114" s="187"/>
      <c r="AYG114" s="188"/>
      <c r="AYH114" s="187"/>
      <c r="AYN114" s="188"/>
      <c r="AYO114" s="187"/>
      <c r="AYR114" s="168"/>
      <c r="AYS114" s="189"/>
      <c r="AYU114" s="188"/>
      <c r="AYV114" s="187"/>
      <c r="AZB114" s="188"/>
      <c r="AZC114" s="187"/>
      <c r="AZI114" s="188"/>
      <c r="AZJ114" s="187"/>
      <c r="AZP114" s="188"/>
      <c r="AZQ114" s="187"/>
      <c r="AZV114" s="168"/>
      <c r="AZW114" s="191"/>
      <c r="AZX114" s="187"/>
      <c r="BAD114" s="188"/>
      <c r="BAE114" s="187"/>
      <c r="BAK114" s="188"/>
      <c r="BAL114" s="187"/>
      <c r="BAR114" s="188"/>
      <c r="BAS114" s="187"/>
      <c r="BAY114" s="188"/>
      <c r="BAZ114" s="187"/>
      <c r="BBA114" s="168"/>
      <c r="BBB114" s="189"/>
      <c r="BBF114" s="188"/>
      <c r="BBG114" s="187"/>
      <c r="BBM114" s="188"/>
      <c r="BBN114" s="187"/>
      <c r="BBT114" s="188"/>
      <c r="BBU114" s="187"/>
      <c r="BCA114" s="188"/>
      <c r="BCB114" s="187"/>
      <c r="BCE114" s="168"/>
      <c r="BCF114" s="189"/>
      <c r="BCH114" s="188"/>
      <c r="BCI114" s="187"/>
      <c r="BCO114" s="188"/>
      <c r="BCP114" s="187"/>
      <c r="BCV114" s="188"/>
      <c r="BCW114" s="187"/>
      <c r="BDC114" s="188"/>
      <c r="BDD114" s="187"/>
      <c r="BDJ114" s="168"/>
      <c r="BDK114" s="189"/>
      <c r="BDQ114" s="188"/>
      <c r="BDR114" s="187"/>
      <c r="BDX114" s="188"/>
      <c r="BDY114" s="187"/>
      <c r="BEE114" s="188"/>
      <c r="BEF114" s="187"/>
      <c r="BEL114" s="188"/>
      <c r="BEM114" s="187"/>
      <c r="BEO114" s="168"/>
      <c r="BEP114" s="189"/>
      <c r="BES114" s="188"/>
      <c r="BET114" s="187"/>
      <c r="BEZ114" s="188"/>
      <c r="BFA114" s="187"/>
      <c r="BFG114" s="188"/>
      <c r="BFH114" s="187"/>
      <c r="BFN114" s="188"/>
      <c r="BFO114" s="187"/>
      <c r="BFQ114" s="168"/>
      <c r="BFR114" s="189"/>
      <c r="BFU114" s="188"/>
      <c r="BFV114" s="187"/>
      <c r="BGB114" s="188"/>
      <c r="BGC114" s="187"/>
      <c r="BGI114" s="188"/>
      <c r="BGJ114" s="187"/>
      <c r="BGP114" s="188"/>
      <c r="BGQ114" s="187"/>
      <c r="BGV114" s="168"/>
      <c r="BGW114" s="191"/>
      <c r="BGX114" s="187"/>
      <c r="BHD114" s="188"/>
      <c r="BHE114" s="187"/>
      <c r="BHK114" s="188"/>
      <c r="BHL114" s="187"/>
      <c r="BHR114" s="188"/>
      <c r="BHS114" s="187"/>
      <c r="BHY114" s="188"/>
      <c r="BHZ114" s="190"/>
      <c r="BIA114" s="189"/>
      <c r="BIF114" s="188"/>
      <c r="BIG114" s="187"/>
      <c r="BIM114" s="188"/>
      <c r="BIN114" s="187"/>
      <c r="BIT114" s="188"/>
      <c r="BIU114" s="187"/>
      <c r="BJA114" s="188"/>
      <c r="BJB114" s="187"/>
      <c r="BJE114" s="168"/>
      <c r="BJF114" s="189"/>
      <c r="BJH114" s="188"/>
      <c r="BJI114" s="187"/>
      <c r="BJO114" s="188"/>
      <c r="BJP114" s="187"/>
      <c r="BJV114" s="188"/>
      <c r="BJW114" s="187"/>
      <c r="BKC114" s="188"/>
      <c r="BKD114" s="187"/>
      <c r="BKI114" s="168"/>
      <c r="BKJ114" s="191"/>
      <c r="BKK114" s="187"/>
      <c r="BKQ114" s="188"/>
      <c r="BKR114" s="187"/>
      <c r="BKX114" s="188"/>
      <c r="BKY114" s="187"/>
      <c r="BLE114" s="188"/>
      <c r="BLF114" s="187"/>
      <c r="BLL114" s="188"/>
      <c r="BLM114" s="187"/>
      <c r="BLN114" s="168"/>
      <c r="BLO114" s="189"/>
      <c r="BLS114" s="188"/>
      <c r="BLT114" s="187"/>
      <c r="BLZ114" s="188"/>
      <c r="BMA114" s="187"/>
      <c r="BMG114" s="188"/>
      <c r="BMH114" s="187"/>
      <c r="BMN114" s="188"/>
      <c r="BMO114" s="187"/>
      <c r="BMS114" s="168"/>
      <c r="BMT114" s="189"/>
      <c r="BMU114" s="188"/>
      <c r="BMV114" s="187"/>
      <c r="BNB114" s="188"/>
      <c r="BNC114" s="187"/>
      <c r="BNI114" s="188"/>
      <c r="BNJ114" s="187"/>
      <c r="BNP114" s="188"/>
      <c r="BNQ114" s="187"/>
      <c r="BNW114" s="168"/>
      <c r="BNX114" s="189"/>
      <c r="BOD114" s="188"/>
      <c r="BOE114" s="187"/>
      <c r="BOK114" s="188"/>
      <c r="BOL114" s="187"/>
      <c r="BOR114" s="188"/>
      <c r="BOS114" s="187"/>
      <c r="BOY114" s="188"/>
      <c r="BOZ114" s="187"/>
      <c r="BPB114" s="168"/>
      <c r="BPC114" s="189"/>
      <c r="BPF114" s="188"/>
      <c r="BPG114" s="187"/>
      <c r="BPM114" s="188"/>
      <c r="BPN114" s="187"/>
      <c r="BPT114" s="188"/>
      <c r="BPU114" s="187"/>
      <c r="BQA114" s="188"/>
      <c r="BQB114" s="187"/>
      <c r="BQF114" s="168"/>
      <c r="BQG114" s="189"/>
      <c r="BQH114" s="188"/>
      <c r="BQI114" s="187"/>
      <c r="BQO114" s="188"/>
      <c r="BQP114" s="187"/>
      <c r="BQV114" s="188"/>
      <c r="BQW114" s="187"/>
      <c r="BRC114" s="188"/>
      <c r="BRD114" s="187"/>
      <c r="BRJ114" s="188"/>
      <c r="BRK114" s="190"/>
      <c r="BRL114" s="189"/>
      <c r="BRQ114" s="188"/>
      <c r="BRR114" s="187"/>
      <c r="BRX114" s="188"/>
      <c r="BRY114" s="187"/>
      <c r="BSE114" s="188"/>
      <c r="BSF114" s="187"/>
      <c r="BSL114" s="188"/>
      <c r="BSM114" s="187"/>
      <c r="BSP114" s="168"/>
      <c r="BSQ114" s="189"/>
      <c r="BSS114" s="188"/>
      <c r="BST114" s="187"/>
      <c r="BSZ114" s="188"/>
      <c r="BTA114" s="187"/>
      <c r="BTG114" s="188"/>
      <c r="BTH114" s="187"/>
      <c r="BTN114" s="188"/>
      <c r="BTO114" s="187"/>
      <c r="BTS114" s="168"/>
      <c r="BTT114" s="189"/>
      <c r="BTU114" s="188"/>
      <c r="BTV114" s="187"/>
      <c r="BUB114" s="188"/>
      <c r="BUC114" s="187"/>
      <c r="BUI114" s="188"/>
      <c r="BUJ114" s="187"/>
      <c r="BUP114" s="188"/>
      <c r="BUQ114" s="187"/>
      <c r="BUW114" s="188"/>
      <c r="BUX114" s="190"/>
      <c r="BUY114" s="189"/>
      <c r="BVD114" s="188"/>
      <c r="BVE114" s="187"/>
      <c r="BVK114" s="188"/>
      <c r="BVL114" s="187"/>
      <c r="BVR114" s="188"/>
      <c r="BVS114" s="187"/>
      <c r="BVY114" s="188"/>
      <c r="BVZ114" s="187"/>
      <c r="BWB114" s="168"/>
      <c r="BWC114" s="189"/>
      <c r="BWF114" s="188"/>
      <c r="BWG114" s="187"/>
      <c r="BWM114" s="188"/>
      <c r="BWN114" s="187"/>
      <c r="BWT114" s="188"/>
      <c r="BWU114" s="187"/>
      <c r="BXA114" s="188"/>
      <c r="BXB114" s="187"/>
      <c r="BXG114" s="168"/>
      <c r="BXH114" s="191"/>
      <c r="BXI114" s="187"/>
      <c r="BXO114" s="188"/>
      <c r="BXP114" s="187"/>
      <c r="BXV114" s="188"/>
      <c r="BXW114" s="187"/>
      <c r="BYC114" s="188"/>
      <c r="BYD114" s="187"/>
      <c r="BYJ114" s="188"/>
      <c r="BYK114" s="190"/>
      <c r="BYL114" s="189"/>
      <c r="BYQ114" s="188"/>
      <c r="BYR114" s="187"/>
      <c r="BYX114" s="188"/>
      <c r="BYY114" s="187"/>
      <c r="BZE114" s="188"/>
      <c r="BZF114" s="187"/>
      <c r="BZL114" s="188"/>
      <c r="BZM114" s="187"/>
      <c r="BZP114" s="168"/>
      <c r="BZQ114" s="189"/>
      <c r="BZS114" s="188"/>
      <c r="BZT114" s="187"/>
      <c r="BZZ114" s="188"/>
      <c r="CAA114" s="187"/>
      <c r="CAG114" s="188"/>
      <c r="CAH114" s="187"/>
      <c r="CAN114" s="188"/>
      <c r="CAO114" s="187"/>
      <c r="CAU114" s="168"/>
      <c r="CAV114" s="189"/>
      <c r="CBB114" s="188"/>
      <c r="CBC114" s="187"/>
      <c r="CBI114" s="188"/>
      <c r="CBJ114" s="187"/>
      <c r="CBP114" s="188"/>
      <c r="CBQ114" s="187"/>
      <c r="CBW114" s="188"/>
      <c r="CBX114" s="187"/>
      <c r="CBY114" s="168"/>
      <c r="CBZ114" s="189"/>
      <c r="CCD114" s="188"/>
      <c r="CCE114" s="187"/>
      <c r="CCK114" s="188"/>
      <c r="CCL114" s="187"/>
      <c r="CCR114" s="188"/>
      <c r="CCS114" s="187"/>
      <c r="CCY114" s="188"/>
      <c r="CCZ114" s="187"/>
      <c r="CDD114" s="168"/>
      <c r="CDE114" s="189"/>
      <c r="CDF114" s="188"/>
      <c r="CDG114" s="187"/>
      <c r="CDM114" s="188"/>
      <c r="CDN114" s="187"/>
      <c r="CDT114" s="188"/>
      <c r="CDU114" s="187"/>
      <c r="CEA114" s="188"/>
      <c r="CEB114" s="187"/>
      <c r="CEH114" s="168"/>
      <c r="CEI114" s="189"/>
      <c r="CEO114" s="188"/>
      <c r="CEP114" s="187"/>
      <c r="CEV114" s="188"/>
      <c r="CEW114" s="187"/>
      <c r="CFC114" s="188"/>
      <c r="CFD114" s="187"/>
      <c r="CFJ114" s="188"/>
      <c r="CFK114" s="187"/>
    </row>
    <row r="115" spans="1:1019 1025:2048 2054:2195">
      <c r="A115" s="164" t="s">
        <v>403</v>
      </c>
      <c r="C115" s="164" t="s">
        <v>404</v>
      </c>
      <c r="D115" s="186"/>
      <c r="E115" s="186"/>
      <c r="K115" s="187"/>
      <c r="Q115" s="188"/>
      <c r="R115" s="187"/>
      <c r="X115" s="188"/>
      <c r="Y115" s="187"/>
      <c r="AE115" s="188"/>
      <c r="AF115" s="187"/>
      <c r="AJ115" s="168"/>
      <c r="AK115" s="189"/>
      <c r="AL115" s="188"/>
      <c r="AM115" s="187"/>
      <c r="AS115" s="188"/>
      <c r="AT115" s="187"/>
      <c r="AZ115" s="188"/>
      <c r="BA115" s="187"/>
      <c r="BG115" s="188"/>
      <c r="BH115" s="187"/>
      <c r="BL115" s="168"/>
      <c r="BM115" s="189"/>
      <c r="BN115" s="188"/>
      <c r="BO115" s="187"/>
      <c r="BU115" s="188"/>
      <c r="BV115" s="187"/>
      <c r="CB115" s="188"/>
      <c r="CC115" s="187"/>
      <c r="CI115" s="188"/>
      <c r="CJ115" s="187"/>
      <c r="CP115" s="188"/>
      <c r="CQ115" s="190"/>
      <c r="CR115" s="189"/>
      <c r="CW115" s="188"/>
      <c r="CX115" s="187"/>
      <c r="DD115" s="188"/>
      <c r="DE115" s="187"/>
      <c r="DK115" s="188"/>
      <c r="DL115" s="187"/>
      <c r="DR115" s="188"/>
      <c r="DS115" s="187"/>
      <c r="DU115" s="168"/>
      <c r="DV115" s="189"/>
      <c r="DY115" s="188"/>
      <c r="DZ115" s="187"/>
      <c r="EF115" s="188"/>
      <c r="EG115" s="187"/>
      <c r="EM115" s="188"/>
      <c r="EN115" s="187"/>
      <c r="ET115" s="188"/>
      <c r="EU115" s="187"/>
      <c r="EZ115" s="168"/>
      <c r="FA115" s="191"/>
      <c r="FB115" s="187"/>
      <c r="FH115" s="188"/>
      <c r="FI115" s="187"/>
      <c r="FO115" s="188"/>
      <c r="FP115" s="187"/>
      <c r="FV115" s="188"/>
      <c r="FW115" s="187"/>
      <c r="GC115" s="188"/>
      <c r="GD115" s="190"/>
      <c r="GE115" s="189"/>
      <c r="GJ115" s="188"/>
      <c r="GK115" s="187"/>
      <c r="GQ115" s="188"/>
      <c r="GR115" s="187"/>
      <c r="GX115" s="188"/>
      <c r="GY115" s="187"/>
      <c r="HE115" s="188"/>
      <c r="HF115" s="187"/>
      <c r="HI115" s="168"/>
      <c r="HJ115" s="189"/>
      <c r="HL115" s="188"/>
      <c r="HM115" s="187"/>
      <c r="HS115" s="188"/>
      <c r="HT115" s="187"/>
      <c r="HZ115" s="188"/>
      <c r="IA115" s="187"/>
      <c r="IG115" s="188"/>
      <c r="IH115" s="187"/>
      <c r="IN115" s="168"/>
      <c r="IO115" s="189"/>
      <c r="IU115" s="188"/>
      <c r="IV115" s="187"/>
      <c r="JB115" s="188"/>
      <c r="JC115" s="187"/>
      <c r="JI115" s="188"/>
      <c r="JJ115" s="187"/>
      <c r="JP115" s="188"/>
      <c r="JQ115" s="187"/>
      <c r="JR115" s="168"/>
      <c r="JS115" s="189"/>
      <c r="JW115" s="188"/>
      <c r="JX115" s="187"/>
      <c r="KD115" s="188"/>
      <c r="KE115" s="187"/>
      <c r="KK115" s="188"/>
      <c r="KL115" s="187"/>
      <c r="KR115" s="188"/>
      <c r="KS115" s="187"/>
      <c r="KW115" s="168"/>
      <c r="KX115" s="189"/>
      <c r="KY115" s="188"/>
      <c r="KZ115" s="187"/>
      <c r="LF115" s="188"/>
      <c r="LG115" s="187"/>
      <c r="LM115" s="188"/>
      <c r="LN115" s="187"/>
      <c r="LT115" s="188"/>
      <c r="LU115" s="187"/>
      <c r="MA115" s="168"/>
      <c r="MB115" s="189"/>
      <c r="MH115" s="188"/>
      <c r="MI115" s="187"/>
      <c r="MO115" s="188"/>
      <c r="MP115" s="187"/>
      <c r="MV115" s="188"/>
      <c r="MW115" s="187"/>
      <c r="NC115" s="188"/>
      <c r="ND115" s="187"/>
      <c r="NF115" s="168"/>
      <c r="NG115" s="189"/>
      <c r="NJ115" s="188"/>
      <c r="NK115" s="187"/>
      <c r="NQ115" s="188"/>
      <c r="NR115" s="187"/>
      <c r="NX115" s="188"/>
      <c r="NY115" s="187"/>
      <c r="OE115" s="188"/>
      <c r="OF115" s="187"/>
      <c r="OK115" s="168"/>
      <c r="OL115" s="191"/>
      <c r="OM115" s="187"/>
      <c r="OS115" s="188"/>
      <c r="OT115" s="187"/>
      <c r="OZ115" s="188"/>
      <c r="PA115" s="187"/>
      <c r="PG115" s="188"/>
      <c r="PH115" s="187"/>
      <c r="PN115" s="168"/>
      <c r="PO115" s="189"/>
      <c r="PU115" s="188"/>
      <c r="PV115" s="187"/>
      <c r="QB115" s="188"/>
      <c r="QC115" s="187"/>
      <c r="QI115" s="188"/>
      <c r="QJ115" s="187"/>
      <c r="QP115" s="188"/>
      <c r="QQ115" s="187"/>
      <c r="QS115" s="168"/>
      <c r="QT115" s="189"/>
      <c r="QW115" s="188"/>
      <c r="QX115" s="187"/>
      <c r="RD115" s="188"/>
      <c r="RE115" s="187"/>
      <c r="RK115" s="188"/>
      <c r="RL115" s="187"/>
      <c r="RR115" s="188"/>
      <c r="RS115" s="187"/>
      <c r="RW115" s="168"/>
      <c r="RX115" s="189"/>
      <c r="RY115" s="188"/>
      <c r="RZ115" s="187"/>
      <c r="SF115" s="188"/>
      <c r="SG115" s="187"/>
      <c r="SM115" s="188"/>
      <c r="SN115" s="187"/>
      <c r="ST115" s="188"/>
      <c r="SU115" s="187"/>
      <c r="TA115" s="188"/>
      <c r="TB115" s="190"/>
      <c r="TC115" s="189"/>
      <c r="TH115" s="188"/>
      <c r="TI115" s="187"/>
      <c r="TO115" s="188"/>
      <c r="TP115" s="187"/>
      <c r="TV115" s="188"/>
      <c r="TW115" s="187"/>
      <c r="UC115" s="188"/>
      <c r="UD115" s="187"/>
      <c r="UF115" s="168"/>
      <c r="UG115" s="189"/>
      <c r="UJ115" s="188"/>
      <c r="UK115" s="187"/>
      <c r="UQ115" s="188"/>
      <c r="UR115" s="187"/>
      <c r="UX115" s="188"/>
      <c r="UY115" s="187"/>
      <c r="VE115" s="188"/>
      <c r="VF115" s="187"/>
      <c r="VK115" s="168"/>
      <c r="VL115" s="191"/>
      <c r="VM115" s="187"/>
      <c r="VS115" s="188"/>
      <c r="VT115" s="187"/>
      <c r="VZ115" s="188"/>
      <c r="WA115" s="187"/>
      <c r="WG115" s="188"/>
      <c r="WH115" s="187"/>
      <c r="WN115" s="188"/>
      <c r="WO115" s="187"/>
      <c r="WP115" s="168"/>
      <c r="WQ115" s="189"/>
      <c r="WU115" s="188"/>
      <c r="WV115" s="187"/>
      <c r="XB115" s="188"/>
      <c r="XC115" s="187"/>
      <c r="XI115" s="188"/>
      <c r="XJ115" s="187"/>
      <c r="XP115" s="188"/>
      <c r="XQ115" s="187"/>
      <c r="XT115" s="168"/>
      <c r="XU115" s="189"/>
      <c r="XW115" s="188"/>
      <c r="XX115" s="187"/>
      <c r="YD115" s="188"/>
      <c r="YE115" s="187"/>
      <c r="YK115" s="188"/>
      <c r="YL115" s="187"/>
      <c r="YR115" s="188"/>
      <c r="YS115" s="187"/>
      <c r="YY115" s="168"/>
      <c r="YZ115" s="189"/>
      <c r="ZF115" s="188"/>
      <c r="ZG115" s="187"/>
      <c r="ZM115" s="188"/>
      <c r="ZN115" s="187"/>
      <c r="ZT115" s="188"/>
      <c r="ZU115" s="187"/>
      <c r="AAA115" s="188"/>
      <c r="AAB115" s="187"/>
      <c r="AAC115" s="168"/>
      <c r="AAD115" s="189"/>
      <c r="AAH115" s="188"/>
      <c r="AAI115" s="187"/>
      <c r="AAO115" s="188"/>
      <c r="AAP115" s="187"/>
      <c r="AAV115" s="188"/>
      <c r="AAW115" s="187"/>
      <c r="ABC115" s="188"/>
      <c r="ABD115" s="187"/>
      <c r="ABH115" s="168"/>
      <c r="ABI115" s="189"/>
      <c r="ABJ115" s="188"/>
      <c r="ABK115" s="187"/>
      <c r="ABQ115" s="188"/>
      <c r="ABR115" s="187"/>
      <c r="ABX115" s="188"/>
      <c r="ABY115" s="187"/>
      <c r="ACE115" s="188"/>
      <c r="ACF115" s="187"/>
      <c r="ACL115" s="188"/>
      <c r="ACM115" s="190"/>
      <c r="ACN115" s="189"/>
      <c r="ACS115" s="188"/>
      <c r="ACT115" s="187"/>
      <c r="ACZ115" s="188"/>
      <c r="ADA115" s="187"/>
      <c r="ADG115" s="188"/>
      <c r="ADH115" s="187"/>
      <c r="ADN115" s="188"/>
      <c r="ADO115" s="190"/>
      <c r="ADP115" s="189"/>
      <c r="ADU115" s="188"/>
      <c r="ADV115" s="187"/>
      <c r="AEB115" s="188"/>
      <c r="AEC115" s="187"/>
      <c r="AEI115" s="188"/>
      <c r="AEJ115" s="187"/>
      <c r="AEP115" s="188"/>
      <c r="AEQ115" s="187"/>
      <c r="AET115" s="168"/>
      <c r="AEU115" s="189"/>
      <c r="AEW115" s="188"/>
      <c r="AEX115" s="187"/>
      <c r="AFD115" s="188"/>
      <c r="AFE115" s="187"/>
      <c r="AFK115" s="188"/>
      <c r="AFL115" s="187"/>
      <c r="AFR115" s="188"/>
      <c r="AFS115" s="187"/>
      <c r="AFX115" s="168"/>
      <c r="AFY115" s="191"/>
      <c r="AFZ115" s="187"/>
      <c r="AGF115" s="188"/>
      <c r="AGG115" s="187"/>
      <c r="AGM115" s="188"/>
      <c r="AGN115" s="187"/>
      <c r="AGT115" s="188"/>
      <c r="AGU115" s="187"/>
      <c r="AHA115" s="188"/>
      <c r="AHB115" s="187"/>
      <c r="AHC115" s="168"/>
      <c r="AHD115" s="189"/>
      <c r="AHH115" s="188"/>
      <c r="AHI115" s="187"/>
      <c r="AHO115" s="188"/>
      <c r="AHP115" s="187"/>
      <c r="AHV115" s="188"/>
      <c r="AHW115" s="187"/>
      <c r="AIC115" s="188"/>
      <c r="AID115" s="187"/>
      <c r="AIG115" s="168"/>
      <c r="AIH115" s="189"/>
      <c r="AIJ115" s="188"/>
      <c r="AIK115" s="187"/>
      <c r="AIQ115" s="188"/>
      <c r="AIR115" s="187"/>
      <c r="AIX115" s="188"/>
      <c r="AIY115" s="187"/>
      <c r="AJE115" s="188"/>
      <c r="AJF115" s="187"/>
      <c r="AJL115" s="168"/>
      <c r="AJM115" s="189"/>
      <c r="AJS115" s="188"/>
      <c r="AJT115" s="187"/>
      <c r="AJZ115" s="188"/>
      <c r="AKA115" s="187"/>
      <c r="AKG115" s="188"/>
      <c r="AKH115" s="187"/>
      <c r="AKN115" s="188"/>
      <c r="AKO115" s="187"/>
      <c r="AKQ115" s="168"/>
      <c r="AKR115" s="189"/>
      <c r="AKU115" s="188"/>
      <c r="AKV115" s="187"/>
      <c r="ALB115" s="188"/>
      <c r="ALC115" s="187"/>
      <c r="ALI115" s="188"/>
      <c r="ALJ115" s="187"/>
      <c r="ALP115" s="188"/>
      <c r="ALQ115" s="187"/>
      <c r="ALU115" s="168"/>
      <c r="ALV115" s="189"/>
      <c r="ALW115" s="188"/>
      <c r="ALX115" s="187"/>
      <c r="AMD115" s="188"/>
      <c r="AME115" s="187"/>
      <c r="AMK115" s="188"/>
      <c r="AML115" s="187"/>
      <c r="AMR115" s="188"/>
      <c r="AMS115" s="187"/>
      <c r="AMY115" s="188"/>
      <c r="AMZ115" s="190"/>
      <c r="ANA115" s="189"/>
      <c r="ANF115" s="188"/>
      <c r="ANG115" s="187"/>
      <c r="ANM115" s="188"/>
      <c r="ANN115" s="187"/>
      <c r="ANT115" s="188"/>
      <c r="ANU115" s="187"/>
      <c r="AOA115" s="188"/>
      <c r="AOB115" s="187"/>
      <c r="AOD115" s="168"/>
      <c r="AOE115" s="189"/>
      <c r="AOH115" s="188"/>
      <c r="AOI115" s="187"/>
      <c r="AOO115" s="188"/>
      <c r="AOP115" s="187"/>
      <c r="AOV115" s="188"/>
      <c r="AOW115" s="187"/>
      <c r="APC115" s="188"/>
      <c r="APD115" s="187"/>
      <c r="API115" s="168"/>
      <c r="APJ115" s="191"/>
      <c r="APK115" s="187"/>
      <c r="APQ115" s="188"/>
      <c r="APR115" s="187"/>
      <c r="APX115" s="188"/>
      <c r="APY115" s="187"/>
      <c r="AQE115" s="188"/>
      <c r="AQF115" s="187"/>
      <c r="AQL115" s="188"/>
      <c r="AQM115" s="187"/>
      <c r="AQN115" s="168"/>
      <c r="AQO115" s="189"/>
      <c r="AQS115" s="188"/>
      <c r="AQT115" s="187"/>
      <c r="AQZ115" s="188"/>
      <c r="ARA115" s="187"/>
      <c r="ARG115" s="188"/>
      <c r="ARH115" s="187"/>
      <c r="ARN115" s="188"/>
      <c r="ARO115" s="187"/>
      <c r="ARP115" s="168"/>
      <c r="ARQ115" s="189"/>
      <c r="ARU115" s="188"/>
      <c r="ARV115" s="187"/>
      <c r="ASB115" s="188"/>
      <c r="ASC115" s="187"/>
      <c r="ASI115" s="188"/>
      <c r="ASJ115" s="187"/>
      <c r="ASP115" s="188"/>
      <c r="ASQ115" s="187"/>
      <c r="ASU115" s="168"/>
      <c r="ASV115" s="189"/>
      <c r="ASW115" s="188"/>
      <c r="ASX115" s="187"/>
      <c r="ATD115" s="188"/>
      <c r="ATE115" s="187"/>
      <c r="ATK115" s="188"/>
      <c r="ATL115" s="187"/>
      <c r="ATR115" s="188"/>
      <c r="ATS115" s="187"/>
      <c r="ATY115" s="168"/>
      <c r="ATZ115" s="189"/>
      <c r="AUF115" s="188"/>
      <c r="AUG115" s="187"/>
      <c r="AUM115" s="188"/>
      <c r="AUN115" s="187"/>
      <c r="AUT115" s="188"/>
      <c r="AUU115" s="187"/>
      <c r="AVA115" s="188"/>
      <c r="AVB115" s="187"/>
      <c r="AVD115" s="168"/>
      <c r="AVE115" s="189"/>
      <c r="AVH115" s="188"/>
      <c r="AVI115" s="187"/>
      <c r="AVO115" s="188"/>
      <c r="AVP115" s="187"/>
      <c r="AVV115" s="188"/>
      <c r="AVW115" s="187"/>
      <c r="AWC115" s="188"/>
      <c r="AWD115" s="187"/>
      <c r="AWH115" s="168"/>
      <c r="AWI115" s="189"/>
      <c r="AWJ115" s="188"/>
      <c r="AWK115" s="187"/>
      <c r="AWQ115" s="188"/>
      <c r="AWR115" s="187"/>
      <c r="AWX115" s="188"/>
      <c r="AWY115" s="187"/>
      <c r="AXE115" s="188"/>
      <c r="AXF115" s="187"/>
      <c r="AXL115" s="188"/>
      <c r="AXM115" s="190"/>
      <c r="AXN115" s="189"/>
      <c r="AXS115" s="188"/>
      <c r="AXT115" s="187"/>
      <c r="AXZ115" s="188"/>
      <c r="AYA115" s="187"/>
      <c r="AYG115" s="188"/>
      <c r="AYH115" s="187"/>
      <c r="AYN115" s="188"/>
      <c r="AYO115" s="187"/>
      <c r="AYR115" s="168"/>
      <c r="AYS115" s="189"/>
      <c r="AYU115" s="188"/>
      <c r="AYV115" s="187"/>
      <c r="AZB115" s="188"/>
      <c r="AZC115" s="187"/>
      <c r="AZI115" s="188"/>
      <c r="AZJ115" s="187"/>
      <c r="AZP115" s="188"/>
      <c r="AZQ115" s="187"/>
      <c r="AZV115" s="168"/>
      <c r="AZW115" s="191"/>
      <c r="AZX115" s="187"/>
      <c r="BAD115" s="188"/>
      <c r="BAE115" s="187"/>
      <c r="BAK115" s="188"/>
      <c r="BAL115" s="187"/>
      <c r="BAR115" s="188"/>
      <c r="BAS115" s="187"/>
      <c r="BAY115" s="188"/>
      <c r="BAZ115" s="187"/>
      <c r="BBA115" s="168"/>
      <c r="BBB115" s="189"/>
      <c r="BBF115" s="188"/>
      <c r="BBG115" s="187"/>
      <c r="BBM115" s="188"/>
      <c r="BBN115" s="187"/>
      <c r="BBT115" s="188"/>
      <c r="BBU115" s="187"/>
      <c r="BCA115" s="188"/>
      <c r="BCB115" s="187"/>
      <c r="BCE115" s="168"/>
      <c r="BCF115" s="189"/>
      <c r="BCH115" s="188"/>
      <c r="BCI115" s="187"/>
      <c r="BCO115" s="188"/>
      <c r="BCP115" s="187"/>
      <c r="BCV115" s="188"/>
      <c r="BCW115" s="187"/>
      <c r="BDC115" s="188"/>
      <c r="BDD115" s="187"/>
      <c r="BDJ115" s="168"/>
      <c r="BDK115" s="189"/>
      <c r="BDQ115" s="188"/>
      <c r="BDR115" s="187"/>
      <c r="BDX115" s="188"/>
      <c r="BDY115" s="187"/>
      <c r="BEE115" s="188"/>
      <c r="BEF115" s="187"/>
      <c r="BEL115" s="188"/>
      <c r="BEM115" s="187"/>
      <c r="BEO115" s="168"/>
      <c r="BEP115" s="189"/>
      <c r="BES115" s="188"/>
      <c r="BET115" s="187"/>
      <c r="BEZ115" s="188"/>
      <c r="BFA115" s="187"/>
      <c r="BFG115" s="188"/>
      <c r="BFH115" s="187"/>
      <c r="BFN115" s="188"/>
      <c r="BFO115" s="187"/>
      <c r="BFQ115" s="168"/>
      <c r="BFR115" s="189"/>
      <c r="BFU115" s="188"/>
      <c r="BFV115" s="187"/>
      <c r="BGB115" s="188"/>
      <c r="BGC115" s="187"/>
      <c r="BGI115" s="188"/>
      <c r="BGJ115" s="187"/>
      <c r="BGP115" s="188"/>
      <c r="BGQ115" s="187"/>
      <c r="BGV115" s="168"/>
      <c r="BGW115" s="191"/>
      <c r="BGX115" s="187"/>
      <c r="BHD115" s="188"/>
      <c r="BHE115" s="187"/>
      <c r="BHK115" s="188"/>
      <c r="BHL115" s="187"/>
      <c r="BHR115" s="188"/>
      <c r="BHS115" s="187"/>
      <c r="BHY115" s="188"/>
      <c r="BHZ115" s="190"/>
      <c r="BIA115" s="189"/>
      <c r="BIF115" s="188"/>
      <c r="BIG115" s="187"/>
      <c r="BIM115" s="188"/>
      <c r="BIN115" s="187"/>
      <c r="BIT115" s="188"/>
      <c r="BIU115" s="187"/>
      <c r="BJA115" s="188"/>
      <c r="BJB115" s="187"/>
      <c r="BJE115" s="168"/>
      <c r="BJF115" s="189"/>
      <c r="BJH115" s="188"/>
      <c r="BJI115" s="187"/>
      <c r="BJO115" s="188"/>
      <c r="BJP115" s="187"/>
      <c r="BJV115" s="188"/>
      <c r="BJW115" s="187"/>
      <c r="BKC115" s="188"/>
      <c r="BKD115" s="187"/>
      <c r="BKI115" s="168"/>
      <c r="BKJ115" s="191"/>
      <c r="BKK115" s="187"/>
      <c r="BKQ115" s="188"/>
      <c r="BKR115" s="187"/>
      <c r="BKX115" s="188"/>
      <c r="BKY115" s="187"/>
      <c r="BLE115" s="188"/>
      <c r="BLF115" s="187"/>
      <c r="BLL115" s="188"/>
      <c r="BLM115" s="187"/>
      <c r="BLN115" s="168"/>
      <c r="BLO115" s="189"/>
      <c r="BLS115" s="188"/>
      <c r="BLT115" s="187"/>
      <c r="BLZ115" s="188"/>
      <c r="BMA115" s="187"/>
      <c r="BMG115" s="188"/>
      <c r="BMH115" s="187"/>
      <c r="BMN115" s="188"/>
      <c r="BMO115" s="187"/>
      <c r="BMS115" s="168"/>
      <c r="BMT115" s="189"/>
      <c r="BMU115" s="188"/>
      <c r="BMV115" s="187"/>
      <c r="BNB115" s="188"/>
      <c r="BNC115" s="187"/>
      <c r="BNI115" s="188"/>
      <c r="BNJ115" s="187"/>
      <c r="BNP115" s="188"/>
      <c r="BNQ115" s="187"/>
      <c r="BNW115" s="168"/>
      <c r="BNX115" s="189"/>
      <c r="BOD115" s="188"/>
      <c r="BOE115" s="187"/>
      <c r="BOK115" s="188"/>
      <c r="BOL115" s="187"/>
      <c r="BOR115" s="188"/>
      <c r="BOS115" s="187"/>
      <c r="BOY115" s="188"/>
      <c r="BOZ115" s="187"/>
      <c r="BPB115" s="168"/>
      <c r="BPC115" s="189"/>
      <c r="BPF115" s="188"/>
      <c r="BPG115" s="187"/>
      <c r="BPM115" s="188"/>
      <c r="BPN115" s="187"/>
      <c r="BPT115" s="188"/>
      <c r="BPU115" s="187"/>
      <c r="BQA115" s="188"/>
      <c r="BQB115" s="187"/>
      <c r="BQF115" s="168"/>
      <c r="BQG115" s="189"/>
      <c r="BQH115" s="188"/>
      <c r="BQI115" s="187"/>
      <c r="BQO115" s="188"/>
      <c r="BQP115" s="187"/>
      <c r="BQV115" s="188"/>
      <c r="BQW115" s="187"/>
      <c r="BRC115" s="188"/>
      <c r="BRD115" s="187"/>
      <c r="BRJ115" s="188"/>
      <c r="BRK115" s="190"/>
      <c r="BRL115" s="189"/>
      <c r="BRQ115" s="188"/>
      <c r="BRR115" s="187"/>
      <c r="BRX115" s="188"/>
      <c r="BRY115" s="187"/>
      <c r="BSE115" s="188"/>
      <c r="BSF115" s="187"/>
      <c r="BSL115" s="188"/>
      <c r="BSM115" s="187"/>
      <c r="BSP115" s="168"/>
      <c r="BSQ115" s="189"/>
      <c r="BSS115" s="188"/>
      <c r="BST115" s="187"/>
      <c r="BSZ115" s="188"/>
      <c r="BTA115" s="187"/>
      <c r="BTG115" s="188"/>
      <c r="BTH115" s="187"/>
      <c r="BTN115" s="188"/>
      <c r="BTO115" s="187"/>
      <c r="BTS115" s="168"/>
      <c r="BTT115" s="189"/>
      <c r="BTU115" s="188"/>
      <c r="BTV115" s="187"/>
      <c r="BUB115" s="188"/>
      <c r="BUC115" s="187"/>
      <c r="BUI115" s="188"/>
      <c r="BUJ115" s="187"/>
      <c r="BUP115" s="188"/>
      <c r="BUQ115" s="187"/>
      <c r="BUW115" s="188"/>
      <c r="BUX115" s="190"/>
      <c r="BUY115" s="189"/>
      <c r="BVD115" s="188"/>
      <c r="BVE115" s="187"/>
      <c r="BVK115" s="188"/>
      <c r="BVL115" s="187"/>
      <c r="BVR115" s="188"/>
      <c r="BVS115" s="187"/>
      <c r="BVY115" s="188"/>
      <c r="BVZ115" s="187"/>
      <c r="BWB115" s="168"/>
      <c r="BWC115" s="189"/>
      <c r="BWF115" s="188"/>
      <c r="BWG115" s="187"/>
      <c r="BWM115" s="188"/>
      <c r="BWN115" s="187"/>
      <c r="BWT115" s="188"/>
      <c r="BWU115" s="187"/>
      <c r="BXA115" s="188"/>
      <c r="BXB115" s="187"/>
      <c r="BXG115" s="168"/>
      <c r="BXH115" s="191"/>
      <c r="BXI115" s="187"/>
      <c r="BXO115" s="188"/>
      <c r="BXP115" s="187"/>
      <c r="BXV115" s="188"/>
      <c r="BXW115" s="187"/>
      <c r="BYC115" s="188"/>
      <c r="BYD115" s="187"/>
      <c r="BYJ115" s="188"/>
      <c r="BYK115" s="190"/>
      <c r="BYL115" s="189"/>
      <c r="BYQ115" s="188"/>
      <c r="BYR115" s="187"/>
      <c r="BYX115" s="188"/>
      <c r="BYY115" s="187"/>
      <c r="BZE115" s="188"/>
      <c r="BZF115" s="187"/>
      <c r="BZL115" s="188"/>
      <c r="BZM115" s="187"/>
      <c r="BZP115" s="168"/>
      <c r="BZQ115" s="189"/>
      <c r="BZS115" s="188"/>
      <c r="BZT115" s="187"/>
      <c r="BZZ115" s="188"/>
      <c r="CAA115" s="187"/>
      <c r="CAG115" s="188"/>
      <c r="CAH115" s="187"/>
      <c r="CAN115" s="188"/>
      <c r="CAO115" s="187"/>
      <c r="CAU115" s="168"/>
      <c r="CAV115" s="189"/>
      <c r="CBB115" s="188"/>
      <c r="CBC115" s="187"/>
      <c r="CBI115" s="188"/>
      <c r="CBJ115" s="187"/>
      <c r="CBP115" s="188"/>
      <c r="CBQ115" s="187"/>
      <c r="CBW115" s="188"/>
      <c r="CBX115" s="187"/>
      <c r="CBY115" s="168"/>
      <c r="CBZ115" s="189"/>
      <c r="CCD115" s="188"/>
      <c r="CCE115" s="187"/>
      <c r="CCK115" s="188"/>
      <c r="CCL115" s="187"/>
      <c r="CCR115" s="188"/>
      <c r="CCS115" s="187"/>
      <c r="CCY115" s="188"/>
      <c r="CCZ115" s="187"/>
      <c r="CDD115" s="168"/>
      <c r="CDE115" s="189"/>
      <c r="CDF115" s="188"/>
      <c r="CDG115" s="187"/>
      <c r="CDM115" s="188"/>
      <c r="CDN115" s="187"/>
      <c r="CDT115" s="188"/>
      <c r="CDU115" s="187"/>
      <c r="CEA115" s="188"/>
      <c r="CEB115" s="187"/>
      <c r="CEH115" s="168"/>
      <c r="CEI115" s="189"/>
      <c r="CEO115" s="188"/>
      <c r="CEP115" s="187"/>
      <c r="CEV115" s="188"/>
      <c r="CEW115" s="187"/>
      <c r="CFC115" s="188"/>
      <c r="CFD115" s="187"/>
      <c r="CFJ115" s="188"/>
      <c r="CFK115" s="187"/>
    </row>
    <row r="116" spans="1:1019 1025:2048 2054:2195">
      <c r="A116" s="164" t="s">
        <v>405</v>
      </c>
      <c r="C116" s="164" t="s">
        <v>406</v>
      </c>
      <c r="D116" s="186"/>
      <c r="E116" s="186"/>
      <c r="K116" s="187"/>
      <c r="Q116" s="188"/>
      <c r="R116" s="187"/>
      <c r="X116" s="188"/>
      <c r="Y116" s="187"/>
      <c r="AE116" s="188"/>
      <c r="AF116" s="187"/>
      <c r="AJ116" s="168"/>
      <c r="AK116" s="189"/>
      <c r="AL116" s="188"/>
      <c r="AM116" s="187"/>
      <c r="AS116" s="188"/>
      <c r="AT116" s="187"/>
      <c r="AZ116" s="188"/>
      <c r="BA116" s="187"/>
      <c r="BG116" s="188"/>
      <c r="BH116" s="187"/>
      <c r="BL116" s="168"/>
      <c r="BM116" s="189"/>
      <c r="BN116" s="188"/>
      <c r="BO116" s="187"/>
      <c r="BU116" s="188"/>
      <c r="BV116" s="187"/>
      <c r="CB116" s="188"/>
      <c r="CC116" s="187"/>
      <c r="CI116" s="188"/>
      <c r="CJ116" s="187"/>
      <c r="CP116" s="188"/>
      <c r="CQ116" s="190"/>
      <c r="CR116" s="189"/>
      <c r="CW116" s="188"/>
      <c r="CX116" s="187"/>
      <c r="DD116" s="188"/>
      <c r="DE116" s="187"/>
      <c r="DK116" s="188"/>
      <c r="DL116" s="187"/>
      <c r="DR116" s="188"/>
      <c r="DS116" s="187"/>
      <c r="DU116" s="168"/>
      <c r="DV116" s="189"/>
      <c r="DY116" s="188"/>
      <c r="DZ116" s="187"/>
      <c r="EF116" s="188"/>
      <c r="EG116" s="187"/>
      <c r="EM116" s="188"/>
      <c r="EN116" s="187"/>
      <c r="ET116" s="188"/>
      <c r="EU116" s="187"/>
      <c r="EZ116" s="168"/>
      <c r="FA116" s="191"/>
      <c r="FB116" s="187"/>
      <c r="FH116" s="188"/>
      <c r="FI116" s="187"/>
      <c r="FO116" s="188"/>
      <c r="FP116" s="187"/>
      <c r="FV116" s="188"/>
      <c r="FW116" s="187"/>
      <c r="GC116" s="188"/>
      <c r="GD116" s="190"/>
      <c r="GE116" s="189"/>
      <c r="GJ116" s="188"/>
      <c r="GK116" s="187"/>
      <c r="GQ116" s="188"/>
      <c r="GR116" s="187"/>
      <c r="GX116" s="188"/>
      <c r="GY116" s="187"/>
      <c r="HE116" s="188"/>
      <c r="HF116" s="187"/>
      <c r="HI116" s="168"/>
      <c r="HJ116" s="189"/>
      <c r="HL116" s="188"/>
      <c r="HM116" s="187"/>
      <c r="HS116" s="188"/>
      <c r="HT116" s="187"/>
      <c r="HZ116" s="188"/>
      <c r="IA116" s="187"/>
      <c r="IG116" s="188"/>
      <c r="IH116" s="187"/>
      <c r="IN116" s="168"/>
      <c r="IO116" s="189"/>
      <c r="IU116" s="188"/>
      <c r="IV116" s="187"/>
      <c r="JB116" s="188"/>
      <c r="JC116" s="187"/>
      <c r="JI116" s="188"/>
      <c r="JJ116" s="187"/>
      <c r="JP116" s="188"/>
      <c r="JQ116" s="187"/>
      <c r="JR116" s="168"/>
      <c r="JS116" s="189"/>
      <c r="JW116" s="188"/>
      <c r="JX116" s="187"/>
      <c r="KD116" s="188"/>
      <c r="KE116" s="187"/>
      <c r="KK116" s="188"/>
      <c r="KL116" s="187"/>
      <c r="KR116" s="188"/>
      <c r="KS116" s="187"/>
      <c r="KW116" s="168"/>
      <c r="KX116" s="189"/>
      <c r="KY116" s="188"/>
      <c r="KZ116" s="187"/>
      <c r="LF116" s="188"/>
      <c r="LG116" s="187"/>
      <c r="LM116" s="188"/>
      <c r="LN116" s="187"/>
      <c r="LT116" s="188"/>
      <c r="LU116" s="187"/>
      <c r="MA116" s="168"/>
      <c r="MB116" s="189"/>
      <c r="MH116" s="188"/>
      <c r="MI116" s="187"/>
      <c r="MO116" s="188"/>
      <c r="MP116" s="187"/>
      <c r="MV116" s="188"/>
      <c r="MW116" s="187"/>
      <c r="NC116" s="188"/>
      <c r="ND116" s="187"/>
      <c r="NF116" s="168"/>
      <c r="NG116" s="189"/>
      <c r="NJ116" s="188"/>
      <c r="NK116" s="187"/>
      <c r="NQ116" s="188"/>
      <c r="NR116" s="187"/>
      <c r="NX116" s="188"/>
      <c r="NY116" s="187"/>
      <c r="OE116" s="188"/>
      <c r="OF116" s="187"/>
      <c r="OK116" s="168"/>
      <c r="OL116" s="191"/>
      <c r="OM116" s="187"/>
      <c r="OS116" s="188"/>
      <c r="OT116" s="187"/>
      <c r="OZ116" s="188"/>
      <c r="PA116" s="187"/>
      <c r="PG116" s="188"/>
      <c r="PH116" s="187"/>
      <c r="PN116" s="168"/>
      <c r="PO116" s="189"/>
      <c r="PU116" s="188"/>
      <c r="PV116" s="187"/>
      <c r="QB116" s="188"/>
      <c r="QC116" s="187"/>
      <c r="QI116" s="188"/>
      <c r="QJ116" s="187"/>
      <c r="QP116" s="188"/>
      <c r="QQ116" s="187"/>
      <c r="QS116" s="168"/>
      <c r="QT116" s="189"/>
      <c r="QW116" s="188"/>
      <c r="QX116" s="187"/>
      <c r="RD116" s="188"/>
      <c r="RE116" s="187"/>
      <c r="RK116" s="188"/>
      <c r="RL116" s="187"/>
      <c r="RR116" s="188"/>
      <c r="RS116" s="187"/>
      <c r="RW116" s="168"/>
      <c r="RX116" s="189"/>
      <c r="RY116" s="188"/>
      <c r="RZ116" s="187"/>
      <c r="SF116" s="188"/>
      <c r="SG116" s="187"/>
      <c r="SM116" s="188"/>
      <c r="SN116" s="187"/>
      <c r="ST116" s="188"/>
      <c r="SU116" s="187"/>
      <c r="TA116" s="188"/>
      <c r="TB116" s="190"/>
      <c r="TC116" s="189"/>
      <c r="TH116" s="188"/>
      <c r="TI116" s="187"/>
      <c r="TO116" s="188"/>
      <c r="TP116" s="187"/>
      <c r="TV116" s="188"/>
      <c r="TW116" s="187"/>
      <c r="UC116" s="188"/>
      <c r="UD116" s="187"/>
      <c r="UF116" s="168"/>
      <c r="UG116" s="189"/>
      <c r="UJ116" s="188"/>
      <c r="UK116" s="187"/>
      <c r="UQ116" s="188"/>
      <c r="UR116" s="187"/>
      <c r="UX116" s="188"/>
      <c r="UY116" s="187"/>
      <c r="VE116" s="188"/>
      <c r="VF116" s="187"/>
      <c r="VK116" s="168"/>
      <c r="VL116" s="191"/>
      <c r="VM116" s="187"/>
      <c r="VS116" s="188"/>
      <c r="VT116" s="187"/>
      <c r="VZ116" s="188"/>
      <c r="WA116" s="187"/>
      <c r="WG116" s="188"/>
      <c r="WH116" s="187"/>
      <c r="WN116" s="188"/>
      <c r="WO116" s="187"/>
      <c r="WP116" s="168"/>
      <c r="WQ116" s="189"/>
      <c r="WU116" s="188"/>
      <c r="WV116" s="187"/>
      <c r="XB116" s="188"/>
      <c r="XC116" s="187"/>
      <c r="XI116" s="188"/>
      <c r="XJ116" s="187"/>
      <c r="XP116" s="188"/>
      <c r="XQ116" s="187"/>
      <c r="XT116" s="168"/>
      <c r="XU116" s="189"/>
      <c r="XW116" s="188"/>
      <c r="XX116" s="187"/>
      <c r="YD116" s="188"/>
      <c r="YE116" s="187"/>
      <c r="YK116" s="188"/>
      <c r="YL116" s="187"/>
      <c r="YR116" s="188"/>
      <c r="YS116" s="187"/>
      <c r="YY116" s="168"/>
      <c r="YZ116" s="189"/>
      <c r="ZF116" s="188"/>
      <c r="ZG116" s="187"/>
      <c r="ZM116" s="188"/>
      <c r="ZN116" s="187"/>
      <c r="ZT116" s="188"/>
      <c r="ZU116" s="187"/>
      <c r="AAA116" s="188"/>
      <c r="AAB116" s="187"/>
      <c r="AAC116" s="168"/>
      <c r="AAD116" s="189"/>
      <c r="AAH116" s="188"/>
      <c r="AAI116" s="187"/>
      <c r="AAO116" s="188"/>
      <c r="AAP116" s="187"/>
      <c r="AAV116" s="188"/>
      <c r="AAW116" s="187"/>
      <c r="ABC116" s="188"/>
      <c r="ABD116" s="187"/>
      <c r="ABH116" s="168"/>
      <c r="ABI116" s="189"/>
      <c r="ABJ116" s="188"/>
      <c r="ABK116" s="187"/>
      <c r="ABQ116" s="188"/>
      <c r="ABR116" s="187"/>
      <c r="ABX116" s="188"/>
      <c r="ABY116" s="187"/>
      <c r="ACE116" s="188"/>
      <c r="ACF116" s="187"/>
      <c r="ACL116" s="188"/>
      <c r="ACM116" s="190"/>
      <c r="ACN116" s="189"/>
      <c r="ACS116" s="188"/>
      <c r="ACT116" s="187"/>
      <c r="ACZ116" s="188"/>
      <c r="ADA116" s="187"/>
      <c r="ADG116" s="188"/>
      <c r="ADH116" s="187"/>
      <c r="ADN116" s="188"/>
      <c r="ADO116" s="190"/>
      <c r="ADP116" s="189"/>
      <c r="ADU116" s="188"/>
      <c r="ADV116" s="187"/>
      <c r="AEB116" s="188"/>
      <c r="AEC116" s="187"/>
      <c r="AEI116" s="188"/>
      <c r="AEJ116" s="187"/>
      <c r="AEP116" s="188"/>
      <c r="AEQ116" s="187"/>
      <c r="AET116" s="168"/>
      <c r="AEU116" s="189"/>
      <c r="AEW116" s="188"/>
      <c r="AEX116" s="187"/>
      <c r="AFD116" s="188"/>
      <c r="AFE116" s="187"/>
      <c r="AFK116" s="188"/>
      <c r="AFL116" s="187"/>
      <c r="AFR116" s="188"/>
      <c r="AFS116" s="187"/>
      <c r="AFX116" s="168"/>
      <c r="AFY116" s="191"/>
      <c r="AFZ116" s="187"/>
      <c r="AGF116" s="188"/>
      <c r="AGG116" s="187"/>
      <c r="AGM116" s="188"/>
      <c r="AGN116" s="187"/>
      <c r="AGT116" s="188"/>
      <c r="AGU116" s="187"/>
      <c r="AHA116" s="188"/>
      <c r="AHB116" s="187"/>
      <c r="AHC116" s="168"/>
      <c r="AHD116" s="189"/>
      <c r="AHH116" s="188"/>
      <c r="AHI116" s="187"/>
      <c r="AHO116" s="188"/>
      <c r="AHP116" s="187"/>
      <c r="AHV116" s="188"/>
      <c r="AHW116" s="187"/>
      <c r="AIC116" s="188"/>
      <c r="AID116" s="187"/>
      <c r="AIG116" s="168"/>
      <c r="AIH116" s="189"/>
      <c r="AIJ116" s="188"/>
      <c r="AIK116" s="187"/>
      <c r="AIQ116" s="188"/>
      <c r="AIR116" s="187"/>
      <c r="AIX116" s="188"/>
      <c r="AIY116" s="187"/>
      <c r="AJE116" s="188"/>
      <c r="AJF116" s="187"/>
      <c r="AJL116" s="168"/>
      <c r="AJM116" s="189"/>
      <c r="AJS116" s="188"/>
      <c r="AJT116" s="187"/>
      <c r="AJZ116" s="188"/>
      <c r="AKA116" s="187"/>
      <c r="AKG116" s="188"/>
      <c r="AKH116" s="187"/>
      <c r="AKN116" s="188"/>
      <c r="AKO116" s="187"/>
      <c r="AKQ116" s="168"/>
      <c r="AKR116" s="189"/>
      <c r="AKU116" s="188"/>
      <c r="AKV116" s="187"/>
      <c r="ALB116" s="188"/>
      <c r="ALC116" s="187"/>
      <c r="ALI116" s="188"/>
      <c r="ALJ116" s="187"/>
      <c r="ALP116" s="188"/>
      <c r="ALQ116" s="187"/>
      <c r="ALU116" s="168"/>
      <c r="ALV116" s="189"/>
      <c r="ALW116" s="188"/>
      <c r="ALX116" s="187"/>
      <c r="AMD116" s="188"/>
      <c r="AME116" s="187"/>
      <c r="AMK116" s="188"/>
      <c r="AML116" s="187"/>
      <c r="AMR116" s="188"/>
      <c r="AMS116" s="187"/>
      <c r="AMY116" s="188"/>
      <c r="AMZ116" s="190"/>
      <c r="ANA116" s="189"/>
      <c r="ANF116" s="188"/>
      <c r="ANG116" s="187"/>
      <c r="ANM116" s="188"/>
      <c r="ANN116" s="187"/>
      <c r="ANT116" s="188"/>
      <c r="ANU116" s="187"/>
      <c r="AOA116" s="188"/>
      <c r="AOB116" s="187"/>
      <c r="AOD116" s="168"/>
      <c r="AOE116" s="189"/>
      <c r="AOH116" s="188"/>
      <c r="AOI116" s="187"/>
      <c r="AOO116" s="188"/>
      <c r="AOP116" s="187"/>
      <c r="AOV116" s="188"/>
      <c r="AOW116" s="187"/>
      <c r="APC116" s="188"/>
      <c r="APD116" s="187"/>
      <c r="API116" s="168"/>
      <c r="APJ116" s="191"/>
      <c r="APK116" s="187"/>
      <c r="APQ116" s="188"/>
      <c r="APR116" s="187"/>
      <c r="APX116" s="188"/>
      <c r="APY116" s="187"/>
      <c r="AQE116" s="188"/>
      <c r="AQF116" s="187"/>
      <c r="AQL116" s="188"/>
      <c r="AQM116" s="187"/>
      <c r="AQN116" s="168"/>
      <c r="AQO116" s="189"/>
      <c r="AQS116" s="188"/>
      <c r="AQT116" s="187"/>
      <c r="AQZ116" s="188"/>
      <c r="ARA116" s="187"/>
      <c r="ARG116" s="188"/>
      <c r="ARH116" s="187"/>
      <c r="ARN116" s="188"/>
      <c r="ARO116" s="187"/>
      <c r="ARP116" s="168"/>
      <c r="ARQ116" s="189"/>
      <c r="ARU116" s="188"/>
      <c r="ARV116" s="187"/>
      <c r="ASB116" s="188"/>
      <c r="ASC116" s="187"/>
      <c r="ASI116" s="188"/>
      <c r="ASJ116" s="187"/>
      <c r="ASP116" s="188"/>
      <c r="ASQ116" s="187"/>
      <c r="ASU116" s="168"/>
      <c r="ASV116" s="189"/>
      <c r="ASW116" s="188"/>
      <c r="ASX116" s="187"/>
      <c r="ATD116" s="188"/>
      <c r="ATE116" s="187"/>
      <c r="ATK116" s="188"/>
      <c r="ATL116" s="187"/>
      <c r="ATR116" s="188"/>
      <c r="ATS116" s="187"/>
      <c r="ATY116" s="168"/>
      <c r="ATZ116" s="189"/>
      <c r="AUF116" s="188"/>
      <c r="AUG116" s="187"/>
      <c r="AUM116" s="188"/>
      <c r="AUN116" s="187"/>
      <c r="AUT116" s="188"/>
      <c r="AUU116" s="187"/>
      <c r="AVA116" s="188"/>
      <c r="AVB116" s="187"/>
      <c r="AVD116" s="168"/>
      <c r="AVE116" s="189"/>
      <c r="AVH116" s="188"/>
      <c r="AVI116" s="187"/>
      <c r="AVO116" s="188"/>
      <c r="AVP116" s="187"/>
      <c r="AVV116" s="188"/>
      <c r="AVW116" s="187"/>
      <c r="AWC116" s="188"/>
      <c r="AWD116" s="187"/>
      <c r="AWH116" s="168"/>
      <c r="AWI116" s="189"/>
      <c r="AWJ116" s="188"/>
      <c r="AWK116" s="187"/>
      <c r="AWQ116" s="188"/>
      <c r="AWR116" s="187"/>
      <c r="AWX116" s="188"/>
      <c r="AWY116" s="187"/>
      <c r="AXE116" s="188"/>
      <c r="AXF116" s="187"/>
      <c r="AXL116" s="188"/>
      <c r="AXM116" s="190"/>
      <c r="AXN116" s="189"/>
      <c r="AXS116" s="188"/>
      <c r="AXT116" s="187"/>
      <c r="AXZ116" s="188"/>
      <c r="AYA116" s="187"/>
      <c r="AYG116" s="188"/>
      <c r="AYH116" s="187"/>
      <c r="AYN116" s="188"/>
      <c r="AYO116" s="187"/>
      <c r="AYR116" s="168"/>
      <c r="AYS116" s="189"/>
      <c r="AYU116" s="188"/>
      <c r="AYV116" s="187"/>
      <c r="AZB116" s="188"/>
      <c r="AZC116" s="187"/>
      <c r="AZI116" s="188"/>
      <c r="AZJ116" s="187"/>
      <c r="AZP116" s="188"/>
      <c r="AZQ116" s="187"/>
      <c r="AZV116" s="168"/>
      <c r="AZW116" s="191"/>
      <c r="AZX116" s="187"/>
      <c r="BAD116" s="188"/>
      <c r="BAE116" s="187"/>
      <c r="BAK116" s="188"/>
      <c r="BAL116" s="187"/>
      <c r="BAR116" s="188"/>
      <c r="BAS116" s="187"/>
      <c r="BAY116" s="188"/>
      <c r="BAZ116" s="187"/>
      <c r="BBA116" s="168"/>
      <c r="BBB116" s="189"/>
      <c r="BBF116" s="188"/>
      <c r="BBG116" s="187"/>
      <c r="BBM116" s="188"/>
      <c r="BBN116" s="187"/>
      <c r="BBT116" s="188"/>
      <c r="BBU116" s="187"/>
      <c r="BCA116" s="188"/>
      <c r="BCB116" s="187"/>
      <c r="BCE116" s="168"/>
      <c r="BCF116" s="189"/>
      <c r="BCH116" s="188"/>
      <c r="BCI116" s="187"/>
      <c r="BCO116" s="188"/>
      <c r="BCP116" s="187"/>
      <c r="BCV116" s="188"/>
      <c r="BCW116" s="187"/>
      <c r="BDC116" s="188"/>
      <c r="BDD116" s="187"/>
      <c r="BDJ116" s="168"/>
      <c r="BDK116" s="189"/>
      <c r="BDQ116" s="188"/>
      <c r="BDR116" s="187"/>
      <c r="BDX116" s="188"/>
      <c r="BDY116" s="187"/>
      <c r="BEE116" s="188"/>
      <c r="BEF116" s="187"/>
      <c r="BEL116" s="188"/>
      <c r="BEM116" s="187"/>
      <c r="BEO116" s="168"/>
      <c r="BEP116" s="189"/>
      <c r="BES116" s="188"/>
      <c r="BET116" s="187"/>
      <c r="BEZ116" s="188"/>
      <c r="BFA116" s="187"/>
      <c r="BFG116" s="188"/>
      <c r="BFH116" s="187"/>
      <c r="BFN116" s="188"/>
      <c r="BFO116" s="187"/>
      <c r="BFQ116" s="168"/>
      <c r="BFR116" s="189"/>
      <c r="BFU116" s="188"/>
      <c r="BFV116" s="187"/>
      <c r="BGB116" s="188"/>
      <c r="BGC116" s="187"/>
      <c r="BGI116" s="188"/>
      <c r="BGJ116" s="187"/>
      <c r="BGP116" s="188"/>
      <c r="BGQ116" s="187"/>
      <c r="BGV116" s="168"/>
      <c r="BGW116" s="191"/>
      <c r="BGX116" s="187"/>
      <c r="BHD116" s="188"/>
      <c r="BHE116" s="187"/>
      <c r="BHK116" s="188"/>
      <c r="BHL116" s="187"/>
      <c r="BHR116" s="188"/>
      <c r="BHS116" s="187"/>
      <c r="BHY116" s="188"/>
      <c r="BHZ116" s="190"/>
      <c r="BIA116" s="189"/>
      <c r="BIF116" s="188"/>
      <c r="BIG116" s="187"/>
      <c r="BIM116" s="188"/>
      <c r="BIN116" s="187"/>
      <c r="BIT116" s="188"/>
      <c r="BIU116" s="187"/>
      <c r="BJA116" s="188"/>
      <c r="BJB116" s="187"/>
      <c r="BJE116" s="168"/>
      <c r="BJF116" s="189"/>
      <c r="BJH116" s="188"/>
      <c r="BJI116" s="187"/>
      <c r="BJO116" s="188"/>
      <c r="BJP116" s="187"/>
      <c r="BJV116" s="188"/>
      <c r="BJW116" s="187"/>
      <c r="BKC116" s="188"/>
      <c r="BKD116" s="187"/>
      <c r="BKI116" s="168"/>
      <c r="BKJ116" s="191"/>
      <c r="BKK116" s="187"/>
      <c r="BKQ116" s="188"/>
      <c r="BKR116" s="187"/>
      <c r="BKX116" s="188"/>
      <c r="BKY116" s="187"/>
      <c r="BLE116" s="188"/>
      <c r="BLF116" s="187"/>
      <c r="BLL116" s="188"/>
      <c r="BLM116" s="187"/>
      <c r="BLN116" s="168"/>
      <c r="BLO116" s="189"/>
      <c r="BLS116" s="188"/>
      <c r="BLT116" s="187"/>
      <c r="BLZ116" s="188"/>
      <c r="BMA116" s="187"/>
      <c r="BMG116" s="188"/>
      <c r="BMH116" s="187"/>
      <c r="BMN116" s="188"/>
      <c r="BMO116" s="187"/>
      <c r="BMS116" s="168"/>
      <c r="BMT116" s="189"/>
      <c r="BMU116" s="188"/>
      <c r="BMV116" s="187"/>
      <c r="BNB116" s="188"/>
      <c r="BNC116" s="187"/>
      <c r="BNI116" s="188"/>
      <c r="BNJ116" s="187"/>
      <c r="BNP116" s="188"/>
      <c r="BNQ116" s="187"/>
      <c r="BNW116" s="168"/>
      <c r="BNX116" s="189"/>
      <c r="BOD116" s="188"/>
      <c r="BOE116" s="187"/>
      <c r="BOK116" s="188"/>
      <c r="BOL116" s="187"/>
      <c r="BOR116" s="188"/>
      <c r="BOS116" s="187"/>
      <c r="BOY116" s="188"/>
      <c r="BOZ116" s="187"/>
      <c r="BPB116" s="168"/>
      <c r="BPC116" s="189"/>
      <c r="BPF116" s="188"/>
      <c r="BPG116" s="187"/>
      <c r="BPM116" s="188"/>
      <c r="BPN116" s="187"/>
      <c r="BPT116" s="188"/>
      <c r="BPU116" s="187"/>
      <c r="BQA116" s="188"/>
      <c r="BQB116" s="187"/>
      <c r="BQF116" s="168"/>
      <c r="BQG116" s="189"/>
      <c r="BQH116" s="188"/>
      <c r="BQI116" s="187"/>
      <c r="BQO116" s="188"/>
      <c r="BQP116" s="187"/>
      <c r="BQV116" s="188"/>
      <c r="BQW116" s="187"/>
      <c r="BRC116" s="188"/>
      <c r="BRD116" s="187"/>
      <c r="BRJ116" s="188"/>
      <c r="BRK116" s="190"/>
      <c r="BRL116" s="189"/>
      <c r="BRQ116" s="188"/>
      <c r="BRR116" s="187"/>
      <c r="BRX116" s="188"/>
      <c r="BRY116" s="187"/>
      <c r="BSE116" s="188"/>
      <c r="BSF116" s="187"/>
      <c r="BSL116" s="188"/>
      <c r="BSM116" s="187"/>
      <c r="BSP116" s="168"/>
      <c r="BSQ116" s="189"/>
      <c r="BSS116" s="188"/>
      <c r="BST116" s="187"/>
      <c r="BSZ116" s="188"/>
      <c r="BTA116" s="187"/>
      <c r="BTG116" s="188"/>
      <c r="BTH116" s="187"/>
      <c r="BTN116" s="188"/>
      <c r="BTO116" s="187"/>
      <c r="BTS116" s="168"/>
      <c r="BTT116" s="189"/>
      <c r="BTU116" s="188"/>
      <c r="BTV116" s="187"/>
      <c r="BUB116" s="188"/>
      <c r="BUC116" s="187"/>
      <c r="BUI116" s="188"/>
      <c r="BUJ116" s="187"/>
      <c r="BUP116" s="188"/>
      <c r="BUQ116" s="187"/>
      <c r="BUW116" s="188"/>
      <c r="BUX116" s="190"/>
      <c r="BUY116" s="189"/>
      <c r="BVD116" s="188"/>
      <c r="BVE116" s="187"/>
      <c r="BVK116" s="188"/>
      <c r="BVL116" s="187"/>
      <c r="BVR116" s="188"/>
      <c r="BVS116" s="187"/>
      <c r="BVY116" s="188"/>
      <c r="BVZ116" s="187"/>
      <c r="BWB116" s="168"/>
      <c r="BWC116" s="189"/>
      <c r="BWF116" s="188"/>
      <c r="BWG116" s="187"/>
      <c r="BWM116" s="188"/>
      <c r="BWN116" s="187"/>
      <c r="BWT116" s="188"/>
      <c r="BWU116" s="187"/>
      <c r="BXA116" s="188"/>
      <c r="BXB116" s="187"/>
      <c r="BXG116" s="168"/>
      <c r="BXH116" s="191"/>
      <c r="BXI116" s="187"/>
      <c r="BXO116" s="188"/>
      <c r="BXP116" s="187"/>
      <c r="BXV116" s="188"/>
      <c r="BXW116" s="187"/>
      <c r="BYC116" s="188"/>
      <c r="BYD116" s="187"/>
      <c r="BYJ116" s="188"/>
      <c r="BYK116" s="190"/>
      <c r="BYL116" s="189"/>
      <c r="BYQ116" s="188"/>
      <c r="BYR116" s="187"/>
      <c r="BYX116" s="188"/>
      <c r="BYY116" s="187"/>
      <c r="BZE116" s="188"/>
      <c r="BZF116" s="187"/>
      <c r="BZL116" s="188"/>
      <c r="BZM116" s="187"/>
      <c r="BZP116" s="168"/>
      <c r="BZQ116" s="189"/>
      <c r="BZS116" s="188"/>
      <c r="BZT116" s="187"/>
      <c r="BZZ116" s="188"/>
      <c r="CAA116" s="187"/>
      <c r="CAG116" s="188"/>
      <c r="CAH116" s="187"/>
      <c r="CAN116" s="188"/>
      <c r="CAO116" s="187"/>
      <c r="CAU116" s="168"/>
      <c r="CAV116" s="189"/>
      <c r="CBB116" s="188"/>
      <c r="CBC116" s="187"/>
      <c r="CBI116" s="188"/>
      <c r="CBJ116" s="187"/>
      <c r="CBP116" s="188"/>
      <c r="CBQ116" s="187"/>
      <c r="CBW116" s="188"/>
      <c r="CBX116" s="187"/>
      <c r="CBY116" s="168"/>
      <c r="CBZ116" s="189"/>
      <c r="CCD116" s="188"/>
      <c r="CCE116" s="187"/>
      <c r="CCK116" s="188"/>
      <c r="CCL116" s="187"/>
      <c r="CCR116" s="188"/>
      <c r="CCS116" s="187"/>
      <c r="CCY116" s="188"/>
      <c r="CCZ116" s="187"/>
      <c r="CDD116" s="168"/>
      <c r="CDE116" s="189"/>
      <c r="CDF116" s="188"/>
      <c r="CDG116" s="187"/>
      <c r="CDM116" s="188"/>
      <c r="CDN116" s="187"/>
      <c r="CDT116" s="188"/>
      <c r="CDU116" s="187"/>
      <c r="CEA116" s="188"/>
      <c r="CEB116" s="187"/>
      <c r="CEH116" s="168"/>
      <c r="CEI116" s="189"/>
      <c r="CEO116" s="188"/>
      <c r="CEP116" s="187"/>
      <c r="CEV116" s="188"/>
      <c r="CEW116" s="187"/>
      <c r="CFC116" s="188"/>
      <c r="CFD116" s="187"/>
      <c r="CFJ116" s="188"/>
      <c r="CFK116" s="187"/>
    </row>
    <row r="117" spans="1:1019 1025:2048 2054:2195">
      <c r="A117" s="164" t="s">
        <v>407</v>
      </c>
      <c r="C117" s="164" t="s">
        <v>408</v>
      </c>
      <c r="D117" s="186"/>
      <c r="E117" s="186"/>
      <c r="K117" s="187"/>
      <c r="Q117" s="188"/>
      <c r="R117" s="187"/>
      <c r="X117" s="188"/>
      <c r="Y117" s="187"/>
      <c r="AE117" s="188"/>
      <c r="AF117" s="187"/>
      <c r="AJ117" s="168"/>
      <c r="AK117" s="189"/>
      <c r="AL117" s="188"/>
      <c r="AM117" s="187"/>
      <c r="AS117" s="188"/>
      <c r="AT117" s="187"/>
      <c r="AZ117" s="188"/>
      <c r="BA117" s="187"/>
      <c r="BG117" s="188"/>
      <c r="BH117" s="187"/>
      <c r="BL117" s="168"/>
      <c r="BM117" s="189"/>
      <c r="BN117" s="188"/>
      <c r="BO117" s="187"/>
      <c r="BU117" s="188"/>
      <c r="BV117" s="187"/>
      <c r="CB117" s="188"/>
      <c r="CC117" s="187"/>
      <c r="CI117" s="188"/>
      <c r="CJ117" s="187"/>
      <c r="CP117" s="188"/>
      <c r="CQ117" s="190"/>
      <c r="CR117" s="189"/>
      <c r="CW117" s="188"/>
      <c r="CX117" s="187"/>
      <c r="DD117" s="188"/>
      <c r="DE117" s="187"/>
      <c r="DK117" s="188"/>
      <c r="DL117" s="187"/>
      <c r="DR117" s="188"/>
      <c r="DS117" s="187"/>
      <c r="DU117" s="168"/>
      <c r="DV117" s="189"/>
      <c r="DY117" s="188"/>
      <c r="DZ117" s="187"/>
      <c r="EF117" s="188"/>
      <c r="EG117" s="187"/>
      <c r="EM117" s="188"/>
      <c r="EN117" s="187"/>
      <c r="ET117" s="188"/>
      <c r="EU117" s="187"/>
      <c r="EZ117" s="168"/>
      <c r="FA117" s="191"/>
      <c r="FB117" s="187"/>
      <c r="FH117" s="188"/>
      <c r="FI117" s="187"/>
      <c r="FO117" s="188"/>
      <c r="FP117" s="187"/>
      <c r="FV117" s="188"/>
      <c r="FW117" s="187"/>
      <c r="GC117" s="188"/>
      <c r="GD117" s="190"/>
      <c r="GE117" s="189"/>
      <c r="GJ117" s="188"/>
      <c r="GK117" s="187"/>
      <c r="GQ117" s="188"/>
      <c r="GR117" s="187"/>
      <c r="GX117" s="188"/>
      <c r="GY117" s="187"/>
      <c r="HE117" s="188"/>
      <c r="HF117" s="187"/>
      <c r="HI117" s="168"/>
      <c r="HJ117" s="189"/>
      <c r="HL117" s="188"/>
      <c r="HM117" s="187"/>
      <c r="HS117" s="188"/>
      <c r="HT117" s="187"/>
      <c r="HZ117" s="188"/>
      <c r="IA117" s="187"/>
      <c r="IG117" s="188"/>
      <c r="IH117" s="187"/>
      <c r="IN117" s="168"/>
      <c r="IO117" s="189"/>
      <c r="IU117" s="188"/>
      <c r="IV117" s="187"/>
      <c r="JB117" s="188"/>
      <c r="JC117" s="187"/>
      <c r="JI117" s="188"/>
      <c r="JJ117" s="187"/>
      <c r="JP117" s="188"/>
      <c r="JQ117" s="187"/>
      <c r="JR117" s="168"/>
      <c r="JS117" s="189"/>
      <c r="JW117" s="188"/>
      <c r="JX117" s="187"/>
      <c r="KD117" s="188"/>
      <c r="KE117" s="187"/>
      <c r="KK117" s="188"/>
      <c r="KL117" s="187"/>
      <c r="KR117" s="188"/>
      <c r="KS117" s="187"/>
      <c r="KW117" s="168"/>
      <c r="KX117" s="189"/>
      <c r="KY117" s="188"/>
      <c r="KZ117" s="187"/>
      <c r="LF117" s="188"/>
      <c r="LG117" s="187"/>
      <c r="LM117" s="188"/>
      <c r="LN117" s="187"/>
      <c r="LT117" s="188"/>
      <c r="LU117" s="187"/>
      <c r="MA117" s="168"/>
      <c r="MB117" s="189"/>
      <c r="MH117" s="188"/>
      <c r="MI117" s="187"/>
      <c r="MO117" s="188"/>
      <c r="MP117" s="187"/>
      <c r="MV117" s="188"/>
      <c r="MW117" s="187"/>
      <c r="NC117" s="188"/>
      <c r="ND117" s="187"/>
      <c r="NF117" s="168"/>
      <c r="NG117" s="189"/>
      <c r="NJ117" s="188"/>
      <c r="NK117" s="187"/>
      <c r="NQ117" s="188"/>
      <c r="NR117" s="187"/>
      <c r="NX117" s="188"/>
      <c r="NY117" s="187"/>
      <c r="OE117" s="188"/>
      <c r="OF117" s="187"/>
      <c r="OK117" s="168"/>
      <c r="OL117" s="191"/>
      <c r="OM117" s="187"/>
      <c r="OS117" s="188"/>
      <c r="OT117" s="187"/>
      <c r="OZ117" s="188"/>
      <c r="PA117" s="187"/>
      <c r="PG117" s="188"/>
      <c r="PH117" s="187"/>
      <c r="PN117" s="168"/>
      <c r="PO117" s="189"/>
      <c r="PU117" s="188"/>
      <c r="PV117" s="187"/>
      <c r="QB117" s="188"/>
      <c r="QC117" s="187"/>
      <c r="QI117" s="188"/>
      <c r="QJ117" s="187"/>
      <c r="QP117" s="188"/>
      <c r="QQ117" s="187"/>
      <c r="QS117" s="168"/>
      <c r="QT117" s="189"/>
      <c r="QW117" s="188"/>
      <c r="QX117" s="187"/>
      <c r="RD117" s="188"/>
      <c r="RE117" s="187"/>
      <c r="RK117" s="188"/>
      <c r="RL117" s="187"/>
      <c r="RR117" s="188"/>
      <c r="RS117" s="187"/>
      <c r="RW117" s="168"/>
      <c r="RX117" s="189"/>
      <c r="RY117" s="188"/>
      <c r="RZ117" s="187"/>
      <c r="SF117" s="188"/>
      <c r="SG117" s="187"/>
      <c r="SM117" s="188"/>
      <c r="SN117" s="187"/>
      <c r="ST117" s="188"/>
      <c r="SU117" s="187"/>
      <c r="TA117" s="188"/>
      <c r="TB117" s="190"/>
      <c r="TC117" s="189"/>
      <c r="TH117" s="188"/>
      <c r="TI117" s="187"/>
      <c r="TO117" s="188"/>
      <c r="TP117" s="187"/>
      <c r="TV117" s="188"/>
      <c r="TW117" s="187"/>
      <c r="UC117" s="188"/>
      <c r="UD117" s="187"/>
      <c r="UF117" s="168"/>
      <c r="UG117" s="189"/>
      <c r="UJ117" s="188"/>
      <c r="UK117" s="187"/>
      <c r="UQ117" s="188"/>
      <c r="UR117" s="187"/>
      <c r="UX117" s="188"/>
      <c r="UY117" s="187"/>
      <c r="VE117" s="188"/>
      <c r="VF117" s="187"/>
      <c r="VK117" s="168"/>
      <c r="VL117" s="191"/>
      <c r="VM117" s="187"/>
      <c r="VS117" s="188"/>
      <c r="VT117" s="187"/>
      <c r="VZ117" s="188"/>
      <c r="WA117" s="187"/>
      <c r="WG117" s="188"/>
      <c r="WH117" s="187"/>
      <c r="WN117" s="188"/>
      <c r="WO117" s="187"/>
      <c r="WP117" s="168"/>
      <c r="WQ117" s="189"/>
      <c r="WU117" s="188"/>
      <c r="WV117" s="187"/>
      <c r="XB117" s="188"/>
      <c r="XC117" s="187"/>
      <c r="XI117" s="188"/>
      <c r="XJ117" s="187"/>
      <c r="XP117" s="188"/>
      <c r="XQ117" s="187"/>
      <c r="XT117" s="168"/>
      <c r="XU117" s="189"/>
      <c r="XW117" s="188"/>
      <c r="XX117" s="187"/>
      <c r="YD117" s="188"/>
      <c r="YE117" s="187"/>
      <c r="YK117" s="188"/>
      <c r="YL117" s="187"/>
      <c r="YR117" s="188"/>
      <c r="YS117" s="187"/>
      <c r="YY117" s="168"/>
      <c r="YZ117" s="189"/>
      <c r="ZF117" s="188"/>
      <c r="ZG117" s="187"/>
      <c r="ZM117" s="188"/>
      <c r="ZN117" s="187"/>
      <c r="ZT117" s="188"/>
      <c r="ZU117" s="187"/>
      <c r="AAA117" s="188"/>
      <c r="AAB117" s="187"/>
      <c r="AAC117" s="168"/>
      <c r="AAD117" s="189"/>
      <c r="AAH117" s="188"/>
      <c r="AAI117" s="187"/>
      <c r="AAO117" s="188"/>
      <c r="AAP117" s="187"/>
      <c r="AAV117" s="188"/>
      <c r="AAW117" s="187"/>
      <c r="ABC117" s="188"/>
      <c r="ABD117" s="187"/>
      <c r="ABH117" s="168"/>
      <c r="ABI117" s="189"/>
      <c r="ABJ117" s="188"/>
      <c r="ABK117" s="187"/>
      <c r="ABQ117" s="188"/>
      <c r="ABR117" s="187"/>
      <c r="ABX117" s="188"/>
      <c r="ABY117" s="187"/>
      <c r="ACE117" s="188"/>
      <c r="ACF117" s="187"/>
      <c r="ACL117" s="188"/>
      <c r="ACM117" s="190"/>
      <c r="ACN117" s="189"/>
      <c r="ACS117" s="188"/>
      <c r="ACT117" s="187"/>
      <c r="ACZ117" s="188"/>
      <c r="ADA117" s="187"/>
      <c r="ADG117" s="188"/>
      <c r="ADH117" s="187"/>
      <c r="ADN117" s="188"/>
      <c r="ADO117" s="190"/>
      <c r="ADP117" s="189"/>
      <c r="ADU117" s="188"/>
      <c r="ADV117" s="187"/>
      <c r="AEB117" s="188"/>
      <c r="AEC117" s="187"/>
      <c r="AEI117" s="188"/>
      <c r="AEJ117" s="187"/>
      <c r="AEP117" s="188"/>
      <c r="AEQ117" s="187"/>
      <c r="AET117" s="168"/>
      <c r="AEU117" s="189"/>
      <c r="AEW117" s="188"/>
      <c r="AEX117" s="187"/>
      <c r="AFD117" s="188"/>
      <c r="AFE117" s="187"/>
      <c r="AFK117" s="188"/>
      <c r="AFL117" s="187"/>
      <c r="AFR117" s="188"/>
      <c r="AFS117" s="187"/>
      <c r="AFX117" s="168"/>
      <c r="AFY117" s="191"/>
      <c r="AFZ117" s="187"/>
      <c r="AGF117" s="188"/>
      <c r="AGG117" s="187"/>
      <c r="AGM117" s="188"/>
      <c r="AGN117" s="187"/>
      <c r="AGT117" s="188"/>
      <c r="AGU117" s="187"/>
      <c r="AHA117" s="188"/>
      <c r="AHB117" s="187"/>
      <c r="AHC117" s="168"/>
      <c r="AHD117" s="189"/>
      <c r="AHH117" s="188"/>
      <c r="AHI117" s="187"/>
      <c r="AHO117" s="188"/>
      <c r="AHP117" s="187"/>
      <c r="AHV117" s="188"/>
      <c r="AHW117" s="187"/>
      <c r="AIC117" s="188"/>
      <c r="AID117" s="187"/>
      <c r="AIG117" s="168"/>
      <c r="AIH117" s="189"/>
      <c r="AIJ117" s="188"/>
      <c r="AIK117" s="187"/>
      <c r="AIQ117" s="188"/>
      <c r="AIR117" s="187"/>
      <c r="AIX117" s="188"/>
      <c r="AIY117" s="187"/>
      <c r="AJE117" s="188"/>
      <c r="AJF117" s="187"/>
      <c r="AJL117" s="168"/>
      <c r="AJM117" s="189"/>
      <c r="AJS117" s="188"/>
      <c r="AJT117" s="187"/>
      <c r="AJZ117" s="188"/>
      <c r="AKA117" s="187"/>
      <c r="AKG117" s="188"/>
      <c r="AKH117" s="187"/>
      <c r="AKN117" s="188"/>
      <c r="AKO117" s="187"/>
      <c r="AKQ117" s="168"/>
      <c r="AKR117" s="189"/>
      <c r="AKU117" s="188"/>
      <c r="AKV117" s="187"/>
      <c r="ALB117" s="188"/>
      <c r="ALC117" s="187"/>
      <c r="ALI117" s="188"/>
      <c r="ALJ117" s="187"/>
      <c r="ALP117" s="188"/>
      <c r="ALQ117" s="187"/>
      <c r="ALU117" s="168"/>
      <c r="ALV117" s="189"/>
      <c r="ALW117" s="188"/>
      <c r="ALX117" s="187"/>
      <c r="AMD117" s="188"/>
      <c r="AME117" s="187"/>
      <c r="AMK117" s="188"/>
      <c r="AML117" s="187"/>
      <c r="AMR117" s="188"/>
      <c r="AMS117" s="187"/>
      <c r="AMY117" s="188"/>
      <c r="AMZ117" s="190"/>
      <c r="ANA117" s="189"/>
      <c r="ANF117" s="188"/>
      <c r="ANG117" s="187"/>
      <c r="ANM117" s="188"/>
      <c r="ANN117" s="187"/>
      <c r="ANT117" s="188"/>
      <c r="ANU117" s="187"/>
      <c r="AOA117" s="188"/>
      <c r="AOB117" s="187"/>
      <c r="AOD117" s="168"/>
      <c r="AOE117" s="189"/>
      <c r="AOH117" s="188"/>
      <c r="AOI117" s="187"/>
      <c r="AOO117" s="188"/>
      <c r="AOP117" s="187"/>
      <c r="AOV117" s="188"/>
      <c r="AOW117" s="187"/>
      <c r="APC117" s="188"/>
      <c r="APD117" s="187"/>
      <c r="API117" s="168"/>
      <c r="APJ117" s="191"/>
      <c r="APK117" s="187"/>
      <c r="APQ117" s="188"/>
      <c r="APR117" s="187"/>
      <c r="APX117" s="188"/>
      <c r="APY117" s="187"/>
      <c r="AQE117" s="188"/>
      <c r="AQF117" s="187"/>
      <c r="AQL117" s="188"/>
      <c r="AQM117" s="187"/>
      <c r="AQN117" s="168"/>
      <c r="AQO117" s="189"/>
      <c r="AQS117" s="188"/>
      <c r="AQT117" s="187"/>
      <c r="AQZ117" s="188"/>
      <c r="ARA117" s="187"/>
      <c r="ARG117" s="188"/>
      <c r="ARH117" s="187"/>
      <c r="ARN117" s="188"/>
      <c r="ARO117" s="187"/>
      <c r="ARP117" s="168"/>
      <c r="ARQ117" s="189"/>
      <c r="ARU117" s="188"/>
      <c r="ARV117" s="187"/>
      <c r="ASB117" s="188"/>
      <c r="ASC117" s="187"/>
      <c r="ASI117" s="188"/>
      <c r="ASJ117" s="187"/>
      <c r="ASP117" s="188"/>
      <c r="ASQ117" s="187"/>
      <c r="ASU117" s="168"/>
      <c r="ASV117" s="189"/>
      <c r="ASW117" s="188"/>
      <c r="ASX117" s="187"/>
      <c r="ATD117" s="188"/>
      <c r="ATE117" s="187"/>
      <c r="ATK117" s="188"/>
      <c r="ATL117" s="187"/>
      <c r="ATR117" s="188"/>
      <c r="ATS117" s="187"/>
      <c r="ATY117" s="168"/>
      <c r="ATZ117" s="189"/>
      <c r="AUF117" s="188"/>
      <c r="AUG117" s="187"/>
      <c r="AUM117" s="188"/>
      <c r="AUN117" s="187"/>
      <c r="AUT117" s="188"/>
      <c r="AUU117" s="187"/>
      <c r="AVA117" s="188"/>
      <c r="AVB117" s="187"/>
      <c r="AVD117" s="168"/>
      <c r="AVE117" s="189"/>
      <c r="AVH117" s="188"/>
      <c r="AVI117" s="187"/>
      <c r="AVO117" s="188"/>
      <c r="AVP117" s="187"/>
      <c r="AVV117" s="188"/>
      <c r="AVW117" s="187"/>
      <c r="AWC117" s="188"/>
      <c r="AWD117" s="187"/>
      <c r="AWH117" s="168"/>
      <c r="AWI117" s="189"/>
      <c r="AWJ117" s="188"/>
      <c r="AWK117" s="187"/>
      <c r="AWQ117" s="188"/>
      <c r="AWR117" s="187"/>
      <c r="AWX117" s="188"/>
      <c r="AWY117" s="187"/>
      <c r="AXE117" s="188"/>
      <c r="AXF117" s="187"/>
      <c r="AXL117" s="188"/>
      <c r="AXM117" s="190"/>
      <c r="AXN117" s="189"/>
      <c r="AXS117" s="188"/>
      <c r="AXT117" s="187"/>
      <c r="AXZ117" s="188"/>
      <c r="AYA117" s="187"/>
      <c r="AYG117" s="188"/>
      <c r="AYH117" s="187"/>
      <c r="AYN117" s="188"/>
      <c r="AYO117" s="187"/>
      <c r="AYR117" s="168"/>
      <c r="AYS117" s="189"/>
      <c r="AYU117" s="188"/>
      <c r="AYV117" s="187"/>
      <c r="AZB117" s="188"/>
      <c r="AZC117" s="187"/>
      <c r="AZI117" s="188"/>
      <c r="AZJ117" s="187"/>
      <c r="AZP117" s="188"/>
      <c r="AZQ117" s="187"/>
      <c r="AZV117" s="168"/>
      <c r="AZW117" s="191"/>
      <c r="AZX117" s="187"/>
      <c r="BAD117" s="188"/>
      <c r="BAE117" s="187"/>
      <c r="BAK117" s="188"/>
      <c r="BAL117" s="187"/>
      <c r="BAR117" s="188"/>
      <c r="BAS117" s="187"/>
      <c r="BAY117" s="188"/>
      <c r="BAZ117" s="187"/>
      <c r="BBA117" s="168"/>
      <c r="BBB117" s="189"/>
      <c r="BBF117" s="188"/>
      <c r="BBG117" s="187"/>
      <c r="BBM117" s="188"/>
      <c r="BBN117" s="187"/>
      <c r="BBT117" s="188"/>
      <c r="BBU117" s="187"/>
      <c r="BCA117" s="188"/>
      <c r="BCB117" s="187"/>
      <c r="BCE117" s="168"/>
      <c r="BCF117" s="189"/>
      <c r="BCH117" s="188"/>
      <c r="BCI117" s="187"/>
      <c r="BCO117" s="188"/>
      <c r="BCP117" s="187"/>
      <c r="BCV117" s="188"/>
      <c r="BCW117" s="187"/>
      <c r="BDC117" s="188"/>
      <c r="BDD117" s="187"/>
      <c r="BDJ117" s="168"/>
      <c r="BDK117" s="189"/>
      <c r="BDQ117" s="188"/>
      <c r="BDR117" s="187"/>
      <c r="BDX117" s="188"/>
      <c r="BDY117" s="187"/>
      <c r="BEE117" s="188"/>
      <c r="BEF117" s="187"/>
      <c r="BEL117" s="188"/>
      <c r="BEM117" s="187"/>
      <c r="BEO117" s="168"/>
      <c r="BEP117" s="189"/>
      <c r="BES117" s="188"/>
      <c r="BET117" s="187"/>
      <c r="BEZ117" s="188"/>
      <c r="BFA117" s="187"/>
      <c r="BFG117" s="188"/>
      <c r="BFH117" s="187"/>
      <c r="BFN117" s="188"/>
      <c r="BFO117" s="187"/>
      <c r="BFQ117" s="168"/>
      <c r="BFR117" s="189"/>
      <c r="BFU117" s="188"/>
      <c r="BFV117" s="187"/>
      <c r="BGB117" s="188"/>
      <c r="BGC117" s="187"/>
      <c r="BGI117" s="188"/>
      <c r="BGJ117" s="187"/>
      <c r="BGP117" s="188"/>
      <c r="BGQ117" s="187"/>
      <c r="BGV117" s="168"/>
      <c r="BGW117" s="191"/>
      <c r="BGX117" s="187"/>
      <c r="BHD117" s="188"/>
      <c r="BHE117" s="187"/>
      <c r="BHK117" s="188"/>
      <c r="BHL117" s="187"/>
      <c r="BHR117" s="188"/>
      <c r="BHS117" s="187"/>
      <c r="BHY117" s="188"/>
      <c r="BHZ117" s="190"/>
      <c r="BIA117" s="189"/>
      <c r="BIF117" s="188"/>
      <c r="BIG117" s="187"/>
      <c r="BIM117" s="188"/>
      <c r="BIN117" s="187"/>
      <c r="BIT117" s="188"/>
      <c r="BIU117" s="187"/>
      <c r="BJA117" s="188"/>
      <c r="BJB117" s="187"/>
      <c r="BJE117" s="168"/>
      <c r="BJF117" s="189"/>
      <c r="BJH117" s="188"/>
      <c r="BJI117" s="187"/>
      <c r="BJO117" s="188"/>
      <c r="BJP117" s="187"/>
      <c r="BJV117" s="188"/>
      <c r="BJW117" s="187"/>
      <c r="BKC117" s="188"/>
      <c r="BKD117" s="187"/>
      <c r="BKI117" s="168"/>
      <c r="BKJ117" s="191"/>
      <c r="BKK117" s="187"/>
      <c r="BKQ117" s="188"/>
      <c r="BKR117" s="187"/>
      <c r="BKX117" s="188"/>
      <c r="BKY117" s="187"/>
      <c r="BLE117" s="188"/>
      <c r="BLF117" s="187"/>
      <c r="BLL117" s="188"/>
      <c r="BLM117" s="187"/>
      <c r="BLN117" s="168"/>
      <c r="BLO117" s="189"/>
      <c r="BLS117" s="188"/>
      <c r="BLT117" s="187"/>
      <c r="BLZ117" s="188"/>
      <c r="BMA117" s="187"/>
      <c r="BMG117" s="188"/>
      <c r="BMH117" s="187"/>
      <c r="BMN117" s="188"/>
      <c r="BMO117" s="187"/>
      <c r="BMS117" s="168"/>
      <c r="BMT117" s="189"/>
      <c r="BMU117" s="188"/>
      <c r="BMV117" s="187"/>
      <c r="BNB117" s="188"/>
      <c r="BNC117" s="187"/>
      <c r="BNI117" s="188"/>
      <c r="BNJ117" s="187"/>
      <c r="BNP117" s="188"/>
      <c r="BNQ117" s="187"/>
      <c r="BNW117" s="168"/>
      <c r="BNX117" s="189"/>
      <c r="BOD117" s="188"/>
      <c r="BOE117" s="187"/>
      <c r="BOK117" s="188"/>
      <c r="BOL117" s="187"/>
      <c r="BOR117" s="188"/>
      <c r="BOS117" s="187"/>
      <c r="BOY117" s="188"/>
      <c r="BOZ117" s="187"/>
      <c r="BPB117" s="168"/>
      <c r="BPC117" s="189"/>
      <c r="BPF117" s="188"/>
      <c r="BPG117" s="187"/>
      <c r="BPM117" s="188"/>
      <c r="BPN117" s="187"/>
      <c r="BPT117" s="188"/>
      <c r="BPU117" s="187"/>
      <c r="BQA117" s="188"/>
      <c r="BQB117" s="187"/>
      <c r="BQF117" s="168"/>
      <c r="BQG117" s="189"/>
      <c r="BQH117" s="188"/>
      <c r="BQI117" s="187"/>
      <c r="BQO117" s="188"/>
      <c r="BQP117" s="187"/>
      <c r="BQV117" s="188"/>
      <c r="BQW117" s="187"/>
      <c r="BRC117" s="188"/>
      <c r="BRD117" s="187"/>
      <c r="BRJ117" s="188"/>
      <c r="BRK117" s="190"/>
      <c r="BRL117" s="189"/>
      <c r="BRQ117" s="188"/>
      <c r="BRR117" s="187"/>
      <c r="BRX117" s="188"/>
      <c r="BRY117" s="187"/>
      <c r="BSE117" s="188"/>
      <c r="BSF117" s="187"/>
      <c r="BSL117" s="188"/>
      <c r="BSM117" s="187"/>
      <c r="BSP117" s="168"/>
      <c r="BSQ117" s="189"/>
      <c r="BSS117" s="188"/>
      <c r="BST117" s="187"/>
      <c r="BSZ117" s="188"/>
      <c r="BTA117" s="187"/>
      <c r="BTG117" s="188"/>
      <c r="BTH117" s="187"/>
      <c r="BTN117" s="188"/>
      <c r="BTO117" s="187"/>
      <c r="BTS117" s="168"/>
      <c r="BTT117" s="189"/>
      <c r="BTU117" s="188"/>
      <c r="BTV117" s="187"/>
      <c r="BUB117" s="188"/>
      <c r="BUC117" s="187"/>
      <c r="BUI117" s="188"/>
      <c r="BUJ117" s="187"/>
      <c r="BUP117" s="188"/>
      <c r="BUQ117" s="187"/>
      <c r="BUW117" s="188"/>
      <c r="BUX117" s="190"/>
      <c r="BUY117" s="189"/>
      <c r="BVD117" s="188"/>
      <c r="BVE117" s="187"/>
      <c r="BVK117" s="188"/>
      <c r="BVL117" s="187"/>
      <c r="BVR117" s="188"/>
      <c r="BVS117" s="187"/>
      <c r="BVY117" s="188"/>
      <c r="BVZ117" s="187"/>
      <c r="BWB117" s="168"/>
      <c r="BWC117" s="189"/>
      <c r="BWF117" s="188"/>
      <c r="BWG117" s="187"/>
      <c r="BWM117" s="188"/>
      <c r="BWN117" s="187"/>
      <c r="BWT117" s="188"/>
      <c r="BWU117" s="187"/>
      <c r="BXA117" s="188"/>
      <c r="BXB117" s="187"/>
      <c r="BXG117" s="168"/>
      <c r="BXH117" s="191"/>
      <c r="BXI117" s="187"/>
      <c r="BXO117" s="188"/>
      <c r="BXP117" s="187"/>
      <c r="BXV117" s="188"/>
      <c r="BXW117" s="187"/>
      <c r="BYC117" s="188"/>
      <c r="BYD117" s="187"/>
      <c r="BYJ117" s="188"/>
      <c r="BYK117" s="190"/>
      <c r="BYL117" s="189"/>
      <c r="BYQ117" s="188"/>
      <c r="BYR117" s="187"/>
      <c r="BYX117" s="188"/>
      <c r="BYY117" s="187"/>
      <c r="BZE117" s="188"/>
      <c r="BZF117" s="187"/>
      <c r="BZL117" s="188"/>
      <c r="BZM117" s="187"/>
      <c r="BZP117" s="168"/>
      <c r="BZQ117" s="189"/>
      <c r="BZS117" s="188"/>
      <c r="BZT117" s="187"/>
      <c r="BZZ117" s="188"/>
      <c r="CAA117" s="187"/>
      <c r="CAG117" s="188"/>
      <c r="CAH117" s="187"/>
      <c r="CAN117" s="188"/>
      <c r="CAO117" s="187"/>
      <c r="CAU117" s="168"/>
      <c r="CAV117" s="189"/>
      <c r="CBB117" s="188"/>
      <c r="CBC117" s="187"/>
      <c r="CBI117" s="188"/>
      <c r="CBJ117" s="187"/>
      <c r="CBP117" s="188"/>
      <c r="CBQ117" s="187"/>
      <c r="CBW117" s="188"/>
      <c r="CBX117" s="187"/>
      <c r="CBY117" s="168"/>
      <c r="CBZ117" s="189"/>
      <c r="CCD117" s="188"/>
      <c r="CCE117" s="187"/>
      <c r="CCK117" s="188"/>
      <c r="CCL117" s="187"/>
      <c r="CCR117" s="188"/>
      <c r="CCS117" s="187"/>
      <c r="CCY117" s="188"/>
      <c r="CCZ117" s="187"/>
      <c r="CDD117" s="168"/>
      <c r="CDE117" s="189"/>
      <c r="CDF117" s="188"/>
      <c r="CDG117" s="187"/>
      <c r="CDM117" s="188"/>
      <c r="CDN117" s="187"/>
      <c r="CDT117" s="188"/>
      <c r="CDU117" s="187"/>
      <c r="CEA117" s="188"/>
      <c r="CEB117" s="187"/>
      <c r="CEH117" s="168"/>
      <c r="CEI117" s="189"/>
      <c r="CEO117" s="188"/>
      <c r="CEP117" s="187"/>
      <c r="CEV117" s="188"/>
      <c r="CEW117" s="187"/>
      <c r="CFC117" s="188"/>
      <c r="CFD117" s="187"/>
      <c r="CFJ117" s="188"/>
      <c r="CFK117" s="187"/>
    </row>
    <row r="118" spans="1:1019 1025:2048 2054:2195">
      <c r="A118" s="164" t="s">
        <v>409</v>
      </c>
      <c r="C118" s="164" t="s">
        <v>410</v>
      </c>
      <c r="D118" s="186"/>
      <c r="E118" s="186"/>
      <c r="K118" s="187"/>
      <c r="Q118" s="188"/>
      <c r="R118" s="187"/>
      <c r="X118" s="188"/>
      <c r="Y118" s="187"/>
      <c r="AE118" s="188"/>
      <c r="AF118" s="187"/>
      <c r="AJ118" s="168"/>
      <c r="AK118" s="189"/>
      <c r="AL118" s="188"/>
      <c r="AM118" s="187"/>
      <c r="AS118" s="188"/>
      <c r="AT118" s="187"/>
      <c r="AZ118" s="188"/>
      <c r="BA118" s="187"/>
      <c r="BG118" s="188"/>
      <c r="BH118" s="187"/>
      <c r="BL118" s="168"/>
      <c r="BM118" s="189"/>
      <c r="BN118" s="188"/>
      <c r="BO118" s="187"/>
      <c r="BU118" s="188"/>
      <c r="BV118" s="187"/>
      <c r="CB118" s="188"/>
      <c r="CC118" s="187"/>
      <c r="CI118" s="188"/>
      <c r="CJ118" s="187"/>
      <c r="CP118" s="188"/>
      <c r="CQ118" s="190"/>
      <c r="CR118" s="189"/>
      <c r="CW118" s="188"/>
      <c r="CX118" s="187"/>
      <c r="DD118" s="188"/>
      <c r="DE118" s="187"/>
      <c r="DK118" s="188"/>
      <c r="DL118" s="187"/>
      <c r="DR118" s="188"/>
      <c r="DS118" s="187"/>
      <c r="DU118" s="168"/>
      <c r="DV118" s="189"/>
      <c r="DY118" s="188"/>
      <c r="DZ118" s="187"/>
      <c r="EF118" s="188"/>
      <c r="EG118" s="187"/>
      <c r="EM118" s="188"/>
      <c r="EN118" s="187"/>
      <c r="ET118" s="188"/>
      <c r="EU118" s="187"/>
      <c r="EZ118" s="168"/>
      <c r="FA118" s="191"/>
      <c r="FB118" s="187"/>
      <c r="FH118" s="188"/>
      <c r="FI118" s="187"/>
      <c r="FO118" s="188"/>
      <c r="FP118" s="187"/>
      <c r="FV118" s="188"/>
      <c r="FW118" s="187"/>
      <c r="GC118" s="188"/>
      <c r="GD118" s="190"/>
      <c r="GE118" s="189"/>
      <c r="GJ118" s="188"/>
      <c r="GK118" s="187"/>
      <c r="GQ118" s="188"/>
      <c r="GR118" s="187"/>
      <c r="GX118" s="188"/>
      <c r="GY118" s="187"/>
      <c r="HE118" s="188"/>
      <c r="HF118" s="187"/>
      <c r="HI118" s="168"/>
      <c r="HJ118" s="189"/>
      <c r="HL118" s="188"/>
      <c r="HM118" s="187"/>
      <c r="HS118" s="188"/>
      <c r="HT118" s="187"/>
      <c r="HZ118" s="188"/>
      <c r="IA118" s="187"/>
      <c r="IG118" s="188"/>
      <c r="IH118" s="187"/>
      <c r="IN118" s="168"/>
      <c r="IO118" s="189"/>
      <c r="IU118" s="188"/>
      <c r="IV118" s="187"/>
      <c r="JB118" s="188"/>
      <c r="JC118" s="187"/>
      <c r="JI118" s="188"/>
      <c r="JJ118" s="187"/>
      <c r="JP118" s="188"/>
      <c r="JQ118" s="187"/>
      <c r="JR118" s="168"/>
      <c r="JS118" s="189"/>
      <c r="JW118" s="188"/>
      <c r="JX118" s="187"/>
      <c r="KD118" s="188"/>
      <c r="KE118" s="187"/>
      <c r="KK118" s="188"/>
      <c r="KL118" s="187"/>
      <c r="KR118" s="188"/>
      <c r="KS118" s="187"/>
      <c r="KW118" s="168"/>
      <c r="KX118" s="189"/>
      <c r="KY118" s="188"/>
      <c r="KZ118" s="187"/>
      <c r="LF118" s="188"/>
      <c r="LG118" s="187"/>
      <c r="LM118" s="188"/>
      <c r="LN118" s="187"/>
      <c r="LT118" s="188"/>
      <c r="LU118" s="187"/>
      <c r="MA118" s="168"/>
      <c r="MB118" s="189"/>
      <c r="MH118" s="188"/>
      <c r="MI118" s="187"/>
      <c r="MO118" s="188"/>
      <c r="MP118" s="187"/>
      <c r="MV118" s="188"/>
      <c r="MW118" s="187"/>
      <c r="NC118" s="188"/>
      <c r="ND118" s="187"/>
      <c r="NF118" s="168"/>
      <c r="NG118" s="189"/>
      <c r="NJ118" s="188"/>
      <c r="NK118" s="187"/>
      <c r="NQ118" s="188"/>
      <c r="NR118" s="187"/>
      <c r="NX118" s="188"/>
      <c r="NY118" s="187"/>
      <c r="OE118" s="188"/>
      <c r="OF118" s="187"/>
      <c r="OK118" s="168"/>
      <c r="OL118" s="191"/>
      <c r="OM118" s="187"/>
      <c r="OS118" s="188"/>
      <c r="OT118" s="187"/>
      <c r="OZ118" s="188"/>
      <c r="PA118" s="187"/>
      <c r="PG118" s="188"/>
      <c r="PH118" s="187"/>
      <c r="PN118" s="168"/>
      <c r="PO118" s="189"/>
      <c r="PU118" s="188"/>
      <c r="PV118" s="187"/>
      <c r="QB118" s="188"/>
      <c r="QC118" s="187"/>
      <c r="QI118" s="188"/>
      <c r="QJ118" s="187"/>
      <c r="QP118" s="188"/>
      <c r="QQ118" s="187"/>
      <c r="QS118" s="168"/>
      <c r="QT118" s="189"/>
      <c r="QW118" s="188"/>
      <c r="QX118" s="187"/>
      <c r="RD118" s="188"/>
      <c r="RE118" s="187"/>
      <c r="RK118" s="188"/>
      <c r="RL118" s="187"/>
      <c r="RR118" s="188"/>
      <c r="RS118" s="187"/>
      <c r="RW118" s="168"/>
      <c r="RX118" s="189"/>
      <c r="RY118" s="188"/>
      <c r="RZ118" s="187"/>
      <c r="SF118" s="188"/>
      <c r="SG118" s="187"/>
      <c r="SM118" s="188"/>
      <c r="SN118" s="187"/>
      <c r="ST118" s="188"/>
      <c r="SU118" s="187"/>
      <c r="TA118" s="188"/>
      <c r="TB118" s="190"/>
      <c r="TC118" s="189"/>
      <c r="TH118" s="188"/>
      <c r="TI118" s="187"/>
      <c r="TO118" s="188"/>
      <c r="TP118" s="187"/>
      <c r="TV118" s="188"/>
      <c r="TW118" s="187"/>
      <c r="UC118" s="188"/>
      <c r="UD118" s="187"/>
      <c r="UF118" s="168"/>
      <c r="UG118" s="189"/>
      <c r="UJ118" s="188"/>
      <c r="UK118" s="187"/>
      <c r="UQ118" s="188"/>
      <c r="UR118" s="187"/>
      <c r="UX118" s="188"/>
      <c r="UY118" s="187"/>
      <c r="VE118" s="188"/>
      <c r="VF118" s="187"/>
      <c r="VK118" s="168"/>
      <c r="VL118" s="191"/>
      <c r="VM118" s="187"/>
      <c r="VS118" s="188"/>
      <c r="VT118" s="187"/>
      <c r="VZ118" s="188"/>
      <c r="WA118" s="187"/>
      <c r="WG118" s="188"/>
      <c r="WH118" s="187"/>
      <c r="WN118" s="188"/>
      <c r="WO118" s="187"/>
      <c r="WP118" s="168"/>
      <c r="WQ118" s="189"/>
      <c r="WU118" s="188"/>
      <c r="WV118" s="187"/>
      <c r="XB118" s="188"/>
      <c r="XC118" s="187"/>
      <c r="XI118" s="188"/>
      <c r="XJ118" s="187"/>
      <c r="XP118" s="188"/>
      <c r="XQ118" s="187"/>
      <c r="XT118" s="168"/>
      <c r="XU118" s="189"/>
      <c r="XW118" s="188"/>
      <c r="XX118" s="187"/>
      <c r="YD118" s="188"/>
      <c r="YE118" s="187"/>
      <c r="YK118" s="188"/>
      <c r="YL118" s="187"/>
      <c r="YR118" s="188"/>
      <c r="YS118" s="187"/>
      <c r="YY118" s="168"/>
      <c r="YZ118" s="189"/>
      <c r="ZF118" s="188"/>
      <c r="ZG118" s="187"/>
      <c r="ZM118" s="188"/>
      <c r="ZN118" s="187"/>
      <c r="ZT118" s="188"/>
      <c r="ZU118" s="187"/>
      <c r="AAA118" s="188"/>
      <c r="AAB118" s="187"/>
      <c r="AAC118" s="168"/>
      <c r="AAD118" s="189"/>
      <c r="AAH118" s="188"/>
      <c r="AAI118" s="187"/>
      <c r="AAO118" s="188"/>
      <c r="AAP118" s="187"/>
      <c r="AAV118" s="188"/>
      <c r="AAW118" s="187"/>
      <c r="ABC118" s="188"/>
      <c r="ABD118" s="187"/>
      <c r="ABH118" s="168"/>
      <c r="ABI118" s="189"/>
      <c r="ABJ118" s="188"/>
      <c r="ABK118" s="187"/>
      <c r="ABQ118" s="188"/>
      <c r="ABR118" s="187"/>
      <c r="ABX118" s="188"/>
      <c r="ABY118" s="187"/>
      <c r="ACE118" s="188"/>
      <c r="ACF118" s="187"/>
      <c r="ACL118" s="188"/>
      <c r="ACM118" s="190"/>
      <c r="ACN118" s="189"/>
      <c r="ACS118" s="188"/>
      <c r="ACT118" s="187"/>
      <c r="ACZ118" s="188"/>
      <c r="ADA118" s="187"/>
      <c r="ADG118" s="188"/>
      <c r="ADH118" s="187"/>
      <c r="ADN118" s="188"/>
      <c r="ADO118" s="190"/>
      <c r="ADP118" s="189"/>
      <c r="ADU118" s="188"/>
      <c r="ADV118" s="187"/>
      <c r="AEB118" s="188"/>
      <c r="AEC118" s="187"/>
      <c r="AEI118" s="188"/>
      <c r="AEJ118" s="187"/>
      <c r="AEP118" s="188"/>
      <c r="AEQ118" s="187"/>
      <c r="AET118" s="168"/>
      <c r="AEU118" s="189"/>
      <c r="AEW118" s="188"/>
      <c r="AEX118" s="187"/>
      <c r="AFD118" s="188"/>
      <c r="AFE118" s="187"/>
      <c r="AFK118" s="188"/>
      <c r="AFL118" s="187"/>
      <c r="AFR118" s="188"/>
      <c r="AFS118" s="187"/>
      <c r="AFX118" s="168"/>
      <c r="AFY118" s="191"/>
      <c r="AFZ118" s="187"/>
      <c r="AGF118" s="188"/>
      <c r="AGG118" s="187"/>
      <c r="AGM118" s="188"/>
      <c r="AGN118" s="187"/>
      <c r="AGT118" s="188"/>
      <c r="AGU118" s="187"/>
      <c r="AHA118" s="188"/>
      <c r="AHB118" s="187"/>
      <c r="AHC118" s="168"/>
      <c r="AHD118" s="189"/>
      <c r="AHH118" s="188"/>
      <c r="AHI118" s="187"/>
      <c r="AHO118" s="188"/>
      <c r="AHP118" s="187"/>
      <c r="AHV118" s="188"/>
      <c r="AHW118" s="187"/>
      <c r="AIC118" s="188"/>
      <c r="AID118" s="187"/>
      <c r="AIG118" s="168"/>
      <c r="AIH118" s="189"/>
      <c r="AIJ118" s="188"/>
      <c r="AIK118" s="187"/>
      <c r="AIQ118" s="188"/>
      <c r="AIR118" s="187"/>
      <c r="AIX118" s="188"/>
      <c r="AIY118" s="187"/>
      <c r="AJE118" s="188"/>
      <c r="AJF118" s="187"/>
      <c r="AJL118" s="168"/>
      <c r="AJM118" s="189"/>
      <c r="AJS118" s="188"/>
      <c r="AJT118" s="187"/>
      <c r="AJZ118" s="188"/>
      <c r="AKA118" s="187"/>
      <c r="AKG118" s="188"/>
      <c r="AKH118" s="187"/>
      <c r="AKN118" s="188"/>
      <c r="AKO118" s="187"/>
      <c r="AKQ118" s="168"/>
      <c r="AKR118" s="189"/>
      <c r="AKU118" s="188"/>
      <c r="AKV118" s="187"/>
      <c r="ALB118" s="188"/>
      <c r="ALC118" s="187"/>
      <c r="ALI118" s="188"/>
      <c r="ALJ118" s="187"/>
      <c r="ALP118" s="188"/>
      <c r="ALQ118" s="187"/>
      <c r="ALU118" s="168"/>
      <c r="ALV118" s="189"/>
      <c r="ALW118" s="188"/>
      <c r="ALX118" s="187"/>
      <c r="AMD118" s="188"/>
      <c r="AME118" s="187"/>
      <c r="AMK118" s="188"/>
      <c r="AML118" s="187"/>
      <c r="AMR118" s="188"/>
      <c r="AMS118" s="187"/>
      <c r="AMY118" s="188"/>
      <c r="AMZ118" s="190"/>
      <c r="ANA118" s="189"/>
      <c r="ANF118" s="188"/>
      <c r="ANG118" s="187"/>
      <c r="ANM118" s="188"/>
      <c r="ANN118" s="187"/>
      <c r="ANT118" s="188"/>
      <c r="ANU118" s="187"/>
      <c r="AOA118" s="188"/>
      <c r="AOB118" s="187"/>
      <c r="AOD118" s="168"/>
      <c r="AOE118" s="189"/>
      <c r="AOH118" s="188"/>
      <c r="AOI118" s="187"/>
      <c r="AOO118" s="188"/>
      <c r="AOP118" s="187"/>
      <c r="AOV118" s="188"/>
      <c r="AOW118" s="187"/>
      <c r="APC118" s="188"/>
      <c r="APD118" s="187"/>
      <c r="API118" s="168"/>
      <c r="APJ118" s="191"/>
      <c r="APK118" s="187"/>
      <c r="APQ118" s="188"/>
      <c r="APR118" s="187"/>
      <c r="APX118" s="188"/>
      <c r="APY118" s="187"/>
      <c r="AQE118" s="188"/>
      <c r="AQF118" s="187"/>
      <c r="AQL118" s="188"/>
      <c r="AQM118" s="187"/>
      <c r="AQN118" s="168"/>
      <c r="AQO118" s="189"/>
      <c r="AQS118" s="188"/>
      <c r="AQT118" s="187"/>
      <c r="AQZ118" s="188"/>
      <c r="ARA118" s="187"/>
      <c r="ARG118" s="188"/>
      <c r="ARH118" s="187"/>
      <c r="ARN118" s="188"/>
      <c r="ARO118" s="187"/>
      <c r="ARP118" s="168"/>
      <c r="ARQ118" s="189"/>
      <c r="ARU118" s="188"/>
      <c r="ARV118" s="187"/>
      <c r="ASB118" s="188"/>
      <c r="ASC118" s="187"/>
      <c r="ASI118" s="188"/>
      <c r="ASJ118" s="187"/>
      <c r="ASP118" s="188"/>
      <c r="ASQ118" s="187"/>
      <c r="ASU118" s="168"/>
      <c r="ASV118" s="189"/>
      <c r="ASW118" s="188"/>
      <c r="ASX118" s="187"/>
      <c r="ATD118" s="188"/>
      <c r="ATE118" s="187"/>
      <c r="ATK118" s="188"/>
      <c r="ATL118" s="187"/>
      <c r="ATR118" s="188"/>
      <c r="ATS118" s="187"/>
      <c r="ATY118" s="168"/>
      <c r="ATZ118" s="189"/>
      <c r="AUF118" s="188"/>
      <c r="AUG118" s="187"/>
      <c r="AUM118" s="188"/>
      <c r="AUN118" s="187"/>
      <c r="AUT118" s="188"/>
      <c r="AUU118" s="187"/>
      <c r="AVA118" s="188"/>
      <c r="AVB118" s="187"/>
      <c r="AVD118" s="168"/>
      <c r="AVE118" s="189"/>
      <c r="AVH118" s="188"/>
      <c r="AVI118" s="187"/>
      <c r="AVO118" s="188"/>
      <c r="AVP118" s="187"/>
      <c r="AVV118" s="188"/>
      <c r="AVW118" s="187"/>
      <c r="AWC118" s="188"/>
      <c r="AWD118" s="187"/>
      <c r="AWH118" s="168"/>
      <c r="AWI118" s="189"/>
      <c r="AWJ118" s="188"/>
      <c r="AWK118" s="187"/>
      <c r="AWQ118" s="188"/>
      <c r="AWR118" s="187"/>
      <c r="AWX118" s="188"/>
      <c r="AWY118" s="187"/>
      <c r="AXE118" s="188"/>
      <c r="AXF118" s="187"/>
      <c r="AXL118" s="188"/>
      <c r="AXM118" s="190"/>
      <c r="AXN118" s="189"/>
      <c r="AXS118" s="188"/>
      <c r="AXT118" s="187"/>
      <c r="AXZ118" s="188"/>
      <c r="AYA118" s="187"/>
      <c r="AYG118" s="188"/>
      <c r="AYH118" s="187"/>
      <c r="AYN118" s="188"/>
      <c r="AYO118" s="187"/>
      <c r="AYR118" s="168"/>
      <c r="AYS118" s="189"/>
      <c r="AYU118" s="188"/>
      <c r="AYV118" s="187"/>
      <c r="AZB118" s="188"/>
      <c r="AZC118" s="187"/>
      <c r="AZI118" s="188"/>
      <c r="AZJ118" s="187"/>
      <c r="AZP118" s="188"/>
      <c r="AZQ118" s="187"/>
      <c r="AZV118" s="168"/>
      <c r="AZW118" s="191"/>
      <c r="AZX118" s="187"/>
      <c r="BAD118" s="188"/>
      <c r="BAE118" s="187"/>
      <c r="BAK118" s="188"/>
      <c r="BAL118" s="187"/>
      <c r="BAR118" s="188"/>
      <c r="BAS118" s="187"/>
      <c r="BAY118" s="188"/>
      <c r="BAZ118" s="187"/>
      <c r="BBA118" s="168"/>
      <c r="BBB118" s="189"/>
      <c r="BBF118" s="188"/>
      <c r="BBG118" s="187"/>
      <c r="BBM118" s="188"/>
      <c r="BBN118" s="187"/>
      <c r="BBT118" s="188"/>
      <c r="BBU118" s="187"/>
      <c r="BCA118" s="188"/>
      <c r="BCB118" s="187"/>
      <c r="BCE118" s="168"/>
      <c r="BCF118" s="189"/>
      <c r="BCH118" s="188"/>
      <c r="BCI118" s="187"/>
      <c r="BCO118" s="188"/>
      <c r="BCP118" s="187"/>
      <c r="BCV118" s="188"/>
      <c r="BCW118" s="187"/>
      <c r="BDC118" s="188"/>
      <c r="BDD118" s="187"/>
      <c r="BDJ118" s="168"/>
      <c r="BDK118" s="189"/>
      <c r="BDQ118" s="188"/>
      <c r="BDR118" s="187"/>
      <c r="BDX118" s="188"/>
      <c r="BDY118" s="187"/>
      <c r="BEE118" s="188"/>
      <c r="BEF118" s="187"/>
      <c r="BEL118" s="188"/>
      <c r="BEM118" s="187"/>
      <c r="BEO118" s="168"/>
      <c r="BEP118" s="189"/>
      <c r="BES118" s="188"/>
      <c r="BET118" s="187"/>
      <c r="BEZ118" s="188"/>
      <c r="BFA118" s="187"/>
      <c r="BFG118" s="188"/>
      <c r="BFH118" s="187"/>
      <c r="BFN118" s="188"/>
      <c r="BFO118" s="187"/>
      <c r="BFQ118" s="168"/>
      <c r="BFR118" s="189"/>
      <c r="BFU118" s="188"/>
      <c r="BFV118" s="187"/>
      <c r="BGB118" s="188"/>
      <c r="BGC118" s="187"/>
      <c r="BGI118" s="188"/>
      <c r="BGJ118" s="187"/>
      <c r="BGP118" s="188"/>
      <c r="BGQ118" s="187"/>
      <c r="BGV118" s="168"/>
      <c r="BGW118" s="191"/>
      <c r="BGX118" s="187"/>
      <c r="BHD118" s="188"/>
      <c r="BHE118" s="187"/>
      <c r="BHK118" s="188"/>
      <c r="BHL118" s="187"/>
      <c r="BHR118" s="188"/>
      <c r="BHS118" s="187"/>
      <c r="BHY118" s="188"/>
      <c r="BHZ118" s="190"/>
      <c r="BIA118" s="189"/>
      <c r="BIF118" s="188"/>
      <c r="BIG118" s="187"/>
      <c r="BIM118" s="188"/>
      <c r="BIN118" s="187"/>
      <c r="BIT118" s="188"/>
      <c r="BIU118" s="187"/>
      <c r="BJA118" s="188"/>
      <c r="BJB118" s="187"/>
      <c r="BJE118" s="168"/>
      <c r="BJF118" s="189"/>
      <c r="BJH118" s="188"/>
      <c r="BJI118" s="187"/>
      <c r="BJO118" s="188"/>
      <c r="BJP118" s="187"/>
      <c r="BJV118" s="188"/>
      <c r="BJW118" s="187"/>
      <c r="BKC118" s="188"/>
      <c r="BKD118" s="187"/>
      <c r="BKI118" s="168"/>
      <c r="BKJ118" s="191"/>
      <c r="BKK118" s="187"/>
      <c r="BKQ118" s="188"/>
      <c r="BKR118" s="187"/>
      <c r="BKX118" s="188"/>
      <c r="BKY118" s="187"/>
      <c r="BLE118" s="188"/>
      <c r="BLF118" s="187"/>
      <c r="BLL118" s="188"/>
      <c r="BLM118" s="187"/>
      <c r="BLN118" s="168"/>
      <c r="BLO118" s="189"/>
      <c r="BLS118" s="188"/>
      <c r="BLT118" s="187"/>
      <c r="BLZ118" s="188"/>
      <c r="BMA118" s="187"/>
      <c r="BMG118" s="188"/>
      <c r="BMH118" s="187"/>
      <c r="BMN118" s="188"/>
      <c r="BMO118" s="187"/>
      <c r="BMS118" s="168"/>
      <c r="BMT118" s="189"/>
      <c r="BMU118" s="188"/>
      <c r="BMV118" s="187"/>
      <c r="BNB118" s="188"/>
      <c r="BNC118" s="187"/>
      <c r="BNI118" s="188"/>
      <c r="BNJ118" s="187"/>
      <c r="BNP118" s="188"/>
      <c r="BNQ118" s="187"/>
      <c r="BNW118" s="168"/>
      <c r="BNX118" s="189"/>
      <c r="BOD118" s="188"/>
      <c r="BOE118" s="187"/>
      <c r="BOK118" s="188"/>
      <c r="BOL118" s="187"/>
      <c r="BOR118" s="188"/>
      <c r="BOS118" s="187"/>
      <c r="BOY118" s="188"/>
      <c r="BOZ118" s="187"/>
      <c r="BPB118" s="168"/>
      <c r="BPC118" s="189"/>
      <c r="BPF118" s="188"/>
      <c r="BPG118" s="187"/>
      <c r="BPM118" s="188"/>
      <c r="BPN118" s="187"/>
      <c r="BPT118" s="188"/>
      <c r="BPU118" s="187"/>
      <c r="BQA118" s="188"/>
      <c r="BQB118" s="187"/>
      <c r="BQF118" s="168"/>
      <c r="BQG118" s="189"/>
      <c r="BQH118" s="188"/>
      <c r="BQI118" s="187"/>
      <c r="BQO118" s="188"/>
      <c r="BQP118" s="187"/>
      <c r="BQV118" s="188"/>
      <c r="BQW118" s="187"/>
      <c r="BRC118" s="188"/>
      <c r="BRD118" s="187"/>
      <c r="BRJ118" s="188"/>
      <c r="BRK118" s="190"/>
      <c r="BRL118" s="189"/>
      <c r="BRQ118" s="188"/>
      <c r="BRR118" s="187"/>
      <c r="BRX118" s="188"/>
      <c r="BRY118" s="187"/>
      <c r="BSE118" s="188"/>
      <c r="BSF118" s="187"/>
      <c r="BSL118" s="188"/>
      <c r="BSM118" s="187"/>
      <c r="BSP118" s="168"/>
      <c r="BSQ118" s="189"/>
      <c r="BSS118" s="188"/>
      <c r="BST118" s="187"/>
      <c r="BSZ118" s="188"/>
      <c r="BTA118" s="187"/>
      <c r="BTG118" s="188"/>
      <c r="BTH118" s="187"/>
      <c r="BTN118" s="188"/>
      <c r="BTO118" s="187"/>
      <c r="BTS118" s="168"/>
      <c r="BTT118" s="189"/>
      <c r="BTU118" s="188"/>
      <c r="BTV118" s="187"/>
      <c r="BUB118" s="188"/>
      <c r="BUC118" s="187"/>
      <c r="BUI118" s="188"/>
      <c r="BUJ118" s="187"/>
      <c r="BUP118" s="188"/>
      <c r="BUQ118" s="187"/>
      <c r="BUW118" s="188"/>
      <c r="BUX118" s="190"/>
      <c r="BUY118" s="189"/>
      <c r="BVD118" s="188"/>
      <c r="BVE118" s="187"/>
      <c r="BVK118" s="188"/>
      <c r="BVL118" s="187"/>
      <c r="BVR118" s="188"/>
      <c r="BVS118" s="187"/>
      <c r="BVY118" s="188"/>
      <c r="BVZ118" s="187"/>
      <c r="BWB118" s="168"/>
      <c r="BWC118" s="189"/>
      <c r="BWF118" s="188"/>
      <c r="BWG118" s="187"/>
      <c r="BWM118" s="188"/>
      <c r="BWN118" s="187"/>
      <c r="BWT118" s="188"/>
      <c r="BWU118" s="187"/>
      <c r="BXA118" s="188"/>
      <c r="BXB118" s="187"/>
      <c r="BXG118" s="168"/>
      <c r="BXH118" s="191"/>
      <c r="BXI118" s="187"/>
      <c r="BXO118" s="188"/>
      <c r="BXP118" s="187"/>
      <c r="BXV118" s="188"/>
      <c r="BXW118" s="187"/>
      <c r="BYC118" s="188"/>
      <c r="BYD118" s="187"/>
      <c r="BYJ118" s="188"/>
      <c r="BYK118" s="190"/>
      <c r="BYL118" s="189"/>
      <c r="BYQ118" s="188"/>
      <c r="BYR118" s="187"/>
      <c r="BYX118" s="188"/>
      <c r="BYY118" s="187"/>
      <c r="BZE118" s="188"/>
      <c r="BZF118" s="187"/>
      <c r="BZL118" s="188"/>
      <c r="BZM118" s="187"/>
      <c r="BZP118" s="168"/>
      <c r="BZQ118" s="189"/>
      <c r="BZS118" s="188"/>
      <c r="BZT118" s="187"/>
      <c r="BZZ118" s="188"/>
      <c r="CAA118" s="187"/>
      <c r="CAG118" s="188"/>
      <c r="CAH118" s="187"/>
      <c r="CAN118" s="188"/>
      <c r="CAO118" s="187"/>
      <c r="CAU118" s="168"/>
      <c r="CAV118" s="189"/>
      <c r="CBB118" s="188"/>
      <c r="CBC118" s="187"/>
      <c r="CBI118" s="188"/>
      <c r="CBJ118" s="187"/>
      <c r="CBP118" s="188"/>
      <c r="CBQ118" s="187"/>
      <c r="CBW118" s="188"/>
      <c r="CBX118" s="187"/>
      <c r="CBY118" s="168"/>
      <c r="CBZ118" s="189"/>
      <c r="CCD118" s="188"/>
      <c r="CCE118" s="187"/>
      <c r="CCK118" s="188"/>
      <c r="CCL118" s="187"/>
      <c r="CCR118" s="188"/>
      <c r="CCS118" s="187"/>
      <c r="CCY118" s="188"/>
      <c r="CCZ118" s="187"/>
      <c r="CDD118" s="168"/>
      <c r="CDE118" s="189"/>
      <c r="CDF118" s="188"/>
      <c r="CDG118" s="187"/>
      <c r="CDM118" s="188"/>
      <c r="CDN118" s="187"/>
      <c r="CDT118" s="188"/>
      <c r="CDU118" s="187"/>
      <c r="CEA118" s="188"/>
      <c r="CEB118" s="187"/>
      <c r="CEH118" s="168"/>
      <c r="CEI118" s="189"/>
      <c r="CEO118" s="188"/>
      <c r="CEP118" s="187"/>
      <c r="CEV118" s="188"/>
      <c r="CEW118" s="187"/>
      <c r="CFC118" s="188"/>
      <c r="CFD118" s="187"/>
      <c r="CFJ118" s="188"/>
      <c r="CFK118" s="187"/>
    </row>
    <row r="119" spans="1:1019 1025:2048 2054:2195">
      <c r="A119" s="164" t="s">
        <v>411</v>
      </c>
      <c r="D119" s="186"/>
      <c r="E119" s="186"/>
      <c r="K119" s="187"/>
      <c r="Q119" s="188"/>
      <c r="R119" s="187"/>
      <c r="X119" s="188"/>
      <c r="Y119" s="187"/>
      <c r="AE119" s="188"/>
      <c r="AF119" s="187"/>
      <c r="AJ119" s="168"/>
      <c r="AK119" s="189"/>
      <c r="AL119" s="188"/>
      <c r="AM119" s="187"/>
      <c r="AS119" s="188"/>
      <c r="AT119" s="187"/>
      <c r="AZ119" s="188"/>
      <c r="BA119" s="187"/>
      <c r="BG119" s="188"/>
      <c r="BH119" s="187"/>
      <c r="BL119" s="168"/>
      <c r="BM119" s="189"/>
      <c r="BN119" s="188"/>
      <c r="BO119" s="187"/>
      <c r="BU119" s="188"/>
      <c r="BV119" s="187"/>
      <c r="CB119" s="188"/>
      <c r="CC119" s="187"/>
      <c r="CI119" s="188"/>
      <c r="CJ119" s="187"/>
      <c r="CP119" s="188"/>
      <c r="CQ119" s="190"/>
      <c r="CR119" s="189"/>
      <c r="CW119" s="188"/>
      <c r="CX119" s="187"/>
      <c r="DD119" s="188"/>
      <c r="DE119" s="187"/>
      <c r="DK119" s="188"/>
      <c r="DL119" s="187"/>
      <c r="DR119" s="188"/>
      <c r="DS119" s="187"/>
      <c r="DU119" s="168"/>
      <c r="DV119" s="189"/>
      <c r="DY119" s="188"/>
      <c r="DZ119" s="187"/>
      <c r="EF119" s="188"/>
      <c r="EG119" s="187"/>
      <c r="EM119" s="188"/>
      <c r="EN119" s="187"/>
      <c r="ET119" s="188"/>
      <c r="EU119" s="187"/>
      <c r="EZ119" s="168"/>
      <c r="FA119" s="191"/>
      <c r="FB119" s="187"/>
      <c r="FH119" s="188"/>
      <c r="FI119" s="187"/>
      <c r="FO119" s="188"/>
      <c r="FP119" s="187"/>
      <c r="FV119" s="188"/>
      <c r="FW119" s="187"/>
      <c r="GC119" s="188"/>
      <c r="GD119" s="190"/>
      <c r="GE119" s="189"/>
      <c r="GJ119" s="188"/>
      <c r="GK119" s="187"/>
      <c r="GQ119" s="188"/>
      <c r="GR119" s="187"/>
      <c r="GX119" s="188"/>
      <c r="GY119" s="187"/>
      <c r="HE119" s="188"/>
      <c r="HF119" s="187"/>
      <c r="HI119" s="168"/>
      <c r="HJ119" s="189"/>
      <c r="HL119" s="188"/>
      <c r="HM119" s="187"/>
      <c r="HS119" s="188"/>
      <c r="HT119" s="187"/>
      <c r="HZ119" s="188"/>
      <c r="IA119" s="187"/>
      <c r="IG119" s="188"/>
      <c r="IH119" s="187"/>
      <c r="IN119" s="168"/>
      <c r="IO119" s="189"/>
      <c r="IU119" s="188"/>
      <c r="IV119" s="187"/>
      <c r="JB119" s="188"/>
      <c r="JC119" s="187"/>
      <c r="JI119" s="188"/>
      <c r="JJ119" s="187"/>
      <c r="JP119" s="188"/>
      <c r="JQ119" s="187"/>
      <c r="JR119" s="168"/>
      <c r="JS119" s="189"/>
      <c r="JW119" s="188"/>
      <c r="JX119" s="187"/>
      <c r="KD119" s="188"/>
      <c r="KE119" s="187"/>
      <c r="KK119" s="188"/>
      <c r="KL119" s="187"/>
      <c r="KR119" s="188"/>
      <c r="KS119" s="187"/>
      <c r="KW119" s="168"/>
      <c r="KX119" s="189"/>
      <c r="KY119" s="188"/>
      <c r="KZ119" s="187"/>
      <c r="LF119" s="188"/>
      <c r="LG119" s="187"/>
      <c r="LM119" s="188"/>
      <c r="LN119" s="187"/>
      <c r="LT119" s="188"/>
      <c r="LU119" s="187"/>
      <c r="MA119" s="168"/>
      <c r="MB119" s="189"/>
      <c r="MH119" s="188"/>
      <c r="MI119" s="187"/>
      <c r="MO119" s="188"/>
      <c r="MP119" s="187"/>
      <c r="MV119" s="188"/>
      <c r="MW119" s="187"/>
      <c r="NC119" s="188"/>
      <c r="ND119" s="187"/>
      <c r="NF119" s="168"/>
      <c r="NG119" s="189"/>
      <c r="NJ119" s="188"/>
      <c r="NK119" s="187"/>
      <c r="NQ119" s="188"/>
      <c r="NR119" s="187"/>
      <c r="NX119" s="188"/>
      <c r="NY119" s="187"/>
      <c r="OE119" s="188"/>
      <c r="OF119" s="187"/>
      <c r="OK119" s="168"/>
      <c r="OL119" s="191"/>
      <c r="OM119" s="187"/>
      <c r="OS119" s="188"/>
      <c r="OT119" s="187"/>
      <c r="OZ119" s="188"/>
      <c r="PA119" s="187"/>
      <c r="PG119" s="188"/>
      <c r="PH119" s="187"/>
      <c r="PN119" s="168"/>
      <c r="PO119" s="189"/>
      <c r="PU119" s="188"/>
      <c r="PV119" s="187"/>
      <c r="QB119" s="188"/>
      <c r="QC119" s="187"/>
      <c r="QI119" s="188"/>
      <c r="QJ119" s="187"/>
      <c r="QP119" s="188"/>
      <c r="QQ119" s="187"/>
      <c r="QS119" s="168"/>
      <c r="QT119" s="189"/>
      <c r="QW119" s="188"/>
      <c r="QX119" s="187"/>
      <c r="RD119" s="188"/>
      <c r="RE119" s="187"/>
      <c r="RK119" s="188"/>
      <c r="RL119" s="187"/>
      <c r="RR119" s="188"/>
      <c r="RS119" s="187"/>
      <c r="RW119" s="168"/>
      <c r="RX119" s="189"/>
      <c r="RY119" s="188"/>
      <c r="RZ119" s="187"/>
      <c r="SF119" s="188"/>
      <c r="SG119" s="187"/>
      <c r="SM119" s="188"/>
      <c r="SN119" s="187"/>
      <c r="ST119" s="188"/>
      <c r="SU119" s="187"/>
      <c r="TA119" s="188"/>
      <c r="TB119" s="190"/>
      <c r="TC119" s="189"/>
      <c r="TH119" s="188"/>
      <c r="TI119" s="187"/>
      <c r="TO119" s="188"/>
      <c r="TP119" s="187"/>
      <c r="TV119" s="188"/>
      <c r="TW119" s="187"/>
      <c r="UC119" s="188"/>
      <c r="UD119" s="187"/>
      <c r="UF119" s="168"/>
      <c r="UG119" s="189"/>
      <c r="UJ119" s="188"/>
      <c r="UK119" s="187"/>
      <c r="UQ119" s="188"/>
      <c r="UR119" s="187"/>
      <c r="UX119" s="188"/>
      <c r="UY119" s="187"/>
      <c r="VE119" s="188"/>
      <c r="VF119" s="187"/>
      <c r="VK119" s="168"/>
      <c r="VL119" s="191"/>
      <c r="VM119" s="187"/>
      <c r="VS119" s="188"/>
      <c r="VT119" s="187"/>
      <c r="VZ119" s="188"/>
      <c r="WA119" s="187"/>
      <c r="WG119" s="188"/>
      <c r="WH119" s="187"/>
      <c r="WN119" s="188"/>
      <c r="WO119" s="187"/>
      <c r="WP119" s="168"/>
      <c r="WQ119" s="189"/>
      <c r="WU119" s="188"/>
      <c r="WV119" s="187"/>
      <c r="XB119" s="188"/>
      <c r="XC119" s="187"/>
      <c r="XI119" s="188"/>
      <c r="XJ119" s="187"/>
      <c r="XP119" s="188"/>
      <c r="XQ119" s="187"/>
      <c r="XT119" s="168"/>
      <c r="XU119" s="189"/>
      <c r="XW119" s="188"/>
      <c r="XX119" s="187"/>
      <c r="YD119" s="188"/>
      <c r="YE119" s="187"/>
      <c r="YK119" s="188"/>
      <c r="YL119" s="187"/>
      <c r="YR119" s="188"/>
      <c r="YS119" s="187"/>
      <c r="YY119" s="168"/>
      <c r="YZ119" s="189"/>
      <c r="ZF119" s="188"/>
      <c r="ZG119" s="187"/>
      <c r="ZM119" s="188"/>
      <c r="ZN119" s="187"/>
      <c r="ZT119" s="188"/>
      <c r="ZU119" s="187"/>
      <c r="AAA119" s="188"/>
      <c r="AAB119" s="187"/>
      <c r="AAC119" s="168"/>
      <c r="AAD119" s="189"/>
      <c r="AAH119" s="188"/>
      <c r="AAI119" s="187"/>
      <c r="AAO119" s="188"/>
      <c r="AAP119" s="187"/>
      <c r="AAV119" s="188"/>
      <c r="AAW119" s="187"/>
      <c r="ABC119" s="188"/>
      <c r="ABD119" s="187"/>
      <c r="ABH119" s="168"/>
      <c r="ABI119" s="189"/>
      <c r="ABJ119" s="188"/>
      <c r="ABK119" s="187"/>
      <c r="ABQ119" s="188"/>
      <c r="ABR119" s="187"/>
      <c r="ABX119" s="188"/>
      <c r="ABY119" s="187"/>
      <c r="ACE119" s="188"/>
      <c r="ACF119" s="187"/>
      <c r="ACL119" s="188"/>
      <c r="ACM119" s="190"/>
      <c r="ACN119" s="189"/>
      <c r="ACS119" s="188"/>
      <c r="ACT119" s="187"/>
      <c r="ACZ119" s="188"/>
      <c r="ADA119" s="187"/>
      <c r="ADG119" s="188"/>
      <c r="ADH119" s="187"/>
      <c r="ADN119" s="188"/>
      <c r="ADO119" s="190"/>
      <c r="ADP119" s="189"/>
      <c r="ADU119" s="188"/>
      <c r="ADV119" s="187"/>
      <c r="AEB119" s="188"/>
      <c r="AEC119" s="187"/>
      <c r="AEI119" s="188"/>
      <c r="AEJ119" s="187"/>
      <c r="AEP119" s="188"/>
      <c r="AEQ119" s="187"/>
      <c r="AET119" s="168"/>
      <c r="AEU119" s="189"/>
      <c r="AEW119" s="188"/>
      <c r="AEX119" s="187"/>
      <c r="AFD119" s="188"/>
      <c r="AFE119" s="187"/>
      <c r="AFK119" s="188"/>
      <c r="AFL119" s="187"/>
      <c r="AFR119" s="188"/>
      <c r="AFS119" s="187"/>
      <c r="AFX119" s="168"/>
      <c r="AFY119" s="191"/>
      <c r="AFZ119" s="187"/>
      <c r="AGF119" s="188"/>
      <c r="AGG119" s="187"/>
      <c r="AGM119" s="188"/>
      <c r="AGN119" s="187"/>
      <c r="AGT119" s="188"/>
      <c r="AGU119" s="187"/>
      <c r="AHA119" s="188"/>
      <c r="AHB119" s="187"/>
      <c r="AHC119" s="168"/>
      <c r="AHD119" s="189"/>
      <c r="AHH119" s="188"/>
      <c r="AHI119" s="187"/>
      <c r="AHO119" s="188"/>
      <c r="AHP119" s="187"/>
      <c r="AHV119" s="188"/>
      <c r="AHW119" s="187"/>
      <c r="AIC119" s="188"/>
      <c r="AID119" s="187"/>
      <c r="AIG119" s="168"/>
      <c r="AIH119" s="189"/>
      <c r="AIJ119" s="188"/>
      <c r="AIK119" s="187"/>
      <c r="AIQ119" s="188"/>
      <c r="AIR119" s="187"/>
      <c r="AIX119" s="188"/>
      <c r="AIY119" s="187"/>
      <c r="AJE119" s="188"/>
      <c r="AJF119" s="187"/>
      <c r="AJL119" s="168"/>
      <c r="AJM119" s="189"/>
      <c r="AJS119" s="188"/>
      <c r="AJT119" s="187"/>
      <c r="AJZ119" s="188"/>
      <c r="AKA119" s="187"/>
      <c r="AKG119" s="188"/>
      <c r="AKH119" s="187"/>
      <c r="AKN119" s="188"/>
      <c r="AKO119" s="187"/>
      <c r="AKQ119" s="168"/>
      <c r="AKR119" s="189"/>
      <c r="AKU119" s="188"/>
      <c r="AKV119" s="187"/>
      <c r="ALB119" s="188"/>
      <c r="ALC119" s="187"/>
      <c r="ALI119" s="188"/>
      <c r="ALJ119" s="187"/>
      <c r="ALP119" s="188"/>
      <c r="ALQ119" s="187"/>
      <c r="ALU119" s="168"/>
      <c r="ALV119" s="189"/>
      <c r="ALW119" s="188"/>
      <c r="ALX119" s="187"/>
      <c r="AMD119" s="188"/>
      <c r="AME119" s="187"/>
      <c r="AMK119" s="188"/>
      <c r="AML119" s="187"/>
      <c r="AMR119" s="188"/>
      <c r="AMS119" s="187"/>
      <c r="AMY119" s="188"/>
      <c r="AMZ119" s="190"/>
      <c r="ANA119" s="189"/>
      <c r="ANF119" s="188"/>
      <c r="ANG119" s="187"/>
      <c r="ANM119" s="188"/>
      <c r="ANN119" s="187"/>
      <c r="ANT119" s="188"/>
      <c r="ANU119" s="187"/>
      <c r="AOA119" s="188"/>
      <c r="AOB119" s="187"/>
      <c r="AOD119" s="168"/>
      <c r="AOE119" s="189"/>
      <c r="AOH119" s="188"/>
      <c r="AOI119" s="187"/>
      <c r="AOO119" s="188"/>
      <c r="AOP119" s="187"/>
      <c r="AOV119" s="188"/>
      <c r="AOW119" s="187"/>
      <c r="APC119" s="188"/>
      <c r="APD119" s="187"/>
      <c r="API119" s="168"/>
      <c r="APJ119" s="191"/>
      <c r="APK119" s="187"/>
      <c r="APQ119" s="188"/>
      <c r="APR119" s="187"/>
      <c r="APX119" s="188"/>
      <c r="APY119" s="187"/>
      <c r="AQE119" s="188"/>
      <c r="AQF119" s="187"/>
      <c r="AQL119" s="188"/>
      <c r="AQM119" s="187"/>
      <c r="AQN119" s="168"/>
      <c r="AQO119" s="189"/>
      <c r="AQS119" s="188"/>
      <c r="AQT119" s="187"/>
      <c r="AQZ119" s="188"/>
      <c r="ARA119" s="187"/>
      <c r="ARG119" s="188"/>
      <c r="ARH119" s="187"/>
      <c r="ARN119" s="188"/>
      <c r="ARO119" s="187"/>
      <c r="ARP119" s="168"/>
      <c r="ARQ119" s="189"/>
      <c r="ARU119" s="188"/>
      <c r="ARV119" s="187"/>
      <c r="ASB119" s="188"/>
      <c r="ASC119" s="187"/>
      <c r="ASI119" s="188"/>
      <c r="ASJ119" s="187"/>
      <c r="ASP119" s="188"/>
      <c r="ASQ119" s="187"/>
      <c r="ASU119" s="168"/>
      <c r="ASV119" s="189"/>
      <c r="ASW119" s="188"/>
      <c r="ASX119" s="187"/>
      <c r="ATD119" s="188"/>
      <c r="ATE119" s="187"/>
      <c r="ATK119" s="188"/>
      <c r="ATL119" s="187"/>
      <c r="ATR119" s="188"/>
      <c r="ATS119" s="187"/>
      <c r="ATY119" s="168"/>
      <c r="ATZ119" s="189"/>
      <c r="AUF119" s="188"/>
      <c r="AUG119" s="187"/>
      <c r="AUM119" s="188"/>
      <c r="AUN119" s="187"/>
      <c r="AUT119" s="188"/>
      <c r="AUU119" s="187"/>
      <c r="AVA119" s="188"/>
      <c r="AVB119" s="187"/>
      <c r="AVD119" s="168"/>
      <c r="AVE119" s="189"/>
      <c r="AVH119" s="188"/>
      <c r="AVI119" s="187"/>
      <c r="AVO119" s="188"/>
      <c r="AVP119" s="187"/>
      <c r="AVV119" s="188"/>
      <c r="AVW119" s="187"/>
      <c r="AWC119" s="188"/>
      <c r="AWD119" s="187"/>
      <c r="AWH119" s="168"/>
      <c r="AWI119" s="189"/>
      <c r="AWJ119" s="188"/>
      <c r="AWK119" s="187"/>
      <c r="AWQ119" s="188"/>
      <c r="AWR119" s="187"/>
      <c r="AWX119" s="188"/>
      <c r="AWY119" s="187"/>
      <c r="AXE119" s="188"/>
      <c r="AXF119" s="187"/>
      <c r="AXL119" s="188"/>
      <c r="AXM119" s="190"/>
      <c r="AXN119" s="189"/>
      <c r="AXS119" s="188"/>
      <c r="AXT119" s="187"/>
      <c r="AXZ119" s="188"/>
      <c r="AYA119" s="187"/>
      <c r="AYG119" s="188"/>
      <c r="AYH119" s="187"/>
      <c r="AYN119" s="188"/>
      <c r="AYO119" s="187"/>
      <c r="AYR119" s="168"/>
      <c r="AYS119" s="189"/>
      <c r="AYU119" s="188"/>
      <c r="AYV119" s="187"/>
      <c r="AZB119" s="188"/>
      <c r="AZC119" s="187"/>
      <c r="AZI119" s="188"/>
      <c r="AZJ119" s="187"/>
      <c r="AZP119" s="188"/>
      <c r="AZQ119" s="187"/>
      <c r="AZV119" s="168"/>
      <c r="AZW119" s="191"/>
      <c r="AZX119" s="187"/>
      <c r="BAD119" s="188"/>
      <c r="BAE119" s="187"/>
      <c r="BAK119" s="188"/>
      <c r="BAL119" s="187"/>
      <c r="BAR119" s="188"/>
      <c r="BAS119" s="187"/>
      <c r="BAY119" s="188"/>
      <c r="BAZ119" s="187"/>
      <c r="BBA119" s="168"/>
      <c r="BBB119" s="189"/>
      <c r="BBF119" s="188"/>
      <c r="BBG119" s="187"/>
      <c r="BBM119" s="188"/>
      <c r="BBN119" s="187"/>
      <c r="BBT119" s="188"/>
      <c r="BBU119" s="187"/>
      <c r="BCA119" s="188"/>
      <c r="BCB119" s="187"/>
      <c r="BCE119" s="168"/>
      <c r="BCF119" s="189"/>
      <c r="BCH119" s="188"/>
      <c r="BCI119" s="187"/>
      <c r="BCO119" s="188"/>
      <c r="BCP119" s="187"/>
      <c r="BCV119" s="188"/>
      <c r="BCW119" s="187"/>
      <c r="BDC119" s="188"/>
      <c r="BDD119" s="187"/>
      <c r="BDJ119" s="168"/>
      <c r="BDK119" s="189"/>
      <c r="BDQ119" s="188"/>
      <c r="BDR119" s="187"/>
      <c r="BDX119" s="188"/>
      <c r="BDY119" s="187"/>
      <c r="BEE119" s="188"/>
      <c r="BEF119" s="187"/>
      <c r="BEL119" s="188"/>
      <c r="BEM119" s="187"/>
      <c r="BEO119" s="168"/>
      <c r="BEP119" s="189"/>
      <c r="BES119" s="188"/>
      <c r="BET119" s="187"/>
      <c r="BEZ119" s="188"/>
      <c r="BFA119" s="187"/>
      <c r="BFG119" s="188"/>
      <c r="BFH119" s="187"/>
      <c r="BFN119" s="188"/>
      <c r="BFO119" s="187"/>
      <c r="BFQ119" s="168"/>
      <c r="BFR119" s="189"/>
      <c r="BFU119" s="188"/>
      <c r="BFV119" s="187"/>
      <c r="BGB119" s="188"/>
      <c r="BGC119" s="187"/>
      <c r="BGI119" s="188"/>
      <c r="BGJ119" s="187"/>
      <c r="BGP119" s="188"/>
      <c r="BGQ119" s="187"/>
      <c r="BGV119" s="168"/>
      <c r="BGW119" s="191"/>
      <c r="BGX119" s="187"/>
      <c r="BHD119" s="188"/>
      <c r="BHE119" s="187"/>
      <c r="BHK119" s="188"/>
      <c r="BHL119" s="187"/>
      <c r="BHR119" s="188"/>
      <c r="BHS119" s="187"/>
      <c r="BHY119" s="188"/>
      <c r="BHZ119" s="190"/>
      <c r="BIA119" s="189"/>
      <c r="BIF119" s="188"/>
      <c r="BIG119" s="187"/>
      <c r="BIM119" s="188"/>
      <c r="BIN119" s="187"/>
      <c r="BIT119" s="188"/>
      <c r="BIU119" s="187"/>
      <c r="BJA119" s="188"/>
      <c r="BJB119" s="187"/>
      <c r="BJE119" s="168"/>
      <c r="BJF119" s="189"/>
      <c r="BJH119" s="188"/>
      <c r="BJI119" s="187"/>
      <c r="BJO119" s="188"/>
      <c r="BJP119" s="187"/>
      <c r="BJV119" s="188"/>
      <c r="BJW119" s="187"/>
      <c r="BKC119" s="188"/>
      <c r="BKD119" s="187"/>
      <c r="BKI119" s="168"/>
      <c r="BKJ119" s="191"/>
      <c r="BKK119" s="187"/>
      <c r="BKQ119" s="188"/>
      <c r="BKR119" s="187"/>
      <c r="BKX119" s="188"/>
      <c r="BKY119" s="187"/>
      <c r="BLE119" s="188"/>
      <c r="BLF119" s="187"/>
      <c r="BLL119" s="188"/>
      <c r="BLM119" s="187"/>
      <c r="BLN119" s="168"/>
      <c r="BLO119" s="189"/>
      <c r="BLS119" s="188"/>
      <c r="BLT119" s="187"/>
      <c r="BLZ119" s="188"/>
      <c r="BMA119" s="187"/>
      <c r="BMG119" s="188"/>
      <c r="BMH119" s="187"/>
      <c r="BMN119" s="188"/>
      <c r="BMO119" s="187"/>
      <c r="BMS119" s="168"/>
      <c r="BMT119" s="189"/>
      <c r="BMU119" s="188"/>
      <c r="BMV119" s="187"/>
      <c r="BNB119" s="188"/>
      <c r="BNC119" s="187"/>
      <c r="BNI119" s="188"/>
      <c r="BNJ119" s="187"/>
      <c r="BNP119" s="188"/>
      <c r="BNQ119" s="187"/>
      <c r="BNW119" s="168"/>
      <c r="BNX119" s="189"/>
      <c r="BOD119" s="188"/>
      <c r="BOE119" s="187"/>
      <c r="BOK119" s="188"/>
      <c r="BOL119" s="187"/>
      <c r="BOR119" s="188"/>
      <c r="BOS119" s="187"/>
      <c r="BOY119" s="188"/>
      <c r="BOZ119" s="187"/>
      <c r="BPB119" s="168"/>
      <c r="BPC119" s="189"/>
      <c r="BPF119" s="188"/>
      <c r="BPG119" s="187"/>
      <c r="BPM119" s="188"/>
      <c r="BPN119" s="187"/>
      <c r="BPT119" s="188"/>
      <c r="BPU119" s="187"/>
      <c r="BQA119" s="188"/>
      <c r="BQB119" s="187"/>
      <c r="BQF119" s="168"/>
      <c r="BQG119" s="189"/>
      <c r="BQH119" s="188"/>
      <c r="BQI119" s="187"/>
      <c r="BQO119" s="188"/>
      <c r="BQP119" s="187"/>
      <c r="BQV119" s="188"/>
      <c r="BQW119" s="187"/>
      <c r="BRC119" s="188"/>
      <c r="BRD119" s="187"/>
      <c r="BRJ119" s="188"/>
      <c r="BRK119" s="190"/>
      <c r="BRL119" s="189"/>
      <c r="BRQ119" s="188"/>
      <c r="BRR119" s="187"/>
      <c r="BRX119" s="188"/>
      <c r="BRY119" s="187"/>
      <c r="BSE119" s="188"/>
      <c r="BSF119" s="187"/>
      <c r="BSL119" s="188"/>
      <c r="BSM119" s="187"/>
      <c r="BSP119" s="168"/>
      <c r="BSQ119" s="189"/>
      <c r="BSS119" s="188"/>
      <c r="BST119" s="187"/>
      <c r="BSZ119" s="188"/>
      <c r="BTA119" s="187"/>
      <c r="BTG119" s="188"/>
      <c r="BTH119" s="187"/>
      <c r="BTN119" s="188"/>
      <c r="BTO119" s="187"/>
      <c r="BTS119" s="168"/>
      <c r="BTT119" s="189"/>
      <c r="BTU119" s="188"/>
      <c r="BTV119" s="187"/>
      <c r="BUB119" s="188"/>
      <c r="BUC119" s="187"/>
      <c r="BUI119" s="188"/>
      <c r="BUJ119" s="187"/>
      <c r="BUP119" s="188"/>
      <c r="BUQ119" s="187"/>
      <c r="BUW119" s="188"/>
      <c r="BUX119" s="190"/>
      <c r="BUY119" s="189"/>
      <c r="BVD119" s="188"/>
      <c r="BVE119" s="187"/>
      <c r="BVK119" s="188"/>
      <c r="BVL119" s="187"/>
      <c r="BVR119" s="188"/>
      <c r="BVS119" s="187"/>
      <c r="BVY119" s="188"/>
      <c r="BVZ119" s="187"/>
      <c r="BWB119" s="168"/>
      <c r="BWC119" s="189"/>
      <c r="BWF119" s="188"/>
      <c r="BWG119" s="187"/>
      <c r="BWM119" s="188"/>
      <c r="BWN119" s="187"/>
      <c r="BWT119" s="188"/>
      <c r="BWU119" s="187"/>
      <c r="BXA119" s="188"/>
      <c r="BXB119" s="187"/>
      <c r="BXG119" s="168"/>
      <c r="BXH119" s="191"/>
      <c r="BXI119" s="187"/>
      <c r="BXO119" s="188"/>
      <c r="BXP119" s="187"/>
      <c r="BXV119" s="188"/>
      <c r="BXW119" s="187"/>
      <c r="BYC119" s="188"/>
      <c r="BYD119" s="187"/>
      <c r="BYJ119" s="188"/>
      <c r="BYK119" s="190"/>
      <c r="BYL119" s="189"/>
      <c r="BYQ119" s="188"/>
      <c r="BYR119" s="187"/>
      <c r="BYX119" s="188"/>
      <c r="BYY119" s="187"/>
      <c r="BZE119" s="188"/>
      <c r="BZF119" s="187"/>
      <c r="BZL119" s="188"/>
      <c r="BZM119" s="187"/>
      <c r="BZP119" s="168"/>
      <c r="BZQ119" s="189"/>
      <c r="BZS119" s="188"/>
      <c r="BZT119" s="187"/>
      <c r="BZZ119" s="188"/>
      <c r="CAA119" s="187"/>
      <c r="CAG119" s="188"/>
      <c r="CAH119" s="187"/>
      <c r="CAN119" s="188"/>
      <c r="CAO119" s="187"/>
      <c r="CAU119" s="168"/>
      <c r="CAV119" s="189"/>
      <c r="CBB119" s="188"/>
      <c r="CBC119" s="187"/>
      <c r="CBI119" s="188"/>
      <c r="CBJ119" s="187"/>
      <c r="CBP119" s="188"/>
      <c r="CBQ119" s="187"/>
      <c r="CBW119" s="188"/>
      <c r="CBX119" s="187"/>
      <c r="CBY119" s="168"/>
      <c r="CBZ119" s="189"/>
      <c r="CCD119" s="188"/>
      <c r="CCE119" s="187"/>
      <c r="CCK119" s="188"/>
      <c r="CCL119" s="187"/>
      <c r="CCR119" s="188"/>
      <c r="CCS119" s="187"/>
      <c r="CCY119" s="188"/>
      <c r="CCZ119" s="187"/>
      <c r="CDD119" s="168"/>
      <c r="CDE119" s="189"/>
      <c r="CDF119" s="188"/>
      <c r="CDG119" s="187"/>
      <c r="CDM119" s="188"/>
      <c r="CDN119" s="187"/>
      <c r="CDT119" s="188"/>
      <c r="CDU119" s="187"/>
      <c r="CEA119" s="188"/>
      <c r="CEB119" s="187"/>
      <c r="CEH119" s="168"/>
      <c r="CEI119" s="189"/>
      <c r="CEO119" s="188"/>
      <c r="CEP119" s="187"/>
      <c r="CEV119" s="188"/>
      <c r="CEW119" s="187"/>
      <c r="CFC119" s="188"/>
      <c r="CFD119" s="187"/>
      <c r="CFJ119" s="188"/>
      <c r="CFK119" s="187"/>
    </row>
    <row r="120" spans="1:1019 1025:2048 2054:2195">
      <c r="A120" s="164" t="s">
        <v>412</v>
      </c>
      <c r="D120" s="186"/>
      <c r="E120" s="186"/>
      <c r="K120" s="187"/>
      <c r="Q120" s="188"/>
      <c r="R120" s="187"/>
      <c r="X120" s="188"/>
      <c r="Y120" s="187"/>
      <c r="AE120" s="188"/>
      <c r="AF120" s="187"/>
      <c r="AJ120" s="168"/>
      <c r="AK120" s="189"/>
      <c r="AL120" s="188"/>
      <c r="AM120" s="187"/>
      <c r="AS120" s="188"/>
      <c r="AT120" s="187"/>
      <c r="AZ120" s="188"/>
      <c r="BA120" s="187"/>
      <c r="BG120" s="188"/>
      <c r="BH120" s="187"/>
      <c r="BL120" s="168"/>
      <c r="BM120" s="189"/>
      <c r="BN120" s="188"/>
      <c r="BO120" s="187"/>
      <c r="BU120" s="188"/>
      <c r="BV120" s="187"/>
      <c r="CB120" s="188"/>
      <c r="CC120" s="187"/>
      <c r="CI120" s="188"/>
      <c r="CJ120" s="187"/>
      <c r="CP120" s="188"/>
      <c r="CQ120" s="190"/>
      <c r="CR120" s="189"/>
      <c r="CW120" s="188"/>
      <c r="CX120" s="187"/>
      <c r="DD120" s="188"/>
      <c r="DE120" s="187"/>
      <c r="DK120" s="188"/>
      <c r="DL120" s="187"/>
      <c r="DR120" s="188"/>
      <c r="DS120" s="187"/>
      <c r="DU120" s="168"/>
      <c r="DV120" s="189"/>
      <c r="DY120" s="188"/>
      <c r="DZ120" s="187"/>
      <c r="EF120" s="188"/>
      <c r="EG120" s="187"/>
      <c r="EM120" s="188"/>
      <c r="EN120" s="187"/>
      <c r="ET120" s="188"/>
      <c r="EU120" s="187"/>
      <c r="EZ120" s="168"/>
      <c r="FA120" s="191"/>
      <c r="FB120" s="187"/>
      <c r="FH120" s="188"/>
      <c r="FI120" s="187"/>
      <c r="FO120" s="188"/>
      <c r="FP120" s="187"/>
      <c r="FV120" s="188"/>
      <c r="FW120" s="187"/>
      <c r="GC120" s="188"/>
      <c r="GD120" s="190"/>
      <c r="GE120" s="189"/>
      <c r="GJ120" s="188"/>
      <c r="GK120" s="187"/>
      <c r="GQ120" s="188"/>
      <c r="GR120" s="187"/>
      <c r="GX120" s="188"/>
      <c r="GY120" s="187"/>
      <c r="HE120" s="188"/>
      <c r="HF120" s="187"/>
      <c r="HI120" s="168"/>
      <c r="HJ120" s="189"/>
      <c r="HL120" s="188"/>
      <c r="HM120" s="187"/>
      <c r="HS120" s="188"/>
      <c r="HT120" s="187"/>
      <c r="HZ120" s="188"/>
      <c r="IA120" s="187"/>
      <c r="IG120" s="188"/>
      <c r="IH120" s="187"/>
      <c r="IN120" s="168"/>
      <c r="IO120" s="189"/>
      <c r="IU120" s="188"/>
      <c r="IV120" s="187"/>
      <c r="JB120" s="188"/>
      <c r="JC120" s="187"/>
      <c r="JI120" s="188"/>
      <c r="JJ120" s="187"/>
      <c r="JP120" s="188"/>
      <c r="JQ120" s="187"/>
      <c r="JR120" s="168"/>
      <c r="JS120" s="189"/>
      <c r="JW120" s="188"/>
      <c r="JX120" s="187"/>
      <c r="KD120" s="188"/>
      <c r="KE120" s="187"/>
      <c r="KK120" s="188"/>
      <c r="KL120" s="187"/>
      <c r="KR120" s="188"/>
      <c r="KS120" s="187"/>
      <c r="KW120" s="168"/>
      <c r="KX120" s="189"/>
      <c r="KY120" s="188"/>
      <c r="KZ120" s="187"/>
      <c r="LF120" s="188"/>
      <c r="LG120" s="187"/>
      <c r="LM120" s="188"/>
      <c r="LN120" s="187"/>
      <c r="LT120" s="188"/>
      <c r="LU120" s="187"/>
      <c r="MA120" s="168"/>
      <c r="MB120" s="189"/>
      <c r="MH120" s="188"/>
      <c r="MI120" s="187"/>
      <c r="MO120" s="188"/>
      <c r="MP120" s="187"/>
      <c r="MV120" s="188"/>
      <c r="MW120" s="187"/>
      <c r="NC120" s="188"/>
      <c r="ND120" s="187"/>
      <c r="NF120" s="168"/>
      <c r="NG120" s="189"/>
      <c r="NJ120" s="188"/>
      <c r="NK120" s="187"/>
      <c r="NQ120" s="188"/>
      <c r="NR120" s="187"/>
      <c r="NX120" s="188"/>
      <c r="NY120" s="187"/>
      <c r="OE120" s="188"/>
      <c r="OF120" s="187"/>
      <c r="OK120" s="168"/>
      <c r="OL120" s="191"/>
      <c r="OM120" s="187"/>
      <c r="OS120" s="188"/>
      <c r="OT120" s="187"/>
      <c r="OZ120" s="188"/>
      <c r="PA120" s="187"/>
      <c r="PG120" s="188"/>
      <c r="PH120" s="187"/>
      <c r="PN120" s="168"/>
      <c r="PO120" s="189"/>
      <c r="PU120" s="188"/>
      <c r="PV120" s="187"/>
      <c r="QB120" s="188"/>
      <c r="QC120" s="187"/>
      <c r="QI120" s="188"/>
      <c r="QJ120" s="187"/>
      <c r="QP120" s="188"/>
      <c r="QQ120" s="187"/>
      <c r="QS120" s="168"/>
      <c r="QT120" s="189"/>
      <c r="QW120" s="188"/>
      <c r="QX120" s="187"/>
      <c r="RD120" s="188"/>
      <c r="RE120" s="187"/>
      <c r="RK120" s="188"/>
      <c r="RL120" s="187"/>
      <c r="RR120" s="188"/>
      <c r="RS120" s="187"/>
      <c r="RW120" s="168"/>
      <c r="RX120" s="189"/>
      <c r="RY120" s="188"/>
      <c r="RZ120" s="187"/>
      <c r="SF120" s="188"/>
      <c r="SG120" s="187"/>
      <c r="SM120" s="188"/>
      <c r="SN120" s="187"/>
      <c r="ST120" s="188"/>
      <c r="SU120" s="187"/>
      <c r="TA120" s="188"/>
      <c r="TB120" s="190"/>
      <c r="TC120" s="189"/>
      <c r="TH120" s="188"/>
      <c r="TI120" s="187"/>
      <c r="TO120" s="188"/>
      <c r="TP120" s="187"/>
      <c r="TV120" s="188"/>
      <c r="TW120" s="187"/>
      <c r="UC120" s="188"/>
      <c r="UD120" s="187"/>
      <c r="UF120" s="168"/>
      <c r="UG120" s="189"/>
      <c r="UJ120" s="188"/>
      <c r="UK120" s="187"/>
      <c r="UQ120" s="188"/>
      <c r="UR120" s="187"/>
      <c r="UX120" s="188"/>
      <c r="UY120" s="187"/>
      <c r="VE120" s="188"/>
      <c r="VF120" s="187"/>
      <c r="VK120" s="168"/>
      <c r="VL120" s="191"/>
      <c r="VM120" s="187"/>
      <c r="VS120" s="188"/>
      <c r="VT120" s="187"/>
      <c r="VZ120" s="188"/>
      <c r="WA120" s="187"/>
      <c r="WG120" s="188"/>
      <c r="WH120" s="187"/>
      <c r="WN120" s="188"/>
      <c r="WO120" s="187"/>
      <c r="WP120" s="168"/>
      <c r="WQ120" s="189"/>
      <c r="WU120" s="188"/>
      <c r="WV120" s="187"/>
      <c r="XB120" s="188"/>
      <c r="XC120" s="187"/>
      <c r="XI120" s="188"/>
      <c r="XJ120" s="187"/>
      <c r="XP120" s="188"/>
      <c r="XQ120" s="187"/>
      <c r="XT120" s="168"/>
      <c r="XU120" s="189"/>
      <c r="XW120" s="188"/>
      <c r="XX120" s="187"/>
      <c r="YD120" s="188"/>
      <c r="YE120" s="187"/>
      <c r="YK120" s="188"/>
      <c r="YL120" s="187"/>
      <c r="YR120" s="188"/>
      <c r="YS120" s="187"/>
      <c r="YY120" s="168"/>
      <c r="YZ120" s="189"/>
      <c r="ZF120" s="188"/>
      <c r="ZG120" s="187"/>
      <c r="ZM120" s="188"/>
      <c r="ZN120" s="187"/>
      <c r="ZT120" s="188"/>
      <c r="ZU120" s="187"/>
      <c r="AAA120" s="188"/>
      <c r="AAB120" s="187"/>
      <c r="AAC120" s="168"/>
      <c r="AAD120" s="189"/>
      <c r="AAH120" s="188"/>
      <c r="AAI120" s="187"/>
      <c r="AAO120" s="188"/>
      <c r="AAP120" s="187"/>
      <c r="AAV120" s="188"/>
      <c r="AAW120" s="187"/>
      <c r="ABC120" s="188"/>
      <c r="ABD120" s="187"/>
      <c r="ABH120" s="168"/>
      <c r="ABI120" s="189"/>
      <c r="ABJ120" s="188"/>
      <c r="ABK120" s="187"/>
      <c r="ABQ120" s="188"/>
      <c r="ABR120" s="187"/>
      <c r="ABX120" s="188"/>
      <c r="ABY120" s="187"/>
      <c r="ACE120" s="188"/>
      <c r="ACF120" s="187"/>
      <c r="ACL120" s="188"/>
      <c r="ACM120" s="190"/>
      <c r="ACN120" s="189"/>
      <c r="ACS120" s="188"/>
      <c r="ACT120" s="187"/>
      <c r="ACZ120" s="188"/>
      <c r="ADA120" s="187"/>
      <c r="ADG120" s="188"/>
      <c r="ADH120" s="187"/>
      <c r="ADN120" s="188"/>
      <c r="ADO120" s="190"/>
      <c r="ADP120" s="189"/>
      <c r="ADU120" s="188"/>
      <c r="ADV120" s="187"/>
      <c r="AEB120" s="188"/>
      <c r="AEC120" s="187"/>
      <c r="AEI120" s="188"/>
      <c r="AEJ120" s="187"/>
      <c r="AEP120" s="188"/>
      <c r="AEQ120" s="187"/>
      <c r="AET120" s="168"/>
      <c r="AEU120" s="189"/>
      <c r="AEW120" s="188"/>
      <c r="AEX120" s="187"/>
      <c r="AFD120" s="188"/>
      <c r="AFE120" s="187"/>
      <c r="AFK120" s="188"/>
      <c r="AFL120" s="187"/>
      <c r="AFR120" s="188"/>
      <c r="AFS120" s="187"/>
      <c r="AFX120" s="168"/>
      <c r="AFY120" s="191"/>
      <c r="AFZ120" s="187"/>
      <c r="AGF120" s="188"/>
      <c r="AGG120" s="187"/>
      <c r="AGM120" s="188"/>
      <c r="AGN120" s="187"/>
      <c r="AGT120" s="188"/>
      <c r="AGU120" s="187"/>
      <c r="AHA120" s="188"/>
      <c r="AHB120" s="187"/>
      <c r="AHC120" s="168"/>
      <c r="AHD120" s="189"/>
      <c r="AHH120" s="188"/>
      <c r="AHI120" s="187"/>
      <c r="AHO120" s="188"/>
      <c r="AHP120" s="187"/>
      <c r="AHV120" s="188"/>
      <c r="AHW120" s="187"/>
      <c r="AIC120" s="188"/>
      <c r="AID120" s="187"/>
      <c r="AIG120" s="168"/>
      <c r="AIH120" s="189"/>
      <c r="AIJ120" s="188"/>
      <c r="AIK120" s="187"/>
      <c r="AIQ120" s="188"/>
      <c r="AIR120" s="187"/>
      <c r="AIX120" s="188"/>
      <c r="AIY120" s="187"/>
      <c r="AJE120" s="188"/>
      <c r="AJF120" s="187"/>
      <c r="AJL120" s="168"/>
      <c r="AJM120" s="189"/>
      <c r="AJS120" s="188"/>
      <c r="AJT120" s="187"/>
      <c r="AJZ120" s="188"/>
      <c r="AKA120" s="187"/>
      <c r="AKG120" s="188"/>
      <c r="AKH120" s="187"/>
      <c r="AKN120" s="188"/>
      <c r="AKO120" s="187"/>
      <c r="AKQ120" s="168"/>
      <c r="AKR120" s="189"/>
      <c r="AKU120" s="188"/>
      <c r="AKV120" s="187"/>
      <c r="ALB120" s="188"/>
      <c r="ALC120" s="187"/>
      <c r="ALI120" s="188"/>
      <c r="ALJ120" s="187"/>
      <c r="ALP120" s="188"/>
      <c r="ALQ120" s="187"/>
      <c r="ALU120" s="168"/>
      <c r="ALV120" s="189"/>
      <c r="ALW120" s="188"/>
      <c r="ALX120" s="187"/>
      <c r="AMD120" s="188"/>
      <c r="AME120" s="187"/>
      <c r="AMK120" s="188"/>
      <c r="AML120" s="187"/>
      <c r="AMR120" s="188"/>
      <c r="AMS120" s="187"/>
      <c r="AMY120" s="188"/>
      <c r="AMZ120" s="190"/>
      <c r="ANA120" s="189"/>
      <c r="ANF120" s="188"/>
      <c r="ANG120" s="187"/>
      <c r="ANM120" s="188"/>
      <c r="ANN120" s="187"/>
      <c r="ANT120" s="188"/>
      <c r="ANU120" s="187"/>
      <c r="AOA120" s="188"/>
      <c r="AOB120" s="187"/>
      <c r="AOD120" s="168"/>
      <c r="AOE120" s="189"/>
      <c r="AOH120" s="188"/>
      <c r="AOI120" s="187"/>
      <c r="AOO120" s="188"/>
      <c r="AOP120" s="187"/>
      <c r="AOV120" s="188"/>
      <c r="AOW120" s="187"/>
      <c r="APC120" s="188"/>
      <c r="APD120" s="187"/>
      <c r="API120" s="168"/>
      <c r="APJ120" s="191"/>
      <c r="APK120" s="187"/>
      <c r="APQ120" s="188"/>
      <c r="APR120" s="187"/>
      <c r="APX120" s="188"/>
      <c r="APY120" s="187"/>
      <c r="AQE120" s="188"/>
      <c r="AQF120" s="187"/>
      <c r="AQL120" s="188"/>
      <c r="AQM120" s="187"/>
      <c r="AQN120" s="168"/>
      <c r="AQO120" s="189"/>
      <c r="AQS120" s="188"/>
      <c r="AQT120" s="187"/>
      <c r="AQZ120" s="188"/>
      <c r="ARA120" s="187"/>
      <c r="ARG120" s="188"/>
      <c r="ARH120" s="187"/>
      <c r="ARN120" s="188"/>
      <c r="ARO120" s="187"/>
      <c r="ARP120" s="168"/>
      <c r="ARQ120" s="189"/>
      <c r="ARU120" s="188"/>
      <c r="ARV120" s="187"/>
      <c r="ASB120" s="188"/>
      <c r="ASC120" s="187"/>
      <c r="ASI120" s="188"/>
      <c r="ASJ120" s="187"/>
      <c r="ASP120" s="188"/>
      <c r="ASQ120" s="187"/>
      <c r="ASU120" s="168"/>
      <c r="ASV120" s="189"/>
      <c r="ASW120" s="188"/>
      <c r="ASX120" s="187"/>
      <c r="ATD120" s="188"/>
      <c r="ATE120" s="187"/>
      <c r="ATK120" s="188"/>
      <c r="ATL120" s="187"/>
      <c r="ATR120" s="188"/>
      <c r="ATS120" s="187"/>
      <c r="ATY120" s="168"/>
      <c r="ATZ120" s="189"/>
      <c r="AUF120" s="188"/>
      <c r="AUG120" s="187"/>
      <c r="AUM120" s="188"/>
      <c r="AUN120" s="187"/>
      <c r="AUT120" s="188"/>
      <c r="AUU120" s="187"/>
      <c r="AVA120" s="188"/>
      <c r="AVB120" s="187"/>
      <c r="AVD120" s="168"/>
      <c r="AVE120" s="189"/>
      <c r="AVH120" s="188"/>
      <c r="AVI120" s="187"/>
      <c r="AVO120" s="188"/>
      <c r="AVP120" s="187"/>
      <c r="AVV120" s="188"/>
      <c r="AVW120" s="187"/>
      <c r="AWC120" s="188"/>
      <c r="AWD120" s="187"/>
      <c r="AWH120" s="168"/>
      <c r="AWI120" s="189"/>
      <c r="AWJ120" s="188"/>
      <c r="AWK120" s="187"/>
      <c r="AWQ120" s="188"/>
      <c r="AWR120" s="187"/>
      <c r="AWX120" s="188"/>
      <c r="AWY120" s="187"/>
      <c r="AXE120" s="188"/>
      <c r="AXF120" s="187"/>
      <c r="AXL120" s="188"/>
      <c r="AXM120" s="190"/>
      <c r="AXN120" s="189"/>
      <c r="AXS120" s="188"/>
      <c r="AXT120" s="187"/>
      <c r="AXZ120" s="188"/>
      <c r="AYA120" s="187"/>
      <c r="AYG120" s="188"/>
      <c r="AYH120" s="187"/>
      <c r="AYN120" s="188"/>
      <c r="AYO120" s="187"/>
      <c r="AYR120" s="168"/>
      <c r="AYS120" s="189"/>
      <c r="AYU120" s="188"/>
      <c r="AYV120" s="187"/>
      <c r="AZB120" s="188"/>
      <c r="AZC120" s="187"/>
      <c r="AZI120" s="188"/>
      <c r="AZJ120" s="187"/>
      <c r="AZP120" s="188"/>
      <c r="AZQ120" s="187"/>
      <c r="AZV120" s="168"/>
      <c r="AZW120" s="191"/>
      <c r="AZX120" s="187"/>
      <c r="BAD120" s="188"/>
      <c r="BAE120" s="187"/>
      <c r="BAK120" s="188"/>
      <c r="BAL120" s="187"/>
      <c r="BAR120" s="188"/>
      <c r="BAS120" s="187"/>
      <c r="BAY120" s="188"/>
      <c r="BAZ120" s="187"/>
      <c r="BBA120" s="168"/>
      <c r="BBB120" s="189"/>
      <c r="BBF120" s="188"/>
      <c r="BBG120" s="187"/>
      <c r="BBM120" s="188"/>
      <c r="BBN120" s="187"/>
      <c r="BBT120" s="188"/>
      <c r="BBU120" s="187"/>
      <c r="BCA120" s="188"/>
      <c r="BCB120" s="187"/>
      <c r="BCE120" s="168"/>
      <c r="BCF120" s="189"/>
      <c r="BCH120" s="188"/>
      <c r="BCI120" s="187"/>
      <c r="BCO120" s="188"/>
      <c r="BCP120" s="187"/>
      <c r="BCV120" s="188"/>
      <c r="BCW120" s="187"/>
      <c r="BDC120" s="188"/>
      <c r="BDD120" s="187"/>
      <c r="BDJ120" s="168"/>
      <c r="BDK120" s="189"/>
      <c r="BDQ120" s="188"/>
      <c r="BDR120" s="187"/>
      <c r="BDX120" s="188"/>
      <c r="BDY120" s="187"/>
      <c r="BEE120" s="188"/>
      <c r="BEF120" s="187"/>
      <c r="BEL120" s="188"/>
      <c r="BEM120" s="187"/>
      <c r="BEO120" s="168"/>
      <c r="BEP120" s="189"/>
      <c r="BES120" s="188"/>
      <c r="BET120" s="187"/>
      <c r="BEZ120" s="188"/>
      <c r="BFA120" s="187"/>
      <c r="BFG120" s="188"/>
      <c r="BFH120" s="187"/>
      <c r="BFN120" s="188"/>
      <c r="BFO120" s="187"/>
      <c r="BFQ120" s="168"/>
      <c r="BFR120" s="189"/>
      <c r="BFU120" s="188"/>
      <c r="BFV120" s="187"/>
      <c r="BGB120" s="188"/>
      <c r="BGC120" s="187"/>
      <c r="BGI120" s="188"/>
      <c r="BGJ120" s="187"/>
      <c r="BGP120" s="188"/>
      <c r="BGQ120" s="187"/>
      <c r="BGV120" s="168"/>
      <c r="BGW120" s="191"/>
      <c r="BGX120" s="187"/>
      <c r="BHD120" s="188"/>
      <c r="BHE120" s="187"/>
      <c r="BHK120" s="188"/>
      <c r="BHL120" s="187"/>
      <c r="BHR120" s="188"/>
      <c r="BHS120" s="187"/>
      <c r="BHY120" s="188"/>
      <c r="BHZ120" s="190"/>
      <c r="BIA120" s="189"/>
      <c r="BIF120" s="188"/>
      <c r="BIG120" s="187"/>
      <c r="BIM120" s="188"/>
      <c r="BIN120" s="187"/>
      <c r="BIT120" s="188"/>
      <c r="BIU120" s="187"/>
      <c r="BJA120" s="188"/>
      <c r="BJB120" s="187"/>
      <c r="BJE120" s="168"/>
      <c r="BJF120" s="189"/>
      <c r="BJH120" s="188"/>
      <c r="BJI120" s="187"/>
      <c r="BJO120" s="188"/>
      <c r="BJP120" s="187"/>
      <c r="BJV120" s="188"/>
      <c r="BJW120" s="187"/>
      <c r="BKC120" s="188"/>
      <c r="BKD120" s="187"/>
      <c r="BKI120" s="168"/>
      <c r="BKJ120" s="191"/>
      <c r="BKK120" s="187"/>
      <c r="BKQ120" s="188"/>
      <c r="BKR120" s="187"/>
      <c r="BKX120" s="188"/>
      <c r="BKY120" s="187"/>
      <c r="BLE120" s="188"/>
      <c r="BLF120" s="187"/>
      <c r="BLL120" s="188"/>
      <c r="BLM120" s="187"/>
      <c r="BLN120" s="168"/>
      <c r="BLO120" s="189"/>
      <c r="BLS120" s="188"/>
      <c r="BLT120" s="187"/>
      <c r="BLZ120" s="188"/>
      <c r="BMA120" s="187"/>
      <c r="BMG120" s="188"/>
      <c r="BMH120" s="187"/>
      <c r="BMN120" s="188"/>
      <c r="BMO120" s="187"/>
      <c r="BMS120" s="168"/>
      <c r="BMT120" s="189"/>
      <c r="BMU120" s="188"/>
      <c r="BMV120" s="187"/>
      <c r="BNB120" s="188"/>
      <c r="BNC120" s="187"/>
      <c r="BNI120" s="188"/>
      <c r="BNJ120" s="187"/>
      <c r="BNP120" s="188"/>
      <c r="BNQ120" s="187"/>
      <c r="BNW120" s="168"/>
      <c r="BNX120" s="189"/>
      <c r="BOD120" s="188"/>
      <c r="BOE120" s="187"/>
      <c r="BOK120" s="188"/>
      <c r="BOL120" s="187"/>
      <c r="BOR120" s="188"/>
      <c r="BOS120" s="187"/>
      <c r="BOY120" s="188"/>
      <c r="BOZ120" s="187"/>
      <c r="BPB120" s="168"/>
      <c r="BPC120" s="189"/>
      <c r="BPF120" s="188"/>
      <c r="BPG120" s="187"/>
      <c r="BPM120" s="188"/>
      <c r="BPN120" s="187"/>
      <c r="BPT120" s="188"/>
      <c r="BPU120" s="187"/>
      <c r="BQA120" s="188"/>
      <c r="BQB120" s="187"/>
      <c r="BQF120" s="168"/>
      <c r="BQG120" s="189"/>
      <c r="BQH120" s="188"/>
      <c r="BQI120" s="187"/>
      <c r="BQO120" s="188"/>
      <c r="BQP120" s="187"/>
      <c r="BQV120" s="188"/>
      <c r="BQW120" s="187"/>
      <c r="BRC120" s="188"/>
      <c r="BRD120" s="187"/>
      <c r="BRJ120" s="188"/>
      <c r="BRK120" s="190"/>
      <c r="BRL120" s="189"/>
      <c r="BRQ120" s="188"/>
      <c r="BRR120" s="187"/>
      <c r="BRX120" s="188"/>
      <c r="BRY120" s="187"/>
      <c r="BSE120" s="188"/>
      <c r="BSF120" s="187"/>
      <c r="BSL120" s="188"/>
      <c r="BSM120" s="187"/>
      <c r="BSP120" s="168"/>
      <c r="BSQ120" s="189"/>
      <c r="BSS120" s="188"/>
      <c r="BST120" s="187"/>
      <c r="BSZ120" s="188"/>
      <c r="BTA120" s="187"/>
      <c r="BTG120" s="188"/>
      <c r="BTH120" s="187"/>
      <c r="BTN120" s="188"/>
      <c r="BTO120" s="187"/>
      <c r="BTS120" s="168"/>
      <c r="BTT120" s="189"/>
      <c r="BTU120" s="188"/>
      <c r="BTV120" s="187"/>
      <c r="BUB120" s="188"/>
      <c r="BUC120" s="187"/>
      <c r="BUI120" s="188"/>
      <c r="BUJ120" s="187"/>
      <c r="BUP120" s="188"/>
      <c r="BUQ120" s="187"/>
      <c r="BUW120" s="188"/>
      <c r="BUX120" s="190"/>
      <c r="BUY120" s="189"/>
      <c r="BVD120" s="188"/>
      <c r="BVE120" s="187"/>
      <c r="BVK120" s="188"/>
      <c r="BVL120" s="187"/>
      <c r="BVR120" s="188"/>
      <c r="BVS120" s="187"/>
      <c r="BVY120" s="188"/>
      <c r="BVZ120" s="187"/>
      <c r="BWB120" s="168"/>
      <c r="BWC120" s="189"/>
      <c r="BWF120" s="188"/>
      <c r="BWG120" s="187"/>
      <c r="BWM120" s="188"/>
      <c r="BWN120" s="187"/>
      <c r="BWT120" s="188"/>
      <c r="BWU120" s="187"/>
      <c r="BXA120" s="188"/>
      <c r="BXB120" s="187"/>
      <c r="BXG120" s="168"/>
      <c r="BXH120" s="191"/>
      <c r="BXI120" s="187"/>
      <c r="BXO120" s="188"/>
      <c r="BXP120" s="187"/>
      <c r="BXV120" s="188"/>
      <c r="BXW120" s="187"/>
      <c r="BYC120" s="188"/>
      <c r="BYD120" s="187"/>
      <c r="BYJ120" s="188"/>
      <c r="BYK120" s="190"/>
      <c r="BYL120" s="189"/>
      <c r="BYQ120" s="188"/>
      <c r="BYR120" s="187"/>
      <c r="BYX120" s="188"/>
      <c r="BYY120" s="187"/>
      <c r="BZE120" s="188"/>
      <c r="BZF120" s="187"/>
      <c r="BZL120" s="188"/>
      <c r="BZM120" s="187"/>
      <c r="BZP120" s="168"/>
      <c r="BZQ120" s="189"/>
      <c r="BZS120" s="188"/>
      <c r="BZT120" s="187"/>
      <c r="BZZ120" s="188"/>
      <c r="CAA120" s="187"/>
      <c r="CAG120" s="188"/>
      <c r="CAH120" s="187"/>
      <c r="CAN120" s="188"/>
      <c r="CAO120" s="187"/>
      <c r="CAU120" s="168"/>
      <c r="CAV120" s="189"/>
      <c r="CBB120" s="188"/>
      <c r="CBC120" s="187"/>
      <c r="CBI120" s="188"/>
      <c r="CBJ120" s="187"/>
      <c r="CBP120" s="188"/>
      <c r="CBQ120" s="187"/>
      <c r="CBW120" s="188"/>
      <c r="CBX120" s="187"/>
      <c r="CBY120" s="168"/>
      <c r="CBZ120" s="189"/>
      <c r="CCD120" s="188"/>
      <c r="CCE120" s="187"/>
      <c r="CCK120" s="188"/>
      <c r="CCL120" s="187"/>
      <c r="CCR120" s="188"/>
      <c r="CCS120" s="187"/>
      <c r="CCY120" s="188"/>
      <c r="CCZ120" s="187"/>
      <c r="CDD120" s="168"/>
      <c r="CDE120" s="189"/>
      <c r="CDF120" s="188"/>
      <c r="CDG120" s="187"/>
      <c r="CDM120" s="188"/>
      <c r="CDN120" s="187"/>
      <c r="CDT120" s="188"/>
      <c r="CDU120" s="187"/>
      <c r="CEA120" s="188"/>
      <c r="CEB120" s="187"/>
      <c r="CEH120" s="168"/>
      <c r="CEI120" s="189"/>
      <c r="CEO120" s="188"/>
      <c r="CEP120" s="187"/>
      <c r="CEV120" s="188"/>
      <c r="CEW120" s="187"/>
      <c r="CFC120" s="188"/>
      <c r="CFD120" s="187"/>
      <c r="CFJ120" s="188"/>
      <c r="CFK120" s="187"/>
    </row>
    <row r="121" spans="1:1019 1025:2048 2054:2195">
      <c r="A121" s="164" t="s">
        <v>413</v>
      </c>
      <c r="D121" s="186"/>
      <c r="E121" s="186"/>
      <c r="K121" s="187"/>
      <c r="Q121" s="188"/>
      <c r="R121" s="187"/>
      <c r="X121" s="188"/>
      <c r="Y121" s="187"/>
      <c r="AE121" s="188"/>
      <c r="AF121" s="187"/>
      <c r="AJ121" s="168"/>
      <c r="AK121" s="189"/>
      <c r="AL121" s="188"/>
      <c r="AM121" s="187"/>
      <c r="AS121" s="188"/>
      <c r="AT121" s="187"/>
      <c r="AZ121" s="188"/>
      <c r="BA121" s="187"/>
      <c r="BG121" s="188"/>
      <c r="BH121" s="187"/>
      <c r="BL121" s="168"/>
      <c r="BM121" s="189"/>
      <c r="BN121" s="188"/>
      <c r="BO121" s="187"/>
      <c r="BU121" s="188"/>
      <c r="BV121" s="187"/>
      <c r="CB121" s="188"/>
      <c r="CC121" s="187"/>
      <c r="CI121" s="188"/>
      <c r="CJ121" s="187"/>
      <c r="CP121" s="188"/>
      <c r="CQ121" s="190"/>
      <c r="CR121" s="189"/>
      <c r="CW121" s="188"/>
      <c r="CX121" s="187"/>
      <c r="DD121" s="188"/>
      <c r="DE121" s="187"/>
      <c r="DK121" s="188"/>
      <c r="DL121" s="187"/>
      <c r="DR121" s="188"/>
      <c r="DS121" s="187"/>
      <c r="DU121" s="168"/>
      <c r="DV121" s="189"/>
      <c r="DY121" s="188"/>
      <c r="DZ121" s="187"/>
      <c r="EF121" s="188"/>
      <c r="EG121" s="187"/>
      <c r="EM121" s="188"/>
      <c r="EN121" s="187"/>
      <c r="ET121" s="188"/>
      <c r="EU121" s="187"/>
      <c r="EZ121" s="168"/>
      <c r="FA121" s="191"/>
      <c r="FB121" s="187"/>
      <c r="FH121" s="188"/>
      <c r="FI121" s="187"/>
      <c r="FO121" s="188"/>
      <c r="FP121" s="187"/>
      <c r="FV121" s="188"/>
      <c r="FW121" s="187"/>
      <c r="GC121" s="188"/>
      <c r="GD121" s="190"/>
      <c r="GE121" s="189"/>
      <c r="GJ121" s="188"/>
      <c r="GK121" s="187"/>
      <c r="GQ121" s="188"/>
      <c r="GR121" s="187"/>
      <c r="GX121" s="188"/>
      <c r="GY121" s="187"/>
      <c r="HE121" s="188"/>
      <c r="HF121" s="187"/>
      <c r="HI121" s="168"/>
      <c r="HJ121" s="189"/>
      <c r="HL121" s="188"/>
      <c r="HM121" s="187"/>
      <c r="HS121" s="188"/>
      <c r="HT121" s="187"/>
      <c r="HZ121" s="188"/>
      <c r="IA121" s="187"/>
      <c r="IG121" s="188"/>
      <c r="IH121" s="187"/>
      <c r="IN121" s="168"/>
      <c r="IO121" s="189"/>
      <c r="IU121" s="188"/>
      <c r="IV121" s="187"/>
      <c r="JB121" s="188"/>
      <c r="JC121" s="187"/>
      <c r="JI121" s="188"/>
      <c r="JJ121" s="187"/>
      <c r="JP121" s="188"/>
      <c r="JQ121" s="187"/>
      <c r="JR121" s="168"/>
      <c r="JS121" s="189"/>
      <c r="JW121" s="188"/>
      <c r="JX121" s="187"/>
      <c r="KD121" s="188"/>
      <c r="KE121" s="187"/>
      <c r="KK121" s="188"/>
      <c r="KL121" s="187"/>
      <c r="KR121" s="188"/>
      <c r="KS121" s="187"/>
      <c r="KW121" s="168"/>
      <c r="KX121" s="189"/>
      <c r="KY121" s="188"/>
      <c r="KZ121" s="187"/>
      <c r="LF121" s="188"/>
      <c r="LG121" s="187"/>
      <c r="LM121" s="188"/>
      <c r="LN121" s="187"/>
      <c r="LT121" s="188"/>
      <c r="LU121" s="187"/>
      <c r="MA121" s="168"/>
      <c r="MB121" s="189"/>
      <c r="MH121" s="188"/>
      <c r="MI121" s="187"/>
      <c r="MO121" s="188"/>
      <c r="MP121" s="187"/>
      <c r="MV121" s="188"/>
      <c r="MW121" s="187"/>
      <c r="NC121" s="188"/>
      <c r="ND121" s="187"/>
      <c r="NF121" s="168"/>
      <c r="NG121" s="189"/>
      <c r="NJ121" s="188"/>
      <c r="NK121" s="187"/>
      <c r="NQ121" s="188"/>
      <c r="NR121" s="187"/>
      <c r="NX121" s="188"/>
      <c r="NY121" s="187"/>
      <c r="OE121" s="188"/>
      <c r="OF121" s="187"/>
      <c r="OK121" s="168"/>
      <c r="OL121" s="191"/>
      <c r="OM121" s="187"/>
      <c r="OS121" s="188"/>
      <c r="OT121" s="187"/>
      <c r="OZ121" s="188"/>
      <c r="PA121" s="187"/>
      <c r="PG121" s="188"/>
      <c r="PH121" s="187"/>
      <c r="PN121" s="168"/>
      <c r="PO121" s="189"/>
      <c r="PU121" s="188"/>
      <c r="PV121" s="187"/>
      <c r="QB121" s="188"/>
      <c r="QC121" s="187"/>
      <c r="QI121" s="188"/>
      <c r="QJ121" s="187"/>
      <c r="QP121" s="188"/>
      <c r="QQ121" s="187"/>
      <c r="QS121" s="168"/>
      <c r="QT121" s="189"/>
      <c r="QW121" s="188"/>
      <c r="QX121" s="187"/>
      <c r="RD121" s="188"/>
      <c r="RE121" s="187"/>
      <c r="RK121" s="188"/>
      <c r="RL121" s="187"/>
      <c r="RR121" s="188"/>
      <c r="RS121" s="187"/>
      <c r="RW121" s="168"/>
      <c r="RX121" s="189"/>
      <c r="RY121" s="188"/>
      <c r="RZ121" s="187"/>
      <c r="SF121" s="188"/>
      <c r="SG121" s="187"/>
      <c r="SM121" s="188"/>
      <c r="SN121" s="187"/>
      <c r="ST121" s="188"/>
      <c r="SU121" s="187"/>
      <c r="TA121" s="188"/>
      <c r="TB121" s="190"/>
      <c r="TC121" s="189"/>
      <c r="TH121" s="188"/>
      <c r="TI121" s="187"/>
      <c r="TO121" s="188"/>
      <c r="TP121" s="187"/>
      <c r="TV121" s="188"/>
      <c r="TW121" s="187"/>
      <c r="UC121" s="188"/>
      <c r="UD121" s="187"/>
      <c r="UF121" s="168"/>
      <c r="UG121" s="189"/>
      <c r="UJ121" s="188"/>
      <c r="UK121" s="187"/>
      <c r="UQ121" s="188"/>
      <c r="UR121" s="187"/>
      <c r="UX121" s="188"/>
      <c r="UY121" s="187"/>
      <c r="VE121" s="188"/>
      <c r="VF121" s="187"/>
      <c r="VK121" s="168"/>
      <c r="VL121" s="191"/>
      <c r="VM121" s="187"/>
      <c r="VS121" s="188"/>
      <c r="VT121" s="187"/>
      <c r="VZ121" s="188"/>
      <c r="WA121" s="187"/>
      <c r="WG121" s="188"/>
      <c r="WH121" s="187"/>
      <c r="WN121" s="188"/>
      <c r="WO121" s="187"/>
      <c r="WP121" s="168"/>
      <c r="WQ121" s="189"/>
      <c r="WU121" s="188"/>
      <c r="WV121" s="187"/>
      <c r="XB121" s="188"/>
      <c r="XC121" s="187"/>
      <c r="XI121" s="188"/>
      <c r="XJ121" s="187"/>
      <c r="XP121" s="188"/>
      <c r="XQ121" s="187"/>
      <c r="XT121" s="168"/>
      <c r="XU121" s="189"/>
      <c r="XW121" s="188"/>
      <c r="XX121" s="187"/>
      <c r="YD121" s="188"/>
      <c r="YE121" s="187"/>
      <c r="YK121" s="188"/>
      <c r="YL121" s="187"/>
      <c r="YR121" s="188"/>
      <c r="YS121" s="187"/>
      <c r="YY121" s="168"/>
      <c r="YZ121" s="189"/>
      <c r="ZF121" s="188"/>
      <c r="ZG121" s="187"/>
      <c r="ZM121" s="188"/>
      <c r="ZN121" s="187"/>
      <c r="ZT121" s="188"/>
      <c r="ZU121" s="187"/>
      <c r="AAA121" s="188"/>
      <c r="AAB121" s="187"/>
      <c r="AAC121" s="168"/>
      <c r="AAD121" s="189"/>
      <c r="AAH121" s="188"/>
      <c r="AAI121" s="187"/>
      <c r="AAO121" s="188"/>
      <c r="AAP121" s="187"/>
      <c r="AAV121" s="188"/>
      <c r="AAW121" s="187"/>
      <c r="ABC121" s="188"/>
      <c r="ABD121" s="187"/>
      <c r="ABH121" s="168"/>
      <c r="ABI121" s="189"/>
      <c r="ABJ121" s="188"/>
      <c r="ABK121" s="187"/>
      <c r="ABQ121" s="188"/>
      <c r="ABR121" s="187"/>
      <c r="ABX121" s="188"/>
      <c r="ABY121" s="187"/>
      <c r="ACE121" s="188"/>
      <c r="ACF121" s="187"/>
      <c r="ACL121" s="188"/>
      <c r="ACM121" s="190"/>
      <c r="ACN121" s="189"/>
      <c r="ACS121" s="188"/>
      <c r="ACT121" s="187"/>
      <c r="ACZ121" s="188"/>
      <c r="ADA121" s="187"/>
      <c r="ADG121" s="188"/>
      <c r="ADH121" s="187"/>
      <c r="ADN121" s="188"/>
      <c r="ADO121" s="190"/>
      <c r="ADP121" s="189"/>
      <c r="ADU121" s="188"/>
      <c r="ADV121" s="187"/>
      <c r="AEB121" s="188"/>
      <c r="AEC121" s="187"/>
      <c r="AEI121" s="188"/>
      <c r="AEJ121" s="187"/>
      <c r="AEP121" s="188"/>
      <c r="AEQ121" s="187"/>
      <c r="AET121" s="168"/>
      <c r="AEU121" s="189"/>
      <c r="AEW121" s="188"/>
      <c r="AEX121" s="187"/>
      <c r="AFD121" s="188"/>
      <c r="AFE121" s="187"/>
      <c r="AFK121" s="188"/>
      <c r="AFL121" s="187"/>
      <c r="AFR121" s="188"/>
      <c r="AFS121" s="187"/>
      <c r="AFX121" s="168"/>
      <c r="AFY121" s="191"/>
      <c r="AFZ121" s="187"/>
      <c r="AGF121" s="188"/>
      <c r="AGG121" s="187"/>
      <c r="AGM121" s="188"/>
      <c r="AGN121" s="187"/>
      <c r="AGT121" s="188"/>
      <c r="AGU121" s="187"/>
      <c r="AHA121" s="188"/>
      <c r="AHB121" s="187"/>
      <c r="AHC121" s="168"/>
      <c r="AHD121" s="189"/>
      <c r="AHH121" s="188"/>
      <c r="AHI121" s="187"/>
      <c r="AHO121" s="188"/>
      <c r="AHP121" s="187"/>
      <c r="AHV121" s="188"/>
      <c r="AHW121" s="187"/>
      <c r="AIC121" s="188"/>
      <c r="AID121" s="187"/>
      <c r="AIG121" s="168"/>
      <c r="AIH121" s="189"/>
      <c r="AIJ121" s="188"/>
      <c r="AIK121" s="187"/>
      <c r="AIQ121" s="188"/>
      <c r="AIR121" s="187"/>
      <c r="AIX121" s="188"/>
      <c r="AIY121" s="187"/>
      <c r="AJE121" s="188"/>
      <c r="AJF121" s="187"/>
      <c r="AJL121" s="168"/>
      <c r="AJM121" s="189"/>
      <c r="AJS121" s="188"/>
      <c r="AJT121" s="187"/>
      <c r="AJZ121" s="188"/>
      <c r="AKA121" s="187"/>
      <c r="AKG121" s="188"/>
      <c r="AKH121" s="187"/>
      <c r="AKN121" s="188"/>
      <c r="AKO121" s="187"/>
      <c r="AKQ121" s="168"/>
      <c r="AKR121" s="189"/>
      <c r="AKU121" s="188"/>
      <c r="AKV121" s="187"/>
      <c r="ALB121" s="188"/>
      <c r="ALC121" s="187"/>
      <c r="ALI121" s="188"/>
      <c r="ALJ121" s="187"/>
      <c r="ALP121" s="188"/>
      <c r="ALQ121" s="187"/>
      <c r="ALU121" s="168"/>
      <c r="ALV121" s="189"/>
      <c r="ALW121" s="188"/>
      <c r="ALX121" s="187"/>
      <c r="AMD121" s="188"/>
      <c r="AME121" s="187"/>
      <c r="AMK121" s="188"/>
      <c r="AML121" s="187"/>
      <c r="AMR121" s="188"/>
      <c r="AMS121" s="187"/>
      <c r="AMY121" s="188"/>
      <c r="AMZ121" s="190"/>
      <c r="ANA121" s="189"/>
      <c r="ANF121" s="188"/>
      <c r="ANG121" s="187"/>
      <c r="ANM121" s="188"/>
      <c r="ANN121" s="187"/>
      <c r="ANT121" s="188"/>
      <c r="ANU121" s="187"/>
      <c r="AOA121" s="188"/>
      <c r="AOB121" s="187"/>
      <c r="AOD121" s="168"/>
      <c r="AOE121" s="189"/>
      <c r="AOH121" s="188"/>
      <c r="AOI121" s="187"/>
      <c r="AOO121" s="188"/>
      <c r="AOP121" s="187"/>
      <c r="AOV121" s="188"/>
      <c r="AOW121" s="187"/>
      <c r="APC121" s="188"/>
      <c r="APD121" s="187"/>
      <c r="API121" s="168"/>
      <c r="APJ121" s="191"/>
      <c r="APK121" s="187"/>
      <c r="APQ121" s="188"/>
      <c r="APR121" s="187"/>
      <c r="APX121" s="188"/>
      <c r="APY121" s="187"/>
      <c r="AQE121" s="188"/>
      <c r="AQF121" s="187"/>
      <c r="AQL121" s="188"/>
      <c r="AQM121" s="187"/>
      <c r="AQN121" s="168"/>
      <c r="AQO121" s="189"/>
      <c r="AQS121" s="188"/>
      <c r="AQT121" s="187"/>
      <c r="AQZ121" s="188"/>
      <c r="ARA121" s="187"/>
      <c r="ARG121" s="188"/>
      <c r="ARH121" s="187"/>
      <c r="ARN121" s="188"/>
      <c r="ARO121" s="187"/>
      <c r="ARP121" s="168"/>
      <c r="ARQ121" s="189"/>
      <c r="ARU121" s="188"/>
      <c r="ARV121" s="187"/>
      <c r="ASB121" s="188"/>
      <c r="ASC121" s="187"/>
      <c r="ASI121" s="188"/>
      <c r="ASJ121" s="187"/>
      <c r="ASP121" s="188"/>
      <c r="ASQ121" s="187"/>
      <c r="ASU121" s="168"/>
      <c r="ASV121" s="189"/>
      <c r="ASW121" s="188"/>
      <c r="ASX121" s="187"/>
      <c r="ATD121" s="188"/>
      <c r="ATE121" s="187"/>
      <c r="ATK121" s="188"/>
      <c r="ATL121" s="187"/>
      <c r="ATR121" s="188"/>
      <c r="ATS121" s="187"/>
      <c r="ATY121" s="168"/>
      <c r="ATZ121" s="189"/>
      <c r="AUF121" s="188"/>
      <c r="AUG121" s="187"/>
      <c r="AUM121" s="188"/>
      <c r="AUN121" s="187"/>
      <c r="AUT121" s="188"/>
      <c r="AUU121" s="187"/>
      <c r="AVA121" s="188"/>
      <c r="AVB121" s="187"/>
      <c r="AVD121" s="168"/>
      <c r="AVE121" s="189"/>
      <c r="AVH121" s="188"/>
      <c r="AVI121" s="187"/>
      <c r="AVO121" s="188"/>
      <c r="AVP121" s="187"/>
      <c r="AVV121" s="188"/>
      <c r="AVW121" s="187"/>
      <c r="AWC121" s="188"/>
      <c r="AWD121" s="187"/>
      <c r="AWH121" s="168"/>
      <c r="AWI121" s="189"/>
      <c r="AWJ121" s="188"/>
      <c r="AWK121" s="187"/>
      <c r="AWQ121" s="188"/>
      <c r="AWR121" s="187"/>
      <c r="AWX121" s="188"/>
      <c r="AWY121" s="187"/>
      <c r="AXE121" s="188"/>
      <c r="AXF121" s="187"/>
      <c r="AXL121" s="188"/>
      <c r="AXM121" s="190"/>
      <c r="AXN121" s="189"/>
      <c r="AXS121" s="188"/>
      <c r="AXT121" s="187"/>
      <c r="AXZ121" s="188"/>
      <c r="AYA121" s="187"/>
      <c r="AYG121" s="188"/>
      <c r="AYH121" s="187"/>
      <c r="AYN121" s="188"/>
      <c r="AYO121" s="187"/>
      <c r="AYR121" s="168"/>
      <c r="AYS121" s="189"/>
      <c r="AYU121" s="188"/>
      <c r="AYV121" s="187"/>
      <c r="AZB121" s="188"/>
      <c r="AZC121" s="187"/>
      <c r="AZI121" s="188"/>
      <c r="AZJ121" s="187"/>
      <c r="AZP121" s="188"/>
      <c r="AZQ121" s="187"/>
      <c r="AZV121" s="168"/>
      <c r="AZW121" s="191"/>
      <c r="AZX121" s="187"/>
      <c r="BAD121" s="188"/>
      <c r="BAE121" s="187"/>
      <c r="BAK121" s="188"/>
      <c r="BAL121" s="187"/>
      <c r="BAR121" s="188"/>
      <c r="BAS121" s="187"/>
      <c r="BAY121" s="188"/>
      <c r="BAZ121" s="187"/>
      <c r="BBA121" s="168"/>
      <c r="BBB121" s="189"/>
      <c r="BBF121" s="188"/>
      <c r="BBG121" s="187"/>
      <c r="BBM121" s="188"/>
      <c r="BBN121" s="187"/>
      <c r="BBT121" s="188"/>
      <c r="BBU121" s="187"/>
      <c r="BCA121" s="188"/>
      <c r="BCB121" s="187"/>
      <c r="BCE121" s="168"/>
      <c r="BCF121" s="189"/>
      <c r="BCH121" s="188"/>
      <c r="BCI121" s="187"/>
      <c r="BCO121" s="188"/>
      <c r="BCP121" s="187"/>
      <c r="BCV121" s="188"/>
      <c r="BCW121" s="187"/>
      <c r="BDC121" s="188"/>
      <c r="BDD121" s="187"/>
      <c r="BDJ121" s="168"/>
      <c r="BDK121" s="189"/>
      <c r="BDQ121" s="188"/>
      <c r="BDR121" s="187"/>
      <c r="BDX121" s="188"/>
      <c r="BDY121" s="187"/>
      <c r="BEE121" s="188"/>
      <c r="BEF121" s="187"/>
      <c r="BEL121" s="188"/>
      <c r="BEM121" s="187"/>
      <c r="BEO121" s="168"/>
      <c r="BEP121" s="189"/>
      <c r="BES121" s="188"/>
      <c r="BET121" s="187"/>
      <c r="BEZ121" s="188"/>
      <c r="BFA121" s="187"/>
      <c r="BFG121" s="188"/>
      <c r="BFH121" s="187"/>
      <c r="BFN121" s="188"/>
      <c r="BFO121" s="187"/>
      <c r="BFQ121" s="168"/>
      <c r="BFR121" s="189"/>
      <c r="BFU121" s="188"/>
      <c r="BFV121" s="187"/>
      <c r="BGB121" s="188"/>
      <c r="BGC121" s="187"/>
      <c r="BGI121" s="188"/>
      <c r="BGJ121" s="187"/>
      <c r="BGP121" s="188"/>
      <c r="BGQ121" s="187"/>
      <c r="BGV121" s="168"/>
      <c r="BGW121" s="191"/>
      <c r="BGX121" s="187"/>
      <c r="BHD121" s="188"/>
      <c r="BHE121" s="187"/>
      <c r="BHK121" s="188"/>
      <c r="BHL121" s="187"/>
      <c r="BHR121" s="188"/>
      <c r="BHS121" s="187"/>
      <c r="BHY121" s="188"/>
      <c r="BHZ121" s="190"/>
      <c r="BIA121" s="189"/>
      <c r="BIF121" s="188"/>
      <c r="BIG121" s="187"/>
      <c r="BIM121" s="188"/>
      <c r="BIN121" s="187"/>
      <c r="BIT121" s="188"/>
      <c r="BIU121" s="187"/>
      <c r="BJA121" s="188"/>
      <c r="BJB121" s="187"/>
      <c r="BJE121" s="168"/>
      <c r="BJF121" s="189"/>
      <c r="BJH121" s="188"/>
      <c r="BJI121" s="187"/>
      <c r="BJO121" s="188"/>
      <c r="BJP121" s="187"/>
      <c r="BJV121" s="188"/>
      <c r="BJW121" s="187"/>
      <c r="BKC121" s="188"/>
      <c r="BKD121" s="187"/>
      <c r="BKI121" s="168"/>
      <c r="BKJ121" s="191"/>
      <c r="BKK121" s="187"/>
      <c r="BKQ121" s="188"/>
      <c r="BKR121" s="187"/>
      <c r="BKX121" s="188"/>
      <c r="BKY121" s="187"/>
      <c r="BLE121" s="188"/>
      <c r="BLF121" s="187"/>
      <c r="BLL121" s="188"/>
      <c r="BLM121" s="187"/>
      <c r="BLN121" s="168"/>
      <c r="BLO121" s="189"/>
      <c r="BLS121" s="188"/>
      <c r="BLT121" s="187"/>
      <c r="BLZ121" s="188"/>
      <c r="BMA121" s="187"/>
      <c r="BMG121" s="188"/>
      <c r="BMH121" s="187"/>
      <c r="BMN121" s="188"/>
      <c r="BMO121" s="187"/>
      <c r="BMS121" s="168"/>
      <c r="BMT121" s="189"/>
      <c r="BMU121" s="188"/>
      <c r="BMV121" s="187"/>
      <c r="BNB121" s="188"/>
      <c r="BNC121" s="187"/>
      <c r="BNI121" s="188"/>
      <c r="BNJ121" s="187"/>
      <c r="BNP121" s="188"/>
      <c r="BNQ121" s="187"/>
      <c r="BNW121" s="168"/>
      <c r="BNX121" s="189"/>
      <c r="BOD121" s="188"/>
      <c r="BOE121" s="187"/>
      <c r="BOK121" s="188"/>
      <c r="BOL121" s="187"/>
      <c r="BOR121" s="188"/>
      <c r="BOS121" s="187"/>
      <c r="BOY121" s="188"/>
      <c r="BOZ121" s="187"/>
      <c r="BPB121" s="168"/>
      <c r="BPC121" s="189"/>
      <c r="BPF121" s="188"/>
      <c r="BPG121" s="187"/>
      <c r="BPM121" s="188"/>
      <c r="BPN121" s="187"/>
      <c r="BPT121" s="188"/>
      <c r="BPU121" s="187"/>
      <c r="BQA121" s="188"/>
      <c r="BQB121" s="187"/>
      <c r="BQF121" s="168"/>
      <c r="BQG121" s="189"/>
      <c r="BQH121" s="188"/>
      <c r="BQI121" s="187"/>
      <c r="BQO121" s="188"/>
      <c r="BQP121" s="187"/>
      <c r="BQV121" s="188"/>
      <c r="BQW121" s="187"/>
      <c r="BRC121" s="188"/>
      <c r="BRD121" s="187"/>
      <c r="BRJ121" s="188"/>
      <c r="BRK121" s="190"/>
      <c r="BRL121" s="189"/>
      <c r="BRQ121" s="188"/>
      <c r="BRR121" s="187"/>
      <c r="BRX121" s="188"/>
      <c r="BRY121" s="187"/>
      <c r="BSE121" s="188"/>
      <c r="BSF121" s="187"/>
      <c r="BSL121" s="188"/>
      <c r="BSM121" s="187"/>
      <c r="BSP121" s="168"/>
      <c r="BSQ121" s="189"/>
      <c r="BSS121" s="188"/>
      <c r="BST121" s="187"/>
      <c r="BSZ121" s="188"/>
      <c r="BTA121" s="187"/>
      <c r="BTG121" s="188"/>
      <c r="BTH121" s="187"/>
      <c r="BTN121" s="188"/>
      <c r="BTO121" s="187"/>
      <c r="BTS121" s="168"/>
      <c r="BTT121" s="189"/>
      <c r="BTU121" s="188"/>
      <c r="BTV121" s="187"/>
      <c r="BUB121" s="188"/>
      <c r="BUC121" s="187"/>
      <c r="BUI121" s="188"/>
      <c r="BUJ121" s="187"/>
      <c r="BUP121" s="188"/>
      <c r="BUQ121" s="187"/>
      <c r="BUW121" s="188"/>
      <c r="BUX121" s="190"/>
      <c r="BUY121" s="189"/>
      <c r="BVD121" s="188"/>
      <c r="BVE121" s="187"/>
      <c r="BVK121" s="188"/>
      <c r="BVL121" s="187"/>
      <c r="BVR121" s="188"/>
      <c r="BVS121" s="187"/>
      <c r="BVY121" s="188"/>
      <c r="BVZ121" s="187"/>
      <c r="BWB121" s="168"/>
      <c r="BWC121" s="189"/>
      <c r="BWF121" s="188"/>
      <c r="BWG121" s="187"/>
      <c r="BWM121" s="188"/>
      <c r="BWN121" s="187"/>
      <c r="BWT121" s="188"/>
      <c r="BWU121" s="187"/>
      <c r="BXA121" s="188"/>
      <c r="BXB121" s="187"/>
      <c r="BXG121" s="168"/>
      <c r="BXH121" s="191"/>
      <c r="BXI121" s="187"/>
      <c r="BXO121" s="188"/>
      <c r="BXP121" s="187"/>
      <c r="BXV121" s="188"/>
      <c r="BXW121" s="187"/>
      <c r="BYC121" s="188"/>
      <c r="BYD121" s="187"/>
      <c r="BYJ121" s="188"/>
      <c r="BYK121" s="190"/>
      <c r="BYL121" s="189"/>
      <c r="BYQ121" s="188"/>
      <c r="BYR121" s="187"/>
      <c r="BYX121" s="188"/>
      <c r="BYY121" s="187"/>
      <c r="BZE121" s="188"/>
      <c r="BZF121" s="187"/>
      <c r="BZL121" s="188"/>
      <c r="BZM121" s="187"/>
      <c r="BZP121" s="168"/>
      <c r="BZQ121" s="189"/>
      <c r="BZS121" s="188"/>
      <c r="BZT121" s="187"/>
      <c r="BZZ121" s="188"/>
      <c r="CAA121" s="187"/>
      <c r="CAG121" s="188"/>
      <c r="CAH121" s="187"/>
      <c r="CAN121" s="188"/>
      <c r="CAO121" s="187"/>
      <c r="CAU121" s="168"/>
      <c r="CAV121" s="189"/>
      <c r="CBB121" s="188"/>
      <c r="CBC121" s="187"/>
      <c r="CBI121" s="188"/>
      <c r="CBJ121" s="187"/>
      <c r="CBP121" s="188"/>
      <c r="CBQ121" s="187"/>
      <c r="CBW121" s="188"/>
      <c r="CBX121" s="187"/>
      <c r="CBY121" s="168"/>
      <c r="CBZ121" s="189"/>
      <c r="CCD121" s="188"/>
      <c r="CCE121" s="187"/>
      <c r="CCK121" s="188"/>
      <c r="CCL121" s="187"/>
      <c r="CCR121" s="188"/>
      <c r="CCS121" s="187"/>
      <c r="CCY121" s="188"/>
      <c r="CCZ121" s="187"/>
      <c r="CDD121" s="168"/>
      <c r="CDE121" s="189"/>
      <c r="CDF121" s="188"/>
      <c r="CDG121" s="187"/>
      <c r="CDM121" s="188"/>
      <c r="CDN121" s="187"/>
      <c r="CDT121" s="188"/>
      <c r="CDU121" s="187"/>
      <c r="CEA121" s="188"/>
      <c r="CEB121" s="187"/>
      <c r="CEH121" s="168"/>
      <c r="CEI121" s="189"/>
      <c r="CEO121" s="188"/>
      <c r="CEP121" s="187"/>
      <c r="CEV121" s="188"/>
      <c r="CEW121" s="187"/>
      <c r="CFC121" s="188"/>
      <c r="CFD121" s="187"/>
      <c r="CFJ121" s="188"/>
      <c r="CFK121" s="187"/>
    </row>
    <row r="122" spans="1:1019 1025:2048 2054:2195">
      <c r="A122" s="164" t="s">
        <v>414</v>
      </c>
      <c r="D122" s="186"/>
      <c r="E122" s="186"/>
      <c r="K122" s="187"/>
      <c r="Q122" s="188"/>
      <c r="R122" s="187"/>
      <c r="X122" s="188"/>
      <c r="Y122" s="187"/>
      <c r="AE122" s="188"/>
      <c r="AF122" s="187"/>
      <c r="AJ122" s="168"/>
      <c r="AK122" s="189"/>
      <c r="AL122" s="188"/>
      <c r="AM122" s="187"/>
      <c r="AS122" s="188"/>
      <c r="AT122" s="187"/>
      <c r="AZ122" s="188"/>
      <c r="BA122" s="187"/>
      <c r="BG122" s="188"/>
      <c r="BH122" s="187"/>
      <c r="BL122" s="168"/>
      <c r="BM122" s="189"/>
      <c r="BN122" s="188"/>
      <c r="BO122" s="187"/>
      <c r="BU122" s="188"/>
      <c r="BV122" s="187"/>
      <c r="CB122" s="188"/>
      <c r="CC122" s="187"/>
      <c r="CI122" s="188"/>
      <c r="CJ122" s="187"/>
      <c r="CP122" s="188"/>
      <c r="CQ122" s="190"/>
      <c r="CR122" s="189"/>
      <c r="CW122" s="188"/>
      <c r="CX122" s="187"/>
      <c r="DD122" s="188"/>
      <c r="DE122" s="187"/>
      <c r="DK122" s="188"/>
      <c r="DL122" s="187"/>
      <c r="DR122" s="188"/>
      <c r="DS122" s="187"/>
      <c r="DU122" s="168"/>
      <c r="DV122" s="189"/>
      <c r="DY122" s="188"/>
      <c r="DZ122" s="187"/>
      <c r="EF122" s="188"/>
      <c r="EG122" s="187"/>
      <c r="EM122" s="188"/>
      <c r="EN122" s="187"/>
      <c r="ET122" s="188"/>
      <c r="EU122" s="187"/>
      <c r="EZ122" s="168"/>
      <c r="FA122" s="191"/>
      <c r="FB122" s="187"/>
      <c r="FH122" s="188"/>
      <c r="FI122" s="187"/>
      <c r="FO122" s="188"/>
      <c r="FP122" s="187"/>
      <c r="FV122" s="188"/>
      <c r="FW122" s="187"/>
      <c r="GC122" s="188"/>
      <c r="GD122" s="190"/>
      <c r="GE122" s="189"/>
      <c r="GJ122" s="188"/>
      <c r="GK122" s="187"/>
      <c r="GQ122" s="188"/>
      <c r="GR122" s="187"/>
      <c r="GX122" s="188"/>
      <c r="GY122" s="187"/>
      <c r="HE122" s="188"/>
      <c r="HF122" s="187"/>
      <c r="HI122" s="168"/>
      <c r="HJ122" s="189"/>
      <c r="HL122" s="188"/>
      <c r="HM122" s="187"/>
      <c r="HS122" s="188"/>
      <c r="HT122" s="187"/>
      <c r="HZ122" s="188"/>
      <c r="IA122" s="187"/>
      <c r="IG122" s="188"/>
      <c r="IH122" s="187"/>
      <c r="IN122" s="168"/>
      <c r="IO122" s="189"/>
      <c r="IU122" s="188"/>
      <c r="IV122" s="187"/>
      <c r="JB122" s="188"/>
      <c r="JC122" s="187"/>
      <c r="JI122" s="188"/>
      <c r="JJ122" s="187"/>
      <c r="JP122" s="188"/>
      <c r="JQ122" s="187"/>
      <c r="JR122" s="168"/>
      <c r="JS122" s="189"/>
      <c r="JW122" s="188"/>
      <c r="JX122" s="187"/>
      <c r="KD122" s="188"/>
      <c r="KE122" s="187"/>
      <c r="KK122" s="188"/>
      <c r="KL122" s="187"/>
      <c r="KR122" s="188"/>
      <c r="KS122" s="187"/>
      <c r="KW122" s="168"/>
      <c r="KX122" s="189"/>
      <c r="KY122" s="188"/>
      <c r="KZ122" s="187"/>
      <c r="LF122" s="188"/>
      <c r="LG122" s="187"/>
      <c r="LM122" s="188"/>
      <c r="LN122" s="187"/>
      <c r="LT122" s="188"/>
      <c r="LU122" s="187"/>
      <c r="MA122" s="168"/>
      <c r="MB122" s="189"/>
      <c r="MH122" s="188"/>
      <c r="MI122" s="187"/>
      <c r="MO122" s="188"/>
      <c r="MP122" s="187"/>
      <c r="MV122" s="188"/>
      <c r="MW122" s="187"/>
      <c r="NC122" s="188"/>
      <c r="ND122" s="187"/>
      <c r="NF122" s="168"/>
      <c r="NG122" s="189"/>
      <c r="NJ122" s="188"/>
      <c r="NK122" s="187"/>
      <c r="NQ122" s="188"/>
      <c r="NR122" s="187"/>
      <c r="NX122" s="188"/>
      <c r="NY122" s="187"/>
      <c r="OE122" s="188"/>
      <c r="OF122" s="187"/>
      <c r="OK122" s="168"/>
      <c r="OL122" s="191"/>
      <c r="OM122" s="187"/>
      <c r="OS122" s="188"/>
      <c r="OT122" s="187"/>
      <c r="OZ122" s="188"/>
      <c r="PA122" s="187"/>
      <c r="PG122" s="188"/>
      <c r="PH122" s="187"/>
      <c r="PN122" s="168"/>
      <c r="PO122" s="189"/>
      <c r="PU122" s="188"/>
      <c r="PV122" s="187"/>
      <c r="QB122" s="188"/>
      <c r="QC122" s="187"/>
      <c r="QI122" s="188"/>
      <c r="QJ122" s="187"/>
      <c r="QP122" s="188"/>
      <c r="QQ122" s="187"/>
      <c r="QS122" s="168"/>
      <c r="QT122" s="189"/>
      <c r="QW122" s="188"/>
      <c r="QX122" s="187"/>
      <c r="RD122" s="188"/>
      <c r="RE122" s="187"/>
      <c r="RK122" s="188"/>
      <c r="RL122" s="187"/>
      <c r="RR122" s="188"/>
      <c r="RS122" s="187"/>
      <c r="RW122" s="168"/>
      <c r="RX122" s="189"/>
      <c r="RY122" s="188"/>
      <c r="RZ122" s="187"/>
      <c r="SF122" s="188"/>
      <c r="SG122" s="187"/>
      <c r="SM122" s="188"/>
      <c r="SN122" s="187"/>
      <c r="ST122" s="188"/>
      <c r="SU122" s="187"/>
      <c r="TA122" s="188"/>
      <c r="TB122" s="190"/>
      <c r="TC122" s="189"/>
      <c r="TH122" s="188"/>
      <c r="TI122" s="187"/>
      <c r="TO122" s="188"/>
      <c r="TP122" s="187"/>
      <c r="TV122" s="188"/>
      <c r="TW122" s="187"/>
      <c r="UC122" s="188"/>
      <c r="UD122" s="187"/>
      <c r="UF122" s="168"/>
      <c r="UG122" s="189"/>
      <c r="UJ122" s="188"/>
      <c r="UK122" s="187"/>
      <c r="UQ122" s="188"/>
      <c r="UR122" s="187"/>
      <c r="UX122" s="188"/>
      <c r="UY122" s="187"/>
      <c r="VE122" s="188"/>
      <c r="VF122" s="187"/>
      <c r="VK122" s="168"/>
      <c r="VL122" s="191"/>
      <c r="VM122" s="187"/>
      <c r="VS122" s="188"/>
      <c r="VT122" s="187"/>
      <c r="VZ122" s="188"/>
      <c r="WA122" s="187"/>
      <c r="WG122" s="188"/>
      <c r="WH122" s="187"/>
      <c r="WN122" s="188"/>
      <c r="WO122" s="187"/>
      <c r="WP122" s="168"/>
      <c r="WQ122" s="189"/>
      <c r="WU122" s="188"/>
      <c r="WV122" s="187"/>
      <c r="XB122" s="188"/>
      <c r="XC122" s="187"/>
      <c r="XI122" s="188"/>
      <c r="XJ122" s="187"/>
      <c r="XP122" s="188"/>
      <c r="XQ122" s="187"/>
      <c r="XT122" s="168"/>
      <c r="XU122" s="189"/>
      <c r="XW122" s="188"/>
      <c r="XX122" s="187"/>
      <c r="YD122" s="188"/>
      <c r="YE122" s="187"/>
      <c r="YK122" s="188"/>
      <c r="YL122" s="187"/>
      <c r="YR122" s="188"/>
      <c r="YS122" s="187"/>
      <c r="YY122" s="168"/>
      <c r="YZ122" s="189"/>
      <c r="ZF122" s="188"/>
      <c r="ZG122" s="187"/>
      <c r="ZM122" s="188"/>
      <c r="ZN122" s="187"/>
      <c r="ZT122" s="188"/>
      <c r="ZU122" s="187"/>
      <c r="AAA122" s="188"/>
      <c r="AAB122" s="187"/>
      <c r="AAC122" s="168"/>
      <c r="AAD122" s="189"/>
      <c r="AAH122" s="188"/>
      <c r="AAI122" s="187"/>
      <c r="AAO122" s="188"/>
      <c r="AAP122" s="187"/>
      <c r="AAV122" s="188"/>
      <c r="AAW122" s="187"/>
      <c r="ABC122" s="188"/>
      <c r="ABD122" s="187"/>
      <c r="ABH122" s="168"/>
      <c r="ABI122" s="189"/>
      <c r="ABJ122" s="188"/>
      <c r="ABK122" s="187"/>
      <c r="ABQ122" s="188"/>
      <c r="ABR122" s="187"/>
      <c r="ABX122" s="188"/>
      <c r="ABY122" s="187"/>
      <c r="ACE122" s="188"/>
      <c r="ACF122" s="187"/>
      <c r="ACL122" s="188"/>
      <c r="ACM122" s="190"/>
      <c r="ACN122" s="189"/>
      <c r="ACS122" s="188"/>
      <c r="ACT122" s="187"/>
      <c r="ACZ122" s="188"/>
      <c r="ADA122" s="187"/>
      <c r="ADG122" s="188"/>
      <c r="ADH122" s="187"/>
      <c r="ADN122" s="188"/>
      <c r="ADO122" s="190"/>
      <c r="ADP122" s="189"/>
      <c r="ADU122" s="188"/>
      <c r="ADV122" s="187"/>
      <c r="AEB122" s="188"/>
      <c r="AEC122" s="187"/>
      <c r="AEI122" s="188"/>
      <c r="AEJ122" s="187"/>
      <c r="AEP122" s="188"/>
      <c r="AEQ122" s="187"/>
      <c r="AET122" s="168"/>
      <c r="AEU122" s="189"/>
      <c r="AEW122" s="188"/>
      <c r="AEX122" s="187"/>
      <c r="AFD122" s="188"/>
      <c r="AFE122" s="187"/>
      <c r="AFK122" s="188"/>
      <c r="AFL122" s="187"/>
      <c r="AFR122" s="188"/>
      <c r="AFS122" s="187"/>
      <c r="AFX122" s="168"/>
      <c r="AFY122" s="191"/>
      <c r="AFZ122" s="187"/>
      <c r="AGF122" s="188"/>
      <c r="AGG122" s="187"/>
      <c r="AGM122" s="188"/>
      <c r="AGN122" s="187"/>
      <c r="AGT122" s="188"/>
      <c r="AGU122" s="187"/>
      <c r="AHA122" s="188"/>
      <c r="AHB122" s="187"/>
      <c r="AHC122" s="168"/>
      <c r="AHD122" s="189"/>
      <c r="AHH122" s="188"/>
      <c r="AHI122" s="187"/>
      <c r="AHO122" s="188"/>
      <c r="AHP122" s="187"/>
      <c r="AHV122" s="188"/>
      <c r="AHW122" s="187"/>
      <c r="AIC122" s="188"/>
      <c r="AID122" s="187"/>
      <c r="AIG122" s="168"/>
      <c r="AIH122" s="189"/>
      <c r="AIJ122" s="188"/>
      <c r="AIK122" s="187"/>
      <c r="AIQ122" s="188"/>
      <c r="AIR122" s="187"/>
      <c r="AIX122" s="188"/>
      <c r="AIY122" s="187"/>
      <c r="AJE122" s="188"/>
      <c r="AJF122" s="187"/>
      <c r="AJL122" s="168"/>
      <c r="AJM122" s="189"/>
      <c r="AJS122" s="188"/>
      <c r="AJT122" s="187"/>
      <c r="AJZ122" s="188"/>
      <c r="AKA122" s="187"/>
      <c r="AKG122" s="188"/>
      <c r="AKH122" s="187"/>
      <c r="AKN122" s="188"/>
      <c r="AKO122" s="187"/>
      <c r="AKQ122" s="168"/>
      <c r="AKR122" s="189"/>
      <c r="AKU122" s="188"/>
      <c r="AKV122" s="187"/>
      <c r="ALB122" s="188"/>
      <c r="ALC122" s="187"/>
      <c r="ALI122" s="188"/>
      <c r="ALJ122" s="187"/>
      <c r="ALP122" s="188"/>
      <c r="ALQ122" s="187"/>
      <c r="ALU122" s="168"/>
      <c r="ALV122" s="189"/>
      <c r="ALW122" s="188"/>
      <c r="ALX122" s="187"/>
      <c r="AMD122" s="188"/>
      <c r="AME122" s="187"/>
      <c r="AMK122" s="188"/>
      <c r="AML122" s="187"/>
      <c r="AMR122" s="188"/>
      <c r="AMS122" s="187"/>
      <c r="AMY122" s="188"/>
      <c r="AMZ122" s="190"/>
      <c r="ANA122" s="189"/>
      <c r="ANF122" s="188"/>
      <c r="ANG122" s="187"/>
      <c r="ANM122" s="188"/>
      <c r="ANN122" s="187"/>
      <c r="ANT122" s="188"/>
      <c r="ANU122" s="187"/>
      <c r="AOA122" s="188"/>
      <c r="AOB122" s="187"/>
      <c r="AOD122" s="168"/>
      <c r="AOE122" s="189"/>
      <c r="AOH122" s="188"/>
      <c r="AOI122" s="187"/>
      <c r="AOO122" s="188"/>
      <c r="AOP122" s="187"/>
      <c r="AOV122" s="188"/>
      <c r="AOW122" s="187"/>
      <c r="APC122" s="188"/>
      <c r="APD122" s="187"/>
      <c r="API122" s="168"/>
      <c r="APJ122" s="191"/>
      <c r="APK122" s="187"/>
      <c r="APQ122" s="188"/>
      <c r="APR122" s="187"/>
      <c r="APX122" s="188"/>
      <c r="APY122" s="187"/>
      <c r="AQE122" s="188"/>
      <c r="AQF122" s="187"/>
      <c r="AQL122" s="188"/>
      <c r="AQM122" s="187"/>
      <c r="AQN122" s="168"/>
      <c r="AQO122" s="189"/>
      <c r="AQS122" s="188"/>
      <c r="AQT122" s="187"/>
      <c r="AQZ122" s="188"/>
      <c r="ARA122" s="187"/>
      <c r="ARG122" s="188"/>
      <c r="ARH122" s="187"/>
      <c r="ARN122" s="188"/>
      <c r="ARO122" s="187"/>
      <c r="ARP122" s="168"/>
      <c r="ARQ122" s="189"/>
      <c r="ARU122" s="188"/>
      <c r="ARV122" s="187"/>
      <c r="ASB122" s="188"/>
      <c r="ASC122" s="187"/>
      <c r="ASI122" s="188"/>
      <c r="ASJ122" s="187"/>
      <c r="ASP122" s="188"/>
      <c r="ASQ122" s="187"/>
      <c r="ASU122" s="168"/>
      <c r="ASV122" s="189"/>
      <c r="ASW122" s="188"/>
      <c r="ASX122" s="187"/>
      <c r="ATD122" s="188"/>
      <c r="ATE122" s="187"/>
      <c r="ATK122" s="188"/>
      <c r="ATL122" s="187"/>
      <c r="ATR122" s="188"/>
      <c r="ATS122" s="187"/>
      <c r="ATY122" s="168"/>
      <c r="ATZ122" s="189"/>
      <c r="AUF122" s="188"/>
      <c r="AUG122" s="187"/>
      <c r="AUM122" s="188"/>
      <c r="AUN122" s="187"/>
      <c r="AUT122" s="188"/>
      <c r="AUU122" s="187"/>
      <c r="AVA122" s="188"/>
      <c r="AVB122" s="187"/>
      <c r="AVD122" s="168"/>
      <c r="AVE122" s="189"/>
      <c r="AVH122" s="188"/>
      <c r="AVI122" s="187"/>
      <c r="AVO122" s="188"/>
      <c r="AVP122" s="187"/>
      <c r="AVV122" s="188"/>
      <c r="AVW122" s="187"/>
      <c r="AWC122" s="188"/>
      <c r="AWD122" s="187"/>
      <c r="AWH122" s="168"/>
      <c r="AWI122" s="189"/>
      <c r="AWJ122" s="188"/>
      <c r="AWK122" s="187"/>
      <c r="AWQ122" s="188"/>
      <c r="AWR122" s="187"/>
      <c r="AWX122" s="188"/>
      <c r="AWY122" s="187"/>
      <c r="AXE122" s="188"/>
      <c r="AXF122" s="187"/>
      <c r="AXL122" s="188"/>
      <c r="AXM122" s="190"/>
      <c r="AXN122" s="189"/>
      <c r="AXS122" s="188"/>
      <c r="AXT122" s="187"/>
      <c r="AXZ122" s="188"/>
      <c r="AYA122" s="187"/>
      <c r="AYG122" s="188"/>
      <c r="AYH122" s="187"/>
      <c r="AYN122" s="188"/>
      <c r="AYO122" s="187"/>
      <c r="AYR122" s="168"/>
      <c r="AYS122" s="189"/>
      <c r="AYU122" s="188"/>
      <c r="AYV122" s="187"/>
      <c r="AZB122" s="188"/>
      <c r="AZC122" s="187"/>
      <c r="AZI122" s="188"/>
      <c r="AZJ122" s="187"/>
      <c r="AZP122" s="188"/>
      <c r="AZQ122" s="187"/>
      <c r="AZV122" s="168"/>
      <c r="AZW122" s="191"/>
      <c r="AZX122" s="187"/>
      <c r="BAD122" s="188"/>
      <c r="BAE122" s="187"/>
      <c r="BAK122" s="188"/>
      <c r="BAL122" s="187"/>
      <c r="BAR122" s="188"/>
      <c r="BAS122" s="187"/>
      <c r="BAY122" s="188"/>
      <c r="BAZ122" s="187"/>
      <c r="BBA122" s="168"/>
      <c r="BBB122" s="189"/>
      <c r="BBF122" s="188"/>
      <c r="BBG122" s="187"/>
      <c r="BBM122" s="188"/>
      <c r="BBN122" s="187"/>
      <c r="BBT122" s="188"/>
      <c r="BBU122" s="187"/>
      <c r="BCA122" s="188"/>
      <c r="BCB122" s="187"/>
      <c r="BCE122" s="168"/>
      <c r="BCF122" s="189"/>
      <c r="BCH122" s="188"/>
      <c r="BCI122" s="187"/>
      <c r="BCO122" s="188"/>
      <c r="BCP122" s="187"/>
      <c r="BCV122" s="188"/>
      <c r="BCW122" s="187"/>
      <c r="BDC122" s="188"/>
      <c r="BDD122" s="187"/>
      <c r="BDJ122" s="168"/>
      <c r="BDK122" s="189"/>
      <c r="BDQ122" s="188"/>
      <c r="BDR122" s="187"/>
      <c r="BDX122" s="188"/>
      <c r="BDY122" s="187"/>
      <c r="BEE122" s="188"/>
      <c r="BEF122" s="187"/>
      <c r="BEL122" s="188"/>
      <c r="BEM122" s="187"/>
      <c r="BEO122" s="168"/>
      <c r="BEP122" s="189"/>
      <c r="BES122" s="188"/>
      <c r="BET122" s="187"/>
      <c r="BEZ122" s="188"/>
      <c r="BFA122" s="187"/>
      <c r="BFG122" s="188"/>
      <c r="BFH122" s="187"/>
      <c r="BFN122" s="188"/>
      <c r="BFO122" s="187"/>
      <c r="BFQ122" s="168"/>
      <c r="BFR122" s="189"/>
      <c r="BFU122" s="188"/>
      <c r="BFV122" s="187"/>
      <c r="BGB122" s="188"/>
      <c r="BGC122" s="187"/>
      <c r="BGI122" s="188"/>
      <c r="BGJ122" s="187"/>
      <c r="BGP122" s="188"/>
      <c r="BGQ122" s="187"/>
      <c r="BGV122" s="168"/>
      <c r="BGW122" s="191"/>
      <c r="BGX122" s="187"/>
      <c r="BHD122" s="188"/>
      <c r="BHE122" s="187"/>
      <c r="BHK122" s="188"/>
      <c r="BHL122" s="187"/>
      <c r="BHR122" s="188"/>
      <c r="BHS122" s="187"/>
      <c r="BHY122" s="188"/>
      <c r="BHZ122" s="190"/>
      <c r="BIA122" s="189"/>
      <c r="BIF122" s="188"/>
      <c r="BIG122" s="187"/>
      <c r="BIM122" s="188"/>
      <c r="BIN122" s="187"/>
      <c r="BIT122" s="188"/>
      <c r="BIU122" s="187"/>
      <c r="BJA122" s="188"/>
      <c r="BJB122" s="187"/>
      <c r="BJE122" s="168"/>
      <c r="BJF122" s="189"/>
      <c r="BJH122" s="188"/>
      <c r="BJI122" s="187"/>
      <c r="BJO122" s="188"/>
      <c r="BJP122" s="187"/>
      <c r="BJV122" s="188"/>
      <c r="BJW122" s="187"/>
      <c r="BKC122" s="188"/>
      <c r="BKD122" s="187"/>
      <c r="BKI122" s="168"/>
      <c r="BKJ122" s="191"/>
      <c r="BKK122" s="187"/>
      <c r="BKQ122" s="188"/>
      <c r="BKR122" s="187"/>
      <c r="BKX122" s="188"/>
      <c r="BKY122" s="187"/>
      <c r="BLE122" s="188"/>
      <c r="BLF122" s="187"/>
      <c r="BLL122" s="188"/>
      <c r="BLM122" s="187"/>
      <c r="BLN122" s="168"/>
      <c r="BLO122" s="189"/>
      <c r="BLS122" s="188"/>
      <c r="BLT122" s="187"/>
      <c r="BLZ122" s="188"/>
      <c r="BMA122" s="187"/>
      <c r="BMG122" s="188"/>
      <c r="BMH122" s="187"/>
      <c r="BMN122" s="188"/>
      <c r="BMO122" s="187"/>
      <c r="BMS122" s="168"/>
      <c r="BMT122" s="189"/>
      <c r="BMU122" s="188"/>
      <c r="BMV122" s="187"/>
      <c r="BNB122" s="188"/>
      <c r="BNC122" s="187"/>
      <c r="BNI122" s="188"/>
      <c r="BNJ122" s="187"/>
      <c r="BNP122" s="188"/>
      <c r="BNQ122" s="187"/>
      <c r="BNW122" s="168"/>
      <c r="BNX122" s="189"/>
      <c r="BOD122" s="188"/>
      <c r="BOE122" s="187"/>
      <c r="BOK122" s="188"/>
      <c r="BOL122" s="187"/>
      <c r="BOR122" s="188"/>
      <c r="BOS122" s="187"/>
      <c r="BOY122" s="188"/>
      <c r="BOZ122" s="187"/>
      <c r="BPB122" s="168"/>
      <c r="BPC122" s="189"/>
      <c r="BPF122" s="188"/>
      <c r="BPG122" s="187"/>
      <c r="BPM122" s="188"/>
      <c r="BPN122" s="187"/>
      <c r="BPT122" s="188"/>
      <c r="BPU122" s="187"/>
      <c r="BQA122" s="188"/>
      <c r="BQB122" s="187"/>
      <c r="BQF122" s="168"/>
      <c r="BQG122" s="189"/>
      <c r="BQH122" s="188"/>
      <c r="BQI122" s="187"/>
      <c r="BQO122" s="188"/>
      <c r="BQP122" s="187"/>
      <c r="BQV122" s="188"/>
      <c r="BQW122" s="187"/>
      <c r="BRC122" s="188"/>
      <c r="BRD122" s="187"/>
      <c r="BRJ122" s="188"/>
      <c r="BRK122" s="190"/>
      <c r="BRL122" s="189"/>
      <c r="BRQ122" s="188"/>
      <c r="BRR122" s="187"/>
      <c r="BRX122" s="188"/>
      <c r="BRY122" s="187"/>
      <c r="BSE122" s="188"/>
      <c r="BSF122" s="187"/>
      <c r="BSL122" s="188"/>
      <c r="BSM122" s="187"/>
      <c r="BSP122" s="168"/>
      <c r="BSQ122" s="189"/>
      <c r="BSS122" s="188"/>
      <c r="BST122" s="187"/>
      <c r="BSZ122" s="188"/>
      <c r="BTA122" s="187"/>
      <c r="BTG122" s="188"/>
      <c r="BTH122" s="187"/>
      <c r="BTN122" s="188"/>
      <c r="BTO122" s="187"/>
      <c r="BTS122" s="168"/>
      <c r="BTT122" s="189"/>
      <c r="BTU122" s="188"/>
      <c r="BTV122" s="187"/>
      <c r="BUB122" s="188"/>
      <c r="BUC122" s="187"/>
      <c r="BUI122" s="188"/>
      <c r="BUJ122" s="187"/>
      <c r="BUP122" s="188"/>
      <c r="BUQ122" s="187"/>
      <c r="BUW122" s="188"/>
      <c r="BUX122" s="190"/>
      <c r="BUY122" s="189"/>
      <c r="BVD122" s="188"/>
      <c r="BVE122" s="187"/>
      <c r="BVK122" s="188"/>
      <c r="BVL122" s="187"/>
      <c r="BVR122" s="188"/>
      <c r="BVS122" s="187"/>
      <c r="BVY122" s="188"/>
      <c r="BVZ122" s="187"/>
      <c r="BWB122" s="168"/>
      <c r="BWC122" s="189"/>
      <c r="BWF122" s="188"/>
      <c r="BWG122" s="187"/>
      <c r="BWM122" s="188"/>
      <c r="BWN122" s="187"/>
      <c r="BWT122" s="188"/>
      <c r="BWU122" s="187"/>
      <c r="BXA122" s="188"/>
      <c r="BXB122" s="187"/>
      <c r="BXG122" s="168"/>
      <c r="BXH122" s="191"/>
      <c r="BXI122" s="187"/>
      <c r="BXO122" s="188"/>
      <c r="BXP122" s="187"/>
      <c r="BXV122" s="188"/>
      <c r="BXW122" s="187"/>
      <c r="BYC122" s="188"/>
      <c r="BYD122" s="187"/>
      <c r="BYJ122" s="188"/>
      <c r="BYK122" s="190"/>
      <c r="BYL122" s="189"/>
      <c r="BYQ122" s="188"/>
      <c r="BYR122" s="187"/>
      <c r="BYX122" s="188"/>
      <c r="BYY122" s="187"/>
      <c r="BZE122" s="188"/>
      <c r="BZF122" s="187"/>
      <c r="BZL122" s="188"/>
      <c r="BZM122" s="187"/>
      <c r="BZP122" s="168"/>
      <c r="BZQ122" s="189"/>
      <c r="BZS122" s="188"/>
      <c r="BZT122" s="187"/>
      <c r="BZZ122" s="188"/>
      <c r="CAA122" s="187"/>
      <c r="CAG122" s="188"/>
      <c r="CAH122" s="187"/>
      <c r="CAN122" s="188"/>
      <c r="CAO122" s="187"/>
      <c r="CAU122" s="168"/>
      <c r="CAV122" s="189"/>
      <c r="CBB122" s="188"/>
      <c r="CBC122" s="187"/>
      <c r="CBI122" s="188"/>
      <c r="CBJ122" s="187"/>
      <c r="CBP122" s="188"/>
      <c r="CBQ122" s="187"/>
      <c r="CBW122" s="188"/>
      <c r="CBX122" s="187"/>
      <c r="CBY122" s="168"/>
      <c r="CBZ122" s="189"/>
      <c r="CCD122" s="188"/>
      <c r="CCE122" s="187"/>
      <c r="CCK122" s="188"/>
      <c r="CCL122" s="187"/>
      <c r="CCR122" s="188"/>
      <c r="CCS122" s="187"/>
      <c r="CCY122" s="188"/>
      <c r="CCZ122" s="187"/>
      <c r="CDD122" s="168"/>
      <c r="CDE122" s="189"/>
      <c r="CDF122" s="188"/>
      <c r="CDG122" s="187"/>
      <c r="CDM122" s="188"/>
      <c r="CDN122" s="187"/>
      <c r="CDT122" s="188"/>
      <c r="CDU122" s="187"/>
      <c r="CEA122" s="188"/>
      <c r="CEB122" s="187"/>
      <c r="CEH122" s="168"/>
      <c r="CEI122" s="189"/>
      <c r="CEO122" s="188"/>
      <c r="CEP122" s="187"/>
      <c r="CEV122" s="188"/>
      <c r="CEW122" s="187"/>
      <c r="CFC122" s="188"/>
      <c r="CFD122" s="187"/>
      <c r="CFJ122" s="188"/>
      <c r="CFK122" s="187"/>
    </row>
    <row r="123" spans="1:1019 1025:2048 2054:2195">
      <c r="A123" s="164" t="s">
        <v>415</v>
      </c>
      <c r="D123" s="186"/>
      <c r="E123" s="186"/>
      <c r="K123" s="187"/>
      <c r="Q123" s="188"/>
      <c r="R123" s="187"/>
      <c r="X123" s="188"/>
      <c r="Y123" s="187"/>
      <c r="AE123" s="188"/>
      <c r="AF123" s="187"/>
      <c r="AJ123" s="168"/>
      <c r="AK123" s="189"/>
      <c r="AL123" s="188"/>
      <c r="AM123" s="187"/>
      <c r="AS123" s="188"/>
      <c r="AT123" s="187"/>
      <c r="AZ123" s="188"/>
      <c r="BA123" s="187"/>
      <c r="BG123" s="188"/>
      <c r="BH123" s="187"/>
      <c r="BL123" s="168"/>
      <c r="BM123" s="189"/>
      <c r="BN123" s="188"/>
      <c r="BO123" s="187"/>
      <c r="BU123" s="188"/>
      <c r="BV123" s="187"/>
      <c r="CB123" s="188"/>
      <c r="CC123" s="187"/>
      <c r="CI123" s="188"/>
      <c r="CJ123" s="187"/>
      <c r="CP123" s="188"/>
      <c r="CQ123" s="190"/>
      <c r="CR123" s="189"/>
      <c r="CW123" s="188"/>
      <c r="CX123" s="187"/>
      <c r="DD123" s="188"/>
      <c r="DE123" s="187"/>
      <c r="DK123" s="188"/>
      <c r="DL123" s="187"/>
      <c r="DR123" s="188"/>
      <c r="DS123" s="187"/>
      <c r="DU123" s="168"/>
      <c r="DV123" s="189"/>
      <c r="DY123" s="188"/>
      <c r="DZ123" s="187"/>
      <c r="EF123" s="188"/>
      <c r="EG123" s="187"/>
      <c r="EM123" s="188"/>
      <c r="EN123" s="187"/>
      <c r="ET123" s="188"/>
      <c r="EU123" s="187"/>
      <c r="EZ123" s="168"/>
      <c r="FA123" s="191"/>
      <c r="FB123" s="187"/>
      <c r="FH123" s="188"/>
      <c r="FI123" s="187"/>
      <c r="FO123" s="188"/>
      <c r="FP123" s="187"/>
      <c r="FV123" s="188"/>
      <c r="FW123" s="187"/>
      <c r="GC123" s="188"/>
      <c r="GD123" s="190"/>
      <c r="GE123" s="189"/>
      <c r="GJ123" s="188"/>
      <c r="GK123" s="187"/>
      <c r="GQ123" s="188"/>
      <c r="GR123" s="187"/>
      <c r="GX123" s="188"/>
      <c r="GY123" s="187"/>
      <c r="HE123" s="188"/>
      <c r="HF123" s="187"/>
      <c r="HI123" s="168"/>
      <c r="HJ123" s="189"/>
      <c r="HL123" s="188"/>
      <c r="HM123" s="187"/>
      <c r="HS123" s="188"/>
      <c r="HT123" s="187"/>
      <c r="HZ123" s="188"/>
      <c r="IA123" s="187"/>
      <c r="IG123" s="188"/>
      <c r="IH123" s="187"/>
      <c r="IN123" s="168"/>
      <c r="IO123" s="189"/>
      <c r="IU123" s="188"/>
      <c r="IV123" s="187"/>
      <c r="JB123" s="188"/>
      <c r="JC123" s="187"/>
      <c r="JI123" s="188"/>
      <c r="JJ123" s="187"/>
      <c r="JP123" s="188"/>
      <c r="JQ123" s="187"/>
      <c r="JR123" s="168"/>
      <c r="JS123" s="189"/>
      <c r="JW123" s="188"/>
      <c r="JX123" s="187"/>
      <c r="KD123" s="188"/>
      <c r="KE123" s="187"/>
      <c r="KK123" s="188"/>
      <c r="KL123" s="187"/>
      <c r="KR123" s="188"/>
      <c r="KS123" s="187"/>
      <c r="KW123" s="168"/>
      <c r="KX123" s="189"/>
      <c r="KY123" s="188"/>
      <c r="KZ123" s="187"/>
      <c r="LF123" s="188"/>
      <c r="LG123" s="187"/>
      <c r="LM123" s="188"/>
      <c r="LN123" s="187"/>
      <c r="LT123" s="188"/>
      <c r="LU123" s="187"/>
      <c r="MA123" s="168"/>
      <c r="MB123" s="189"/>
      <c r="MH123" s="188"/>
      <c r="MI123" s="187"/>
      <c r="MO123" s="188"/>
      <c r="MP123" s="187"/>
      <c r="MV123" s="188"/>
      <c r="MW123" s="187"/>
      <c r="NC123" s="188"/>
      <c r="ND123" s="187"/>
      <c r="NF123" s="168"/>
      <c r="NG123" s="189"/>
      <c r="NJ123" s="188"/>
      <c r="NK123" s="187"/>
      <c r="NQ123" s="188"/>
      <c r="NR123" s="187"/>
      <c r="NX123" s="188"/>
      <c r="NY123" s="187"/>
      <c r="OE123" s="188"/>
      <c r="OF123" s="187"/>
      <c r="OK123" s="168"/>
      <c r="OL123" s="191"/>
      <c r="OM123" s="187"/>
      <c r="OS123" s="188"/>
      <c r="OT123" s="187"/>
      <c r="OZ123" s="188"/>
      <c r="PA123" s="187"/>
      <c r="PG123" s="188"/>
      <c r="PH123" s="187"/>
      <c r="PN123" s="168"/>
      <c r="PO123" s="189"/>
      <c r="PU123" s="188"/>
      <c r="PV123" s="187"/>
      <c r="QB123" s="188"/>
      <c r="QC123" s="187"/>
      <c r="QI123" s="188"/>
      <c r="QJ123" s="187"/>
      <c r="QP123" s="188"/>
      <c r="QQ123" s="187"/>
      <c r="QS123" s="168"/>
      <c r="QT123" s="189"/>
      <c r="QW123" s="188"/>
      <c r="QX123" s="187"/>
      <c r="RD123" s="188"/>
      <c r="RE123" s="187"/>
      <c r="RK123" s="188"/>
      <c r="RL123" s="187"/>
      <c r="RR123" s="188"/>
      <c r="RS123" s="187"/>
      <c r="RW123" s="168"/>
      <c r="RX123" s="189"/>
      <c r="RY123" s="188"/>
      <c r="RZ123" s="187"/>
      <c r="SF123" s="188"/>
      <c r="SG123" s="187"/>
      <c r="SM123" s="188"/>
      <c r="SN123" s="187"/>
      <c r="ST123" s="188"/>
      <c r="SU123" s="187"/>
      <c r="TA123" s="188"/>
      <c r="TB123" s="190"/>
      <c r="TC123" s="189"/>
      <c r="TH123" s="188"/>
      <c r="TI123" s="187"/>
      <c r="TO123" s="188"/>
      <c r="TP123" s="187"/>
      <c r="TV123" s="188"/>
      <c r="TW123" s="187"/>
      <c r="UC123" s="188"/>
      <c r="UD123" s="187"/>
      <c r="UF123" s="168"/>
      <c r="UG123" s="189"/>
      <c r="UJ123" s="188"/>
      <c r="UK123" s="187"/>
      <c r="UQ123" s="188"/>
      <c r="UR123" s="187"/>
      <c r="UX123" s="188"/>
      <c r="UY123" s="187"/>
      <c r="VE123" s="188"/>
      <c r="VF123" s="187"/>
      <c r="VK123" s="168"/>
      <c r="VL123" s="191"/>
      <c r="VM123" s="187"/>
      <c r="VS123" s="188"/>
      <c r="VT123" s="187"/>
      <c r="VZ123" s="188"/>
      <c r="WA123" s="187"/>
      <c r="WG123" s="188"/>
      <c r="WH123" s="187"/>
      <c r="WN123" s="188"/>
      <c r="WO123" s="187"/>
      <c r="WP123" s="168"/>
      <c r="WQ123" s="189"/>
      <c r="WU123" s="188"/>
      <c r="WV123" s="187"/>
      <c r="XB123" s="188"/>
      <c r="XC123" s="187"/>
      <c r="XI123" s="188"/>
      <c r="XJ123" s="187"/>
      <c r="XP123" s="188"/>
      <c r="XQ123" s="187"/>
      <c r="XT123" s="168"/>
      <c r="XU123" s="189"/>
      <c r="XW123" s="188"/>
      <c r="XX123" s="187"/>
      <c r="YD123" s="188"/>
      <c r="YE123" s="187"/>
      <c r="YK123" s="188"/>
      <c r="YL123" s="187"/>
      <c r="YR123" s="188"/>
      <c r="YS123" s="187"/>
      <c r="YY123" s="168"/>
      <c r="YZ123" s="189"/>
      <c r="ZF123" s="188"/>
      <c r="ZG123" s="187"/>
      <c r="ZM123" s="188"/>
      <c r="ZN123" s="187"/>
      <c r="ZT123" s="188"/>
      <c r="ZU123" s="187"/>
      <c r="AAA123" s="188"/>
      <c r="AAB123" s="187"/>
      <c r="AAC123" s="168"/>
      <c r="AAD123" s="189"/>
      <c r="AAH123" s="188"/>
      <c r="AAI123" s="187"/>
      <c r="AAO123" s="188"/>
      <c r="AAP123" s="187"/>
      <c r="AAV123" s="188"/>
      <c r="AAW123" s="187"/>
      <c r="ABC123" s="188"/>
      <c r="ABD123" s="187"/>
      <c r="ABH123" s="168"/>
      <c r="ABI123" s="189"/>
      <c r="ABJ123" s="188"/>
      <c r="ABK123" s="187"/>
      <c r="ABQ123" s="188"/>
      <c r="ABR123" s="187"/>
      <c r="ABX123" s="188"/>
      <c r="ABY123" s="187"/>
      <c r="ACE123" s="188"/>
      <c r="ACF123" s="187"/>
      <c r="ACL123" s="188"/>
      <c r="ACM123" s="190"/>
      <c r="ACN123" s="189"/>
      <c r="ACS123" s="188"/>
      <c r="ACT123" s="187"/>
      <c r="ACZ123" s="188"/>
      <c r="ADA123" s="187"/>
      <c r="ADG123" s="188"/>
      <c r="ADH123" s="187"/>
      <c r="ADN123" s="188"/>
      <c r="ADO123" s="190"/>
      <c r="ADP123" s="189"/>
      <c r="ADU123" s="188"/>
      <c r="ADV123" s="187"/>
      <c r="AEB123" s="188"/>
      <c r="AEC123" s="187"/>
      <c r="AEI123" s="188"/>
      <c r="AEJ123" s="187"/>
      <c r="AEP123" s="188"/>
      <c r="AEQ123" s="187"/>
      <c r="AET123" s="168"/>
      <c r="AEU123" s="189"/>
      <c r="AEW123" s="188"/>
      <c r="AEX123" s="187"/>
      <c r="AFD123" s="188"/>
      <c r="AFE123" s="187"/>
      <c r="AFK123" s="188"/>
      <c r="AFL123" s="187"/>
      <c r="AFR123" s="188"/>
      <c r="AFS123" s="187"/>
      <c r="AFX123" s="168"/>
      <c r="AFY123" s="191"/>
      <c r="AFZ123" s="187"/>
      <c r="AGF123" s="188"/>
      <c r="AGG123" s="187"/>
      <c r="AGM123" s="188"/>
      <c r="AGN123" s="187"/>
      <c r="AGT123" s="188"/>
      <c r="AGU123" s="187"/>
      <c r="AHA123" s="188"/>
      <c r="AHB123" s="187"/>
      <c r="AHC123" s="168"/>
      <c r="AHD123" s="189"/>
      <c r="AHH123" s="188"/>
      <c r="AHI123" s="187"/>
      <c r="AHO123" s="188"/>
      <c r="AHP123" s="187"/>
      <c r="AHV123" s="188"/>
      <c r="AHW123" s="187"/>
      <c r="AIC123" s="188"/>
      <c r="AID123" s="187"/>
      <c r="AIG123" s="168"/>
      <c r="AIH123" s="189"/>
      <c r="AIJ123" s="188"/>
      <c r="AIK123" s="187"/>
      <c r="AIQ123" s="188"/>
      <c r="AIR123" s="187"/>
      <c r="AIX123" s="188"/>
      <c r="AIY123" s="187"/>
      <c r="AJE123" s="188"/>
      <c r="AJF123" s="187"/>
      <c r="AJL123" s="168"/>
      <c r="AJM123" s="189"/>
      <c r="AJS123" s="188"/>
      <c r="AJT123" s="187"/>
      <c r="AJZ123" s="188"/>
      <c r="AKA123" s="187"/>
      <c r="AKG123" s="188"/>
      <c r="AKH123" s="187"/>
      <c r="AKN123" s="188"/>
      <c r="AKO123" s="187"/>
      <c r="AKQ123" s="168"/>
      <c r="AKR123" s="189"/>
      <c r="AKU123" s="188"/>
      <c r="AKV123" s="187"/>
      <c r="ALB123" s="188"/>
      <c r="ALC123" s="187"/>
      <c r="ALI123" s="188"/>
      <c r="ALJ123" s="187"/>
      <c r="ALP123" s="188"/>
      <c r="ALQ123" s="187"/>
      <c r="ALU123" s="168"/>
      <c r="ALV123" s="189"/>
      <c r="ALW123" s="188"/>
      <c r="ALX123" s="187"/>
      <c r="AMD123" s="188"/>
      <c r="AME123" s="187"/>
      <c r="AMK123" s="188"/>
      <c r="AML123" s="187"/>
      <c r="AMR123" s="188"/>
      <c r="AMS123" s="187"/>
      <c r="AMY123" s="188"/>
      <c r="AMZ123" s="190"/>
      <c r="ANA123" s="189"/>
      <c r="ANF123" s="188"/>
      <c r="ANG123" s="187"/>
      <c r="ANM123" s="188"/>
      <c r="ANN123" s="187"/>
      <c r="ANT123" s="188"/>
      <c r="ANU123" s="187"/>
      <c r="AOA123" s="188"/>
      <c r="AOB123" s="187"/>
      <c r="AOD123" s="168"/>
      <c r="AOE123" s="189"/>
      <c r="AOH123" s="188"/>
      <c r="AOI123" s="187"/>
      <c r="AOO123" s="188"/>
      <c r="AOP123" s="187"/>
      <c r="AOV123" s="188"/>
      <c r="AOW123" s="187"/>
      <c r="APC123" s="188"/>
      <c r="APD123" s="187"/>
      <c r="API123" s="168"/>
      <c r="APJ123" s="191"/>
      <c r="APK123" s="187"/>
      <c r="APQ123" s="188"/>
      <c r="APR123" s="187"/>
      <c r="APX123" s="188"/>
      <c r="APY123" s="187"/>
      <c r="AQE123" s="188"/>
      <c r="AQF123" s="187"/>
      <c r="AQL123" s="188"/>
      <c r="AQM123" s="187"/>
      <c r="AQN123" s="168"/>
      <c r="AQO123" s="189"/>
      <c r="AQS123" s="188"/>
      <c r="AQT123" s="187"/>
      <c r="AQZ123" s="188"/>
      <c r="ARA123" s="187"/>
      <c r="ARG123" s="188"/>
      <c r="ARH123" s="187"/>
      <c r="ARN123" s="188"/>
      <c r="ARO123" s="187"/>
      <c r="ARP123" s="168"/>
      <c r="ARQ123" s="189"/>
      <c r="ARU123" s="188"/>
      <c r="ARV123" s="187"/>
      <c r="ASB123" s="188"/>
      <c r="ASC123" s="187"/>
      <c r="ASI123" s="188"/>
      <c r="ASJ123" s="187"/>
      <c r="ASP123" s="188"/>
      <c r="ASQ123" s="187"/>
      <c r="ASU123" s="168"/>
      <c r="ASV123" s="189"/>
      <c r="ASW123" s="188"/>
      <c r="ASX123" s="187"/>
      <c r="ATD123" s="188"/>
      <c r="ATE123" s="187"/>
      <c r="ATK123" s="188"/>
      <c r="ATL123" s="187"/>
      <c r="ATR123" s="188"/>
      <c r="ATS123" s="187"/>
      <c r="ATY123" s="168"/>
      <c r="ATZ123" s="189"/>
      <c r="AUF123" s="188"/>
      <c r="AUG123" s="187"/>
      <c r="AUM123" s="188"/>
      <c r="AUN123" s="187"/>
      <c r="AUT123" s="188"/>
      <c r="AUU123" s="187"/>
      <c r="AVA123" s="188"/>
      <c r="AVB123" s="187"/>
      <c r="AVD123" s="168"/>
      <c r="AVE123" s="189"/>
      <c r="AVH123" s="188"/>
      <c r="AVI123" s="187"/>
      <c r="AVO123" s="188"/>
      <c r="AVP123" s="187"/>
      <c r="AVV123" s="188"/>
      <c r="AVW123" s="187"/>
      <c r="AWC123" s="188"/>
      <c r="AWD123" s="187"/>
      <c r="AWH123" s="168"/>
      <c r="AWI123" s="189"/>
      <c r="AWJ123" s="188"/>
      <c r="AWK123" s="187"/>
      <c r="AWQ123" s="188"/>
      <c r="AWR123" s="187"/>
      <c r="AWX123" s="188"/>
      <c r="AWY123" s="187"/>
      <c r="AXE123" s="188"/>
      <c r="AXF123" s="187"/>
      <c r="AXL123" s="188"/>
      <c r="AXM123" s="190"/>
      <c r="AXN123" s="189"/>
      <c r="AXS123" s="188"/>
      <c r="AXT123" s="187"/>
      <c r="AXZ123" s="188"/>
      <c r="AYA123" s="187"/>
      <c r="AYG123" s="188"/>
      <c r="AYH123" s="187"/>
      <c r="AYN123" s="188"/>
      <c r="AYO123" s="187"/>
      <c r="AYR123" s="168"/>
      <c r="AYS123" s="189"/>
      <c r="AYU123" s="188"/>
      <c r="AYV123" s="187"/>
      <c r="AZB123" s="188"/>
      <c r="AZC123" s="187"/>
      <c r="AZI123" s="188"/>
      <c r="AZJ123" s="187"/>
      <c r="AZP123" s="188"/>
      <c r="AZQ123" s="187"/>
      <c r="AZV123" s="168"/>
      <c r="AZW123" s="191"/>
      <c r="AZX123" s="187"/>
      <c r="BAD123" s="188"/>
      <c r="BAE123" s="187"/>
      <c r="BAK123" s="188"/>
      <c r="BAL123" s="187"/>
      <c r="BAR123" s="188"/>
      <c r="BAS123" s="187"/>
      <c r="BAY123" s="188"/>
      <c r="BAZ123" s="187"/>
      <c r="BBA123" s="168"/>
      <c r="BBB123" s="189"/>
      <c r="BBF123" s="188"/>
      <c r="BBG123" s="187"/>
      <c r="BBM123" s="188"/>
      <c r="BBN123" s="187"/>
      <c r="BBT123" s="188"/>
      <c r="BBU123" s="187"/>
      <c r="BCA123" s="188"/>
      <c r="BCB123" s="187"/>
      <c r="BCE123" s="168"/>
      <c r="BCF123" s="189"/>
      <c r="BCH123" s="188"/>
      <c r="BCI123" s="187"/>
      <c r="BCO123" s="188"/>
      <c r="BCP123" s="187"/>
      <c r="BCV123" s="188"/>
      <c r="BCW123" s="187"/>
      <c r="BDC123" s="188"/>
      <c r="BDD123" s="187"/>
      <c r="BDJ123" s="168"/>
      <c r="BDK123" s="189"/>
      <c r="BDQ123" s="188"/>
      <c r="BDR123" s="187"/>
      <c r="BDX123" s="188"/>
      <c r="BDY123" s="187"/>
      <c r="BEE123" s="188"/>
      <c r="BEF123" s="187"/>
      <c r="BEL123" s="188"/>
      <c r="BEM123" s="187"/>
      <c r="BEO123" s="168"/>
      <c r="BEP123" s="189"/>
      <c r="BES123" s="188"/>
      <c r="BET123" s="187"/>
      <c r="BEZ123" s="188"/>
      <c r="BFA123" s="187"/>
      <c r="BFG123" s="188"/>
      <c r="BFH123" s="187"/>
      <c r="BFN123" s="188"/>
      <c r="BFO123" s="187"/>
      <c r="BFQ123" s="168"/>
      <c r="BFR123" s="189"/>
      <c r="BFU123" s="188"/>
      <c r="BFV123" s="187"/>
      <c r="BGB123" s="188"/>
      <c r="BGC123" s="187"/>
      <c r="BGI123" s="188"/>
      <c r="BGJ123" s="187"/>
      <c r="BGP123" s="188"/>
      <c r="BGQ123" s="187"/>
      <c r="BGV123" s="168"/>
      <c r="BGW123" s="191"/>
      <c r="BGX123" s="187"/>
      <c r="BHD123" s="188"/>
      <c r="BHE123" s="187"/>
      <c r="BHK123" s="188"/>
      <c r="BHL123" s="187"/>
      <c r="BHR123" s="188"/>
      <c r="BHS123" s="187"/>
      <c r="BHY123" s="188"/>
      <c r="BHZ123" s="190"/>
      <c r="BIA123" s="189"/>
      <c r="BIF123" s="188"/>
      <c r="BIG123" s="187"/>
      <c r="BIM123" s="188"/>
      <c r="BIN123" s="187"/>
      <c r="BIT123" s="188"/>
      <c r="BIU123" s="187"/>
      <c r="BJA123" s="188"/>
      <c r="BJB123" s="187"/>
      <c r="BJE123" s="168"/>
      <c r="BJF123" s="189"/>
      <c r="BJH123" s="188"/>
      <c r="BJI123" s="187"/>
      <c r="BJO123" s="188"/>
      <c r="BJP123" s="187"/>
      <c r="BJV123" s="188"/>
      <c r="BJW123" s="187"/>
      <c r="BKC123" s="188"/>
      <c r="BKD123" s="187"/>
      <c r="BKI123" s="168"/>
      <c r="BKJ123" s="191"/>
      <c r="BKK123" s="187"/>
      <c r="BKQ123" s="188"/>
      <c r="BKR123" s="187"/>
      <c r="BKX123" s="188"/>
      <c r="BKY123" s="187"/>
      <c r="BLE123" s="188"/>
      <c r="BLF123" s="187"/>
      <c r="BLL123" s="188"/>
      <c r="BLM123" s="187"/>
      <c r="BLN123" s="168"/>
      <c r="BLO123" s="189"/>
      <c r="BLS123" s="188"/>
      <c r="BLT123" s="187"/>
      <c r="BLZ123" s="188"/>
      <c r="BMA123" s="187"/>
      <c r="BMG123" s="188"/>
      <c r="BMH123" s="187"/>
      <c r="BMN123" s="188"/>
      <c r="BMO123" s="187"/>
      <c r="BMS123" s="168"/>
      <c r="BMT123" s="189"/>
      <c r="BMU123" s="188"/>
      <c r="BMV123" s="187"/>
      <c r="BNB123" s="188"/>
      <c r="BNC123" s="187"/>
      <c r="BNI123" s="188"/>
      <c r="BNJ123" s="187"/>
      <c r="BNP123" s="188"/>
      <c r="BNQ123" s="187"/>
      <c r="BNW123" s="168"/>
      <c r="BNX123" s="189"/>
      <c r="BOD123" s="188"/>
      <c r="BOE123" s="187"/>
      <c r="BOK123" s="188"/>
      <c r="BOL123" s="187"/>
      <c r="BOR123" s="188"/>
      <c r="BOS123" s="187"/>
      <c r="BOY123" s="188"/>
      <c r="BOZ123" s="187"/>
      <c r="BPB123" s="168"/>
      <c r="BPC123" s="189"/>
      <c r="BPF123" s="188"/>
      <c r="BPG123" s="187"/>
      <c r="BPM123" s="188"/>
      <c r="BPN123" s="187"/>
      <c r="BPT123" s="188"/>
      <c r="BPU123" s="187"/>
      <c r="BQA123" s="188"/>
      <c r="BQB123" s="187"/>
      <c r="BQF123" s="168"/>
      <c r="BQG123" s="189"/>
      <c r="BQH123" s="188"/>
      <c r="BQI123" s="187"/>
      <c r="BQO123" s="188"/>
      <c r="BQP123" s="187"/>
      <c r="BQV123" s="188"/>
      <c r="BQW123" s="187"/>
      <c r="BRC123" s="188"/>
      <c r="BRD123" s="187"/>
      <c r="BRJ123" s="188"/>
      <c r="BRK123" s="190"/>
      <c r="BRL123" s="189"/>
      <c r="BRQ123" s="188"/>
      <c r="BRR123" s="187"/>
      <c r="BRX123" s="188"/>
      <c r="BRY123" s="187"/>
      <c r="BSE123" s="188"/>
      <c r="BSF123" s="187"/>
      <c r="BSL123" s="188"/>
      <c r="BSM123" s="187"/>
      <c r="BSP123" s="168"/>
      <c r="BSQ123" s="189"/>
      <c r="BSS123" s="188"/>
      <c r="BST123" s="187"/>
      <c r="BSZ123" s="188"/>
      <c r="BTA123" s="187"/>
      <c r="BTG123" s="188"/>
      <c r="BTH123" s="187"/>
      <c r="BTN123" s="188"/>
      <c r="BTO123" s="187"/>
      <c r="BTS123" s="168"/>
      <c r="BTT123" s="189"/>
      <c r="BTU123" s="188"/>
      <c r="BTV123" s="187"/>
      <c r="BUB123" s="188"/>
      <c r="BUC123" s="187"/>
      <c r="BUI123" s="188"/>
      <c r="BUJ123" s="187"/>
      <c r="BUP123" s="188"/>
      <c r="BUQ123" s="187"/>
      <c r="BUW123" s="188"/>
      <c r="BUX123" s="190"/>
      <c r="BUY123" s="189"/>
      <c r="BVD123" s="188"/>
      <c r="BVE123" s="187"/>
      <c r="BVK123" s="188"/>
      <c r="BVL123" s="187"/>
      <c r="BVR123" s="188"/>
      <c r="BVS123" s="187"/>
      <c r="BVY123" s="188"/>
      <c r="BVZ123" s="187"/>
      <c r="BWB123" s="168"/>
      <c r="BWC123" s="189"/>
      <c r="BWF123" s="188"/>
      <c r="BWG123" s="187"/>
      <c r="BWM123" s="188"/>
      <c r="BWN123" s="187"/>
      <c r="BWT123" s="188"/>
      <c r="BWU123" s="187"/>
      <c r="BXA123" s="188"/>
      <c r="BXB123" s="187"/>
      <c r="BXG123" s="168"/>
      <c r="BXH123" s="191"/>
      <c r="BXI123" s="187"/>
      <c r="BXO123" s="188"/>
      <c r="BXP123" s="187"/>
      <c r="BXV123" s="188"/>
      <c r="BXW123" s="187"/>
      <c r="BYC123" s="188"/>
      <c r="BYD123" s="187"/>
      <c r="BYJ123" s="188"/>
      <c r="BYK123" s="190"/>
      <c r="BYL123" s="189"/>
      <c r="BYQ123" s="188"/>
      <c r="BYR123" s="187"/>
      <c r="BYX123" s="188"/>
      <c r="BYY123" s="187"/>
      <c r="BZE123" s="188"/>
      <c r="BZF123" s="187"/>
      <c r="BZL123" s="188"/>
      <c r="BZM123" s="187"/>
      <c r="BZP123" s="168"/>
      <c r="BZQ123" s="189"/>
      <c r="BZS123" s="188"/>
      <c r="BZT123" s="187"/>
      <c r="BZZ123" s="188"/>
      <c r="CAA123" s="187"/>
      <c r="CAG123" s="188"/>
      <c r="CAH123" s="187"/>
      <c r="CAN123" s="188"/>
      <c r="CAO123" s="187"/>
      <c r="CAU123" s="168"/>
      <c r="CAV123" s="189"/>
      <c r="CBB123" s="188"/>
      <c r="CBC123" s="187"/>
      <c r="CBI123" s="188"/>
      <c r="CBJ123" s="187"/>
      <c r="CBP123" s="188"/>
      <c r="CBQ123" s="187"/>
      <c r="CBW123" s="188"/>
      <c r="CBX123" s="187"/>
      <c r="CBY123" s="168"/>
      <c r="CBZ123" s="189"/>
      <c r="CCD123" s="188"/>
      <c r="CCE123" s="187"/>
      <c r="CCK123" s="188"/>
      <c r="CCL123" s="187"/>
      <c r="CCR123" s="188"/>
      <c r="CCS123" s="187"/>
      <c r="CCY123" s="188"/>
      <c r="CCZ123" s="187"/>
      <c r="CDD123" s="168"/>
      <c r="CDE123" s="189"/>
      <c r="CDF123" s="188"/>
      <c r="CDG123" s="187"/>
      <c r="CDM123" s="188"/>
      <c r="CDN123" s="187"/>
      <c r="CDT123" s="188"/>
      <c r="CDU123" s="187"/>
      <c r="CEA123" s="188"/>
      <c r="CEB123" s="187"/>
      <c r="CEH123" s="168"/>
      <c r="CEI123" s="189"/>
      <c r="CEO123" s="188"/>
      <c r="CEP123" s="187"/>
      <c r="CEV123" s="188"/>
      <c r="CEW123" s="187"/>
      <c r="CFC123" s="188"/>
      <c r="CFD123" s="187"/>
      <c r="CFJ123" s="188"/>
      <c r="CFK123" s="187"/>
    </row>
    <row r="124" spans="1:1019 1025:2048 2054:2195">
      <c r="A124" s="164" t="s">
        <v>416</v>
      </c>
      <c r="D124" s="186"/>
      <c r="E124" s="186"/>
      <c r="K124" s="187"/>
      <c r="Q124" s="188"/>
      <c r="R124" s="187"/>
      <c r="X124" s="188"/>
      <c r="Y124" s="187"/>
      <c r="AE124" s="188"/>
      <c r="AF124" s="187"/>
      <c r="AJ124" s="168"/>
      <c r="AK124" s="189"/>
      <c r="AL124" s="188"/>
      <c r="AM124" s="187"/>
      <c r="AS124" s="188"/>
      <c r="AT124" s="187"/>
      <c r="AZ124" s="188"/>
      <c r="BA124" s="187"/>
      <c r="BG124" s="188"/>
      <c r="BH124" s="187"/>
      <c r="BL124" s="168"/>
      <c r="BM124" s="189"/>
      <c r="BN124" s="188"/>
      <c r="BO124" s="187"/>
      <c r="BU124" s="188"/>
      <c r="BV124" s="187"/>
      <c r="CB124" s="188"/>
      <c r="CC124" s="187"/>
      <c r="CI124" s="188"/>
      <c r="CJ124" s="187"/>
      <c r="CP124" s="188"/>
      <c r="CQ124" s="190"/>
      <c r="CR124" s="189"/>
      <c r="CW124" s="188"/>
      <c r="CX124" s="187"/>
      <c r="DD124" s="188"/>
      <c r="DE124" s="187"/>
      <c r="DK124" s="188"/>
      <c r="DL124" s="187"/>
      <c r="DR124" s="188"/>
      <c r="DS124" s="187"/>
      <c r="DU124" s="168"/>
      <c r="DV124" s="189"/>
      <c r="DY124" s="188"/>
      <c r="DZ124" s="187"/>
      <c r="EF124" s="188"/>
      <c r="EG124" s="187"/>
      <c r="EM124" s="188"/>
      <c r="EN124" s="187"/>
      <c r="ET124" s="188"/>
      <c r="EU124" s="187"/>
      <c r="EZ124" s="168"/>
      <c r="FA124" s="191"/>
      <c r="FB124" s="187"/>
      <c r="FH124" s="188"/>
      <c r="FI124" s="187"/>
      <c r="FO124" s="188"/>
      <c r="FP124" s="187"/>
      <c r="FV124" s="188"/>
      <c r="FW124" s="187"/>
      <c r="GC124" s="188"/>
      <c r="GD124" s="190"/>
      <c r="GE124" s="189"/>
      <c r="GJ124" s="188"/>
      <c r="GK124" s="187"/>
      <c r="GQ124" s="188"/>
      <c r="GR124" s="187"/>
      <c r="GX124" s="188"/>
      <c r="GY124" s="187"/>
      <c r="HE124" s="188"/>
      <c r="HF124" s="187"/>
      <c r="HI124" s="168"/>
      <c r="HJ124" s="189"/>
      <c r="HL124" s="188"/>
      <c r="HM124" s="187"/>
      <c r="HS124" s="188"/>
      <c r="HT124" s="187"/>
      <c r="HZ124" s="188"/>
      <c r="IA124" s="187"/>
      <c r="IG124" s="188"/>
      <c r="IH124" s="187"/>
      <c r="IN124" s="168"/>
      <c r="IO124" s="189"/>
      <c r="IU124" s="188"/>
      <c r="IV124" s="187"/>
      <c r="JB124" s="188"/>
      <c r="JC124" s="187"/>
      <c r="JI124" s="188"/>
      <c r="JJ124" s="187"/>
      <c r="JP124" s="188"/>
      <c r="JQ124" s="187"/>
      <c r="JR124" s="168"/>
      <c r="JS124" s="189"/>
      <c r="JW124" s="188"/>
      <c r="JX124" s="187"/>
      <c r="KD124" s="188"/>
      <c r="KE124" s="187"/>
      <c r="KK124" s="188"/>
      <c r="KL124" s="187"/>
      <c r="KR124" s="188"/>
      <c r="KS124" s="187"/>
      <c r="KW124" s="168"/>
      <c r="KX124" s="189"/>
      <c r="KY124" s="188"/>
      <c r="KZ124" s="187"/>
      <c r="LF124" s="188"/>
      <c r="LG124" s="187"/>
      <c r="LM124" s="188"/>
      <c r="LN124" s="187"/>
      <c r="LT124" s="188"/>
      <c r="LU124" s="187"/>
      <c r="MA124" s="168"/>
      <c r="MB124" s="189"/>
      <c r="MH124" s="188"/>
      <c r="MI124" s="187"/>
      <c r="MO124" s="188"/>
      <c r="MP124" s="187"/>
      <c r="MV124" s="188"/>
      <c r="MW124" s="187"/>
      <c r="NC124" s="188"/>
      <c r="ND124" s="187"/>
      <c r="NF124" s="168"/>
      <c r="NG124" s="189"/>
      <c r="NJ124" s="188"/>
      <c r="NK124" s="187"/>
      <c r="NQ124" s="188"/>
      <c r="NR124" s="187"/>
      <c r="NX124" s="188"/>
      <c r="NY124" s="187"/>
      <c r="OE124" s="188"/>
      <c r="OF124" s="187"/>
      <c r="OK124" s="168"/>
      <c r="OL124" s="191"/>
      <c r="OM124" s="187"/>
      <c r="OS124" s="188"/>
      <c r="OT124" s="187"/>
      <c r="OZ124" s="188"/>
      <c r="PA124" s="187"/>
      <c r="PG124" s="188"/>
      <c r="PH124" s="187"/>
      <c r="PN124" s="168"/>
      <c r="PO124" s="189"/>
      <c r="PU124" s="188"/>
      <c r="PV124" s="187"/>
      <c r="QB124" s="188"/>
      <c r="QC124" s="187"/>
      <c r="QI124" s="188"/>
      <c r="QJ124" s="187"/>
      <c r="QP124" s="188"/>
      <c r="QQ124" s="187"/>
      <c r="QS124" s="168"/>
      <c r="QT124" s="189"/>
      <c r="QW124" s="188"/>
      <c r="QX124" s="187"/>
      <c r="RD124" s="188"/>
      <c r="RE124" s="187"/>
      <c r="RK124" s="188"/>
      <c r="RL124" s="187"/>
      <c r="RR124" s="188"/>
      <c r="RS124" s="187"/>
      <c r="RW124" s="168"/>
      <c r="RX124" s="189"/>
      <c r="RY124" s="188"/>
      <c r="RZ124" s="187"/>
      <c r="SF124" s="188"/>
      <c r="SG124" s="187"/>
      <c r="SM124" s="188"/>
      <c r="SN124" s="187"/>
      <c r="ST124" s="188"/>
      <c r="SU124" s="187"/>
      <c r="TA124" s="188"/>
      <c r="TB124" s="190"/>
      <c r="TC124" s="189"/>
      <c r="TH124" s="188"/>
      <c r="TI124" s="187"/>
      <c r="TO124" s="188"/>
      <c r="TP124" s="187"/>
      <c r="TV124" s="188"/>
      <c r="TW124" s="187"/>
      <c r="UC124" s="188"/>
      <c r="UD124" s="187"/>
      <c r="UF124" s="168"/>
      <c r="UG124" s="189"/>
      <c r="UJ124" s="188"/>
      <c r="UK124" s="187"/>
      <c r="UQ124" s="188"/>
      <c r="UR124" s="187"/>
      <c r="UX124" s="188"/>
      <c r="UY124" s="187"/>
      <c r="VE124" s="188"/>
      <c r="VF124" s="187"/>
      <c r="VK124" s="168"/>
      <c r="VL124" s="191"/>
      <c r="VM124" s="187"/>
      <c r="VS124" s="188"/>
      <c r="VT124" s="187"/>
      <c r="VZ124" s="188"/>
      <c r="WA124" s="187"/>
      <c r="WG124" s="188"/>
      <c r="WH124" s="187"/>
      <c r="WN124" s="188"/>
      <c r="WO124" s="187"/>
      <c r="WP124" s="168"/>
      <c r="WQ124" s="189"/>
      <c r="WU124" s="188"/>
      <c r="WV124" s="187"/>
      <c r="XB124" s="188"/>
      <c r="XC124" s="187"/>
      <c r="XI124" s="188"/>
      <c r="XJ124" s="187"/>
      <c r="XP124" s="188"/>
      <c r="XQ124" s="187"/>
      <c r="XT124" s="168"/>
      <c r="XU124" s="189"/>
      <c r="XW124" s="188"/>
      <c r="XX124" s="187"/>
      <c r="YD124" s="188"/>
      <c r="YE124" s="187"/>
      <c r="YK124" s="188"/>
      <c r="YL124" s="187"/>
      <c r="YR124" s="188"/>
      <c r="YS124" s="187"/>
      <c r="YY124" s="168"/>
      <c r="YZ124" s="189"/>
      <c r="ZF124" s="188"/>
      <c r="ZG124" s="187"/>
      <c r="ZM124" s="188"/>
      <c r="ZN124" s="187"/>
      <c r="ZT124" s="188"/>
      <c r="ZU124" s="187"/>
      <c r="AAA124" s="188"/>
      <c r="AAB124" s="187"/>
      <c r="AAC124" s="168"/>
      <c r="AAD124" s="189"/>
      <c r="AAH124" s="188"/>
      <c r="AAI124" s="187"/>
      <c r="AAO124" s="188"/>
      <c r="AAP124" s="187"/>
      <c r="AAV124" s="188"/>
      <c r="AAW124" s="187"/>
      <c r="ABC124" s="188"/>
      <c r="ABD124" s="187"/>
      <c r="ABH124" s="168"/>
      <c r="ABI124" s="189"/>
      <c r="ABJ124" s="188"/>
      <c r="ABK124" s="187"/>
      <c r="ABQ124" s="188"/>
      <c r="ABR124" s="187"/>
      <c r="ABX124" s="188"/>
      <c r="ABY124" s="187"/>
      <c r="ACE124" s="188"/>
      <c r="ACF124" s="187"/>
      <c r="ACL124" s="188"/>
      <c r="ACM124" s="190"/>
      <c r="ACN124" s="189"/>
      <c r="ACS124" s="188"/>
      <c r="ACT124" s="187"/>
      <c r="ACZ124" s="188"/>
      <c r="ADA124" s="187"/>
      <c r="ADG124" s="188"/>
      <c r="ADH124" s="187"/>
      <c r="ADN124" s="188"/>
      <c r="ADO124" s="190"/>
      <c r="ADP124" s="189"/>
      <c r="ADU124" s="188"/>
      <c r="ADV124" s="187"/>
      <c r="AEB124" s="188"/>
      <c r="AEC124" s="187"/>
      <c r="AEI124" s="188"/>
      <c r="AEJ124" s="187"/>
      <c r="AEP124" s="188"/>
      <c r="AEQ124" s="187"/>
      <c r="AET124" s="168"/>
      <c r="AEU124" s="189"/>
      <c r="AEW124" s="188"/>
      <c r="AEX124" s="187"/>
      <c r="AFD124" s="188"/>
      <c r="AFE124" s="187"/>
      <c r="AFK124" s="188"/>
      <c r="AFL124" s="187"/>
      <c r="AFR124" s="188"/>
      <c r="AFS124" s="187"/>
      <c r="AFX124" s="168"/>
      <c r="AFY124" s="191"/>
      <c r="AFZ124" s="187"/>
      <c r="AGF124" s="188"/>
      <c r="AGG124" s="187"/>
      <c r="AGM124" s="188"/>
      <c r="AGN124" s="187"/>
      <c r="AGT124" s="188"/>
      <c r="AGU124" s="187"/>
      <c r="AHA124" s="188"/>
      <c r="AHB124" s="187"/>
      <c r="AHC124" s="168"/>
      <c r="AHD124" s="189"/>
      <c r="AHH124" s="188"/>
      <c r="AHI124" s="187"/>
      <c r="AHO124" s="188"/>
      <c r="AHP124" s="187"/>
      <c r="AHV124" s="188"/>
      <c r="AHW124" s="187"/>
      <c r="AIC124" s="188"/>
      <c r="AID124" s="187"/>
      <c r="AIG124" s="168"/>
      <c r="AIH124" s="189"/>
      <c r="AIJ124" s="188"/>
      <c r="AIK124" s="187"/>
      <c r="AIQ124" s="188"/>
      <c r="AIR124" s="187"/>
      <c r="AIX124" s="188"/>
      <c r="AIY124" s="187"/>
      <c r="AJE124" s="188"/>
      <c r="AJF124" s="187"/>
      <c r="AJL124" s="168"/>
      <c r="AJM124" s="189"/>
      <c r="AJS124" s="188"/>
      <c r="AJT124" s="187"/>
      <c r="AJZ124" s="188"/>
      <c r="AKA124" s="187"/>
      <c r="AKG124" s="188"/>
      <c r="AKH124" s="187"/>
      <c r="AKN124" s="188"/>
      <c r="AKO124" s="187"/>
      <c r="AKQ124" s="168"/>
      <c r="AKR124" s="189"/>
      <c r="AKU124" s="188"/>
      <c r="AKV124" s="187"/>
      <c r="ALB124" s="188"/>
      <c r="ALC124" s="187"/>
      <c r="ALI124" s="188"/>
      <c r="ALJ124" s="187"/>
      <c r="ALP124" s="188"/>
      <c r="ALQ124" s="187"/>
      <c r="ALU124" s="168"/>
      <c r="ALV124" s="189"/>
      <c r="ALW124" s="188"/>
      <c r="ALX124" s="187"/>
      <c r="AMD124" s="188"/>
      <c r="AME124" s="187"/>
      <c r="AMK124" s="188"/>
      <c r="AML124" s="187"/>
      <c r="AMR124" s="188"/>
      <c r="AMS124" s="187"/>
      <c r="AMY124" s="188"/>
      <c r="AMZ124" s="190"/>
      <c r="ANA124" s="189"/>
      <c r="ANF124" s="188"/>
      <c r="ANG124" s="187"/>
      <c r="ANM124" s="188"/>
      <c r="ANN124" s="187"/>
      <c r="ANT124" s="188"/>
      <c r="ANU124" s="187"/>
      <c r="AOA124" s="188"/>
      <c r="AOB124" s="187"/>
      <c r="AOD124" s="168"/>
      <c r="AOE124" s="189"/>
      <c r="AOH124" s="188"/>
      <c r="AOI124" s="187"/>
      <c r="AOO124" s="188"/>
      <c r="AOP124" s="187"/>
      <c r="AOV124" s="188"/>
      <c r="AOW124" s="187"/>
      <c r="APC124" s="188"/>
      <c r="APD124" s="187"/>
      <c r="API124" s="168"/>
      <c r="APJ124" s="191"/>
      <c r="APK124" s="187"/>
      <c r="APQ124" s="188"/>
      <c r="APR124" s="187"/>
      <c r="APX124" s="188"/>
      <c r="APY124" s="187"/>
      <c r="AQE124" s="188"/>
      <c r="AQF124" s="187"/>
      <c r="AQL124" s="188"/>
      <c r="AQM124" s="187"/>
      <c r="AQN124" s="168"/>
      <c r="AQO124" s="189"/>
      <c r="AQS124" s="188"/>
      <c r="AQT124" s="187"/>
      <c r="AQZ124" s="188"/>
      <c r="ARA124" s="187"/>
      <c r="ARG124" s="188"/>
      <c r="ARH124" s="187"/>
      <c r="ARN124" s="188"/>
      <c r="ARO124" s="187"/>
      <c r="ARP124" s="168"/>
      <c r="ARQ124" s="189"/>
      <c r="ARU124" s="188"/>
      <c r="ARV124" s="187"/>
      <c r="ASB124" s="188"/>
      <c r="ASC124" s="187"/>
      <c r="ASI124" s="188"/>
      <c r="ASJ124" s="187"/>
      <c r="ASP124" s="188"/>
      <c r="ASQ124" s="187"/>
      <c r="ASU124" s="168"/>
      <c r="ASV124" s="189"/>
      <c r="ASW124" s="188"/>
      <c r="ASX124" s="187"/>
      <c r="ATD124" s="188"/>
      <c r="ATE124" s="187"/>
      <c r="ATK124" s="188"/>
      <c r="ATL124" s="187"/>
      <c r="ATR124" s="188"/>
      <c r="ATS124" s="187"/>
      <c r="ATY124" s="168"/>
      <c r="ATZ124" s="189"/>
      <c r="AUF124" s="188"/>
      <c r="AUG124" s="187"/>
      <c r="AUM124" s="188"/>
      <c r="AUN124" s="187"/>
      <c r="AUT124" s="188"/>
      <c r="AUU124" s="187"/>
      <c r="AVA124" s="188"/>
      <c r="AVB124" s="187"/>
      <c r="AVD124" s="168"/>
      <c r="AVE124" s="189"/>
      <c r="AVH124" s="188"/>
      <c r="AVI124" s="187"/>
      <c r="AVO124" s="188"/>
      <c r="AVP124" s="187"/>
      <c r="AVV124" s="188"/>
      <c r="AVW124" s="187"/>
      <c r="AWC124" s="188"/>
      <c r="AWD124" s="187"/>
      <c r="AWH124" s="168"/>
      <c r="AWI124" s="189"/>
      <c r="AWJ124" s="188"/>
      <c r="AWK124" s="187"/>
      <c r="AWQ124" s="188"/>
      <c r="AWR124" s="187"/>
      <c r="AWX124" s="188"/>
      <c r="AWY124" s="187"/>
      <c r="AXE124" s="188"/>
      <c r="AXF124" s="187"/>
      <c r="AXL124" s="188"/>
      <c r="AXM124" s="190"/>
      <c r="AXN124" s="189"/>
      <c r="AXS124" s="188"/>
      <c r="AXT124" s="187"/>
      <c r="AXZ124" s="188"/>
      <c r="AYA124" s="187"/>
      <c r="AYG124" s="188"/>
      <c r="AYH124" s="187"/>
      <c r="AYN124" s="188"/>
      <c r="AYO124" s="187"/>
      <c r="AYR124" s="168"/>
      <c r="AYS124" s="189"/>
      <c r="AYU124" s="188"/>
      <c r="AYV124" s="187"/>
      <c r="AZB124" s="188"/>
      <c r="AZC124" s="187"/>
      <c r="AZI124" s="188"/>
      <c r="AZJ124" s="187"/>
      <c r="AZP124" s="188"/>
      <c r="AZQ124" s="187"/>
      <c r="AZV124" s="168"/>
      <c r="AZW124" s="191"/>
      <c r="AZX124" s="187"/>
      <c r="BAD124" s="188"/>
      <c r="BAE124" s="187"/>
      <c r="BAK124" s="188"/>
      <c r="BAL124" s="187"/>
      <c r="BAR124" s="188"/>
      <c r="BAS124" s="187"/>
      <c r="BAY124" s="188"/>
      <c r="BAZ124" s="187"/>
      <c r="BBA124" s="168"/>
      <c r="BBB124" s="189"/>
      <c r="BBF124" s="188"/>
      <c r="BBG124" s="187"/>
      <c r="BBM124" s="188"/>
      <c r="BBN124" s="187"/>
      <c r="BBT124" s="188"/>
      <c r="BBU124" s="187"/>
      <c r="BCA124" s="188"/>
      <c r="BCB124" s="187"/>
      <c r="BCE124" s="168"/>
      <c r="BCF124" s="189"/>
      <c r="BCH124" s="188"/>
      <c r="BCI124" s="187"/>
      <c r="BCO124" s="188"/>
      <c r="BCP124" s="187"/>
      <c r="BCV124" s="188"/>
      <c r="BCW124" s="187"/>
      <c r="BDC124" s="188"/>
      <c r="BDD124" s="187"/>
      <c r="BDJ124" s="168"/>
      <c r="BDK124" s="189"/>
      <c r="BDQ124" s="188"/>
      <c r="BDR124" s="187"/>
      <c r="BDX124" s="188"/>
      <c r="BDY124" s="187"/>
      <c r="BEE124" s="188"/>
      <c r="BEF124" s="187"/>
      <c r="BEL124" s="188"/>
      <c r="BEM124" s="187"/>
      <c r="BEO124" s="168"/>
      <c r="BEP124" s="189"/>
      <c r="BES124" s="188"/>
      <c r="BET124" s="187"/>
      <c r="BEZ124" s="188"/>
      <c r="BFA124" s="187"/>
      <c r="BFG124" s="188"/>
      <c r="BFH124" s="187"/>
      <c r="BFN124" s="188"/>
      <c r="BFO124" s="187"/>
      <c r="BFQ124" s="168"/>
      <c r="BFR124" s="189"/>
      <c r="BFU124" s="188"/>
      <c r="BFV124" s="187"/>
      <c r="BGB124" s="188"/>
      <c r="BGC124" s="187"/>
      <c r="BGI124" s="188"/>
      <c r="BGJ124" s="187"/>
      <c r="BGP124" s="188"/>
      <c r="BGQ124" s="187"/>
      <c r="BGV124" s="168"/>
      <c r="BGW124" s="191"/>
      <c r="BGX124" s="187"/>
      <c r="BHD124" s="188"/>
      <c r="BHE124" s="187"/>
      <c r="BHK124" s="188"/>
      <c r="BHL124" s="187"/>
      <c r="BHR124" s="188"/>
      <c r="BHS124" s="187"/>
      <c r="BHY124" s="188"/>
      <c r="BHZ124" s="190"/>
      <c r="BIA124" s="189"/>
      <c r="BIF124" s="188"/>
      <c r="BIG124" s="187"/>
      <c r="BIM124" s="188"/>
      <c r="BIN124" s="187"/>
      <c r="BIT124" s="188"/>
      <c r="BIU124" s="187"/>
      <c r="BJA124" s="188"/>
      <c r="BJB124" s="187"/>
      <c r="BJE124" s="168"/>
      <c r="BJF124" s="189"/>
      <c r="BJH124" s="188"/>
      <c r="BJI124" s="187"/>
      <c r="BJO124" s="188"/>
      <c r="BJP124" s="187"/>
      <c r="BJV124" s="188"/>
      <c r="BJW124" s="187"/>
      <c r="BKC124" s="188"/>
      <c r="BKD124" s="187"/>
      <c r="BKI124" s="168"/>
      <c r="BKJ124" s="191"/>
      <c r="BKK124" s="187"/>
      <c r="BKQ124" s="188"/>
      <c r="BKR124" s="187"/>
      <c r="BKX124" s="188"/>
      <c r="BKY124" s="187"/>
      <c r="BLE124" s="188"/>
      <c r="BLF124" s="187"/>
      <c r="BLL124" s="188"/>
      <c r="BLM124" s="187"/>
      <c r="BLN124" s="168"/>
      <c r="BLO124" s="189"/>
      <c r="BLS124" s="188"/>
      <c r="BLT124" s="187"/>
      <c r="BLZ124" s="188"/>
      <c r="BMA124" s="187"/>
      <c r="BMG124" s="188"/>
      <c r="BMH124" s="187"/>
      <c r="BMN124" s="188"/>
      <c r="BMO124" s="187"/>
      <c r="BMS124" s="168"/>
      <c r="BMT124" s="189"/>
      <c r="BMU124" s="188"/>
      <c r="BMV124" s="187"/>
      <c r="BNB124" s="188"/>
      <c r="BNC124" s="187"/>
      <c r="BNI124" s="188"/>
      <c r="BNJ124" s="187"/>
      <c r="BNP124" s="188"/>
      <c r="BNQ124" s="187"/>
      <c r="BNW124" s="168"/>
      <c r="BNX124" s="189"/>
      <c r="BOD124" s="188"/>
      <c r="BOE124" s="187"/>
      <c r="BOK124" s="188"/>
      <c r="BOL124" s="187"/>
      <c r="BOR124" s="188"/>
      <c r="BOS124" s="187"/>
      <c r="BOY124" s="188"/>
      <c r="BOZ124" s="187"/>
      <c r="BPB124" s="168"/>
      <c r="BPC124" s="189"/>
      <c r="BPF124" s="188"/>
      <c r="BPG124" s="187"/>
      <c r="BPM124" s="188"/>
      <c r="BPN124" s="187"/>
      <c r="BPT124" s="188"/>
      <c r="BPU124" s="187"/>
      <c r="BQA124" s="188"/>
      <c r="BQB124" s="187"/>
      <c r="BQF124" s="168"/>
      <c r="BQG124" s="189"/>
      <c r="BQH124" s="188"/>
      <c r="BQI124" s="187"/>
      <c r="BQO124" s="188"/>
      <c r="BQP124" s="187"/>
      <c r="BQV124" s="188"/>
      <c r="BQW124" s="187"/>
      <c r="BRC124" s="188"/>
      <c r="BRD124" s="187"/>
      <c r="BRJ124" s="188"/>
      <c r="BRK124" s="190"/>
      <c r="BRL124" s="189"/>
      <c r="BRQ124" s="188"/>
      <c r="BRR124" s="187"/>
      <c r="BRX124" s="188"/>
      <c r="BRY124" s="187"/>
      <c r="BSE124" s="188"/>
      <c r="BSF124" s="187"/>
      <c r="BSL124" s="188"/>
      <c r="BSM124" s="187"/>
      <c r="BSP124" s="168"/>
      <c r="BSQ124" s="189"/>
      <c r="BSS124" s="188"/>
      <c r="BST124" s="187"/>
      <c r="BSZ124" s="188"/>
      <c r="BTA124" s="187"/>
      <c r="BTG124" s="188"/>
      <c r="BTH124" s="187"/>
      <c r="BTN124" s="188"/>
      <c r="BTO124" s="187"/>
      <c r="BTS124" s="168"/>
      <c r="BTT124" s="189"/>
      <c r="BTU124" s="188"/>
      <c r="BTV124" s="187"/>
      <c r="BUB124" s="188"/>
      <c r="BUC124" s="187"/>
      <c r="BUI124" s="188"/>
      <c r="BUJ124" s="187"/>
      <c r="BUP124" s="188"/>
      <c r="BUQ124" s="187"/>
      <c r="BUW124" s="188"/>
      <c r="BUX124" s="190"/>
      <c r="BUY124" s="189"/>
      <c r="BVD124" s="188"/>
      <c r="BVE124" s="187"/>
      <c r="BVK124" s="188"/>
      <c r="BVL124" s="187"/>
      <c r="BVR124" s="188"/>
      <c r="BVS124" s="187"/>
      <c r="BVY124" s="188"/>
      <c r="BVZ124" s="187"/>
      <c r="BWB124" s="168"/>
      <c r="BWC124" s="189"/>
      <c r="BWF124" s="188"/>
      <c r="BWG124" s="187"/>
      <c r="BWM124" s="188"/>
      <c r="BWN124" s="187"/>
      <c r="BWT124" s="188"/>
      <c r="BWU124" s="187"/>
      <c r="BXA124" s="188"/>
      <c r="BXB124" s="187"/>
      <c r="BXG124" s="168"/>
      <c r="BXH124" s="191"/>
      <c r="BXI124" s="187"/>
      <c r="BXO124" s="188"/>
      <c r="BXP124" s="187"/>
      <c r="BXV124" s="188"/>
      <c r="BXW124" s="187"/>
      <c r="BYC124" s="188"/>
      <c r="BYD124" s="187"/>
      <c r="BYJ124" s="188"/>
      <c r="BYK124" s="190"/>
      <c r="BYL124" s="189"/>
      <c r="BYQ124" s="188"/>
      <c r="BYR124" s="187"/>
      <c r="BYX124" s="188"/>
      <c r="BYY124" s="187"/>
      <c r="BZE124" s="188"/>
      <c r="BZF124" s="187"/>
      <c r="BZL124" s="188"/>
      <c r="BZM124" s="187"/>
      <c r="BZP124" s="168"/>
      <c r="BZQ124" s="189"/>
      <c r="BZS124" s="188"/>
      <c r="BZT124" s="187"/>
      <c r="BZZ124" s="188"/>
      <c r="CAA124" s="187"/>
      <c r="CAG124" s="188"/>
      <c r="CAH124" s="187"/>
      <c r="CAN124" s="188"/>
      <c r="CAO124" s="187"/>
      <c r="CAU124" s="168"/>
      <c r="CAV124" s="189"/>
      <c r="CBB124" s="188"/>
      <c r="CBC124" s="187"/>
      <c r="CBI124" s="188"/>
      <c r="CBJ124" s="187"/>
      <c r="CBP124" s="188"/>
      <c r="CBQ124" s="187"/>
      <c r="CBW124" s="188"/>
      <c r="CBX124" s="187"/>
      <c r="CBY124" s="168"/>
      <c r="CBZ124" s="189"/>
      <c r="CCD124" s="188"/>
      <c r="CCE124" s="187"/>
      <c r="CCK124" s="188"/>
      <c r="CCL124" s="187"/>
      <c r="CCR124" s="188"/>
      <c r="CCS124" s="187"/>
      <c r="CCY124" s="188"/>
      <c r="CCZ124" s="187"/>
      <c r="CDD124" s="168"/>
      <c r="CDE124" s="189"/>
      <c r="CDF124" s="188"/>
      <c r="CDG124" s="187"/>
      <c r="CDM124" s="188"/>
      <c r="CDN124" s="187"/>
      <c r="CDT124" s="188"/>
      <c r="CDU124" s="187"/>
      <c r="CEA124" s="188"/>
      <c r="CEB124" s="187"/>
      <c r="CEH124" s="168"/>
      <c r="CEI124" s="189"/>
      <c r="CEO124" s="188"/>
      <c r="CEP124" s="187"/>
      <c r="CEV124" s="188"/>
      <c r="CEW124" s="187"/>
      <c r="CFC124" s="188"/>
      <c r="CFD124" s="187"/>
      <c r="CFJ124" s="188"/>
      <c r="CFK124" s="187"/>
    </row>
    <row r="125" spans="1:1019 1025:2048 2054:2195">
      <c r="D125" s="186"/>
      <c r="E125" s="186"/>
      <c r="K125" s="187"/>
      <c r="Q125" s="188"/>
      <c r="R125" s="187"/>
      <c r="X125" s="188"/>
      <c r="Y125" s="187"/>
      <c r="AE125" s="188"/>
      <c r="AF125" s="187"/>
      <c r="AJ125" s="168"/>
      <c r="AK125" s="189"/>
      <c r="AL125" s="188"/>
      <c r="AM125" s="187"/>
      <c r="AS125" s="188"/>
      <c r="AT125" s="187"/>
      <c r="AZ125" s="188"/>
      <c r="BA125" s="187"/>
      <c r="BG125" s="188"/>
      <c r="BH125" s="187"/>
      <c r="BL125" s="168"/>
      <c r="BM125" s="189"/>
      <c r="BN125" s="188"/>
      <c r="BO125" s="187"/>
      <c r="BU125" s="188"/>
      <c r="BV125" s="187"/>
      <c r="CB125" s="188"/>
      <c r="CC125" s="187"/>
      <c r="CI125" s="188"/>
      <c r="CJ125" s="187"/>
      <c r="CP125" s="188"/>
      <c r="CQ125" s="190"/>
      <c r="CR125" s="189"/>
      <c r="CW125" s="188"/>
      <c r="CX125" s="187"/>
      <c r="DD125" s="188"/>
      <c r="DE125" s="187"/>
      <c r="DK125" s="188"/>
      <c r="DL125" s="187"/>
      <c r="DR125" s="188"/>
      <c r="DS125" s="187"/>
      <c r="DU125" s="168"/>
      <c r="DV125" s="189"/>
      <c r="DY125" s="188"/>
      <c r="DZ125" s="187"/>
      <c r="EF125" s="188"/>
      <c r="EG125" s="187"/>
      <c r="EM125" s="188"/>
      <c r="EN125" s="187"/>
      <c r="ET125" s="188"/>
      <c r="EU125" s="187"/>
      <c r="EZ125" s="168"/>
      <c r="FA125" s="191"/>
      <c r="FB125" s="187"/>
      <c r="FH125" s="188"/>
      <c r="FI125" s="187"/>
      <c r="FO125" s="188"/>
      <c r="FP125" s="187"/>
      <c r="FV125" s="188"/>
      <c r="FW125" s="187"/>
      <c r="GC125" s="188"/>
      <c r="GD125" s="190"/>
      <c r="GE125" s="189"/>
      <c r="GJ125" s="188"/>
      <c r="GK125" s="187"/>
      <c r="GQ125" s="188"/>
      <c r="GR125" s="187"/>
      <c r="GX125" s="188"/>
      <c r="GY125" s="187"/>
      <c r="HE125" s="188"/>
      <c r="HF125" s="187"/>
      <c r="HI125" s="168"/>
      <c r="HJ125" s="189"/>
      <c r="HL125" s="188"/>
      <c r="HM125" s="187"/>
      <c r="HS125" s="188"/>
      <c r="HT125" s="187"/>
      <c r="HZ125" s="188"/>
      <c r="IA125" s="187"/>
      <c r="IG125" s="188"/>
      <c r="IH125" s="187"/>
      <c r="IN125" s="168"/>
      <c r="IO125" s="189"/>
      <c r="IU125" s="188"/>
      <c r="IV125" s="187"/>
      <c r="JB125" s="188"/>
      <c r="JC125" s="187"/>
      <c r="JI125" s="188"/>
      <c r="JJ125" s="187"/>
      <c r="JP125" s="188"/>
      <c r="JQ125" s="187"/>
      <c r="JR125" s="168"/>
      <c r="JS125" s="189"/>
      <c r="JW125" s="188"/>
      <c r="JX125" s="187"/>
      <c r="KD125" s="188"/>
      <c r="KE125" s="187"/>
      <c r="KK125" s="188"/>
      <c r="KL125" s="187"/>
      <c r="KR125" s="188"/>
      <c r="KS125" s="187"/>
      <c r="KW125" s="168"/>
      <c r="KX125" s="189"/>
      <c r="KY125" s="188"/>
      <c r="KZ125" s="187"/>
      <c r="LF125" s="188"/>
      <c r="LG125" s="187"/>
      <c r="LM125" s="188"/>
      <c r="LN125" s="187"/>
      <c r="LT125" s="188"/>
      <c r="LU125" s="187"/>
      <c r="MA125" s="168"/>
      <c r="MB125" s="189"/>
      <c r="MH125" s="188"/>
      <c r="MI125" s="187"/>
      <c r="MO125" s="188"/>
      <c r="MP125" s="187"/>
      <c r="MV125" s="188"/>
      <c r="MW125" s="187"/>
      <c r="NC125" s="188"/>
      <c r="ND125" s="187"/>
      <c r="NF125" s="168"/>
      <c r="NG125" s="189"/>
      <c r="NJ125" s="188"/>
      <c r="NK125" s="187"/>
      <c r="NQ125" s="188"/>
      <c r="NR125" s="187"/>
      <c r="NX125" s="188"/>
      <c r="NY125" s="187"/>
      <c r="OE125" s="188"/>
      <c r="OF125" s="187"/>
      <c r="OK125" s="168"/>
      <c r="OL125" s="191"/>
      <c r="OM125" s="187"/>
      <c r="OS125" s="188"/>
      <c r="OT125" s="187"/>
      <c r="OZ125" s="188"/>
      <c r="PA125" s="187"/>
      <c r="PG125" s="188"/>
      <c r="PH125" s="187"/>
      <c r="PN125" s="168"/>
      <c r="PO125" s="189"/>
      <c r="PU125" s="188"/>
      <c r="PV125" s="187"/>
      <c r="QB125" s="188"/>
      <c r="QC125" s="187"/>
      <c r="QI125" s="188"/>
      <c r="QJ125" s="187"/>
      <c r="QP125" s="188"/>
      <c r="QQ125" s="187"/>
      <c r="QS125" s="168"/>
      <c r="QT125" s="189"/>
      <c r="QW125" s="188"/>
      <c r="QX125" s="187"/>
      <c r="RD125" s="188"/>
      <c r="RE125" s="187"/>
      <c r="RK125" s="188"/>
      <c r="RL125" s="187"/>
      <c r="RR125" s="188"/>
      <c r="RS125" s="187"/>
      <c r="RW125" s="168"/>
      <c r="RX125" s="189"/>
      <c r="RY125" s="188"/>
      <c r="RZ125" s="187"/>
      <c r="SF125" s="188"/>
      <c r="SG125" s="187"/>
      <c r="SM125" s="188"/>
      <c r="SN125" s="187"/>
      <c r="ST125" s="188"/>
      <c r="SU125" s="187"/>
      <c r="TA125" s="188"/>
      <c r="TB125" s="190"/>
      <c r="TC125" s="189"/>
      <c r="TH125" s="188"/>
      <c r="TI125" s="187"/>
      <c r="TO125" s="188"/>
      <c r="TP125" s="187"/>
      <c r="TV125" s="188"/>
      <c r="TW125" s="187"/>
      <c r="UC125" s="188"/>
      <c r="UD125" s="187"/>
      <c r="UF125" s="168"/>
      <c r="UG125" s="189"/>
      <c r="UJ125" s="188"/>
      <c r="UK125" s="187"/>
      <c r="UQ125" s="188"/>
      <c r="UR125" s="187"/>
      <c r="UX125" s="188"/>
      <c r="UY125" s="187"/>
      <c r="VE125" s="188"/>
      <c r="VF125" s="187"/>
      <c r="VK125" s="168"/>
      <c r="VL125" s="191"/>
      <c r="VM125" s="187"/>
      <c r="VS125" s="188"/>
      <c r="VT125" s="187"/>
      <c r="VZ125" s="188"/>
      <c r="WA125" s="187"/>
      <c r="WG125" s="188"/>
      <c r="WH125" s="187"/>
      <c r="WN125" s="188"/>
      <c r="WO125" s="187"/>
      <c r="WP125" s="168"/>
      <c r="WQ125" s="189"/>
      <c r="WU125" s="188"/>
      <c r="WV125" s="187"/>
      <c r="XB125" s="188"/>
      <c r="XC125" s="187"/>
      <c r="XI125" s="188"/>
      <c r="XJ125" s="187"/>
      <c r="XP125" s="188"/>
      <c r="XQ125" s="187"/>
      <c r="XT125" s="168"/>
      <c r="XU125" s="189"/>
      <c r="XW125" s="188"/>
      <c r="XX125" s="187"/>
      <c r="YD125" s="188"/>
      <c r="YE125" s="187"/>
      <c r="YK125" s="188"/>
      <c r="YL125" s="187"/>
      <c r="YR125" s="188"/>
      <c r="YS125" s="187"/>
      <c r="YY125" s="168"/>
      <c r="YZ125" s="189"/>
      <c r="ZF125" s="188"/>
      <c r="ZG125" s="187"/>
      <c r="ZM125" s="188"/>
      <c r="ZN125" s="187"/>
      <c r="ZT125" s="188"/>
      <c r="ZU125" s="187"/>
      <c r="AAA125" s="188"/>
      <c r="AAB125" s="187"/>
      <c r="AAC125" s="168"/>
      <c r="AAD125" s="189"/>
      <c r="AAH125" s="188"/>
      <c r="AAI125" s="187"/>
      <c r="AAO125" s="188"/>
      <c r="AAP125" s="187"/>
      <c r="AAV125" s="188"/>
      <c r="AAW125" s="187"/>
      <c r="ABC125" s="188"/>
      <c r="ABD125" s="187"/>
      <c r="ABH125" s="168"/>
      <c r="ABI125" s="189"/>
      <c r="ABJ125" s="188"/>
      <c r="ABK125" s="187"/>
      <c r="ABQ125" s="188"/>
      <c r="ABR125" s="187"/>
      <c r="ABX125" s="188"/>
      <c r="ABY125" s="187"/>
      <c r="ACE125" s="188"/>
      <c r="ACF125" s="187"/>
      <c r="ACL125" s="188"/>
      <c r="ACM125" s="190"/>
      <c r="ACN125" s="189"/>
      <c r="ACS125" s="188"/>
      <c r="ACT125" s="187"/>
      <c r="ACZ125" s="188"/>
      <c r="ADA125" s="187"/>
      <c r="ADG125" s="188"/>
      <c r="ADH125" s="187"/>
      <c r="ADN125" s="188"/>
      <c r="ADO125" s="190"/>
      <c r="ADP125" s="189"/>
      <c r="ADU125" s="188"/>
      <c r="ADV125" s="187"/>
      <c r="AEB125" s="188"/>
      <c r="AEC125" s="187"/>
      <c r="AEI125" s="188"/>
      <c r="AEJ125" s="187"/>
      <c r="AEP125" s="188"/>
      <c r="AEQ125" s="187"/>
      <c r="AET125" s="168"/>
      <c r="AEU125" s="189"/>
      <c r="AEW125" s="188"/>
      <c r="AEX125" s="187"/>
      <c r="AFD125" s="188"/>
      <c r="AFE125" s="187"/>
      <c r="AFK125" s="188"/>
      <c r="AFL125" s="187"/>
      <c r="AFR125" s="188"/>
      <c r="AFS125" s="187"/>
      <c r="AFX125" s="168"/>
      <c r="AFY125" s="191"/>
      <c r="AFZ125" s="187"/>
      <c r="AGF125" s="188"/>
      <c r="AGG125" s="187"/>
      <c r="AGM125" s="188"/>
      <c r="AGN125" s="187"/>
      <c r="AGT125" s="188"/>
      <c r="AGU125" s="187"/>
      <c r="AHA125" s="188"/>
      <c r="AHB125" s="187"/>
      <c r="AHC125" s="168"/>
      <c r="AHD125" s="189"/>
      <c r="AHH125" s="188"/>
      <c r="AHI125" s="187"/>
      <c r="AHO125" s="188"/>
      <c r="AHP125" s="187"/>
      <c r="AHV125" s="188"/>
      <c r="AHW125" s="187"/>
      <c r="AIC125" s="188"/>
      <c r="AID125" s="187"/>
      <c r="AIG125" s="168"/>
      <c r="AIH125" s="189"/>
      <c r="AIJ125" s="188"/>
      <c r="AIK125" s="187"/>
      <c r="AIQ125" s="188"/>
      <c r="AIR125" s="187"/>
      <c r="AIX125" s="188"/>
      <c r="AIY125" s="187"/>
      <c r="AJE125" s="188"/>
      <c r="AJF125" s="187"/>
      <c r="AJL125" s="168"/>
      <c r="AJM125" s="189"/>
      <c r="AJS125" s="188"/>
      <c r="AJT125" s="187"/>
      <c r="AJZ125" s="188"/>
      <c r="AKA125" s="187"/>
      <c r="AKG125" s="188"/>
      <c r="AKH125" s="187"/>
      <c r="AKN125" s="188"/>
      <c r="AKO125" s="187"/>
      <c r="AKQ125" s="168"/>
      <c r="AKR125" s="189"/>
      <c r="AKU125" s="188"/>
      <c r="AKV125" s="187"/>
      <c r="ALB125" s="188"/>
      <c r="ALC125" s="187"/>
      <c r="ALI125" s="188"/>
      <c r="ALJ125" s="187"/>
      <c r="ALP125" s="188"/>
      <c r="ALQ125" s="187"/>
      <c r="ALU125" s="168"/>
      <c r="ALV125" s="189"/>
      <c r="ALW125" s="188"/>
      <c r="ALX125" s="187"/>
      <c r="AMD125" s="188"/>
      <c r="AME125" s="187"/>
      <c r="AMK125" s="188"/>
      <c r="AML125" s="187"/>
      <c r="AMR125" s="188"/>
      <c r="AMS125" s="187"/>
      <c r="AMY125" s="188"/>
      <c r="AMZ125" s="190"/>
      <c r="ANA125" s="189"/>
      <c r="ANF125" s="188"/>
      <c r="ANG125" s="187"/>
      <c r="ANM125" s="188"/>
      <c r="ANN125" s="187"/>
      <c r="ANT125" s="188"/>
      <c r="ANU125" s="187"/>
      <c r="AOA125" s="188"/>
      <c r="AOB125" s="187"/>
      <c r="AOD125" s="168"/>
      <c r="AOE125" s="189"/>
      <c r="AOH125" s="188"/>
      <c r="AOI125" s="187"/>
      <c r="AOO125" s="188"/>
      <c r="AOP125" s="187"/>
      <c r="AOV125" s="188"/>
      <c r="AOW125" s="187"/>
      <c r="APC125" s="188"/>
      <c r="APD125" s="187"/>
      <c r="API125" s="168"/>
      <c r="APJ125" s="191"/>
      <c r="APK125" s="187"/>
      <c r="APQ125" s="188"/>
      <c r="APR125" s="187"/>
      <c r="APX125" s="188"/>
      <c r="APY125" s="187"/>
      <c r="AQE125" s="188"/>
      <c r="AQF125" s="187"/>
      <c r="AQL125" s="188"/>
      <c r="AQM125" s="187"/>
      <c r="AQN125" s="168"/>
      <c r="AQO125" s="189"/>
      <c r="AQS125" s="188"/>
      <c r="AQT125" s="187"/>
      <c r="AQZ125" s="188"/>
      <c r="ARA125" s="187"/>
      <c r="ARG125" s="188"/>
      <c r="ARH125" s="187"/>
      <c r="ARN125" s="188"/>
      <c r="ARO125" s="187"/>
      <c r="ARP125" s="168"/>
      <c r="ARQ125" s="189"/>
      <c r="ARU125" s="188"/>
      <c r="ARV125" s="187"/>
      <c r="ASB125" s="188"/>
      <c r="ASC125" s="187"/>
      <c r="ASI125" s="188"/>
      <c r="ASJ125" s="187"/>
      <c r="ASP125" s="188"/>
      <c r="ASQ125" s="187"/>
      <c r="ASU125" s="168"/>
      <c r="ASV125" s="189"/>
      <c r="ASW125" s="188"/>
      <c r="ASX125" s="187"/>
      <c r="ATD125" s="188"/>
      <c r="ATE125" s="187"/>
      <c r="ATK125" s="188"/>
      <c r="ATL125" s="187"/>
      <c r="ATR125" s="188"/>
      <c r="ATS125" s="187"/>
      <c r="ATY125" s="168"/>
      <c r="ATZ125" s="189"/>
      <c r="AUF125" s="188"/>
      <c r="AUG125" s="187"/>
      <c r="AUM125" s="188"/>
      <c r="AUN125" s="187"/>
      <c r="AUT125" s="188"/>
      <c r="AUU125" s="187"/>
      <c r="AVA125" s="188"/>
      <c r="AVB125" s="187"/>
      <c r="AVD125" s="168"/>
      <c r="AVE125" s="189"/>
      <c r="AVH125" s="188"/>
      <c r="AVI125" s="187"/>
      <c r="AVO125" s="188"/>
      <c r="AVP125" s="187"/>
      <c r="AVV125" s="188"/>
      <c r="AVW125" s="187"/>
      <c r="AWC125" s="188"/>
      <c r="AWD125" s="187"/>
      <c r="AWH125" s="168"/>
      <c r="AWI125" s="189"/>
      <c r="AWJ125" s="188"/>
      <c r="AWK125" s="187"/>
      <c r="AWQ125" s="188"/>
      <c r="AWR125" s="187"/>
      <c r="AWX125" s="188"/>
      <c r="AWY125" s="187"/>
      <c r="AXE125" s="188"/>
      <c r="AXF125" s="187"/>
      <c r="AXL125" s="188"/>
      <c r="AXM125" s="190"/>
      <c r="AXN125" s="189"/>
      <c r="AXS125" s="188"/>
      <c r="AXT125" s="187"/>
      <c r="AXZ125" s="188"/>
      <c r="AYA125" s="187"/>
      <c r="AYG125" s="188"/>
      <c r="AYH125" s="187"/>
      <c r="AYN125" s="188"/>
      <c r="AYO125" s="187"/>
      <c r="AYR125" s="168"/>
      <c r="AYS125" s="189"/>
      <c r="AYU125" s="188"/>
      <c r="AYV125" s="187"/>
      <c r="AZB125" s="188"/>
      <c r="AZC125" s="187"/>
      <c r="AZI125" s="188"/>
      <c r="AZJ125" s="187"/>
      <c r="AZP125" s="188"/>
      <c r="AZQ125" s="187"/>
      <c r="AZV125" s="168"/>
      <c r="AZW125" s="191"/>
      <c r="AZX125" s="187"/>
      <c r="BAD125" s="188"/>
      <c r="BAE125" s="187"/>
      <c r="BAK125" s="188"/>
      <c r="BAL125" s="187"/>
      <c r="BAR125" s="188"/>
      <c r="BAS125" s="187"/>
      <c r="BAY125" s="188"/>
      <c r="BAZ125" s="187"/>
      <c r="BBA125" s="168"/>
      <c r="BBB125" s="189"/>
      <c r="BBF125" s="188"/>
      <c r="BBG125" s="187"/>
      <c r="BBM125" s="188"/>
      <c r="BBN125" s="187"/>
      <c r="BBT125" s="188"/>
      <c r="BBU125" s="187"/>
      <c r="BCA125" s="188"/>
      <c r="BCB125" s="187"/>
      <c r="BCE125" s="168"/>
      <c r="BCF125" s="189"/>
      <c r="BCH125" s="188"/>
      <c r="BCI125" s="187"/>
      <c r="BCO125" s="188"/>
      <c r="BCP125" s="187"/>
      <c r="BCV125" s="188"/>
      <c r="BCW125" s="187"/>
      <c r="BDC125" s="188"/>
      <c r="BDD125" s="187"/>
      <c r="BDJ125" s="168"/>
      <c r="BDK125" s="189"/>
      <c r="BDQ125" s="188"/>
      <c r="BDR125" s="187"/>
      <c r="BDX125" s="188"/>
      <c r="BDY125" s="187"/>
      <c r="BEE125" s="188"/>
      <c r="BEF125" s="187"/>
      <c r="BEL125" s="188"/>
      <c r="BEM125" s="187"/>
      <c r="BEO125" s="168"/>
      <c r="BEP125" s="189"/>
      <c r="BES125" s="188"/>
      <c r="BET125" s="187"/>
      <c r="BEZ125" s="188"/>
      <c r="BFA125" s="187"/>
      <c r="BFG125" s="188"/>
      <c r="BFH125" s="187"/>
      <c r="BFN125" s="188"/>
      <c r="BFO125" s="187"/>
      <c r="BFQ125" s="168"/>
      <c r="BFR125" s="189"/>
      <c r="BFU125" s="188"/>
      <c r="BFV125" s="187"/>
      <c r="BGB125" s="188"/>
      <c r="BGC125" s="187"/>
      <c r="BGI125" s="188"/>
      <c r="BGJ125" s="187"/>
      <c r="BGP125" s="188"/>
      <c r="BGQ125" s="187"/>
      <c r="BGV125" s="168"/>
      <c r="BGW125" s="191"/>
      <c r="BGX125" s="187"/>
      <c r="BHD125" s="188"/>
      <c r="BHE125" s="187"/>
      <c r="BHK125" s="188"/>
      <c r="BHL125" s="187"/>
      <c r="BHR125" s="188"/>
      <c r="BHS125" s="187"/>
      <c r="BHY125" s="188"/>
      <c r="BHZ125" s="190"/>
      <c r="BIA125" s="189"/>
      <c r="BIF125" s="188"/>
      <c r="BIG125" s="187"/>
      <c r="BIM125" s="188"/>
      <c r="BIN125" s="187"/>
      <c r="BIT125" s="188"/>
      <c r="BIU125" s="187"/>
      <c r="BJA125" s="188"/>
      <c r="BJB125" s="187"/>
      <c r="BJE125" s="168"/>
      <c r="BJF125" s="189"/>
      <c r="BJH125" s="188"/>
      <c r="BJI125" s="187"/>
      <c r="BJO125" s="188"/>
      <c r="BJP125" s="187"/>
      <c r="BJV125" s="188"/>
      <c r="BJW125" s="187"/>
      <c r="BKC125" s="188"/>
      <c r="BKD125" s="187"/>
      <c r="BKI125" s="168"/>
      <c r="BKJ125" s="191"/>
      <c r="BKK125" s="187"/>
      <c r="BKQ125" s="188"/>
      <c r="BKR125" s="187"/>
      <c r="BKX125" s="188"/>
      <c r="BKY125" s="187"/>
      <c r="BLE125" s="188"/>
      <c r="BLF125" s="187"/>
      <c r="BLL125" s="188"/>
      <c r="BLM125" s="187"/>
      <c r="BLN125" s="168"/>
      <c r="BLO125" s="189"/>
      <c r="BLS125" s="188"/>
      <c r="BLT125" s="187"/>
      <c r="BLZ125" s="188"/>
      <c r="BMA125" s="187"/>
      <c r="BMG125" s="188"/>
      <c r="BMH125" s="187"/>
      <c r="BMN125" s="188"/>
      <c r="BMO125" s="187"/>
      <c r="BMS125" s="168"/>
      <c r="BMT125" s="189"/>
      <c r="BMU125" s="188"/>
      <c r="BMV125" s="187"/>
      <c r="BNB125" s="188"/>
      <c r="BNC125" s="187"/>
      <c r="BNI125" s="188"/>
      <c r="BNJ125" s="187"/>
      <c r="BNP125" s="188"/>
      <c r="BNQ125" s="187"/>
      <c r="BNW125" s="168"/>
      <c r="BNX125" s="189"/>
      <c r="BOD125" s="188"/>
      <c r="BOE125" s="187"/>
      <c r="BOK125" s="188"/>
      <c r="BOL125" s="187"/>
      <c r="BOR125" s="188"/>
      <c r="BOS125" s="187"/>
      <c r="BOY125" s="188"/>
      <c r="BOZ125" s="187"/>
      <c r="BPB125" s="168"/>
      <c r="BPC125" s="189"/>
      <c r="BPF125" s="188"/>
      <c r="BPG125" s="187"/>
      <c r="BPM125" s="188"/>
      <c r="BPN125" s="187"/>
      <c r="BPT125" s="188"/>
      <c r="BPU125" s="187"/>
      <c r="BQA125" s="188"/>
      <c r="BQB125" s="187"/>
      <c r="BQF125" s="168"/>
      <c r="BQG125" s="189"/>
      <c r="BQH125" s="188"/>
      <c r="BQI125" s="187"/>
      <c r="BQO125" s="188"/>
      <c r="BQP125" s="187"/>
      <c r="BQV125" s="188"/>
      <c r="BQW125" s="187"/>
      <c r="BRC125" s="188"/>
      <c r="BRD125" s="187"/>
      <c r="BRJ125" s="188"/>
      <c r="BRK125" s="190"/>
      <c r="BRL125" s="189"/>
      <c r="BRQ125" s="188"/>
      <c r="BRR125" s="187"/>
      <c r="BRX125" s="188"/>
      <c r="BRY125" s="187"/>
      <c r="BSE125" s="188"/>
      <c r="BSF125" s="187"/>
      <c r="BSL125" s="188"/>
      <c r="BSM125" s="187"/>
      <c r="BSP125" s="168"/>
      <c r="BSQ125" s="189"/>
      <c r="BSS125" s="188"/>
      <c r="BST125" s="187"/>
      <c r="BSZ125" s="188"/>
      <c r="BTA125" s="187"/>
      <c r="BTG125" s="188"/>
      <c r="BTH125" s="187"/>
      <c r="BTN125" s="188"/>
      <c r="BTO125" s="187"/>
      <c r="BTS125" s="168"/>
      <c r="BTT125" s="189"/>
      <c r="BTU125" s="188"/>
      <c r="BTV125" s="187"/>
      <c r="BUB125" s="188"/>
      <c r="BUC125" s="187"/>
      <c r="BUI125" s="188"/>
      <c r="BUJ125" s="187"/>
      <c r="BUP125" s="188"/>
      <c r="BUQ125" s="187"/>
      <c r="BUW125" s="188"/>
      <c r="BUX125" s="190"/>
      <c r="BUY125" s="189"/>
      <c r="BVD125" s="188"/>
      <c r="BVE125" s="187"/>
      <c r="BVK125" s="188"/>
      <c r="BVL125" s="187"/>
      <c r="BVR125" s="188"/>
      <c r="BVS125" s="187"/>
      <c r="BVY125" s="188"/>
      <c r="BVZ125" s="187"/>
      <c r="BWB125" s="168"/>
      <c r="BWC125" s="189"/>
      <c r="BWF125" s="188"/>
      <c r="BWG125" s="187"/>
      <c r="BWM125" s="188"/>
      <c r="BWN125" s="187"/>
      <c r="BWT125" s="188"/>
      <c r="BWU125" s="187"/>
      <c r="BXA125" s="188"/>
      <c r="BXB125" s="187"/>
      <c r="BXG125" s="168"/>
      <c r="BXH125" s="191"/>
      <c r="BXI125" s="187"/>
      <c r="BXO125" s="188"/>
      <c r="BXP125" s="187"/>
      <c r="BXV125" s="188"/>
      <c r="BXW125" s="187"/>
      <c r="BYC125" s="188"/>
      <c r="BYD125" s="187"/>
      <c r="BYJ125" s="188"/>
      <c r="BYK125" s="190"/>
      <c r="BYL125" s="189"/>
      <c r="BYQ125" s="188"/>
      <c r="BYR125" s="187"/>
      <c r="BYX125" s="188"/>
      <c r="BYY125" s="187"/>
      <c r="BZE125" s="188"/>
      <c r="BZF125" s="187"/>
      <c r="BZL125" s="188"/>
      <c r="BZM125" s="187"/>
      <c r="BZP125" s="168"/>
      <c r="BZQ125" s="189"/>
      <c r="BZS125" s="188"/>
      <c r="BZT125" s="187"/>
      <c r="BZZ125" s="188"/>
      <c r="CAA125" s="187"/>
      <c r="CAG125" s="188"/>
      <c r="CAH125" s="187"/>
      <c r="CAN125" s="188"/>
      <c r="CAO125" s="187"/>
      <c r="CAU125" s="168"/>
      <c r="CAV125" s="189"/>
      <c r="CBB125" s="188"/>
      <c r="CBC125" s="187"/>
      <c r="CBI125" s="188"/>
      <c r="CBJ125" s="187"/>
      <c r="CBP125" s="188"/>
      <c r="CBQ125" s="187"/>
      <c r="CBW125" s="188"/>
      <c r="CBX125" s="187"/>
      <c r="CBY125" s="168"/>
      <c r="CBZ125" s="189"/>
      <c r="CCD125" s="188"/>
      <c r="CCE125" s="187"/>
      <c r="CCK125" s="188"/>
      <c r="CCL125" s="187"/>
      <c r="CCR125" s="188"/>
      <c r="CCS125" s="187"/>
      <c r="CCY125" s="188"/>
      <c r="CCZ125" s="187"/>
      <c r="CDD125" s="168"/>
      <c r="CDE125" s="189"/>
      <c r="CDF125" s="188"/>
      <c r="CDG125" s="187"/>
      <c r="CDM125" s="188"/>
      <c r="CDN125" s="187"/>
      <c r="CDT125" s="188"/>
      <c r="CDU125" s="187"/>
      <c r="CEA125" s="188"/>
      <c r="CEB125" s="187"/>
      <c r="CEH125" s="168"/>
      <c r="CEI125" s="189"/>
      <c r="CEO125" s="188"/>
      <c r="CEP125" s="187"/>
      <c r="CEV125" s="188"/>
      <c r="CEW125" s="187"/>
      <c r="CFC125" s="188"/>
      <c r="CFD125" s="187"/>
      <c r="CFJ125" s="188"/>
      <c r="CFK125" s="187"/>
    </row>
    <row r="126" spans="1:1019 1025:2048 2054:2195">
      <c r="D126" s="186"/>
      <c r="E126" s="186"/>
      <c r="K126" s="187"/>
      <c r="Q126" s="188"/>
      <c r="R126" s="187"/>
      <c r="X126" s="188"/>
      <c r="Y126" s="187"/>
      <c r="AE126" s="188"/>
      <c r="AF126" s="187"/>
      <c r="AJ126" s="168"/>
      <c r="AK126" s="189"/>
      <c r="AL126" s="188"/>
      <c r="AM126" s="187"/>
      <c r="AS126" s="188"/>
      <c r="AT126" s="187"/>
      <c r="AZ126" s="188"/>
      <c r="BA126" s="187"/>
      <c r="BG126" s="188"/>
      <c r="BH126" s="187"/>
      <c r="BL126" s="168"/>
      <c r="BM126" s="189"/>
      <c r="BN126" s="188"/>
      <c r="BO126" s="187"/>
      <c r="BU126" s="188"/>
      <c r="BV126" s="187"/>
      <c r="CB126" s="188"/>
      <c r="CC126" s="187"/>
      <c r="CI126" s="188"/>
      <c r="CJ126" s="187"/>
      <c r="CP126" s="188"/>
      <c r="CQ126" s="190"/>
      <c r="CR126" s="189"/>
      <c r="CW126" s="188"/>
      <c r="CX126" s="187"/>
      <c r="DD126" s="188"/>
      <c r="DE126" s="187"/>
      <c r="DK126" s="188"/>
      <c r="DL126" s="187"/>
      <c r="DR126" s="188"/>
      <c r="DS126" s="187"/>
      <c r="DU126" s="168"/>
      <c r="DV126" s="189"/>
      <c r="DY126" s="188"/>
      <c r="DZ126" s="187"/>
      <c r="EF126" s="188"/>
      <c r="EG126" s="187"/>
      <c r="EM126" s="188"/>
      <c r="EN126" s="187"/>
      <c r="ET126" s="188"/>
      <c r="EU126" s="187"/>
      <c r="EZ126" s="168"/>
      <c r="FA126" s="191"/>
      <c r="FB126" s="187"/>
      <c r="FH126" s="188"/>
      <c r="FI126" s="187"/>
      <c r="FO126" s="188"/>
      <c r="FP126" s="187"/>
      <c r="FV126" s="188"/>
      <c r="FW126" s="187"/>
      <c r="GC126" s="188"/>
      <c r="GD126" s="190"/>
      <c r="GE126" s="189"/>
      <c r="GJ126" s="188"/>
      <c r="GK126" s="187"/>
      <c r="GQ126" s="188"/>
      <c r="GR126" s="187"/>
      <c r="GX126" s="188"/>
      <c r="GY126" s="187"/>
      <c r="HE126" s="188"/>
      <c r="HF126" s="187"/>
      <c r="HI126" s="168"/>
      <c r="HJ126" s="189"/>
      <c r="HL126" s="188"/>
      <c r="HM126" s="187"/>
      <c r="HS126" s="188"/>
      <c r="HT126" s="187"/>
      <c r="HZ126" s="188"/>
      <c r="IA126" s="187"/>
      <c r="IG126" s="188"/>
      <c r="IH126" s="187"/>
      <c r="IN126" s="168"/>
      <c r="IO126" s="189"/>
      <c r="IU126" s="188"/>
      <c r="IV126" s="187"/>
      <c r="JB126" s="188"/>
      <c r="JC126" s="187"/>
      <c r="JI126" s="188"/>
      <c r="JJ126" s="187"/>
      <c r="JP126" s="188"/>
      <c r="JQ126" s="187"/>
      <c r="JR126" s="168"/>
      <c r="JS126" s="189"/>
      <c r="JW126" s="188"/>
      <c r="JX126" s="187"/>
      <c r="KD126" s="188"/>
      <c r="KE126" s="187"/>
      <c r="KK126" s="188"/>
      <c r="KL126" s="187"/>
      <c r="KR126" s="188"/>
      <c r="KS126" s="187"/>
      <c r="KW126" s="168"/>
      <c r="KX126" s="189"/>
      <c r="KY126" s="188"/>
      <c r="KZ126" s="187"/>
      <c r="LF126" s="188"/>
      <c r="LG126" s="187"/>
      <c r="LM126" s="188"/>
      <c r="LN126" s="187"/>
      <c r="LT126" s="188"/>
      <c r="LU126" s="187"/>
      <c r="MA126" s="168"/>
      <c r="MB126" s="189"/>
      <c r="MH126" s="188"/>
      <c r="MI126" s="187"/>
      <c r="MO126" s="188"/>
      <c r="MP126" s="187"/>
      <c r="MV126" s="188"/>
      <c r="MW126" s="187"/>
      <c r="NC126" s="188"/>
      <c r="ND126" s="187"/>
      <c r="NF126" s="168"/>
      <c r="NG126" s="189"/>
      <c r="NJ126" s="188"/>
      <c r="NK126" s="187"/>
      <c r="NQ126" s="188"/>
      <c r="NR126" s="187"/>
      <c r="NX126" s="188"/>
      <c r="NY126" s="187"/>
      <c r="OE126" s="188"/>
      <c r="OF126" s="187"/>
      <c r="OK126" s="168"/>
      <c r="OL126" s="191"/>
      <c r="OM126" s="187"/>
      <c r="OS126" s="188"/>
      <c r="OT126" s="187"/>
      <c r="OZ126" s="188"/>
      <c r="PA126" s="187"/>
      <c r="PG126" s="188"/>
      <c r="PH126" s="187"/>
      <c r="PN126" s="168"/>
      <c r="PO126" s="189"/>
      <c r="PU126" s="188"/>
      <c r="PV126" s="187"/>
      <c r="QB126" s="188"/>
      <c r="QC126" s="187"/>
      <c r="QI126" s="188"/>
      <c r="QJ126" s="187"/>
      <c r="QP126" s="188"/>
      <c r="QQ126" s="187"/>
      <c r="QS126" s="168"/>
      <c r="QT126" s="189"/>
      <c r="QW126" s="188"/>
      <c r="QX126" s="187"/>
      <c r="RD126" s="188"/>
      <c r="RE126" s="187"/>
      <c r="RK126" s="188"/>
      <c r="RL126" s="187"/>
      <c r="RR126" s="188"/>
      <c r="RS126" s="187"/>
      <c r="RW126" s="168"/>
      <c r="RX126" s="189"/>
      <c r="RY126" s="188"/>
      <c r="RZ126" s="187"/>
      <c r="SF126" s="188"/>
      <c r="SG126" s="187"/>
      <c r="SM126" s="188"/>
      <c r="SN126" s="187"/>
      <c r="ST126" s="188"/>
      <c r="SU126" s="187"/>
      <c r="TA126" s="188"/>
      <c r="TB126" s="190"/>
      <c r="TC126" s="189"/>
      <c r="TH126" s="188"/>
      <c r="TI126" s="187"/>
      <c r="TO126" s="188"/>
      <c r="TP126" s="187"/>
      <c r="TV126" s="188"/>
      <c r="TW126" s="187"/>
      <c r="UC126" s="188"/>
      <c r="UD126" s="187"/>
      <c r="UF126" s="168"/>
      <c r="UG126" s="189"/>
      <c r="UJ126" s="188"/>
      <c r="UK126" s="187"/>
      <c r="UQ126" s="188"/>
      <c r="UR126" s="187"/>
      <c r="UX126" s="188"/>
      <c r="UY126" s="187"/>
      <c r="VE126" s="188"/>
      <c r="VF126" s="187"/>
      <c r="VK126" s="168"/>
      <c r="VL126" s="191"/>
      <c r="VM126" s="187"/>
      <c r="VS126" s="188"/>
      <c r="VT126" s="187"/>
      <c r="VZ126" s="188"/>
      <c r="WA126" s="187"/>
      <c r="WG126" s="188"/>
      <c r="WH126" s="187"/>
      <c r="WN126" s="188"/>
      <c r="WO126" s="187"/>
      <c r="WP126" s="168"/>
      <c r="WQ126" s="189"/>
      <c r="WU126" s="188"/>
      <c r="WV126" s="187"/>
      <c r="XB126" s="188"/>
      <c r="XC126" s="187"/>
      <c r="XI126" s="188"/>
      <c r="XJ126" s="187"/>
      <c r="XP126" s="188"/>
      <c r="XQ126" s="187"/>
      <c r="XT126" s="168"/>
      <c r="XU126" s="189"/>
      <c r="XW126" s="188"/>
      <c r="XX126" s="187"/>
      <c r="YD126" s="188"/>
      <c r="YE126" s="187"/>
      <c r="YK126" s="188"/>
      <c r="YL126" s="187"/>
      <c r="YR126" s="188"/>
      <c r="YS126" s="187"/>
      <c r="YY126" s="168"/>
      <c r="YZ126" s="189"/>
      <c r="ZF126" s="188"/>
      <c r="ZG126" s="187"/>
      <c r="ZM126" s="188"/>
      <c r="ZN126" s="187"/>
      <c r="ZT126" s="188"/>
      <c r="ZU126" s="187"/>
      <c r="AAA126" s="188"/>
      <c r="AAB126" s="187"/>
      <c r="AAC126" s="168"/>
      <c r="AAD126" s="189"/>
      <c r="AAH126" s="188"/>
      <c r="AAI126" s="187"/>
      <c r="AAO126" s="188"/>
      <c r="AAP126" s="187"/>
      <c r="AAV126" s="188"/>
      <c r="AAW126" s="187"/>
      <c r="ABC126" s="188"/>
      <c r="ABD126" s="187"/>
      <c r="ABH126" s="168"/>
      <c r="ABI126" s="189"/>
      <c r="ABJ126" s="188"/>
      <c r="ABK126" s="187"/>
      <c r="ABQ126" s="188"/>
      <c r="ABR126" s="187"/>
      <c r="ABX126" s="188"/>
      <c r="ABY126" s="187"/>
      <c r="ACE126" s="188"/>
      <c r="ACF126" s="187"/>
      <c r="ACL126" s="188"/>
      <c r="ACM126" s="190"/>
      <c r="ACN126" s="189"/>
      <c r="ACS126" s="188"/>
      <c r="ACT126" s="187"/>
      <c r="ACZ126" s="188"/>
      <c r="ADA126" s="187"/>
      <c r="ADG126" s="188"/>
      <c r="ADH126" s="187"/>
      <c r="ADN126" s="188"/>
      <c r="ADO126" s="190"/>
      <c r="ADP126" s="189"/>
      <c r="ADU126" s="188"/>
      <c r="ADV126" s="187"/>
      <c r="AEB126" s="188"/>
      <c r="AEC126" s="187"/>
      <c r="AEI126" s="188"/>
      <c r="AEJ126" s="187"/>
      <c r="AEP126" s="188"/>
      <c r="AEQ126" s="187"/>
      <c r="AET126" s="168"/>
      <c r="AEU126" s="189"/>
      <c r="AEW126" s="188"/>
      <c r="AEX126" s="187"/>
      <c r="AFD126" s="188"/>
      <c r="AFE126" s="187"/>
      <c r="AFK126" s="188"/>
      <c r="AFL126" s="187"/>
      <c r="AFR126" s="188"/>
      <c r="AFS126" s="187"/>
      <c r="AFX126" s="168"/>
      <c r="AFY126" s="191"/>
      <c r="AFZ126" s="187"/>
      <c r="AGF126" s="188"/>
      <c r="AGG126" s="187"/>
      <c r="AGM126" s="188"/>
      <c r="AGN126" s="187"/>
      <c r="AGT126" s="188"/>
      <c r="AGU126" s="187"/>
      <c r="AHA126" s="188"/>
      <c r="AHB126" s="187"/>
      <c r="AHC126" s="168"/>
      <c r="AHD126" s="189"/>
      <c r="AHH126" s="188"/>
      <c r="AHI126" s="187"/>
      <c r="AHO126" s="188"/>
      <c r="AHP126" s="187"/>
      <c r="AHV126" s="188"/>
      <c r="AHW126" s="187"/>
      <c r="AIC126" s="188"/>
      <c r="AID126" s="187"/>
      <c r="AIG126" s="168"/>
      <c r="AIH126" s="189"/>
      <c r="AIJ126" s="188"/>
      <c r="AIK126" s="187"/>
      <c r="AIQ126" s="188"/>
      <c r="AIR126" s="187"/>
      <c r="AIX126" s="188"/>
      <c r="AIY126" s="187"/>
      <c r="AJE126" s="188"/>
      <c r="AJF126" s="187"/>
      <c r="AJL126" s="168"/>
      <c r="AJM126" s="189"/>
      <c r="AJS126" s="188"/>
      <c r="AJT126" s="187"/>
      <c r="AJZ126" s="188"/>
      <c r="AKA126" s="187"/>
      <c r="AKG126" s="188"/>
      <c r="AKH126" s="187"/>
      <c r="AKN126" s="188"/>
      <c r="AKO126" s="187"/>
      <c r="AKQ126" s="168"/>
      <c r="AKR126" s="189"/>
      <c r="AKU126" s="188"/>
      <c r="AKV126" s="187"/>
      <c r="ALB126" s="188"/>
      <c r="ALC126" s="187"/>
      <c r="ALI126" s="188"/>
      <c r="ALJ126" s="187"/>
      <c r="ALP126" s="188"/>
      <c r="ALQ126" s="187"/>
      <c r="ALU126" s="168"/>
      <c r="ALV126" s="189"/>
      <c r="ALW126" s="188"/>
      <c r="ALX126" s="187"/>
      <c r="AMD126" s="188"/>
      <c r="AME126" s="187"/>
      <c r="AMK126" s="188"/>
      <c r="AML126" s="187"/>
      <c r="AMR126" s="188"/>
      <c r="AMS126" s="187"/>
      <c r="AMY126" s="188"/>
      <c r="AMZ126" s="190"/>
      <c r="ANA126" s="189"/>
      <c r="ANF126" s="188"/>
      <c r="ANG126" s="187"/>
      <c r="ANM126" s="188"/>
      <c r="ANN126" s="187"/>
      <c r="ANT126" s="188"/>
      <c r="ANU126" s="187"/>
      <c r="AOA126" s="188"/>
      <c r="AOB126" s="187"/>
      <c r="AOD126" s="168"/>
      <c r="AOE126" s="189"/>
      <c r="AOH126" s="188"/>
      <c r="AOI126" s="187"/>
      <c r="AOO126" s="188"/>
      <c r="AOP126" s="187"/>
      <c r="AOV126" s="188"/>
      <c r="AOW126" s="187"/>
      <c r="APC126" s="188"/>
      <c r="APD126" s="187"/>
      <c r="API126" s="168"/>
      <c r="APJ126" s="191"/>
      <c r="APK126" s="187"/>
      <c r="APQ126" s="188"/>
      <c r="APR126" s="187"/>
      <c r="APX126" s="188"/>
      <c r="APY126" s="187"/>
      <c r="AQE126" s="188"/>
      <c r="AQF126" s="187"/>
      <c r="AQL126" s="188"/>
      <c r="AQM126" s="187"/>
      <c r="AQN126" s="168"/>
      <c r="AQO126" s="189"/>
      <c r="AQS126" s="188"/>
      <c r="AQT126" s="187"/>
      <c r="AQZ126" s="188"/>
      <c r="ARA126" s="187"/>
      <c r="ARG126" s="188"/>
      <c r="ARH126" s="187"/>
      <c r="ARN126" s="188"/>
      <c r="ARO126" s="187"/>
      <c r="ARP126" s="168"/>
      <c r="ARQ126" s="189"/>
      <c r="ARU126" s="188"/>
      <c r="ARV126" s="187"/>
      <c r="ASB126" s="188"/>
      <c r="ASC126" s="187"/>
      <c r="ASI126" s="188"/>
      <c r="ASJ126" s="187"/>
      <c r="ASP126" s="188"/>
      <c r="ASQ126" s="187"/>
      <c r="ASU126" s="168"/>
      <c r="ASV126" s="189"/>
      <c r="ASW126" s="188"/>
      <c r="ASX126" s="187"/>
      <c r="ATD126" s="188"/>
      <c r="ATE126" s="187"/>
      <c r="ATK126" s="188"/>
      <c r="ATL126" s="187"/>
      <c r="ATR126" s="188"/>
      <c r="ATS126" s="187"/>
      <c r="ATY126" s="168"/>
      <c r="ATZ126" s="189"/>
      <c r="AUF126" s="188"/>
      <c r="AUG126" s="187"/>
      <c r="AUM126" s="188"/>
      <c r="AUN126" s="187"/>
      <c r="AUT126" s="188"/>
      <c r="AUU126" s="187"/>
      <c r="AVA126" s="188"/>
      <c r="AVB126" s="187"/>
      <c r="AVD126" s="168"/>
      <c r="AVE126" s="189"/>
      <c r="AVH126" s="188"/>
      <c r="AVI126" s="187"/>
      <c r="AVO126" s="188"/>
      <c r="AVP126" s="187"/>
      <c r="AVV126" s="188"/>
      <c r="AVW126" s="187"/>
      <c r="AWC126" s="188"/>
      <c r="AWD126" s="187"/>
      <c r="AWH126" s="168"/>
      <c r="AWI126" s="189"/>
      <c r="AWJ126" s="188"/>
      <c r="AWK126" s="187"/>
      <c r="AWQ126" s="188"/>
      <c r="AWR126" s="187"/>
      <c r="AWX126" s="188"/>
      <c r="AWY126" s="187"/>
      <c r="AXE126" s="188"/>
      <c r="AXF126" s="187"/>
      <c r="AXL126" s="188"/>
      <c r="AXM126" s="190"/>
      <c r="AXN126" s="189"/>
      <c r="AXS126" s="188"/>
      <c r="AXT126" s="187"/>
      <c r="AXZ126" s="188"/>
      <c r="AYA126" s="187"/>
      <c r="AYG126" s="188"/>
      <c r="AYH126" s="187"/>
      <c r="AYN126" s="188"/>
      <c r="AYO126" s="187"/>
      <c r="AYR126" s="168"/>
      <c r="AYS126" s="189"/>
      <c r="AYU126" s="188"/>
      <c r="AYV126" s="187"/>
      <c r="AZB126" s="188"/>
      <c r="AZC126" s="187"/>
      <c r="AZI126" s="188"/>
      <c r="AZJ126" s="187"/>
      <c r="AZP126" s="188"/>
      <c r="AZQ126" s="187"/>
      <c r="AZV126" s="168"/>
      <c r="AZW126" s="191"/>
      <c r="AZX126" s="187"/>
      <c r="BAD126" s="188"/>
      <c r="BAE126" s="187"/>
      <c r="BAK126" s="188"/>
      <c r="BAL126" s="187"/>
      <c r="BAR126" s="188"/>
      <c r="BAS126" s="187"/>
      <c r="BAY126" s="188"/>
      <c r="BAZ126" s="187"/>
      <c r="BBA126" s="168"/>
      <c r="BBB126" s="189"/>
      <c r="BBF126" s="188"/>
      <c r="BBG126" s="187"/>
      <c r="BBM126" s="188"/>
      <c r="BBN126" s="187"/>
      <c r="BBT126" s="188"/>
      <c r="BBU126" s="187"/>
      <c r="BCA126" s="188"/>
      <c r="BCB126" s="187"/>
      <c r="BCE126" s="168"/>
      <c r="BCF126" s="189"/>
      <c r="BCH126" s="188"/>
      <c r="BCI126" s="187"/>
      <c r="BCO126" s="188"/>
      <c r="BCP126" s="187"/>
      <c r="BCV126" s="188"/>
      <c r="BCW126" s="187"/>
      <c r="BDC126" s="188"/>
      <c r="BDD126" s="187"/>
      <c r="BDJ126" s="168"/>
      <c r="BDK126" s="189"/>
      <c r="BDQ126" s="188"/>
      <c r="BDR126" s="187"/>
      <c r="BDX126" s="188"/>
      <c r="BDY126" s="187"/>
      <c r="BEE126" s="188"/>
      <c r="BEF126" s="187"/>
      <c r="BEL126" s="188"/>
      <c r="BEM126" s="187"/>
      <c r="BEO126" s="168"/>
      <c r="BEP126" s="189"/>
      <c r="BES126" s="188"/>
      <c r="BET126" s="187"/>
      <c r="BEZ126" s="188"/>
      <c r="BFA126" s="187"/>
      <c r="BFG126" s="188"/>
      <c r="BFH126" s="187"/>
      <c r="BFN126" s="188"/>
      <c r="BFO126" s="187"/>
      <c r="BFQ126" s="168"/>
      <c r="BFR126" s="189"/>
      <c r="BFU126" s="188"/>
      <c r="BFV126" s="187"/>
      <c r="BGB126" s="188"/>
      <c r="BGC126" s="187"/>
      <c r="BGI126" s="188"/>
      <c r="BGJ126" s="187"/>
      <c r="BGP126" s="188"/>
      <c r="BGQ126" s="187"/>
      <c r="BGV126" s="168"/>
      <c r="BGW126" s="191"/>
      <c r="BGX126" s="187"/>
      <c r="BHD126" s="188"/>
      <c r="BHE126" s="187"/>
      <c r="BHK126" s="188"/>
      <c r="BHL126" s="187"/>
      <c r="BHR126" s="188"/>
      <c r="BHS126" s="187"/>
      <c r="BHY126" s="188"/>
      <c r="BHZ126" s="190"/>
      <c r="BIA126" s="189"/>
      <c r="BIF126" s="188"/>
      <c r="BIG126" s="187"/>
      <c r="BIM126" s="188"/>
      <c r="BIN126" s="187"/>
      <c r="BIT126" s="188"/>
      <c r="BIU126" s="187"/>
      <c r="BJA126" s="188"/>
      <c r="BJB126" s="187"/>
      <c r="BJE126" s="168"/>
      <c r="BJF126" s="189"/>
      <c r="BJH126" s="188"/>
      <c r="BJI126" s="187"/>
      <c r="BJO126" s="188"/>
      <c r="BJP126" s="187"/>
      <c r="BJV126" s="188"/>
      <c r="BJW126" s="187"/>
      <c r="BKC126" s="188"/>
      <c r="BKD126" s="187"/>
      <c r="BKI126" s="168"/>
      <c r="BKJ126" s="191"/>
      <c r="BKK126" s="187"/>
      <c r="BKQ126" s="188"/>
      <c r="BKR126" s="187"/>
      <c r="BKX126" s="188"/>
      <c r="BKY126" s="187"/>
      <c r="BLE126" s="188"/>
      <c r="BLF126" s="187"/>
      <c r="BLL126" s="188"/>
      <c r="BLM126" s="187"/>
      <c r="BLN126" s="168"/>
      <c r="BLO126" s="189"/>
      <c r="BLS126" s="188"/>
      <c r="BLT126" s="187"/>
      <c r="BLZ126" s="188"/>
      <c r="BMA126" s="187"/>
      <c r="BMG126" s="188"/>
      <c r="BMH126" s="187"/>
      <c r="BMN126" s="188"/>
      <c r="BMO126" s="187"/>
      <c r="BMS126" s="168"/>
      <c r="BMT126" s="189"/>
      <c r="BMU126" s="188"/>
      <c r="BMV126" s="187"/>
      <c r="BNB126" s="188"/>
      <c r="BNC126" s="187"/>
      <c r="BNI126" s="188"/>
      <c r="BNJ126" s="187"/>
      <c r="BNP126" s="188"/>
      <c r="BNQ126" s="187"/>
      <c r="BNW126" s="168"/>
      <c r="BNX126" s="189"/>
      <c r="BOD126" s="188"/>
      <c r="BOE126" s="187"/>
      <c r="BOK126" s="188"/>
      <c r="BOL126" s="187"/>
      <c r="BOR126" s="188"/>
      <c r="BOS126" s="187"/>
      <c r="BOY126" s="188"/>
      <c r="BOZ126" s="187"/>
      <c r="BPB126" s="168"/>
      <c r="BPC126" s="189"/>
      <c r="BPF126" s="188"/>
      <c r="BPG126" s="187"/>
      <c r="BPM126" s="188"/>
      <c r="BPN126" s="187"/>
      <c r="BPT126" s="188"/>
      <c r="BPU126" s="187"/>
      <c r="BQA126" s="188"/>
      <c r="BQB126" s="187"/>
      <c r="BQF126" s="168"/>
      <c r="BQG126" s="189"/>
      <c r="BQH126" s="188"/>
      <c r="BQI126" s="187"/>
      <c r="BQO126" s="188"/>
      <c r="BQP126" s="187"/>
      <c r="BQV126" s="188"/>
      <c r="BQW126" s="187"/>
      <c r="BRC126" s="188"/>
      <c r="BRD126" s="187"/>
      <c r="BRJ126" s="188"/>
      <c r="BRK126" s="190"/>
      <c r="BRL126" s="189"/>
      <c r="BRQ126" s="188"/>
      <c r="BRR126" s="187"/>
      <c r="BRX126" s="188"/>
      <c r="BRY126" s="187"/>
      <c r="BSE126" s="188"/>
      <c r="BSF126" s="187"/>
      <c r="BSL126" s="188"/>
      <c r="BSM126" s="187"/>
      <c r="BSP126" s="168"/>
      <c r="BSQ126" s="189"/>
      <c r="BSS126" s="188"/>
      <c r="BST126" s="187"/>
      <c r="BSZ126" s="188"/>
      <c r="BTA126" s="187"/>
      <c r="BTG126" s="188"/>
      <c r="BTH126" s="187"/>
      <c r="BTN126" s="188"/>
      <c r="BTO126" s="187"/>
      <c r="BTS126" s="168"/>
      <c r="BTT126" s="189"/>
      <c r="BTU126" s="188"/>
      <c r="BTV126" s="187"/>
      <c r="BUB126" s="188"/>
      <c r="BUC126" s="187"/>
      <c r="BUI126" s="188"/>
      <c r="BUJ126" s="187"/>
      <c r="BUP126" s="188"/>
      <c r="BUQ126" s="187"/>
      <c r="BUW126" s="188"/>
      <c r="BUX126" s="190"/>
      <c r="BUY126" s="189"/>
      <c r="BVD126" s="188"/>
      <c r="BVE126" s="187"/>
      <c r="BVK126" s="188"/>
      <c r="BVL126" s="187"/>
      <c r="BVR126" s="188"/>
      <c r="BVS126" s="187"/>
      <c r="BVY126" s="188"/>
      <c r="BVZ126" s="187"/>
      <c r="BWB126" s="168"/>
      <c r="BWC126" s="189"/>
      <c r="BWF126" s="188"/>
      <c r="BWG126" s="187"/>
      <c r="BWM126" s="188"/>
      <c r="BWN126" s="187"/>
      <c r="BWT126" s="188"/>
      <c r="BWU126" s="187"/>
      <c r="BXA126" s="188"/>
      <c r="BXB126" s="187"/>
      <c r="BXG126" s="168"/>
      <c r="BXH126" s="191"/>
      <c r="BXI126" s="187"/>
      <c r="BXO126" s="188"/>
      <c r="BXP126" s="187"/>
      <c r="BXV126" s="188"/>
      <c r="BXW126" s="187"/>
      <c r="BYC126" s="188"/>
      <c r="BYD126" s="187"/>
      <c r="BYJ126" s="188"/>
      <c r="BYK126" s="190"/>
      <c r="BYL126" s="189"/>
      <c r="BYQ126" s="188"/>
      <c r="BYR126" s="187"/>
      <c r="BYX126" s="188"/>
      <c r="BYY126" s="187"/>
      <c r="BZE126" s="188"/>
      <c r="BZF126" s="187"/>
      <c r="BZL126" s="188"/>
      <c r="BZM126" s="187"/>
      <c r="BZP126" s="168"/>
      <c r="BZQ126" s="189"/>
      <c r="BZS126" s="188"/>
      <c r="BZT126" s="187"/>
      <c r="BZZ126" s="188"/>
      <c r="CAA126" s="187"/>
      <c r="CAG126" s="188"/>
      <c r="CAH126" s="187"/>
      <c r="CAN126" s="188"/>
      <c r="CAO126" s="187"/>
      <c r="CAU126" s="168"/>
      <c r="CAV126" s="189"/>
      <c r="CBB126" s="188"/>
      <c r="CBC126" s="187"/>
      <c r="CBI126" s="188"/>
      <c r="CBJ126" s="187"/>
      <c r="CBP126" s="188"/>
      <c r="CBQ126" s="187"/>
      <c r="CBW126" s="188"/>
      <c r="CBX126" s="187"/>
      <c r="CBY126" s="168"/>
      <c r="CBZ126" s="189"/>
      <c r="CCD126" s="188"/>
      <c r="CCE126" s="187"/>
      <c r="CCK126" s="188"/>
      <c r="CCL126" s="187"/>
      <c r="CCR126" s="188"/>
      <c r="CCS126" s="187"/>
      <c r="CCY126" s="188"/>
      <c r="CCZ126" s="187"/>
      <c r="CDD126" s="168"/>
      <c r="CDE126" s="189"/>
      <c r="CDF126" s="188"/>
      <c r="CDG126" s="187"/>
      <c r="CDM126" s="188"/>
      <c r="CDN126" s="187"/>
      <c r="CDT126" s="188"/>
      <c r="CDU126" s="187"/>
      <c r="CEA126" s="188"/>
      <c r="CEB126" s="187"/>
      <c r="CEH126" s="168"/>
      <c r="CEI126" s="189"/>
      <c r="CEO126" s="188"/>
      <c r="CEP126" s="187"/>
      <c r="CEV126" s="188"/>
      <c r="CEW126" s="187"/>
      <c r="CFC126" s="188"/>
      <c r="CFD126" s="187"/>
      <c r="CFJ126" s="188"/>
      <c r="CFK126" s="187"/>
    </row>
    <row r="127" spans="1:1019 1025:2048 2054:2195">
      <c r="A127" s="164" t="s">
        <v>417</v>
      </c>
      <c r="C127" s="164" t="s">
        <v>418</v>
      </c>
      <c r="D127" s="186">
        <v>44681</v>
      </c>
      <c r="E127" s="186">
        <v>44681</v>
      </c>
      <c r="K127" s="187"/>
      <c r="Q127" s="188"/>
      <c r="R127" s="187"/>
      <c r="X127" s="188"/>
      <c r="Y127" s="187"/>
      <c r="AE127" s="188"/>
      <c r="AF127" s="187"/>
      <c r="AJ127" s="168"/>
      <c r="AK127" s="189"/>
      <c r="AL127" s="188"/>
      <c r="AM127" s="187"/>
      <c r="AS127" s="188"/>
      <c r="AT127" s="187"/>
      <c r="AZ127" s="188"/>
      <c r="BA127" s="187"/>
      <c r="BG127" s="188"/>
      <c r="BH127" s="187"/>
      <c r="BL127" s="168"/>
      <c r="BM127" s="189"/>
      <c r="BN127" s="188"/>
      <c r="BO127" s="187"/>
      <c r="BU127" s="188"/>
      <c r="BV127" s="187"/>
      <c r="CB127" s="188"/>
      <c r="CC127" s="187"/>
      <c r="CI127" s="188"/>
      <c r="CJ127" s="187"/>
      <c r="CP127" s="188"/>
      <c r="CQ127" s="190"/>
      <c r="CR127" s="189"/>
      <c r="CW127" s="188"/>
      <c r="CX127" s="187"/>
      <c r="DD127" s="188"/>
      <c r="DE127" s="187"/>
      <c r="DK127" s="188"/>
      <c r="DL127" s="187"/>
      <c r="DR127" s="188"/>
      <c r="DS127" s="187"/>
      <c r="DU127" s="168"/>
      <c r="DV127" s="189"/>
      <c r="DY127" s="188"/>
      <c r="DZ127" s="187"/>
      <c r="EF127" s="188"/>
      <c r="EG127" s="187"/>
      <c r="EM127" s="188"/>
      <c r="EN127" s="187"/>
      <c r="ET127" s="188"/>
      <c r="EU127" s="187"/>
      <c r="EZ127" s="168"/>
      <c r="FA127" s="191"/>
      <c r="FB127" s="187"/>
      <c r="FH127" s="188"/>
      <c r="FI127" s="187"/>
      <c r="FO127" s="188"/>
      <c r="FP127" s="187"/>
      <c r="FV127" s="188"/>
      <c r="FW127" s="187"/>
      <c r="GC127" s="188"/>
      <c r="GD127" s="190"/>
      <c r="GE127" s="189"/>
      <c r="GJ127" s="188"/>
      <c r="GK127" s="187"/>
      <c r="GQ127" s="188"/>
      <c r="GR127" s="187"/>
      <c r="GX127" s="188"/>
      <c r="GY127" s="187"/>
      <c r="HE127" s="188"/>
      <c r="HF127" s="187"/>
      <c r="HI127" s="168"/>
      <c r="HJ127" s="189"/>
      <c r="HL127" s="188"/>
      <c r="HM127" s="187"/>
      <c r="HS127" s="188"/>
      <c r="HT127" s="187"/>
      <c r="HZ127" s="188"/>
      <c r="IA127" s="187"/>
      <c r="IG127" s="188"/>
      <c r="IH127" s="187"/>
      <c r="IN127" s="168"/>
      <c r="IO127" s="189"/>
      <c r="IU127" s="188"/>
      <c r="IV127" s="187"/>
      <c r="JB127" s="188"/>
      <c r="JC127" s="187"/>
      <c r="JI127" s="188"/>
      <c r="JJ127" s="187"/>
      <c r="JP127" s="188"/>
      <c r="JQ127" s="187"/>
      <c r="JR127" s="168"/>
      <c r="JS127" s="189"/>
      <c r="JW127" s="188"/>
      <c r="JX127" s="187"/>
      <c r="KD127" s="188"/>
      <c r="KE127" s="187"/>
      <c r="KK127" s="188"/>
      <c r="KL127" s="187"/>
      <c r="KR127" s="188"/>
      <c r="KS127" s="187"/>
      <c r="KW127" s="168"/>
      <c r="KX127" s="189"/>
      <c r="KY127" s="188"/>
      <c r="KZ127" s="187"/>
      <c r="LF127" s="188"/>
      <c r="LG127" s="187"/>
      <c r="LM127" s="188"/>
      <c r="LN127" s="187"/>
      <c r="LT127" s="188"/>
      <c r="LU127" s="187"/>
      <c r="MA127" s="168"/>
      <c r="MB127" s="189"/>
      <c r="MH127" s="188"/>
      <c r="MI127" s="187"/>
      <c r="MO127" s="188"/>
      <c r="MP127" s="187"/>
      <c r="MV127" s="188"/>
      <c r="MW127" s="187"/>
      <c r="NC127" s="188"/>
      <c r="ND127" s="187"/>
      <c r="NF127" s="168"/>
      <c r="NG127" s="189"/>
      <c r="NJ127" s="188"/>
      <c r="NK127" s="187"/>
      <c r="NQ127" s="188"/>
      <c r="NR127" s="187"/>
      <c r="NX127" s="188"/>
      <c r="NY127" s="187"/>
      <c r="OE127" s="188"/>
      <c r="OF127" s="187"/>
      <c r="OK127" s="168"/>
      <c r="OL127" s="191"/>
      <c r="OM127" s="187"/>
      <c r="OS127" s="188"/>
      <c r="OT127" s="187"/>
      <c r="OZ127" s="188"/>
      <c r="PA127" s="187"/>
      <c r="PG127" s="188"/>
      <c r="PH127" s="187"/>
      <c r="PN127" s="168"/>
      <c r="PO127" s="189"/>
      <c r="PU127" s="188"/>
      <c r="PV127" s="187"/>
      <c r="QB127" s="188"/>
      <c r="QC127" s="187"/>
      <c r="QI127" s="188"/>
      <c r="QJ127" s="187"/>
      <c r="QP127" s="188"/>
      <c r="QQ127" s="187"/>
      <c r="QS127" s="168"/>
      <c r="QT127" s="189"/>
      <c r="QW127" s="188"/>
      <c r="QX127" s="187"/>
      <c r="RD127" s="188"/>
      <c r="RE127" s="187"/>
      <c r="RK127" s="188"/>
      <c r="RL127" s="187"/>
      <c r="RR127" s="188"/>
      <c r="RS127" s="187"/>
      <c r="RW127" s="168"/>
      <c r="RX127" s="189"/>
      <c r="RY127" s="188"/>
      <c r="RZ127" s="187"/>
      <c r="SF127" s="188"/>
      <c r="SG127" s="187"/>
      <c r="SM127" s="188"/>
      <c r="SN127" s="187"/>
      <c r="ST127" s="188"/>
      <c r="SU127" s="187"/>
      <c r="TA127" s="188"/>
      <c r="TB127" s="190"/>
      <c r="TC127" s="189"/>
      <c r="TH127" s="188"/>
      <c r="TI127" s="187"/>
      <c r="TO127" s="188"/>
      <c r="TP127" s="187"/>
      <c r="TV127" s="188"/>
      <c r="TW127" s="187"/>
      <c r="UC127" s="188"/>
      <c r="UD127" s="187"/>
      <c r="UF127" s="168"/>
      <c r="UG127" s="189"/>
      <c r="UJ127" s="188"/>
      <c r="UK127" s="187"/>
      <c r="UQ127" s="188"/>
      <c r="UR127" s="187"/>
      <c r="UX127" s="188"/>
      <c r="UY127" s="187"/>
      <c r="VE127" s="188"/>
      <c r="VF127" s="187"/>
      <c r="VK127" s="168"/>
      <c r="VL127" s="191"/>
      <c r="VM127" s="187"/>
      <c r="VS127" s="188"/>
      <c r="VT127" s="187"/>
      <c r="VZ127" s="188"/>
      <c r="WA127" s="187"/>
      <c r="WG127" s="188"/>
      <c r="WH127" s="187"/>
      <c r="WN127" s="188"/>
      <c r="WO127" s="187"/>
      <c r="WP127" s="168"/>
      <c r="WQ127" s="189"/>
      <c r="WU127" s="188"/>
      <c r="WV127" s="187"/>
      <c r="XB127" s="188"/>
      <c r="XC127" s="187"/>
      <c r="XI127" s="188"/>
      <c r="XJ127" s="187"/>
      <c r="XP127" s="188"/>
      <c r="XQ127" s="187"/>
      <c r="XT127" s="168"/>
      <c r="XU127" s="189"/>
      <c r="XW127" s="188"/>
      <c r="XX127" s="187"/>
      <c r="YD127" s="188"/>
      <c r="YE127" s="187"/>
      <c r="YK127" s="188"/>
      <c r="YL127" s="187"/>
      <c r="YR127" s="188"/>
      <c r="YS127" s="187"/>
      <c r="YY127" s="168"/>
      <c r="YZ127" s="189"/>
      <c r="ZF127" s="188"/>
      <c r="ZG127" s="187"/>
      <c r="ZM127" s="188"/>
      <c r="ZN127" s="187"/>
      <c r="ZT127" s="188"/>
      <c r="ZU127" s="187"/>
      <c r="AAA127" s="188"/>
      <c r="AAB127" s="187"/>
      <c r="AAC127" s="168"/>
      <c r="AAD127" s="189"/>
      <c r="AAH127" s="188"/>
      <c r="AAI127" s="187"/>
      <c r="AAO127" s="188"/>
      <c r="AAP127" s="187"/>
      <c r="AAV127" s="188"/>
      <c r="AAW127" s="187"/>
      <c r="ABC127" s="188"/>
      <c r="ABD127" s="187"/>
      <c r="ABH127" s="168"/>
      <c r="ABI127" s="189"/>
      <c r="ABJ127" s="188"/>
      <c r="ABK127" s="187"/>
      <c r="ABQ127" s="188"/>
      <c r="ABR127" s="187"/>
      <c r="ABX127" s="188"/>
      <c r="ABY127" s="187"/>
      <c r="ACE127" s="188"/>
      <c r="ACF127" s="187"/>
      <c r="ACL127" s="188"/>
      <c r="ACM127" s="190"/>
      <c r="ACN127" s="189"/>
      <c r="ACS127" s="188"/>
      <c r="ACT127" s="187"/>
      <c r="ACZ127" s="188"/>
      <c r="ADA127" s="187"/>
      <c r="ADG127" s="188"/>
      <c r="ADH127" s="187"/>
      <c r="ADN127" s="188"/>
      <c r="ADO127" s="190"/>
      <c r="ADP127" s="189"/>
      <c r="ADU127" s="188"/>
      <c r="ADV127" s="187"/>
      <c r="AEB127" s="188"/>
      <c r="AEC127" s="187"/>
      <c r="AEI127" s="188"/>
      <c r="AEJ127" s="187"/>
      <c r="AEP127" s="188"/>
      <c r="AEQ127" s="187"/>
      <c r="AET127" s="168"/>
      <c r="AEU127" s="189"/>
      <c r="AEW127" s="188"/>
      <c r="AEX127" s="187"/>
      <c r="AFD127" s="188"/>
      <c r="AFE127" s="187"/>
      <c r="AFK127" s="188"/>
      <c r="AFL127" s="187"/>
      <c r="AFR127" s="188"/>
      <c r="AFS127" s="187"/>
      <c r="AFX127" s="168"/>
      <c r="AFY127" s="191"/>
      <c r="AFZ127" s="187"/>
      <c r="AGF127" s="188"/>
      <c r="AGG127" s="187"/>
      <c r="AGM127" s="188"/>
      <c r="AGN127" s="187"/>
      <c r="AGT127" s="188"/>
      <c r="AGU127" s="187"/>
      <c r="AHA127" s="188"/>
      <c r="AHB127" s="187"/>
      <c r="AHC127" s="168"/>
      <c r="AHD127" s="189"/>
      <c r="AHH127" s="188"/>
      <c r="AHI127" s="187"/>
      <c r="AHO127" s="188"/>
      <c r="AHP127" s="187"/>
      <c r="AHV127" s="188"/>
      <c r="AHW127" s="187"/>
      <c r="AIC127" s="188"/>
      <c r="AID127" s="187"/>
      <c r="AIG127" s="168"/>
      <c r="AIH127" s="189"/>
      <c r="AIJ127" s="188"/>
      <c r="AIK127" s="187"/>
      <c r="AIQ127" s="188"/>
      <c r="AIR127" s="187"/>
      <c r="AIX127" s="188"/>
      <c r="AIY127" s="187"/>
      <c r="AJE127" s="188"/>
      <c r="AJF127" s="187"/>
      <c r="AJL127" s="168"/>
      <c r="AJM127" s="189"/>
      <c r="AJS127" s="188"/>
      <c r="AJT127" s="187"/>
      <c r="AJZ127" s="188"/>
      <c r="AKA127" s="187"/>
      <c r="AKG127" s="188"/>
      <c r="AKH127" s="187"/>
      <c r="AKN127" s="188"/>
      <c r="AKO127" s="187"/>
      <c r="AKQ127" s="168"/>
      <c r="AKR127" s="189"/>
      <c r="AKU127" s="188"/>
      <c r="AKV127" s="187"/>
      <c r="ALB127" s="188"/>
      <c r="ALC127" s="187"/>
      <c r="ALI127" s="188"/>
      <c r="ALJ127" s="187"/>
      <c r="ALP127" s="188"/>
      <c r="ALQ127" s="187"/>
      <c r="ALU127" s="168"/>
      <c r="ALV127" s="189"/>
      <c r="ALW127" s="188"/>
      <c r="ALX127" s="187"/>
      <c r="AMD127" s="188"/>
      <c r="AME127" s="187"/>
      <c r="AMK127" s="188"/>
      <c r="AML127" s="187"/>
      <c r="AMR127" s="188"/>
      <c r="AMS127" s="187"/>
      <c r="AMY127" s="188"/>
      <c r="AMZ127" s="190"/>
      <c r="ANA127" s="189"/>
      <c r="ANF127" s="188"/>
      <c r="ANG127" s="187"/>
      <c r="ANM127" s="188"/>
      <c r="ANN127" s="187"/>
      <c r="ANT127" s="188"/>
      <c r="ANU127" s="187"/>
      <c r="AOA127" s="188"/>
      <c r="AOB127" s="187"/>
      <c r="AOD127" s="168"/>
      <c r="AOE127" s="189"/>
      <c r="AOH127" s="188"/>
      <c r="AOI127" s="187"/>
      <c r="AOO127" s="188"/>
      <c r="AOP127" s="187"/>
      <c r="AOV127" s="188"/>
      <c r="AOW127" s="187"/>
      <c r="APC127" s="188"/>
      <c r="APD127" s="187"/>
      <c r="API127" s="168"/>
      <c r="APJ127" s="191"/>
      <c r="APK127" s="187"/>
      <c r="APQ127" s="188"/>
      <c r="APR127" s="187"/>
      <c r="APX127" s="188"/>
      <c r="APY127" s="187"/>
      <c r="AQE127" s="188"/>
      <c r="AQF127" s="187"/>
      <c r="AQL127" s="188"/>
      <c r="AQM127" s="187"/>
      <c r="AQN127" s="168"/>
      <c r="AQO127" s="189"/>
      <c r="AQS127" s="188"/>
      <c r="AQT127" s="187"/>
      <c r="AQZ127" s="188"/>
      <c r="ARA127" s="187"/>
      <c r="ARG127" s="188"/>
      <c r="ARH127" s="187"/>
      <c r="ARN127" s="188"/>
      <c r="ARO127" s="187"/>
      <c r="ARP127" s="168"/>
      <c r="ARQ127" s="189"/>
      <c r="ARU127" s="188"/>
      <c r="ARV127" s="187"/>
      <c r="ASB127" s="188"/>
      <c r="ASC127" s="187"/>
      <c r="ASI127" s="188"/>
      <c r="ASJ127" s="187"/>
      <c r="ASP127" s="188"/>
      <c r="ASQ127" s="187"/>
      <c r="ASU127" s="168"/>
      <c r="ASV127" s="189"/>
      <c r="ASW127" s="188"/>
      <c r="ASX127" s="187"/>
      <c r="ATD127" s="188"/>
      <c r="ATE127" s="187"/>
      <c r="ATK127" s="188"/>
      <c r="ATL127" s="187"/>
      <c r="ATR127" s="188"/>
      <c r="ATS127" s="187"/>
      <c r="ATY127" s="168">
        <v>1</v>
      </c>
      <c r="ATZ127" s="189"/>
      <c r="AUF127" s="188"/>
      <c r="AUG127" s="187"/>
      <c r="AUM127" s="188"/>
      <c r="AUN127" s="187"/>
      <c r="AUT127" s="188"/>
      <c r="AUU127" s="187"/>
      <c r="AVA127" s="188"/>
      <c r="AVB127" s="187"/>
      <c r="AVD127" s="168"/>
      <c r="AVE127" s="189"/>
      <c r="AVH127" s="188"/>
      <c r="AVI127" s="187"/>
      <c r="AVO127" s="188"/>
      <c r="AVP127" s="187"/>
      <c r="AVV127" s="188"/>
      <c r="AVW127" s="187"/>
      <c r="AWC127" s="188"/>
      <c r="AWD127" s="187"/>
      <c r="AWH127" s="168"/>
      <c r="AWI127" s="189"/>
      <c r="AWJ127" s="188"/>
      <c r="AWK127" s="187"/>
      <c r="AWQ127" s="188"/>
      <c r="AWR127" s="187"/>
      <c r="AWX127" s="188"/>
      <c r="AWY127" s="187"/>
      <c r="AXE127" s="188"/>
      <c r="AXF127" s="187"/>
      <c r="AXL127" s="188"/>
      <c r="AXM127" s="190"/>
      <c r="AXN127" s="189"/>
      <c r="AXS127" s="188"/>
      <c r="AXT127" s="187"/>
      <c r="AXZ127" s="188"/>
      <c r="AYA127" s="187"/>
      <c r="AYG127" s="188"/>
      <c r="AYH127" s="187"/>
      <c r="AYN127" s="188"/>
      <c r="AYO127" s="187"/>
      <c r="AYR127" s="168"/>
      <c r="AYS127" s="189"/>
      <c r="AYU127" s="188"/>
      <c r="AYV127" s="187"/>
      <c r="AZB127" s="188"/>
      <c r="AZC127" s="187"/>
      <c r="AZI127" s="188"/>
      <c r="AZJ127" s="187"/>
      <c r="AZP127" s="188"/>
      <c r="AZQ127" s="187"/>
      <c r="AZV127" s="168"/>
      <c r="AZW127" s="191"/>
      <c r="AZX127" s="187"/>
      <c r="BAD127" s="188"/>
      <c r="BAE127" s="187"/>
      <c r="BAK127" s="188"/>
      <c r="BAL127" s="187"/>
      <c r="BAR127" s="188"/>
      <c r="BAS127" s="187"/>
      <c r="BAY127" s="188"/>
      <c r="BAZ127" s="187"/>
      <c r="BBA127" s="168"/>
      <c r="BBB127" s="189"/>
      <c r="BBF127" s="188"/>
      <c r="BBG127" s="187"/>
      <c r="BBM127" s="188"/>
      <c r="BBN127" s="187"/>
      <c r="BBT127" s="188"/>
      <c r="BBU127" s="187"/>
      <c r="BCA127" s="188"/>
      <c r="BCB127" s="187"/>
      <c r="BCE127" s="168"/>
      <c r="BCF127" s="189"/>
      <c r="BCH127" s="188"/>
      <c r="BCI127" s="187"/>
      <c r="BCO127" s="188"/>
      <c r="BCP127" s="187"/>
      <c r="BCV127" s="188"/>
      <c r="BCW127" s="187"/>
      <c r="BDC127" s="188"/>
      <c r="BDD127" s="187"/>
      <c r="BDJ127" s="168"/>
      <c r="BDK127" s="189"/>
      <c r="BDQ127" s="188"/>
      <c r="BDR127" s="187"/>
      <c r="BDX127" s="188"/>
      <c r="BDY127" s="187"/>
      <c r="BEE127" s="188"/>
      <c r="BEF127" s="187"/>
      <c r="BEL127" s="188"/>
      <c r="BEM127" s="187"/>
      <c r="BEO127" s="168"/>
      <c r="BEP127" s="189"/>
      <c r="BES127" s="188"/>
      <c r="BET127" s="187"/>
      <c r="BEZ127" s="188"/>
      <c r="BFA127" s="187"/>
      <c r="BFG127" s="188"/>
      <c r="BFH127" s="187"/>
      <c r="BFN127" s="188"/>
      <c r="BFO127" s="187"/>
      <c r="BFQ127" s="168"/>
      <c r="BFR127" s="189"/>
      <c r="BFU127" s="188"/>
      <c r="BFV127" s="187"/>
      <c r="BGB127" s="188"/>
      <c r="BGC127" s="187"/>
      <c r="BGI127" s="188"/>
      <c r="BGJ127" s="187"/>
      <c r="BGP127" s="188"/>
      <c r="BGQ127" s="187"/>
      <c r="BGV127" s="168"/>
      <c r="BGW127" s="191"/>
      <c r="BGX127" s="187"/>
      <c r="BHD127" s="188"/>
      <c r="BHE127" s="187"/>
      <c r="BHK127" s="188"/>
      <c r="BHL127" s="187"/>
      <c r="BHR127" s="188"/>
      <c r="BHS127" s="187"/>
      <c r="BHY127" s="188"/>
      <c r="BHZ127" s="190"/>
      <c r="BIA127" s="189"/>
      <c r="BIF127" s="188"/>
      <c r="BIG127" s="187"/>
      <c r="BIM127" s="188"/>
      <c r="BIN127" s="187"/>
      <c r="BIT127" s="188"/>
      <c r="BIU127" s="187"/>
      <c r="BJA127" s="188"/>
      <c r="BJB127" s="187"/>
      <c r="BJE127" s="168"/>
      <c r="BJF127" s="189"/>
      <c r="BJH127" s="188"/>
      <c r="BJI127" s="187"/>
      <c r="BJO127" s="188"/>
      <c r="BJP127" s="187"/>
      <c r="BJV127" s="188"/>
      <c r="BJW127" s="187"/>
      <c r="BKC127" s="188"/>
      <c r="BKD127" s="187"/>
      <c r="BKI127" s="168"/>
      <c r="BKJ127" s="191"/>
      <c r="BKK127" s="187"/>
      <c r="BKQ127" s="188"/>
      <c r="BKR127" s="187"/>
      <c r="BKX127" s="188"/>
      <c r="BKY127" s="187"/>
      <c r="BLE127" s="188"/>
      <c r="BLF127" s="187"/>
      <c r="BLL127" s="188"/>
      <c r="BLM127" s="187"/>
      <c r="BLN127" s="168"/>
      <c r="BLO127" s="189"/>
      <c r="BLS127" s="188"/>
      <c r="BLT127" s="187"/>
      <c r="BLZ127" s="188"/>
      <c r="BMA127" s="187"/>
      <c r="BMG127" s="188"/>
      <c r="BMH127" s="187"/>
      <c r="BMN127" s="188"/>
      <c r="BMO127" s="187"/>
      <c r="BMS127" s="168"/>
      <c r="BMT127" s="189"/>
      <c r="BMU127" s="188"/>
      <c r="BMV127" s="187"/>
      <c r="BNB127" s="188"/>
      <c r="BNC127" s="187"/>
      <c r="BNI127" s="188"/>
      <c r="BNJ127" s="187"/>
      <c r="BNP127" s="188"/>
      <c r="BNQ127" s="187"/>
      <c r="BNW127" s="168"/>
      <c r="BNX127" s="189"/>
      <c r="BOD127" s="188"/>
      <c r="BOE127" s="187"/>
      <c r="BOK127" s="188"/>
      <c r="BOL127" s="187"/>
      <c r="BOR127" s="188"/>
      <c r="BOS127" s="187"/>
      <c r="BOY127" s="188"/>
      <c r="BOZ127" s="187"/>
      <c r="BPB127" s="168"/>
      <c r="BPC127" s="189"/>
      <c r="BPF127" s="188"/>
      <c r="BPG127" s="187"/>
      <c r="BPM127" s="188"/>
      <c r="BPN127" s="187"/>
      <c r="BPT127" s="188"/>
      <c r="BPU127" s="187"/>
      <c r="BQA127" s="188"/>
      <c r="BQB127" s="187"/>
      <c r="BQF127" s="168"/>
      <c r="BQG127" s="189"/>
      <c r="BQH127" s="188"/>
      <c r="BQI127" s="187"/>
      <c r="BQO127" s="188"/>
      <c r="BQP127" s="187"/>
      <c r="BQV127" s="188"/>
      <c r="BQW127" s="187"/>
      <c r="BRC127" s="188"/>
      <c r="BRD127" s="187"/>
      <c r="BRJ127" s="188"/>
      <c r="BRK127" s="190"/>
      <c r="BRL127" s="189"/>
      <c r="BRQ127" s="188"/>
      <c r="BRR127" s="187"/>
      <c r="BRX127" s="188"/>
      <c r="BRY127" s="187"/>
      <c r="BSE127" s="188"/>
      <c r="BSF127" s="187"/>
      <c r="BSL127" s="188"/>
      <c r="BSM127" s="187"/>
      <c r="BSP127" s="168"/>
      <c r="BSQ127" s="189"/>
      <c r="BSS127" s="188"/>
      <c r="BST127" s="187"/>
      <c r="BSZ127" s="188"/>
      <c r="BTA127" s="187"/>
      <c r="BTG127" s="188"/>
      <c r="BTH127" s="187"/>
      <c r="BTN127" s="188"/>
      <c r="BTO127" s="187"/>
      <c r="BTS127" s="168"/>
      <c r="BTT127" s="189"/>
      <c r="BTU127" s="188"/>
      <c r="BTV127" s="187"/>
      <c r="BUB127" s="188"/>
      <c r="BUC127" s="187"/>
      <c r="BUI127" s="188"/>
      <c r="BUJ127" s="187"/>
      <c r="BUP127" s="188"/>
      <c r="BUQ127" s="187"/>
      <c r="BUW127" s="188"/>
      <c r="BUX127" s="190"/>
      <c r="BUY127" s="189"/>
      <c r="BVD127" s="188"/>
      <c r="BVE127" s="187"/>
      <c r="BVK127" s="188"/>
      <c r="BVL127" s="187"/>
      <c r="BVR127" s="188"/>
      <c r="BVS127" s="187"/>
      <c r="BVY127" s="188"/>
      <c r="BVZ127" s="187"/>
      <c r="BWB127" s="168"/>
      <c r="BWC127" s="189"/>
      <c r="BWF127" s="188"/>
      <c r="BWG127" s="187"/>
      <c r="BWM127" s="188"/>
      <c r="BWN127" s="187"/>
      <c r="BWT127" s="188"/>
      <c r="BWU127" s="187"/>
      <c r="BXA127" s="188"/>
      <c r="BXB127" s="187"/>
      <c r="BXG127" s="168"/>
      <c r="BXH127" s="191"/>
      <c r="BXI127" s="187"/>
      <c r="BXO127" s="188"/>
      <c r="BXP127" s="187"/>
      <c r="BXV127" s="188"/>
      <c r="BXW127" s="187"/>
      <c r="BYC127" s="188"/>
      <c r="BYD127" s="187"/>
      <c r="BYJ127" s="188"/>
      <c r="BYK127" s="190"/>
      <c r="BYL127" s="189"/>
      <c r="BYQ127" s="188"/>
      <c r="BYR127" s="187"/>
      <c r="BYX127" s="188"/>
      <c r="BYY127" s="187"/>
      <c r="BZE127" s="188"/>
      <c r="BZF127" s="187"/>
      <c r="BZL127" s="188"/>
      <c r="BZM127" s="187"/>
      <c r="BZP127" s="168"/>
      <c r="BZQ127" s="189"/>
      <c r="BZS127" s="188"/>
      <c r="BZT127" s="187"/>
      <c r="BZZ127" s="188"/>
      <c r="CAA127" s="187"/>
      <c r="CAG127" s="188"/>
      <c r="CAH127" s="187"/>
      <c r="CAN127" s="188"/>
      <c r="CAO127" s="187"/>
      <c r="CAU127" s="168"/>
      <c r="CAV127" s="189"/>
      <c r="CBB127" s="188"/>
      <c r="CBC127" s="187"/>
      <c r="CBI127" s="188"/>
      <c r="CBJ127" s="187"/>
      <c r="CBP127" s="188"/>
      <c r="CBQ127" s="187"/>
      <c r="CBW127" s="188"/>
      <c r="CBX127" s="187"/>
      <c r="CBY127" s="168"/>
      <c r="CBZ127" s="189"/>
      <c r="CCD127" s="188"/>
      <c r="CCE127" s="187"/>
      <c r="CCK127" s="188"/>
      <c r="CCL127" s="187"/>
      <c r="CCR127" s="188"/>
      <c r="CCS127" s="187"/>
      <c r="CCY127" s="188"/>
      <c r="CCZ127" s="187"/>
      <c r="CDD127" s="168"/>
      <c r="CDE127" s="189"/>
      <c r="CDF127" s="188"/>
      <c r="CDG127" s="187"/>
      <c r="CDM127" s="188"/>
      <c r="CDN127" s="187"/>
      <c r="CDT127" s="188"/>
      <c r="CDU127" s="187"/>
      <c r="CEA127" s="188"/>
      <c r="CEB127" s="187"/>
      <c r="CEH127" s="168"/>
      <c r="CEI127" s="189"/>
      <c r="CEO127" s="188"/>
      <c r="CEP127" s="187"/>
      <c r="CEV127" s="188"/>
      <c r="CEW127" s="187"/>
      <c r="CFC127" s="188"/>
      <c r="CFD127" s="187"/>
      <c r="CFJ127" s="188"/>
      <c r="CFK127" s="187"/>
    </row>
    <row r="128" spans="1:1019 1025:2048 2054:2195">
      <c r="A128" s="164" t="s">
        <v>419</v>
      </c>
      <c r="D128" s="186"/>
      <c r="E128" s="186"/>
      <c r="K128" s="187"/>
      <c r="Q128" s="188"/>
      <c r="R128" s="187"/>
      <c r="X128" s="188"/>
      <c r="Y128" s="187"/>
      <c r="AE128" s="188"/>
      <c r="AF128" s="187"/>
      <c r="AJ128" s="168"/>
      <c r="AK128" s="189"/>
      <c r="AL128" s="188"/>
      <c r="AM128" s="187"/>
      <c r="AS128" s="188"/>
      <c r="AT128" s="187"/>
      <c r="AZ128" s="188"/>
      <c r="BA128" s="187"/>
      <c r="BG128" s="188"/>
      <c r="BH128" s="187"/>
      <c r="BL128" s="168"/>
      <c r="BM128" s="189"/>
      <c r="BN128" s="188"/>
      <c r="BO128" s="187"/>
      <c r="BU128" s="188"/>
      <c r="BV128" s="187"/>
      <c r="CB128" s="188"/>
      <c r="CC128" s="187"/>
      <c r="CI128" s="188"/>
      <c r="CJ128" s="187"/>
      <c r="CP128" s="188"/>
      <c r="CQ128" s="190"/>
      <c r="CR128" s="189"/>
      <c r="CW128" s="188"/>
      <c r="CX128" s="187"/>
      <c r="DD128" s="188"/>
      <c r="DE128" s="187"/>
      <c r="DK128" s="188"/>
      <c r="DL128" s="187"/>
      <c r="DR128" s="188"/>
      <c r="DS128" s="187"/>
      <c r="DU128" s="168"/>
      <c r="DV128" s="189"/>
      <c r="DY128" s="188"/>
      <c r="DZ128" s="187"/>
      <c r="EF128" s="188"/>
      <c r="EG128" s="187"/>
      <c r="EM128" s="188"/>
      <c r="EN128" s="187"/>
      <c r="ET128" s="188"/>
      <c r="EU128" s="187"/>
      <c r="EZ128" s="168"/>
      <c r="FA128" s="191"/>
      <c r="FB128" s="187"/>
      <c r="FH128" s="188"/>
      <c r="FI128" s="187"/>
      <c r="FO128" s="188"/>
      <c r="FP128" s="187"/>
      <c r="FV128" s="188"/>
      <c r="FW128" s="187"/>
      <c r="GC128" s="188"/>
      <c r="GD128" s="190"/>
      <c r="GE128" s="189"/>
      <c r="GJ128" s="188"/>
      <c r="GK128" s="187"/>
      <c r="GQ128" s="188"/>
      <c r="GR128" s="187"/>
      <c r="GX128" s="188"/>
      <c r="GY128" s="187"/>
      <c r="HE128" s="188"/>
      <c r="HF128" s="187"/>
      <c r="HI128" s="168"/>
      <c r="HJ128" s="189"/>
      <c r="HL128" s="188"/>
      <c r="HM128" s="187"/>
      <c r="HS128" s="188"/>
      <c r="HT128" s="187"/>
      <c r="HZ128" s="188"/>
      <c r="IA128" s="187"/>
      <c r="IG128" s="188"/>
      <c r="IH128" s="187"/>
      <c r="IN128" s="168"/>
      <c r="IO128" s="189"/>
      <c r="IU128" s="188"/>
      <c r="IV128" s="187"/>
      <c r="JB128" s="188"/>
      <c r="JC128" s="187"/>
      <c r="JI128" s="188"/>
      <c r="JJ128" s="187"/>
      <c r="JP128" s="188"/>
      <c r="JQ128" s="187"/>
      <c r="JR128" s="168"/>
      <c r="JS128" s="189"/>
      <c r="JW128" s="188"/>
      <c r="JX128" s="187"/>
      <c r="KD128" s="188"/>
      <c r="KE128" s="187"/>
      <c r="KK128" s="188"/>
      <c r="KL128" s="187"/>
      <c r="KR128" s="188"/>
      <c r="KS128" s="187"/>
      <c r="KW128" s="168"/>
      <c r="KX128" s="189"/>
      <c r="KY128" s="188"/>
      <c r="KZ128" s="187"/>
      <c r="LF128" s="188"/>
      <c r="LG128" s="187"/>
      <c r="LM128" s="188"/>
      <c r="LN128" s="187"/>
      <c r="LT128" s="188"/>
      <c r="LU128" s="187"/>
      <c r="MA128" s="168"/>
      <c r="MB128" s="189"/>
      <c r="MH128" s="188"/>
      <c r="MI128" s="187"/>
      <c r="MO128" s="188"/>
      <c r="MP128" s="187"/>
      <c r="MV128" s="188"/>
      <c r="MW128" s="187"/>
      <c r="NC128" s="188"/>
      <c r="ND128" s="187"/>
      <c r="NF128" s="168"/>
      <c r="NG128" s="189"/>
      <c r="NJ128" s="188"/>
      <c r="NK128" s="187"/>
      <c r="NQ128" s="188"/>
      <c r="NR128" s="187"/>
      <c r="NX128" s="188"/>
      <c r="NY128" s="187"/>
      <c r="OE128" s="188"/>
      <c r="OF128" s="187"/>
      <c r="OK128" s="168"/>
      <c r="OL128" s="191"/>
      <c r="OM128" s="187"/>
      <c r="OS128" s="188"/>
      <c r="OT128" s="187"/>
      <c r="OZ128" s="188"/>
      <c r="PA128" s="187"/>
      <c r="PG128" s="188"/>
      <c r="PH128" s="187"/>
      <c r="PN128" s="168"/>
      <c r="PO128" s="189"/>
      <c r="PU128" s="188"/>
      <c r="PV128" s="187"/>
      <c r="QB128" s="188"/>
      <c r="QC128" s="187"/>
      <c r="QI128" s="188"/>
      <c r="QJ128" s="187"/>
      <c r="QP128" s="188"/>
      <c r="QQ128" s="187"/>
      <c r="QS128" s="168"/>
      <c r="QT128" s="189"/>
      <c r="QW128" s="188"/>
      <c r="QX128" s="187"/>
      <c r="RD128" s="188"/>
      <c r="RE128" s="187"/>
      <c r="RK128" s="188"/>
      <c r="RL128" s="187"/>
      <c r="RR128" s="188"/>
      <c r="RS128" s="187"/>
      <c r="RW128" s="168"/>
      <c r="RX128" s="189"/>
      <c r="RY128" s="188"/>
      <c r="RZ128" s="187"/>
      <c r="SF128" s="188"/>
      <c r="SG128" s="187"/>
      <c r="SM128" s="188"/>
      <c r="SN128" s="187"/>
      <c r="ST128" s="188"/>
      <c r="SU128" s="187"/>
      <c r="TA128" s="188"/>
      <c r="TB128" s="190"/>
      <c r="TC128" s="189"/>
      <c r="TH128" s="188"/>
      <c r="TI128" s="187"/>
      <c r="TO128" s="188"/>
      <c r="TP128" s="187"/>
      <c r="TV128" s="188"/>
      <c r="TW128" s="187"/>
      <c r="UC128" s="188"/>
      <c r="UD128" s="187"/>
      <c r="UF128" s="168"/>
      <c r="UG128" s="189"/>
      <c r="UJ128" s="188"/>
      <c r="UK128" s="187"/>
      <c r="UQ128" s="188"/>
      <c r="UR128" s="187"/>
      <c r="UX128" s="188"/>
      <c r="UY128" s="187"/>
      <c r="VE128" s="188"/>
      <c r="VF128" s="187"/>
      <c r="VK128" s="168"/>
      <c r="VL128" s="191"/>
      <c r="VM128" s="187"/>
      <c r="VS128" s="188"/>
      <c r="VT128" s="187"/>
      <c r="VZ128" s="188"/>
      <c r="WA128" s="187"/>
      <c r="WG128" s="188"/>
      <c r="WH128" s="187"/>
      <c r="WN128" s="188"/>
      <c r="WO128" s="187"/>
      <c r="WP128" s="168"/>
      <c r="WQ128" s="189"/>
      <c r="WU128" s="188"/>
      <c r="WV128" s="187"/>
      <c r="XB128" s="188"/>
      <c r="XC128" s="187"/>
      <c r="XI128" s="188"/>
      <c r="XJ128" s="187"/>
      <c r="XP128" s="188"/>
      <c r="XQ128" s="187"/>
      <c r="XT128" s="168"/>
      <c r="XU128" s="189"/>
      <c r="XW128" s="188"/>
      <c r="XX128" s="187"/>
      <c r="YD128" s="188"/>
      <c r="YE128" s="187"/>
      <c r="YK128" s="188"/>
      <c r="YL128" s="187"/>
      <c r="YR128" s="188"/>
      <c r="YS128" s="187"/>
      <c r="YY128" s="168"/>
      <c r="YZ128" s="189"/>
      <c r="ZF128" s="188"/>
      <c r="ZG128" s="187"/>
      <c r="ZM128" s="188"/>
      <c r="ZN128" s="187"/>
      <c r="ZT128" s="188"/>
      <c r="ZU128" s="187"/>
      <c r="AAA128" s="188"/>
      <c r="AAB128" s="187"/>
      <c r="AAC128" s="168"/>
      <c r="AAD128" s="189"/>
      <c r="AAH128" s="188"/>
      <c r="AAI128" s="187"/>
      <c r="AAO128" s="188"/>
      <c r="AAP128" s="187"/>
      <c r="AAV128" s="188"/>
      <c r="AAW128" s="187"/>
      <c r="ABC128" s="188"/>
      <c r="ABD128" s="187"/>
      <c r="ABH128" s="168"/>
      <c r="ABI128" s="189"/>
      <c r="ABJ128" s="188"/>
      <c r="ABK128" s="187"/>
      <c r="ABQ128" s="188"/>
      <c r="ABR128" s="187"/>
      <c r="ABX128" s="188"/>
      <c r="ABY128" s="187"/>
      <c r="ACE128" s="188"/>
      <c r="ACF128" s="187"/>
      <c r="ACL128" s="188"/>
      <c r="ACM128" s="190"/>
      <c r="ACN128" s="189"/>
      <c r="ACS128" s="188"/>
      <c r="ACT128" s="187"/>
      <c r="ACZ128" s="188"/>
      <c r="ADA128" s="187"/>
      <c r="ADG128" s="188"/>
      <c r="ADH128" s="187"/>
      <c r="ADN128" s="188"/>
      <c r="ADO128" s="190"/>
      <c r="ADP128" s="189"/>
      <c r="ADU128" s="188"/>
      <c r="ADV128" s="187"/>
      <c r="AEB128" s="188"/>
      <c r="AEC128" s="187"/>
      <c r="AEI128" s="188"/>
      <c r="AEJ128" s="187"/>
      <c r="AEP128" s="188"/>
      <c r="AEQ128" s="187"/>
      <c r="AET128" s="168"/>
      <c r="AEU128" s="189"/>
      <c r="AEW128" s="188"/>
      <c r="AEX128" s="187"/>
      <c r="AFD128" s="188"/>
      <c r="AFE128" s="187"/>
      <c r="AFK128" s="188"/>
      <c r="AFL128" s="187"/>
      <c r="AFR128" s="188"/>
      <c r="AFS128" s="187"/>
      <c r="AFX128" s="168"/>
      <c r="AFY128" s="191"/>
      <c r="AFZ128" s="187"/>
      <c r="AGF128" s="188"/>
      <c r="AGG128" s="187"/>
      <c r="AGM128" s="188"/>
      <c r="AGN128" s="187"/>
      <c r="AGT128" s="188"/>
      <c r="AGU128" s="187"/>
      <c r="AHA128" s="188"/>
      <c r="AHB128" s="187"/>
      <c r="AHC128" s="168"/>
      <c r="AHD128" s="189"/>
      <c r="AHH128" s="188"/>
      <c r="AHI128" s="187"/>
      <c r="AHO128" s="188"/>
      <c r="AHP128" s="187"/>
      <c r="AHV128" s="188"/>
      <c r="AHW128" s="187"/>
      <c r="AIC128" s="188"/>
      <c r="AID128" s="187"/>
      <c r="AIG128" s="168"/>
      <c r="AIH128" s="189"/>
      <c r="AIJ128" s="188"/>
      <c r="AIK128" s="187"/>
      <c r="AIQ128" s="188"/>
      <c r="AIR128" s="187"/>
      <c r="AIX128" s="188"/>
      <c r="AIY128" s="187"/>
      <c r="AJE128" s="188"/>
      <c r="AJF128" s="187"/>
      <c r="AJL128" s="168"/>
      <c r="AJM128" s="189"/>
      <c r="AJS128" s="188"/>
      <c r="AJT128" s="187"/>
      <c r="AJZ128" s="188"/>
      <c r="AKA128" s="187"/>
      <c r="AKG128" s="188"/>
      <c r="AKH128" s="187"/>
      <c r="AKN128" s="188"/>
      <c r="AKO128" s="187"/>
      <c r="AKQ128" s="168"/>
      <c r="AKR128" s="189"/>
      <c r="AKU128" s="188"/>
      <c r="AKV128" s="187"/>
      <c r="ALB128" s="188"/>
      <c r="ALC128" s="187"/>
      <c r="ALI128" s="188"/>
      <c r="ALJ128" s="187"/>
      <c r="ALP128" s="188"/>
      <c r="ALQ128" s="187"/>
      <c r="ALU128" s="168"/>
      <c r="ALV128" s="189"/>
      <c r="ALW128" s="188"/>
      <c r="ALX128" s="187"/>
      <c r="AMD128" s="188"/>
      <c r="AME128" s="187"/>
      <c r="AMK128" s="188"/>
      <c r="AML128" s="187"/>
      <c r="AMR128" s="188"/>
      <c r="AMS128" s="187"/>
      <c r="AMY128" s="188"/>
      <c r="AMZ128" s="190"/>
      <c r="ANA128" s="189"/>
      <c r="ANF128" s="188"/>
      <c r="ANG128" s="187"/>
      <c r="ANM128" s="188"/>
      <c r="ANN128" s="187"/>
      <c r="ANT128" s="188"/>
      <c r="ANU128" s="187"/>
      <c r="AOA128" s="188"/>
      <c r="AOB128" s="187"/>
      <c r="AOD128" s="168"/>
      <c r="AOE128" s="189"/>
      <c r="AOH128" s="188"/>
      <c r="AOI128" s="187"/>
      <c r="AOO128" s="188"/>
      <c r="AOP128" s="187"/>
      <c r="AOV128" s="188"/>
      <c r="AOW128" s="187"/>
      <c r="APC128" s="188"/>
      <c r="APD128" s="187"/>
      <c r="API128" s="168"/>
      <c r="APJ128" s="191"/>
      <c r="APK128" s="187"/>
      <c r="APQ128" s="188"/>
      <c r="APR128" s="187"/>
      <c r="APX128" s="188"/>
      <c r="APY128" s="187"/>
      <c r="AQE128" s="188"/>
      <c r="AQF128" s="187"/>
      <c r="AQL128" s="188"/>
      <c r="AQM128" s="187"/>
      <c r="AQN128" s="168"/>
      <c r="AQO128" s="189"/>
      <c r="AQS128" s="188"/>
      <c r="AQT128" s="187"/>
      <c r="AQZ128" s="188"/>
      <c r="ARA128" s="187"/>
      <c r="ARG128" s="188"/>
      <c r="ARH128" s="187"/>
      <c r="ARN128" s="188"/>
      <c r="ARO128" s="187"/>
      <c r="ARP128" s="168"/>
      <c r="ARQ128" s="189"/>
      <c r="ARU128" s="188"/>
      <c r="ARV128" s="187"/>
      <c r="ASB128" s="188"/>
      <c r="ASC128" s="187"/>
      <c r="ASI128" s="188"/>
      <c r="ASJ128" s="187"/>
      <c r="ASP128" s="188"/>
      <c r="ASQ128" s="187"/>
      <c r="ASU128" s="168"/>
      <c r="ASV128" s="189"/>
      <c r="ASW128" s="188"/>
      <c r="ASX128" s="187"/>
      <c r="ATD128" s="188"/>
      <c r="ATE128" s="187"/>
      <c r="ATK128" s="188"/>
      <c r="ATL128" s="187"/>
      <c r="ATR128" s="188"/>
      <c r="ATS128" s="187"/>
      <c r="ATY128" s="168"/>
      <c r="ATZ128" s="189"/>
      <c r="AUF128" s="188"/>
      <c r="AUG128" s="187"/>
      <c r="AUM128" s="188"/>
      <c r="AUN128" s="187"/>
      <c r="AUT128" s="188"/>
      <c r="AUU128" s="187"/>
      <c r="AVA128" s="188"/>
      <c r="AVB128" s="187"/>
      <c r="AVD128" s="168"/>
      <c r="AVE128" s="189"/>
      <c r="AVH128" s="188"/>
      <c r="AVI128" s="187"/>
      <c r="AVO128" s="188"/>
      <c r="AVP128" s="187"/>
      <c r="AVV128" s="188"/>
      <c r="AVW128" s="187"/>
      <c r="AWC128" s="188"/>
      <c r="AWD128" s="187"/>
      <c r="AWH128" s="168"/>
      <c r="AWI128" s="189"/>
      <c r="AWJ128" s="188"/>
      <c r="AWK128" s="187"/>
      <c r="AWQ128" s="188"/>
      <c r="AWR128" s="187"/>
      <c r="AWX128" s="188"/>
      <c r="AWY128" s="187"/>
      <c r="AXE128" s="188"/>
      <c r="AXF128" s="187"/>
      <c r="AXL128" s="188"/>
      <c r="AXM128" s="190"/>
      <c r="AXN128" s="189"/>
      <c r="AXS128" s="188"/>
      <c r="AXT128" s="187"/>
      <c r="AXZ128" s="188"/>
      <c r="AYA128" s="187"/>
      <c r="AYG128" s="188"/>
      <c r="AYH128" s="187"/>
      <c r="AYN128" s="188"/>
      <c r="AYO128" s="187"/>
      <c r="AYR128" s="168"/>
      <c r="AYS128" s="189"/>
      <c r="AYU128" s="188"/>
      <c r="AYV128" s="187"/>
      <c r="AZB128" s="188"/>
      <c r="AZC128" s="187"/>
      <c r="AZI128" s="188"/>
      <c r="AZJ128" s="187"/>
      <c r="AZP128" s="188"/>
      <c r="AZQ128" s="187"/>
      <c r="AZV128" s="168"/>
      <c r="AZW128" s="191"/>
      <c r="AZX128" s="187"/>
      <c r="BAD128" s="188"/>
      <c r="BAE128" s="187"/>
      <c r="BAK128" s="188"/>
      <c r="BAL128" s="187"/>
      <c r="BAR128" s="188"/>
      <c r="BAS128" s="187"/>
      <c r="BAY128" s="188"/>
      <c r="BAZ128" s="187"/>
      <c r="BBA128" s="168"/>
      <c r="BBB128" s="189"/>
      <c r="BBF128" s="188"/>
      <c r="BBG128" s="187"/>
      <c r="BBM128" s="188"/>
      <c r="BBN128" s="187"/>
      <c r="BBT128" s="188"/>
      <c r="BBU128" s="187"/>
      <c r="BCA128" s="188"/>
      <c r="BCB128" s="187"/>
      <c r="BCE128" s="168"/>
      <c r="BCF128" s="189"/>
      <c r="BCH128" s="188"/>
      <c r="BCI128" s="187"/>
      <c r="BCO128" s="188"/>
      <c r="BCP128" s="187"/>
      <c r="BCV128" s="188"/>
      <c r="BCW128" s="187"/>
      <c r="BDC128" s="188"/>
      <c r="BDD128" s="187"/>
      <c r="BDJ128" s="168"/>
      <c r="BDK128" s="189"/>
      <c r="BDQ128" s="188"/>
      <c r="BDR128" s="187"/>
      <c r="BDX128" s="188"/>
      <c r="BDY128" s="187"/>
      <c r="BEE128" s="188"/>
      <c r="BEF128" s="187"/>
      <c r="BEL128" s="188"/>
      <c r="BEM128" s="187"/>
      <c r="BEO128" s="168"/>
      <c r="BEP128" s="189"/>
      <c r="BES128" s="188"/>
      <c r="BET128" s="187"/>
      <c r="BEZ128" s="188"/>
      <c r="BFA128" s="187"/>
      <c r="BFG128" s="188"/>
      <c r="BFH128" s="187"/>
      <c r="BFN128" s="188"/>
      <c r="BFO128" s="187"/>
      <c r="BFQ128" s="168"/>
      <c r="BFR128" s="189"/>
      <c r="BFU128" s="188"/>
      <c r="BFV128" s="187"/>
      <c r="BGB128" s="188"/>
      <c r="BGC128" s="187"/>
      <c r="BGI128" s="188"/>
      <c r="BGJ128" s="187"/>
      <c r="BGP128" s="188"/>
      <c r="BGQ128" s="187"/>
      <c r="BGV128" s="168"/>
      <c r="BGW128" s="191"/>
      <c r="BGX128" s="187"/>
      <c r="BHD128" s="188"/>
      <c r="BHE128" s="187"/>
      <c r="BHK128" s="188"/>
      <c r="BHL128" s="187"/>
      <c r="BHR128" s="188"/>
      <c r="BHS128" s="187"/>
      <c r="BHY128" s="188"/>
      <c r="BHZ128" s="190"/>
      <c r="BIA128" s="189"/>
      <c r="BIF128" s="188"/>
      <c r="BIG128" s="187"/>
      <c r="BIM128" s="188"/>
      <c r="BIN128" s="187"/>
      <c r="BIT128" s="188"/>
      <c r="BIU128" s="187"/>
      <c r="BJA128" s="188"/>
      <c r="BJB128" s="187"/>
      <c r="BJE128" s="168"/>
      <c r="BJF128" s="189"/>
      <c r="BJH128" s="188"/>
      <c r="BJI128" s="187"/>
      <c r="BJO128" s="188"/>
      <c r="BJP128" s="187"/>
      <c r="BJV128" s="188"/>
      <c r="BJW128" s="187"/>
      <c r="BKC128" s="188"/>
      <c r="BKD128" s="187"/>
      <c r="BKI128" s="168"/>
      <c r="BKJ128" s="191"/>
      <c r="BKK128" s="187"/>
      <c r="BKQ128" s="188"/>
      <c r="BKR128" s="187"/>
      <c r="BKX128" s="188"/>
      <c r="BKY128" s="187"/>
      <c r="BLE128" s="188"/>
      <c r="BLF128" s="187"/>
      <c r="BLL128" s="188"/>
      <c r="BLM128" s="187"/>
      <c r="BLN128" s="168"/>
      <c r="BLO128" s="189"/>
      <c r="BLS128" s="188"/>
      <c r="BLT128" s="187"/>
      <c r="BLZ128" s="188"/>
      <c r="BMA128" s="187"/>
      <c r="BMG128" s="188"/>
      <c r="BMH128" s="187"/>
      <c r="BMN128" s="188"/>
      <c r="BMO128" s="187"/>
      <c r="BMS128" s="168"/>
      <c r="BMT128" s="189"/>
      <c r="BMU128" s="188"/>
      <c r="BMV128" s="187"/>
      <c r="BNB128" s="188"/>
      <c r="BNC128" s="187"/>
      <c r="BNI128" s="188"/>
      <c r="BNJ128" s="187"/>
      <c r="BNP128" s="188"/>
      <c r="BNQ128" s="187"/>
      <c r="BNW128" s="168"/>
      <c r="BNX128" s="189"/>
      <c r="BOD128" s="188"/>
      <c r="BOE128" s="187"/>
      <c r="BOK128" s="188"/>
      <c r="BOL128" s="187"/>
      <c r="BOR128" s="188"/>
      <c r="BOS128" s="187"/>
      <c r="BOY128" s="188"/>
      <c r="BOZ128" s="187"/>
      <c r="BPB128" s="168"/>
      <c r="BPC128" s="189"/>
      <c r="BPF128" s="188"/>
      <c r="BPG128" s="187"/>
      <c r="BPM128" s="188"/>
      <c r="BPN128" s="187"/>
      <c r="BPT128" s="188"/>
      <c r="BPU128" s="187"/>
      <c r="BQA128" s="188"/>
      <c r="BQB128" s="187"/>
      <c r="BQF128" s="168"/>
      <c r="BQG128" s="189"/>
      <c r="BQH128" s="188"/>
      <c r="BQI128" s="187"/>
      <c r="BQO128" s="188"/>
      <c r="BQP128" s="187"/>
      <c r="BQV128" s="188"/>
      <c r="BQW128" s="187"/>
      <c r="BRC128" s="188"/>
      <c r="BRD128" s="187"/>
      <c r="BRJ128" s="188"/>
      <c r="BRK128" s="190"/>
      <c r="BRL128" s="189"/>
      <c r="BRQ128" s="188"/>
      <c r="BRR128" s="187"/>
      <c r="BRX128" s="188"/>
      <c r="BRY128" s="187"/>
      <c r="BSE128" s="188"/>
      <c r="BSF128" s="187"/>
      <c r="BSL128" s="188"/>
      <c r="BSM128" s="187"/>
      <c r="BSP128" s="168"/>
      <c r="BSQ128" s="189"/>
      <c r="BSS128" s="188"/>
      <c r="BST128" s="187"/>
      <c r="BSZ128" s="188"/>
      <c r="BTA128" s="187"/>
      <c r="BTG128" s="188"/>
      <c r="BTH128" s="187"/>
      <c r="BTN128" s="188"/>
      <c r="BTO128" s="187"/>
      <c r="BTS128" s="168"/>
      <c r="BTT128" s="189"/>
      <c r="BTU128" s="188"/>
      <c r="BTV128" s="187"/>
      <c r="BUB128" s="188"/>
      <c r="BUC128" s="187"/>
      <c r="BUI128" s="188"/>
      <c r="BUJ128" s="187"/>
      <c r="BUP128" s="188"/>
      <c r="BUQ128" s="187"/>
      <c r="BUW128" s="188"/>
      <c r="BUX128" s="190"/>
      <c r="BUY128" s="189"/>
      <c r="BVD128" s="188"/>
      <c r="BVE128" s="187"/>
      <c r="BVK128" s="188"/>
      <c r="BVL128" s="187"/>
      <c r="BVR128" s="188"/>
      <c r="BVS128" s="187"/>
      <c r="BVY128" s="188"/>
      <c r="BVZ128" s="187"/>
      <c r="BWB128" s="168"/>
      <c r="BWC128" s="189"/>
      <c r="BWF128" s="188"/>
      <c r="BWG128" s="187"/>
      <c r="BWM128" s="188"/>
      <c r="BWN128" s="187"/>
      <c r="BWT128" s="188"/>
      <c r="BWU128" s="187"/>
      <c r="BXA128" s="188"/>
      <c r="BXB128" s="187"/>
      <c r="BXG128" s="168"/>
      <c r="BXH128" s="191"/>
      <c r="BXI128" s="187"/>
      <c r="BXO128" s="188"/>
      <c r="BXP128" s="187"/>
      <c r="BXV128" s="188"/>
      <c r="BXW128" s="187"/>
      <c r="BYC128" s="188"/>
      <c r="BYD128" s="187"/>
      <c r="BYJ128" s="188"/>
      <c r="BYK128" s="190"/>
      <c r="BYL128" s="189"/>
      <c r="BYQ128" s="188"/>
      <c r="BYR128" s="187"/>
      <c r="BYX128" s="188"/>
      <c r="BYY128" s="187"/>
      <c r="BZE128" s="188"/>
      <c r="BZF128" s="187"/>
      <c r="BZL128" s="188"/>
      <c r="BZM128" s="187"/>
      <c r="BZP128" s="168"/>
      <c r="BZQ128" s="189"/>
      <c r="BZS128" s="188"/>
      <c r="BZT128" s="187"/>
      <c r="BZZ128" s="188"/>
      <c r="CAA128" s="187"/>
      <c r="CAG128" s="188"/>
      <c r="CAH128" s="187"/>
      <c r="CAN128" s="188"/>
      <c r="CAO128" s="187"/>
      <c r="CAU128" s="168"/>
      <c r="CAV128" s="189"/>
      <c r="CBB128" s="188"/>
      <c r="CBC128" s="187"/>
      <c r="CBI128" s="188"/>
      <c r="CBJ128" s="187"/>
      <c r="CBP128" s="188"/>
      <c r="CBQ128" s="187"/>
      <c r="CBW128" s="188"/>
      <c r="CBX128" s="187"/>
      <c r="CBY128" s="168"/>
      <c r="CBZ128" s="189"/>
      <c r="CCD128" s="188"/>
      <c r="CCE128" s="187"/>
      <c r="CCK128" s="188"/>
      <c r="CCL128" s="187"/>
      <c r="CCR128" s="188"/>
      <c r="CCS128" s="187"/>
      <c r="CCY128" s="188"/>
      <c r="CCZ128" s="187"/>
      <c r="CDD128" s="168"/>
      <c r="CDE128" s="189"/>
      <c r="CDF128" s="188"/>
      <c r="CDG128" s="187"/>
      <c r="CDM128" s="188"/>
      <c r="CDN128" s="187"/>
      <c r="CDT128" s="188"/>
      <c r="CDU128" s="187"/>
      <c r="CEA128" s="188"/>
      <c r="CEB128" s="187"/>
      <c r="CEH128" s="168"/>
      <c r="CEI128" s="189"/>
      <c r="CEO128" s="188"/>
      <c r="CEP128" s="187"/>
      <c r="CEV128" s="188"/>
      <c r="CEW128" s="187"/>
      <c r="CFC128" s="188"/>
      <c r="CFD128" s="187"/>
      <c r="CFJ128" s="188"/>
      <c r="CFK128" s="187"/>
    </row>
    <row r="129" spans="1:1019 1025:2048 2054:2195">
      <c r="A129" s="164" t="s">
        <v>420</v>
      </c>
      <c r="D129" s="186"/>
      <c r="E129" s="186"/>
      <c r="K129" s="187"/>
      <c r="Q129" s="188"/>
      <c r="R129" s="187"/>
      <c r="X129" s="188"/>
      <c r="Y129" s="187"/>
      <c r="AE129" s="188"/>
      <c r="AF129" s="187"/>
      <c r="AJ129" s="168"/>
      <c r="AK129" s="189"/>
      <c r="AL129" s="188"/>
      <c r="AM129" s="187"/>
      <c r="AS129" s="188"/>
      <c r="AT129" s="187"/>
      <c r="AZ129" s="188"/>
      <c r="BA129" s="187"/>
      <c r="BG129" s="188"/>
      <c r="BH129" s="187"/>
      <c r="BL129" s="168"/>
      <c r="BM129" s="189"/>
      <c r="BN129" s="188"/>
      <c r="BO129" s="187"/>
      <c r="BU129" s="188"/>
      <c r="BV129" s="187"/>
      <c r="CB129" s="188"/>
      <c r="CC129" s="187"/>
      <c r="CI129" s="188"/>
      <c r="CJ129" s="187"/>
      <c r="CP129" s="188"/>
      <c r="CQ129" s="190"/>
      <c r="CR129" s="189"/>
      <c r="CW129" s="188"/>
      <c r="CX129" s="187"/>
      <c r="DD129" s="188"/>
      <c r="DE129" s="187"/>
      <c r="DK129" s="188"/>
      <c r="DL129" s="187"/>
      <c r="DR129" s="188"/>
      <c r="DS129" s="187"/>
      <c r="DU129" s="168"/>
      <c r="DV129" s="189"/>
      <c r="DY129" s="188"/>
      <c r="DZ129" s="187"/>
      <c r="EF129" s="188"/>
      <c r="EG129" s="187"/>
      <c r="EM129" s="188"/>
      <c r="EN129" s="187"/>
      <c r="ET129" s="188"/>
      <c r="EU129" s="187"/>
      <c r="EZ129" s="168"/>
      <c r="FA129" s="191"/>
      <c r="FB129" s="187"/>
      <c r="FH129" s="188"/>
      <c r="FI129" s="187"/>
      <c r="FO129" s="188"/>
      <c r="FP129" s="187"/>
      <c r="FV129" s="188"/>
      <c r="FW129" s="187"/>
      <c r="GC129" s="188"/>
      <c r="GD129" s="190"/>
      <c r="GE129" s="189"/>
      <c r="GJ129" s="188"/>
      <c r="GK129" s="187"/>
      <c r="GQ129" s="188"/>
      <c r="GR129" s="187"/>
      <c r="GX129" s="188"/>
      <c r="GY129" s="187"/>
      <c r="HE129" s="188"/>
      <c r="HF129" s="187"/>
      <c r="HI129" s="168"/>
      <c r="HJ129" s="189"/>
      <c r="HL129" s="188"/>
      <c r="HM129" s="187"/>
      <c r="HS129" s="188"/>
      <c r="HT129" s="187"/>
      <c r="HZ129" s="188"/>
      <c r="IA129" s="187"/>
      <c r="IG129" s="188"/>
      <c r="IH129" s="187"/>
      <c r="IN129" s="168"/>
      <c r="IO129" s="189"/>
      <c r="IU129" s="188"/>
      <c r="IV129" s="187"/>
      <c r="JB129" s="188"/>
      <c r="JC129" s="187"/>
      <c r="JI129" s="188"/>
      <c r="JJ129" s="187"/>
      <c r="JP129" s="188"/>
      <c r="JQ129" s="187"/>
      <c r="JR129" s="168"/>
      <c r="JS129" s="189"/>
      <c r="JW129" s="188"/>
      <c r="JX129" s="187"/>
      <c r="KD129" s="188"/>
      <c r="KE129" s="187"/>
      <c r="KK129" s="188"/>
      <c r="KL129" s="187"/>
      <c r="KR129" s="188"/>
      <c r="KS129" s="187"/>
      <c r="KW129" s="168"/>
      <c r="KX129" s="189"/>
      <c r="KY129" s="188"/>
      <c r="KZ129" s="187"/>
      <c r="LF129" s="188"/>
      <c r="LG129" s="187"/>
      <c r="LM129" s="188"/>
      <c r="LN129" s="187"/>
      <c r="LT129" s="188"/>
      <c r="LU129" s="187"/>
      <c r="MA129" s="168"/>
      <c r="MB129" s="189"/>
      <c r="MH129" s="188"/>
      <c r="MI129" s="187"/>
      <c r="MO129" s="188"/>
      <c r="MP129" s="187"/>
      <c r="MV129" s="188"/>
      <c r="MW129" s="187"/>
      <c r="NC129" s="188"/>
      <c r="ND129" s="187"/>
      <c r="NF129" s="168"/>
      <c r="NG129" s="189"/>
      <c r="NJ129" s="188"/>
      <c r="NK129" s="187"/>
      <c r="NQ129" s="188"/>
      <c r="NR129" s="187"/>
      <c r="NX129" s="188"/>
      <c r="NY129" s="187"/>
      <c r="OE129" s="188"/>
      <c r="OF129" s="187"/>
      <c r="OK129" s="168"/>
      <c r="OL129" s="191"/>
      <c r="OM129" s="187"/>
      <c r="OS129" s="188"/>
      <c r="OT129" s="187"/>
      <c r="OZ129" s="188"/>
      <c r="PA129" s="187"/>
      <c r="PG129" s="188"/>
      <c r="PH129" s="187"/>
      <c r="PN129" s="168"/>
      <c r="PO129" s="189"/>
      <c r="PU129" s="188"/>
      <c r="PV129" s="187"/>
      <c r="QB129" s="188"/>
      <c r="QC129" s="187"/>
      <c r="QI129" s="188"/>
      <c r="QJ129" s="187"/>
      <c r="QP129" s="188"/>
      <c r="QQ129" s="187"/>
      <c r="QS129" s="168"/>
      <c r="QT129" s="189"/>
      <c r="QW129" s="188"/>
      <c r="QX129" s="187"/>
      <c r="RD129" s="188"/>
      <c r="RE129" s="187"/>
      <c r="RK129" s="188"/>
      <c r="RL129" s="187"/>
      <c r="RR129" s="188"/>
      <c r="RS129" s="187"/>
      <c r="RW129" s="168"/>
      <c r="RX129" s="189"/>
      <c r="RY129" s="188"/>
      <c r="RZ129" s="187"/>
      <c r="SF129" s="188"/>
      <c r="SG129" s="187"/>
      <c r="SM129" s="188"/>
      <c r="SN129" s="187"/>
      <c r="ST129" s="188"/>
      <c r="SU129" s="187"/>
      <c r="TA129" s="188"/>
      <c r="TB129" s="190"/>
      <c r="TC129" s="189"/>
      <c r="TH129" s="188"/>
      <c r="TI129" s="187"/>
      <c r="TO129" s="188"/>
      <c r="TP129" s="187"/>
      <c r="TV129" s="188"/>
      <c r="TW129" s="187"/>
      <c r="UC129" s="188"/>
      <c r="UD129" s="187"/>
      <c r="UF129" s="168"/>
      <c r="UG129" s="189"/>
      <c r="UJ129" s="188"/>
      <c r="UK129" s="187"/>
      <c r="UQ129" s="188"/>
      <c r="UR129" s="187"/>
      <c r="UX129" s="188"/>
      <c r="UY129" s="187"/>
      <c r="VE129" s="188"/>
      <c r="VF129" s="187"/>
      <c r="VK129" s="168"/>
      <c r="VL129" s="191"/>
      <c r="VM129" s="187"/>
      <c r="VS129" s="188"/>
      <c r="VT129" s="187"/>
      <c r="VZ129" s="188"/>
      <c r="WA129" s="187"/>
      <c r="WG129" s="188"/>
      <c r="WH129" s="187"/>
      <c r="WN129" s="188"/>
      <c r="WO129" s="187"/>
      <c r="WP129" s="168"/>
      <c r="WQ129" s="189"/>
      <c r="WU129" s="188"/>
      <c r="WV129" s="187"/>
      <c r="XB129" s="188"/>
      <c r="XC129" s="187"/>
      <c r="XI129" s="188"/>
      <c r="XJ129" s="187"/>
      <c r="XP129" s="188"/>
      <c r="XQ129" s="187"/>
      <c r="XT129" s="168"/>
      <c r="XU129" s="189"/>
      <c r="XW129" s="188"/>
      <c r="XX129" s="187"/>
      <c r="YD129" s="188"/>
      <c r="YE129" s="187"/>
      <c r="YK129" s="188"/>
      <c r="YL129" s="187"/>
      <c r="YR129" s="188"/>
      <c r="YS129" s="187"/>
      <c r="YY129" s="168"/>
      <c r="YZ129" s="189"/>
      <c r="ZF129" s="188"/>
      <c r="ZG129" s="187"/>
      <c r="ZM129" s="188"/>
      <c r="ZN129" s="187"/>
      <c r="ZT129" s="188"/>
      <c r="ZU129" s="187"/>
      <c r="AAA129" s="188"/>
      <c r="AAB129" s="187"/>
      <c r="AAC129" s="168"/>
      <c r="AAD129" s="189"/>
      <c r="AAH129" s="188"/>
      <c r="AAI129" s="187"/>
      <c r="AAO129" s="188"/>
      <c r="AAP129" s="187"/>
      <c r="AAV129" s="188"/>
      <c r="AAW129" s="187"/>
      <c r="ABC129" s="188"/>
      <c r="ABD129" s="187"/>
      <c r="ABH129" s="168"/>
      <c r="ABI129" s="189"/>
      <c r="ABJ129" s="188"/>
      <c r="ABK129" s="187"/>
      <c r="ABQ129" s="188"/>
      <c r="ABR129" s="187"/>
      <c r="ABX129" s="188"/>
      <c r="ABY129" s="187"/>
      <c r="ACE129" s="188"/>
      <c r="ACF129" s="187"/>
      <c r="ACL129" s="188"/>
      <c r="ACM129" s="190"/>
      <c r="ACN129" s="189"/>
      <c r="ACS129" s="188"/>
      <c r="ACT129" s="187"/>
      <c r="ACZ129" s="188"/>
      <c r="ADA129" s="187"/>
      <c r="ADG129" s="188"/>
      <c r="ADH129" s="187"/>
      <c r="ADN129" s="188"/>
      <c r="ADO129" s="190"/>
      <c r="ADP129" s="189"/>
      <c r="ADU129" s="188"/>
      <c r="ADV129" s="187"/>
      <c r="AEB129" s="188"/>
      <c r="AEC129" s="187"/>
      <c r="AEI129" s="188"/>
      <c r="AEJ129" s="187"/>
      <c r="AEP129" s="188"/>
      <c r="AEQ129" s="187"/>
      <c r="AET129" s="168"/>
      <c r="AEU129" s="189"/>
      <c r="AEW129" s="188"/>
      <c r="AEX129" s="187"/>
      <c r="AFD129" s="188"/>
      <c r="AFE129" s="187"/>
      <c r="AFK129" s="188"/>
      <c r="AFL129" s="187"/>
      <c r="AFR129" s="188"/>
      <c r="AFS129" s="187"/>
      <c r="AFX129" s="168"/>
      <c r="AFY129" s="191"/>
      <c r="AFZ129" s="187"/>
      <c r="AGF129" s="188"/>
      <c r="AGG129" s="187"/>
      <c r="AGM129" s="188"/>
      <c r="AGN129" s="187"/>
      <c r="AGT129" s="188"/>
      <c r="AGU129" s="187"/>
      <c r="AHA129" s="188"/>
      <c r="AHB129" s="187"/>
      <c r="AHC129" s="168"/>
      <c r="AHD129" s="189"/>
      <c r="AHH129" s="188"/>
      <c r="AHI129" s="187"/>
      <c r="AHO129" s="188"/>
      <c r="AHP129" s="187"/>
      <c r="AHV129" s="188"/>
      <c r="AHW129" s="187"/>
      <c r="AIC129" s="188"/>
      <c r="AID129" s="187"/>
      <c r="AIG129" s="168"/>
      <c r="AIH129" s="189"/>
      <c r="AIJ129" s="188"/>
      <c r="AIK129" s="187"/>
      <c r="AIQ129" s="188"/>
      <c r="AIR129" s="187"/>
      <c r="AIX129" s="188"/>
      <c r="AIY129" s="187"/>
      <c r="AJE129" s="188"/>
      <c r="AJF129" s="187"/>
      <c r="AJL129" s="168"/>
      <c r="AJM129" s="189"/>
      <c r="AJS129" s="188"/>
      <c r="AJT129" s="187"/>
      <c r="AJZ129" s="188"/>
      <c r="AKA129" s="187"/>
      <c r="AKG129" s="188"/>
      <c r="AKH129" s="187"/>
      <c r="AKN129" s="188"/>
      <c r="AKO129" s="187"/>
      <c r="AKQ129" s="168"/>
      <c r="AKR129" s="189"/>
      <c r="AKU129" s="188"/>
      <c r="AKV129" s="187"/>
      <c r="ALB129" s="188"/>
      <c r="ALC129" s="187"/>
      <c r="ALI129" s="188"/>
      <c r="ALJ129" s="187"/>
      <c r="ALP129" s="188"/>
      <c r="ALQ129" s="187"/>
      <c r="ALU129" s="168"/>
      <c r="ALV129" s="189"/>
      <c r="ALW129" s="188"/>
      <c r="ALX129" s="187"/>
      <c r="AMD129" s="188"/>
      <c r="AME129" s="187"/>
      <c r="AMK129" s="188"/>
      <c r="AML129" s="187"/>
      <c r="AMR129" s="188"/>
      <c r="AMS129" s="187"/>
      <c r="AMY129" s="188"/>
      <c r="AMZ129" s="190"/>
      <c r="ANA129" s="189"/>
      <c r="ANF129" s="188"/>
      <c r="ANG129" s="187"/>
      <c r="ANM129" s="188"/>
      <c r="ANN129" s="187"/>
      <c r="ANT129" s="188"/>
      <c r="ANU129" s="187"/>
      <c r="AOA129" s="188"/>
      <c r="AOB129" s="187"/>
      <c r="AOD129" s="168"/>
      <c r="AOE129" s="189"/>
      <c r="AOH129" s="188"/>
      <c r="AOI129" s="187"/>
      <c r="AOO129" s="188"/>
      <c r="AOP129" s="187"/>
      <c r="AOV129" s="188"/>
      <c r="AOW129" s="187"/>
      <c r="APC129" s="188"/>
      <c r="APD129" s="187"/>
      <c r="API129" s="168"/>
      <c r="APJ129" s="191"/>
      <c r="APK129" s="187"/>
      <c r="APQ129" s="188"/>
      <c r="APR129" s="187"/>
      <c r="APX129" s="188"/>
      <c r="APY129" s="187"/>
      <c r="AQE129" s="188"/>
      <c r="AQF129" s="187"/>
      <c r="AQL129" s="188"/>
      <c r="AQM129" s="187"/>
      <c r="AQN129" s="168"/>
      <c r="AQO129" s="189"/>
      <c r="AQS129" s="188"/>
      <c r="AQT129" s="187"/>
      <c r="AQZ129" s="188"/>
      <c r="ARA129" s="187"/>
      <c r="ARG129" s="188"/>
      <c r="ARH129" s="187"/>
      <c r="ARN129" s="188"/>
      <c r="ARO129" s="187"/>
      <c r="ARP129" s="168"/>
      <c r="ARQ129" s="189"/>
      <c r="ARU129" s="188"/>
      <c r="ARV129" s="187"/>
      <c r="ASB129" s="188"/>
      <c r="ASC129" s="187"/>
      <c r="ASI129" s="188"/>
      <c r="ASJ129" s="187"/>
      <c r="ASP129" s="188"/>
      <c r="ASQ129" s="187"/>
      <c r="ASU129" s="168"/>
      <c r="ASV129" s="189"/>
      <c r="ASW129" s="188"/>
      <c r="ASX129" s="187"/>
      <c r="ATD129" s="188"/>
      <c r="ATE129" s="187"/>
      <c r="ATK129" s="188"/>
      <c r="ATL129" s="187"/>
      <c r="ATR129" s="188"/>
      <c r="ATS129" s="187"/>
      <c r="ATY129" s="168"/>
      <c r="ATZ129" s="189"/>
      <c r="AUF129" s="188"/>
      <c r="AUG129" s="187"/>
      <c r="AUM129" s="188"/>
      <c r="AUN129" s="187"/>
      <c r="AUT129" s="188"/>
      <c r="AUU129" s="187"/>
      <c r="AVA129" s="188"/>
      <c r="AVB129" s="187"/>
      <c r="AVD129" s="168"/>
      <c r="AVE129" s="189"/>
      <c r="AVH129" s="188"/>
      <c r="AVI129" s="187"/>
      <c r="AVO129" s="188"/>
      <c r="AVP129" s="187"/>
      <c r="AVV129" s="188"/>
      <c r="AVW129" s="187"/>
      <c r="AWC129" s="188"/>
      <c r="AWD129" s="187"/>
      <c r="AWH129" s="168"/>
      <c r="AWI129" s="189"/>
      <c r="AWJ129" s="188"/>
      <c r="AWK129" s="187"/>
      <c r="AWQ129" s="188"/>
      <c r="AWR129" s="187"/>
      <c r="AWX129" s="188"/>
      <c r="AWY129" s="187"/>
      <c r="AXE129" s="188"/>
      <c r="AXF129" s="187"/>
      <c r="AXL129" s="188"/>
      <c r="AXM129" s="190"/>
      <c r="AXN129" s="189"/>
      <c r="AXS129" s="188"/>
      <c r="AXT129" s="187"/>
      <c r="AXZ129" s="188"/>
      <c r="AYA129" s="187"/>
      <c r="AYG129" s="188"/>
      <c r="AYH129" s="187"/>
      <c r="AYN129" s="188"/>
      <c r="AYO129" s="187"/>
      <c r="AYR129" s="168"/>
      <c r="AYS129" s="189"/>
      <c r="AYU129" s="188"/>
      <c r="AYV129" s="187"/>
      <c r="AZB129" s="188"/>
      <c r="AZC129" s="187"/>
      <c r="AZI129" s="188"/>
      <c r="AZJ129" s="187"/>
      <c r="AZP129" s="188"/>
      <c r="AZQ129" s="187"/>
      <c r="AZV129" s="168"/>
      <c r="AZW129" s="191"/>
      <c r="AZX129" s="187"/>
      <c r="BAD129" s="188"/>
      <c r="BAE129" s="187"/>
      <c r="BAK129" s="188"/>
      <c r="BAL129" s="187"/>
      <c r="BAR129" s="188"/>
      <c r="BAS129" s="187"/>
      <c r="BAY129" s="188"/>
      <c r="BAZ129" s="187"/>
      <c r="BBA129" s="168"/>
      <c r="BBB129" s="189"/>
      <c r="BBF129" s="188"/>
      <c r="BBG129" s="187"/>
      <c r="BBM129" s="188"/>
      <c r="BBN129" s="187"/>
      <c r="BBT129" s="188"/>
      <c r="BBU129" s="187"/>
      <c r="BCA129" s="188"/>
      <c r="BCB129" s="187"/>
      <c r="BCE129" s="168"/>
      <c r="BCF129" s="189"/>
      <c r="BCH129" s="188"/>
      <c r="BCI129" s="187"/>
      <c r="BCO129" s="188"/>
      <c r="BCP129" s="187"/>
      <c r="BCV129" s="188"/>
      <c r="BCW129" s="187"/>
      <c r="BDC129" s="188"/>
      <c r="BDD129" s="187"/>
      <c r="BDJ129" s="168"/>
      <c r="BDK129" s="189"/>
      <c r="BDQ129" s="188"/>
      <c r="BDR129" s="187"/>
      <c r="BDX129" s="188"/>
      <c r="BDY129" s="187"/>
      <c r="BEE129" s="188"/>
      <c r="BEF129" s="187"/>
      <c r="BEL129" s="188"/>
      <c r="BEM129" s="187"/>
      <c r="BEO129" s="168"/>
      <c r="BEP129" s="189"/>
      <c r="BES129" s="188"/>
      <c r="BET129" s="187"/>
      <c r="BEZ129" s="188"/>
      <c r="BFA129" s="187"/>
      <c r="BFG129" s="188"/>
      <c r="BFH129" s="187"/>
      <c r="BFN129" s="188"/>
      <c r="BFO129" s="187"/>
      <c r="BFQ129" s="168"/>
      <c r="BFR129" s="189"/>
      <c r="BFU129" s="188"/>
      <c r="BFV129" s="187"/>
      <c r="BGB129" s="188"/>
      <c r="BGC129" s="187"/>
      <c r="BGI129" s="188"/>
      <c r="BGJ129" s="187"/>
      <c r="BGP129" s="188"/>
      <c r="BGQ129" s="187"/>
      <c r="BGV129" s="168"/>
      <c r="BGW129" s="191"/>
      <c r="BGX129" s="187"/>
      <c r="BHD129" s="188"/>
      <c r="BHE129" s="187"/>
      <c r="BHK129" s="188"/>
      <c r="BHL129" s="187"/>
      <c r="BHR129" s="188"/>
      <c r="BHS129" s="187"/>
      <c r="BHY129" s="188"/>
      <c r="BHZ129" s="190"/>
      <c r="BIA129" s="189"/>
      <c r="BIF129" s="188"/>
      <c r="BIG129" s="187"/>
      <c r="BIM129" s="188"/>
      <c r="BIN129" s="187"/>
      <c r="BIT129" s="188"/>
      <c r="BIU129" s="187"/>
      <c r="BJA129" s="188"/>
      <c r="BJB129" s="187"/>
      <c r="BJE129" s="168"/>
      <c r="BJF129" s="189"/>
      <c r="BJH129" s="188"/>
      <c r="BJI129" s="187"/>
      <c r="BJO129" s="188"/>
      <c r="BJP129" s="187"/>
      <c r="BJV129" s="188"/>
      <c r="BJW129" s="187"/>
      <c r="BKC129" s="188"/>
      <c r="BKD129" s="187"/>
      <c r="BKI129" s="168"/>
      <c r="BKJ129" s="191"/>
      <c r="BKK129" s="187"/>
      <c r="BKQ129" s="188"/>
      <c r="BKR129" s="187"/>
      <c r="BKX129" s="188"/>
      <c r="BKY129" s="187"/>
      <c r="BLE129" s="188"/>
      <c r="BLF129" s="187"/>
      <c r="BLL129" s="188"/>
      <c r="BLM129" s="187"/>
      <c r="BLN129" s="168"/>
      <c r="BLO129" s="189"/>
      <c r="BLS129" s="188"/>
      <c r="BLT129" s="187"/>
      <c r="BLZ129" s="188"/>
      <c r="BMA129" s="187"/>
      <c r="BMG129" s="188"/>
      <c r="BMH129" s="187"/>
      <c r="BMN129" s="188"/>
      <c r="BMO129" s="187"/>
      <c r="BMS129" s="168"/>
      <c r="BMT129" s="189"/>
      <c r="BMU129" s="188"/>
      <c r="BMV129" s="187"/>
      <c r="BNB129" s="188"/>
      <c r="BNC129" s="187"/>
      <c r="BNI129" s="188"/>
      <c r="BNJ129" s="187"/>
      <c r="BNP129" s="188"/>
      <c r="BNQ129" s="187"/>
      <c r="BNW129" s="168"/>
      <c r="BNX129" s="189"/>
      <c r="BOD129" s="188"/>
      <c r="BOE129" s="187"/>
      <c r="BOK129" s="188"/>
      <c r="BOL129" s="187"/>
      <c r="BOR129" s="188"/>
      <c r="BOS129" s="187"/>
      <c r="BOY129" s="188"/>
      <c r="BOZ129" s="187"/>
      <c r="BPB129" s="168"/>
      <c r="BPC129" s="189"/>
      <c r="BPF129" s="188"/>
      <c r="BPG129" s="187"/>
      <c r="BPM129" s="188"/>
      <c r="BPN129" s="187"/>
      <c r="BPT129" s="188"/>
      <c r="BPU129" s="187"/>
      <c r="BQA129" s="188"/>
      <c r="BQB129" s="187"/>
      <c r="BQF129" s="168"/>
      <c r="BQG129" s="189"/>
      <c r="BQH129" s="188"/>
      <c r="BQI129" s="187"/>
      <c r="BQO129" s="188"/>
      <c r="BQP129" s="187"/>
      <c r="BQV129" s="188"/>
      <c r="BQW129" s="187"/>
      <c r="BRC129" s="188"/>
      <c r="BRD129" s="187"/>
      <c r="BRJ129" s="188"/>
      <c r="BRK129" s="190"/>
      <c r="BRL129" s="189"/>
      <c r="BRQ129" s="188"/>
      <c r="BRR129" s="187"/>
      <c r="BRX129" s="188"/>
      <c r="BRY129" s="187"/>
      <c r="BSE129" s="188"/>
      <c r="BSF129" s="187"/>
      <c r="BSL129" s="188"/>
      <c r="BSM129" s="187"/>
      <c r="BSP129" s="168"/>
      <c r="BSQ129" s="189"/>
      <c r="BSS129" s="188"/>
      <c r="BST129" s="187"/>
      <c r="BSZ129" s="188"/>
      <c r="BTA129" s="187"/>
      <c r="BTG129" s="188"/>
      <c r="BTH129" s="187"/>
      <c r="BTN129" s="188"/>
      <c r="BTO129" s="187"/>
      <c r="BTS129" s="168"/>
      <c r="BTT129" s="189"/>
      <c r="BTU129" s="188"/>
      <c r="BTV129" s="187"/>
      <c r="BUB129" s="188"/>
      <c r="BUC129" s="187"/>
      <c r="BUI129" s="188"/>
      <c r="BUJ129" s="187"/>
      <c r="BUP129" s="188"/>
      <c r="BUQ129" s="187"/>
      <c r="BUW129" s="188"/>
      <c r="BUX129" s="190"/>
      <c r="BUY129" s="189"/>
      <c r="BVD129" s="188"/>
      <c r="BVE129" s="187"/>
      <c r="BVK129" s="188"/>
      <c r="BVL129" s="187"/>
      <c r="BVR129" s="188"/>
      <c r="BVS129" s="187"/>
      <c r="BVY129" s="188"/>
      <c r="BVZ129" s="187"/>
      <c r="BWB129" s="168"/>
      <c r="BWC129" s="189"/>
      <c r="BWF129" s="188"/>
      <c r="BWG129" s="187"/>
      <c r="BWM129" s="188"/>
      <c r="BWN129" s="187"/>
      <c r="BWT129" s="188"/>
      <c r="BWU129" s="187"/>
      <c r="BXA129" s="188"/>
      <c r="BXB129" s="187"/>
      <c r="BXG129" s="168"/>
      <c r="BXH129" s="191"/>
      <c r="BXI129" s="187"/>
      <c r="BXO129" s="188"/>
      <c r="BXP129" s="187"/>
      <c r="BXV129" s="188"/>
      <c r="BXW129" s="187"/>
      <c r="BYC129" s="188"/>
      <c r="BYD129" s="187"/>
      <c r="BYJ129" s="188"/>
      <c r="BYK129" s="190"/>
      <c r="BYL129" s="189"/>
      <c r="BYQ129" s="188"/>
      <c r="BYR129" s="187"/>
      <c r="BYX129" s="188"/>
      <c r="BYY129" s="187"/>
      <c r="BZE129" s="188"/>
      <c r="BZF129" s="187"/>
      <c r="BZL129" s="188"/>
      <c r="BZM129" s="187"/>
      <c r="BZP129" s="168"/>
      <c r="BZQ129" s="189"/>
      <c r="BZS129" s="188"/>
      <c r="BZT129" s="187"/>
      <c r="BZZ129" s="188"/>
      <c r="CAA129" s="187"/>
      <c r="CAG129" s="188"/>
      <c r="CAH129" s="187"/>
      <c r="CAN129" s="188"/>
      <c r="CAO129" s="187"/>
      <c r="CAU129" s="168"/>
      <c r="CAV129" s="189"/>
      <c r="CBB129" s="188"/>
      <c r="CBC129" s="187"/>
      <c r="CBI129" s="188"/>
      <c r="CBJ129" s="187"/>
      <c r="CBP129" s="188"/>
      <c r="CBQ129" s="187"/>
      <c r="CBW129" s="188"/>
      <c r="CBX129" s="187"/>
      <c r="CBY129" s="168"/>
      <c r="CBZ129" s="189"/>
      <c r="CCD129" s="188"/>
      <c r="CCE129" s="187"/>
      <c r="CCK129" s="188"/>
      <c r="CCL129" s="187"/>
      <c r="CCR129" s="188"/>
      <c r="CCS129" s="187"/>
      <c r="CCY129" s="188"/>
      <c r="CCZ129" s="187"/>
      <c r="CDD129" s="168"/>
      <c r="CDE129" s="189"/>
      <c r="CDF129" s="188"/>
      <c r="CDG129" s="187"/>
      <c r="CDM129" s="188"/>
      <c r="CDN129" s="187"/>
      <c r="CDT129" s="188"/>
      <c r="CDU129" s="187"/>
      <c r="CEA129" s="188"/>
      <c r="CEB129" s="187"/>
      <c r="CEH129" s="168"/>
      <c r="CEI129" s="189"/>
      <c r="CEO129" s="188"/>
      <c r="CEP129" s="187"/>
      <c r="CEV129" s="188"/>
      <c r="CEW129" s="187"/>
      <c r="CFC129" s="188"/>
      <c r="CFD129" s="187"/>
      <c r="CFJ129" s="188"/>
      <c r="CFK129" s="187"/>
    </row>
    <row r="130" spans="1:1019 1025:2048 2054:2195">
      <c r="A130" s="164" t="s">
        <v>421</v>
      </c>
      <c r="D130" s="186"/>
      <c r="E130" s="186"/>
      <c r="K130" s="187"/>
      <c r="Q130" s="188"/>
      <c r="R130" s="187"/>
      <c r="X130" s="188"/>
      <c r="Y130" s="187"/>
      <c r="AE130" s="188"/>
      <c r="AF130" s="187"/>
      <c r="AJ130" s="168"/>
      <c r="AK130" s="189"/>
      <c r="AL130" s="188"/>
      <c r="AM130" s="187"/>
      <c r="AS130" s="188"/>
      <c r="AT130" s="187"/>
      <c r="AZ130" s="188"/>
      <c r="BA130" s="187"/>
      <c r="BG130" s="188"/>
      <c r="BH130" s="187"/>
      <c r="BL130" s="168"/>
      <c r="BM130" s="189"/>
      <c r="BN130" s="188"/>
      <c r="BO130" s="187"/>
      <c r="BU130" s="188"/>
      <c r="BV130" s="187"/>
      <c r="CB130" s="188"/>
      <c r="CC130" s="187"/>
      <c r="CI130" s="188"/>
      <c r="CJ130" s="187"/>
      <c r="CP130" s="188"/>
      <c r="CQ130" s="190"/>
      <c r="CR130" s="189"/>
      <c r="CW130" s="188"/>
      <c r="CX130" s="187"/>
      <c r="DD130" s="188"/>
      <c r="DE130" s="187"/>
      <c r="DK130" s="188"/>
      <c r="DL130" s="187"/>
      <c r="DR130" s="188"/>
      <c r="DS130" s="187"/>
      <c r="DU130" s="168"/>
      <c r="DV130" s="189"/>
      <c r="DY130" s="188"/>
      <c r="DZ130" s="187"/>
      <c r="EF130" s="188"/>
      <c r="EG130" s="187"/>
      <c r="EM130" s="188"/>
      <c r="EN130" s="187"/>
      <c r="ET130" s="188"/>
      <c r="EU130" s="187"/>
      <c r="EZ130" s="168"/>
      <c r="FA130" s="191"/>
      <c r="FB130" s="187"/>
      <c r="FH130" s="188"/>
      <c r="FI130" s="187"/>
      <c r="FO130" s="188"/>
      <c r="FP130" s="187"/>
      <c r="FV130" s="188"/>
      <c r="FW130" s="187"/>
      <c r="GC130" s="188"/>
      <c r="GD130" s="190"/>
      <c r="GE130" s="189"/>
      <c r="GJ130" s="188"/>
      <c r="GK130" s="187"/>
      <c r="GQ130" s="188"/>
      <c r="GR130" s="187"/>
      <c r="GX130" s="188"/>
      <c r="GY130" s="187"/>
      <c r="HE130" s="188"/>
      <c r="HF130" s="187"/>
      <c r="HI130" s="168"/>
      <c r="HJ130" s="189"/>
      <c r="HL130" s="188"/>
      <c r="HM130" s="187"/>
      <c r="HS130" s="188"/>
      <c r="HT130" s="187"/>
      <c r="HZ130" s="188"/>
      <c r="IA130" s="187"/>
      <c r="IG130" s="188"/>
      <c r="IH130" s="187"/>
      <c r="IN130" s="168"/>
      <c r="IO130" s="189"/>
      <c r="IU130" s="188"/>
      <c r="IV130" s="187"/>
      <c r="JB130" s="188"/>
      <c r="JC130" s="187"/>
      <c r="JI130" s="188"/>
      <c r="JJ130" s="187"/>
      <c r="JP130" s="188"/>
      <c r="JQ130" s="187"/>
      <c r="JR130" s="168"/>
      <c r="JS130" s="189"/>
      <c r="JW130" s="188"/>
      <c r="JX130" s="187"/>
      <c r="KD130" s="188"/>
      <c r="KE130" s="187"/>
      <c r="KK130" s="188"/>
      <c r="KL130" s="187"/>
      <c r="KR130" s="188"/>
      <c r="KS130" s="187"/>
      <c r="KW130" s="168"/>
      <c r="KX130" s="189"/>
      <c r="KY130" s="188"/>
      <c r="KZ130" s="187"/>
      <c r="LF130" s="188"/>
      <c r="LG130" s="187"/>
      <c r="LM130" s="188"/>
      <c r="LN130" s="187"/>
      <c r="LT130" s="188"/>
      <c r="LU130" s="187"/>
      <c r="MA130" s="168"/>
      <c r="MB130" s="189"/>
      <c r="MH130" s="188"/>
      <c r="MI130" s="187"/>
      <c r="MO130" s="188"/>
      <c r="MP130" s="187"/>
      <c r="MV130" s="188"/>
      <c r="MW130" s="187"/>
      <c r="NC130" s="188"/>
      <c r="ND130" s="187"/>
      <c r="NF130" s="168"/>
      <c r="NG130" s="189"/>
      <c r="NJ130" s="188"/>
      <c r="NK130" s="187"/>
      <c r="NQ130" s="188"/>
      <c r="NR130" s="187"/>
      <c r="NX130" s="188"/>
      <c r="NY130" s="187"/>
      <c r="OE130" s="188"/>
      <c r="OF130" s="187"/>
      <c r="OK130" s="168"/>
      <c r="OL130" s="191"/>
      <c r="OM130" s="187"/>
      <c r="OS130" s="188"/>
      <c r="OT130" s="187"/>
      <c r="OZ130" s="188"/>
      <c r="PA130" s="187"/>
      <c r="PG130" s="188"/>
      <c r="PH130" s="187"/>
      <c r="PN130" s="168"/>
      <c r="PO130" s="189"/>
      <c r="PU130" s="188"/>
      <c r="PV130" s="187"/>
      <c r="QB130" s="188"/>
      <c r="QC130" s="187"/>
      <c r="QI130" s="188"/>
      <c r="QJ130" s="187"/>
      <c r="QP130" s="188"/>
      <c r="QQ130" s="187"/>
      <c r="QS130" s="168"/>
      <c r="QT130" s="189"/>
      <c r="QW130" s="188"/>
      <c r="QX130" s="187"/>
      <c r="RD130" s="188"/>
      <c r="RE130" s="187"/>
      <c r="RK130" s="188"/>
      <c r="RL130" s="187"/>
      <c r="RR130" s="188"/>
      <c r="RS130" s="187"/>
      <c r="RW130" s="168"/>
      <c r="RX130" s="189"/>
      <c r="RY130" s="188"/>
      <c r="RZ130" s="187"/>
      <c r="SF130" s="188"/>
      <c r="SG130" s="187"/>
      <c r="SM130" s="188"/>
      <c r="SN130" s="187"/>
      <c r="ST130" s="188"/>
      <c r="SU130" s="187"/>
      <c r="TA130" s="188"/>
      <c r="TB130" s="190"/>
      <c r="TC130" s="189"/>
      <c r="TH130" s="188"/>
      <c r="TI130" s="187"/>
      <c r="TO130" s="188"/>
      <c r="TP130" s="187"/>
      <c r="TV130" s="188"/>
      <c r="TW130" s="187"/>
      <c r="UC130" s="188"/>
      <c r="UD130" s="187"/>
      <c r="UF130" s="168"/>
      <c r="UG130" s="189"/>
      <c r="UJ130" s="188"/>
      <c r="UK130" s="187"/>
      <c r="UQ130" s="188"/>
      <c r="UR130" s="187"/>
      <c r="UX130" s="188"/>
      <c r="UY130" s="187"/>
      <c r="VE130" s="188"/>
      <c r="VF130" s="187"/>
      <c r="VK130" s="168"/>
      <c r="VL130" s="191"/>
      <c r="VM130" s="187"/>
      <c r="VS130" s="188"/>
      <c r="VT130" s="187"/>
      <c r="VZ130" s="188"/>
      <c r="WA130" s="187"/>
      <c r="WG130" s="188"/>
      <c r="WH130" s="187"/>
      <c r="WN130" s="188"/>
      <c r="WO130" s="187"/>
      <c r="WP130" s="168"/>
      <c r="WQ130" s="189"/>
      <c r="WU130" s="188"/>
      <c r="WV130" s="187"/>
      <c r="XB130" s="188"/>
      <c r="XC130" s="187"/>
      <c r="XI130" s="188"/>
      <c r="XJ130" s="187"/>
      <c r="XP130" s="188"/>
      <c r="XQ130" s="187"/>
      <c r="XT130" s="168"/>
      <c r="XU130" s="189"/>
      <c r="XW130" s="188"/>
      <c r="XX130" s="187"/>
      <c r="YD130" s="188"/>
      <c r="YE130" s="187"/>
      <c r="YK130" s="188"/>
      <c r="YL130" s="187"/>
      <c r="YR130" s="188"/>
      <c r="YS130" s="187"/>
      <c r="YY130" s="168"/>
      <c r="YZ130" s="189"/>
      <c r="ZF130" s="188"/>
      <c r="ZG130" s="187"/>
      <c r="ZM130" s="188"/>
      <c r="ZN130" s="187"/>
      <c r="ZT130" s="188"/>
      <c r="ZU130" s="187"/>
      <c r="AAA130" s="188"/>
      <c r="AAB130" s="187"/>
      <c r="AAC130" s="168"/>
      <c r="AAD130" s="189"/>
      <c r="AAH130" s="188"/>
      <c r="AAI130" s="187"/>
      <c r="AAO130" s="188"/>
      <c r="AAP130" s="187"/>
      <c r="AAV130" s="188"/>
      <c r="AAW130" s="187"/>
      <c r="ABC130" s="188"/>
      <c r="ABD130" s="187"/>
      <c r="ABH130" s="168"/>
      <c r="ABI130" s="189"/>
      <c r="ABJ130" s="188"/>
      <c r="ABK130" s="187"/>
      <c r="ABQ130" s="188"/>
      <c r="ABR130" s="187"/>
      <c r="ABX130" s="188"/>
      <c r="ABY130" s="187"/>
      <c r="ACE130" s="188"/>
      <c r="ACF130" s="187"/>
      <c r="ACL130" s="188"/>
      <c r="ACM130" s="190"/>
      <c r="ACN130" s="189"/>
      <c r="ACS130" s="188"/>
      <c r="ACT130" s="187"/>
      <c r="ACZ130" s="188"/>
      <c r="ADA130" s="187"/>
      <c r="ADG130" s="188"/>
      <c r="ADH130" s="187"/>
      <c r="ADN130" s="188"/>
      <c r="ADO130" s="190"/>
      <c r="ADP130" s="189"/>
      <c r="ADU130" s="188"/>
      <c r="ADV130" s="187"/>
      <c r="AEB130" s="188"/>
      <c r="AEC130" s="187"/>
      <c r="AEI130" s="188"/>
      <c r="AEJ130" s="187"/>
      <c r="AEP130" s="188"/>
      <c r="AEQ130" s="187"/>
      <c r="AET130" s="168"/>
      <c r="AEU130" s="189"/>
      <c r="AEW130" s="188"/>
      <c r="AEX130" s="187"/>
      <c r="AFD130" s="188"/>
      <c r="AFE130" s="187"/>
      <c r="AFK130" s="188"/>
      <c r="AFL130" s="187"/>
      <c r="AFR130" s="188"/>
      <c r="AFS130" s="187"/>
      <c r="AFX130" s="168"/>
      <c r="AFY130" s="191"/>
      <c r="AFZ130" s="187"/>
      <c r="AGF130" s="188"/>
      <c r="AGG130" s="187"/>
      <c r="AGM130" s="188"/>
      <c r="AGN130" s="187"/>
      <c r="AGT130" s="188"/>
      <c r="AGU130" s="187"/>
      <c r="AHA130" s="188"/>
      <c r="AHB130" s="187"/>
      <c r="AHC130" s="168"/>
      <c r="AHD130" s="189"/>
      <c r="AHH130" s="188"/>
      <c r="AHI130" s="187"/>
      <c r="AHO130" s="188"/>
      <c r="AHP130" s="187"/>
      <c r="AHV130" s="188"/>
      <c r="AHW130" s="187"/>
      <c r="AIC130" s="188"/>
      <c r="AID130" s="187"/>
      <c r="AIG130" s="168"/>
      <c r="AIH130" s="189"/>
      <c r="AIJ130" s="188"/>
      <c r="AIK130" s="187"/>
      <c r="AIQ130" s="188"/>
      <c r="AIR130" s="187"/>
      <c r="AIX130" s="188"/>
      <c r="AIY130" s="187"/>
      <c r="AJE130" s="188"/>
      <c r="AJF130" s="187"/>
      <c r="AJL130" s="168"/>
      <c r="AJM130" s="189"/>
      <c r="AJS130" s="188"/>
      <c r="AJT130" s="187"/>
      <c r="AJZ130" s="188"/>
      <c r="AKA130" s="187"/>
      <c r="AKG130" s="188"/>
      <c r="AKH130" s="187"/>
      <c r="AKN130" s="188"/>
      <c r="AKO130" s="187"/>
      <c r="AKQ130" s="168"/>
      <c r="AKR130" s="189"/>
      <c r="AKU130" s="188"/>
      <c r="AKV130" s="187"/>
      <c r="ALB130" s="188"/>
      <c r="ALC130" s="187"/>
      <c r="ALI130" s="188"/>
      <c r="ALJ130" s="187"/>
      <c r="ALP130" s="188"/>
      <c r="ALQ130" s="187"/>
      <c r="ALU130" s="168"/>
      <c r="ALV130" s="189"/>
      <c r="ALW130" s="188"/>
      <c r="ALX130" s="187"/>
      <c r="AMD130" s="188"/>
      <c r="AME130" s="187"/>
      <c r="AMK130" s="188"/>
      <c r="AML130" s="187"/>
      <c r="AMR130" s="188"/>
      <c r="AMS130" s="187"/>
      <c r="AMY130" s="188"/>
      <c r="AMZ130" s="190"/>
      <c r="ANA130" s="189"/>
      <c r="ANF130" s="188"/>
      <c r="ANG130" s="187"/>
      <c r="ANM130" s="188"/>
      <c r="ANN130" s="187"/>
      <c r="ANT130" s="188"/>
      <c r="ANU130" s="187"/>
      <c r="AOA130" s="188"/>
      <c r="AOB130" s="187"/>
      <c r="AOD130" s="168"/>
      <c r="AOE130" s="189"/>
      <c r="AOH130" s="188"/>
      <c r="AOI130" s="187"/>
      <c r="AOO130" s="188"/>
      <c r="AOP130" s="187"/>
      <c r="AOV130" s="188"/>
      <c r="AOW130" s="187"/>
      <c r="APC130" s="188"/>
      <c r="APD130" s="187"/>
      <c r="API130" s="168"/>
      <c r="APJ130" s="191"/>
      <c r="APK130" s="187"/>
      <c r="APQ130" s="188"/>
      <c r="APR130" s="187"/>
      <c r="APX130" s="188"/>
      <c r="APY130" s="187"/>
      <c r="AQE130" s="188"/>
      <c r="AQF130" s="187"/>
      <c r="AQL130" s="188"/>
      <c r="AQM130" s="187"/>
      <c r="AQN130" s="168"/>
      <c r="AQO130" s="189"/>
      <c r="AQS130" s="188"/>
      <c r="AQT130" s="187"/>
      <c r="AQZ130" s="188"/>
      <c r="ARA130" s="187"/>
      <c r="ARG130" s="188"/>
      <c r="ARH130" s="187"/>
      <c r="ARN130" s="188"/>
      <c r="ARO130" s="187"/>
      <c r="ARP130" s="168"/>
      <c r="ARQ130" s="189"/>
      <c r="ARU130" s="188"/>
      <c r="ARV130" s="187"/>
      <c r="ASB130" s="188"/>
      <c r="ASC130" s="187"/>
      <c r="ASI130" s="188"/>
      <c r="ASJ130" s="187"/>
      <c r="ASP130" s="188"/>
      <c r="ASQ130" s="187"/>
      <c r="ASU130" s="168"/>
      <c r="ASV130" s="189"/>
      <c r="ASW130" s="188"/>
      <c r="ASX130" s="187"/>
      <c r="ATD130" s="188"/>
      <c r="ATE130" s="187"/>
      <c r="ATK130" s="188"/>
      <c r="ATL130" s="187"/>
      <c r="ATR130" s="188"/>
      <c r="ATS130" s="187"/>
      <c r="ATY130" s="168"/>
      <c r="ATZ130" s="189"/>
      <c r="AUF130" s="188"/>
      <c r="AUG130" s="187"/>
      <c r="AUM130" s="188"/>
      <c r="AUN130" s="187"/>
      <c r="AUT130" s="188"/>
      <c r="AUU130" s="187"/>
      <c r="AVA130" s="188"/>
      <c r="AVB130" s="187"/>
      <c r="AVD130" s="168"/>
      <c r="AVE130" s="189"/>
      <c r="AVH130" s="188"/>
      <c r="AVI130" s="187"/>
      <c r="AVO130" s="188"/>
      <c r="AVP130" s="187"/>
      <c r="AVV130" s="188"/>
      <c r="AVW130" s="187"/>
      <c r="AWC130" s="188"/>
      <c r="AWD130" s="187"/>
      <c r="AWH130" s="168"/>
      <c r="AWI130" s="189"/>
      <c r="AWJ130" s="188"/>
      <c r="AWK130" s="187"/>
      <c r="AWQ130" s="188"/>
      <c r="AWR130" s="187"/>
      <c r="AWX130" s="188"/>
      <c r="AWY130" s="187"/>
      <c r="AXE130" s="188"/>
      <c r="AXF130" s="187"/>
      <c r="AXL130" s="188"/>
      <c r="AXM130" s="190"/>
      <c r="AXN130" s="189"/>
      <c r="AXS130" s="188"/>
      <c r="AXT130" s="187"/>
      <c r="AXZ130" s="188"/>
      <c r="AYA130" s="187"/>
      <c r="AYG130" s="188"/>
      <c r="AYH130" s="187"/>
      <c r="AYN130" s="188"/>
      <c r="AYO130" s="187"/>
      <c r="AYR130" s="168"/>
      <c r="AYS130" s="189"/>
      <c r="AYU130" s="188"/>
      <c r="AYV130" s="187"/>
      <c r="AZB130" s="188"/>
      <c r="AZC130" s="187"/>
      <c r="AZI130" s="188"/>
      <c r="AZJ130" s="187"/>
      <c r="AZP130" s="188"/>
      <c r="AZQ130" s="187"/>
      <c r="AZV130" s="168"/>
      <c r="AZW130" s="191"/>
      <c r="AZX130" s="187"/>
      <c r="BAD130" s="188"/>
      <c r="BAE130" s="187"/>
      <c r="BAK130" s="188"/>
      <c r="BAL130" s="187"/>
      <c r="BAR130" s="188"/>
      <c r="BAS130" s="187"/>
      <c r="BAY130" s="188"/>
      <c r="BAZ130" s="187"/>
      <c r="BBA130" s="168"/>
      <c r="BBB130" s="189"/>
      <c r="BBF130" s="188"/>
      <c r="BBG130" s="187"/>
      <c r="BBM130" s="188"/>
      <c r="BBN130" s="187"/>
      <c r="BBT130" s="188"/>
      <c r="BBU130" s="187"/>
      <c r="BCA130" s="188"/>
      <c r="BCB130" s="187"/>
      <c r="BCE130" s="168"/>
      <c r="BCF130" s="189"/>
      <c r="BCH130" s="188"/>
      <c r="BCI130" s="187"/>
      <c r="BCO130" s="188"/>
      <c r="BCP130" s="187"/>
      <c r="BCV130" s="188"/>
      <c r="BCW130" s="187"/>
      <c r="BDC130" s="188"/>
      <c r="BDD130" s="187"/>
      <c r="BDJ130" s="168"/>
      <c r="BDK130" s="189"/>
      <c r="BDQ130" s="188"/>
      <c r="BDR130" s="187"/>
      <c r="BDX130" s="188"/>
      <c r="BDY130" s="187"/>
      <c r="BEE130" s="188"/>
      <c r="BEF130" s="187"/>
      <c r="BEL130" s="188"/>
      <c r="BEM130" s="187"/>
      <c r="BEO130" s="168"/>
      <c r="BEP130" s="189"/>
      <c r="BES130" s="188"/>
      <c r="BET130" s="187"/>
      <c r="BEZ130" s="188"/>
      <c r="BFA130" s="187"/>
      <c r="BFG130" s="188"/>
      <c r="BFH130" s="187"/>
      <c r="BFN130" s="188"/>
      <c r="BFO130" s="187"/>
      <c r="BFQ130" s="168"/>
      <c r="BFR130" s="189"/>
      <c r="BFU130" s="188"/>
      <c r="BFV130" s="187"/>
      <c r="BGB130" s="188"/>
      <c r="BGC130" s="187"/>
      <c r="BGI130" s="188"/>
      <c r="BGJ130" s="187"/>
      <c r="BGP130" s="188"/>
      <c r="BGQ130" s="187"/>
      <c r="BGV130" s="168"/>
      <c r="BGW130" s="191"/>
      <c r="BGX130" s="187"/>
      <c r="BHD130" s="188"/>
      <c r="BHE130" s="187"/>
      <c r="BHK130" s="188"/>
      <c r="BHL130" s="187"/>
      <c r="BHR130" s="188"/>
      <c r="BHS130" s="187"/>
      <c r="BHY130" s="188"/>
      <c r="BHZ130" s="190"/>
      <c r="BIA130" s="189"/>
      <c r="BIF130" s="188"/>
      <c r="BIG130" s="187"/>
      <c r="BIM130" s="188"/>
      <c r="BIN130" s="187"/>
      <c r="BIT130" s="188"/>
      <c r="BIU130" s="187"/>
      <c r="BJA130" s="188"/>
      <c r="BJB130" s="187"/>
      <c r="BJE130" s="168"/>
      <c r="BJF130" s="189"/>
      <c r="BJH130" s="188"/>
      <c r="BJI130" s="187"/>
      <c r="BJO130" s="188"/>
      <c r="BJP130" s="187"/>
      <c r="BJV130" s="188"/>
      <c r="BJW130" s="187"/>
      <c r="BKC130" s="188"/>
      <c r="BKD130" s="187"/>
      <c r="BKI130" s="168"/>
      <c r="BKJ130" s="191"/>
      <c r="BKK130" s="187"/>
      <c r="BKQ130" s="188"/>
      <c r="BKR130" s="187"/>
      <c r="BKX130" s="188"/>
      <c r="BKY130" s="187"/>
      <c r="BLE130" s="188"/>
      <c r="BLF130" s="187"/>
      <c r="BLL130" s="188"/>
      <c r="BLM130" s="187"/>
      <c r="BLN130" s="168"/>
      <c r="BLO130" s="189"/>
      <c r="BLS130" s="188"/>
      <c r="BLT130" s="187"/>
      <c r="BLZ130" s="188"/>
      <c r="BMA130" s="187"/>
      <c r="BMG130" s="188"/>
      <c r="BMH130" s="187"/>
      <c r="BMN130" s="188"/>
      <c r="BMO130" s="187"/>
      <c r="BMS130" s="168"/>
      <c r="BMT130" s="189"/>
      <c r="BMU130" s="188"/>
      <c r="BMV130" s="187"/>
      <c r="BNB130" s="188"/>
      <c r="BNC130" s="187"/>
      <c r="BNI130" s="188"/>
      <c r="BNJ130" s="187"/>
      <c r="BNP130" s="188"/>
      <c r="BNQ130" s="187"/>
      <c r="BNW130" s="168"/>
      <c r="BNX130" s="189"/>
      <c r="BOD130" s="188"/>
      <c r="BOE130" s="187"/>
      <c r="BOK130" s="188"/>
      <c r="BOL130" s="187"/>
      <c r="BOR130" s="188"/>
      <c r="BOS130" s="187"/>
      <c r="BOY130" s="188"/>
      <c r="BOZ130" s="187"/>
      <c r="BPB130" s="168"/>
      <c r="BPC130" s="189"/>
      <c r="BPF130" s="188"/>
      <c r="BPG130" s="187"/>
      <c r="BPM130" s="188"/>
      <c r="BPN130" s="187"/>
      <c r="BPT130" s="188"/>
      <c r="BPU130" s="187"/>
      <c r="BQA130" s="188"/>
      <c r="BQB130" s="187"/>
      <c r="BQF130" s="168"/>
      <c r="BQG130" s="189"/>
      <c r="BQH130" s="188"/>
      <c r="BQI130" s="187"/>
      <c r="BQO130" s="188"/>
      <c r="BQP130" s="187"/>
      <c r="BQV130" s="188"/>
      <c r="BQW130" s="187"/>
      <c r="BRC130" s="188"/>
      <c r="BRD130" s="187"/>
      <c r="BRJ130" s="188"/>
      <c r="BRK130" s="190"/>
      <c r="BRL130" s="189"/>
      <c r="BRQ130" s="188"/>
      <c r="BRR130" s="187"/>
      <c r="BRX130" s="188"/>
      <c r="BRY130" s="187"/>
      <c r="BSE130" s="188"/>
      <c r="BSF130" s="187"/>
      <c r="BSL130" s="188"/>
      <c r="BSM130" s="187"/>
      <c r="BSP130" s="168"/>
      <c r="BSQ130" s="189"/>
      <c r="BSS130" s="188"/>
      <c r="BST130" s="187"/>
      <c r="BSZ130" s="188"/>
      <c r="BTA130" s="187"/>
      <c r="BTG130" s="188"/>
      <c r="BTH130" s="187"/>
      <c r="BTN130" s="188"/>
      <c r="BTO130" s="187"/>
      <c r="BTS130" s="168"/>
      <c r="BTT130" s="189"/>
      <c r="BTU130" s="188"/>
      <c r="BTV130" s="187"/>
      <c r="BUB130" s="188"/>
      <c r="BUC130" s="187"/>
      <c r="BUI130" s="188"/>
      <c r="BUJ130" s="187"/>
      <c r="BUP130" s="188"/>
      <c r="BUQ130" s="187"/>
      <c r="BUW130" s="188"/>
      <c r="BUX130" s="190"/>
      <c r="BUY130" s="189"/>
      <c r="BVD130" s="188"/>
      <c r="BVE130" s="187"/>
      <c r="BVK130" s="188"/>
      <c r="BVL130" s="187"/>
      <c r="BVR130" s="188"/>
      <c r="BVS130" s="187"/>
      <c r="BVY130" s="188"/>
      <c r="BVZ130" s="187"/>
      <c r="BWB130" s="168"/>
      <c r="BWC130" s="189"/>
      <c r="BWF130" s="188"/>
      <c r="BWG130" s="187"/>
      <c r="BWM130" s="188"/>
      <c r="BWN130" s="187"/>
      <c r="BWT130" s="188"/>
      <c r="BWU130" s="187"/>
      <c r="BXA130" s="188"/>
      <c r="BXB130" s="187"/>
      <c r="BXG130" s="168"/>
      <c r="BXH130" s="191"/>
      <c r="BXI130" s="187"/>
      <c r="BXO130" s="188"/>
      <c r="BXP130" s="187"/>
      <c r="BXV130" s="188"/>
      <c r="BXW130" s="187"/>
      <c r="BYC130" s="188"/>
      <c r="BYD130" s="187"/>
      <c r="BYJ130" s="188"/>
      <c r="BYK130" s="190"/>
      <c r="BYL130" s="189"/>
      <c r="BYQ130" s="188"/>
      <c r="BYR130" s="187"/>
      <c r="BYX130" s="188"/>
      <c r="BYY130" s="187"/>
      <c r="BZE130" s="188"/>
      <c r="BZF130" s="187"/>
      <c r="BZL130" s="188"/>
      <c r="BZM130" s="187"/>
      <c r="BZP130" s="168"/>
      <c r="BZQ130" s="189"/>
      <c r="BZS130" s="188"/>
      <c r="BZT130" s="187"/>
      <c r="BZZ130" s="188"/>
      <c r="CAA130" s="187"/>
      <c r="CAG130" s="188"/>
      <c r="CAH130" s="187"/>
      <c r="CAN130" s="188"/>
      <c r="CAO130" s="187"/>
      <c r="CAU130" s="168"/>
      <c r="CAV130" s="189"/>
      <c r="CBB130" s="188"/>
      <c r="CBC130" s="187"/>
      <c r="CBI130" s="188"/>
      <c r="CBJ130" s="187"/>
      <c r="CBP130" s="188"/>
      <c r="CBQ130" s="187"/>
      <c r="CBW130" s="188"/>
      <c r="CBX130" s="187"/>
      <c r="CBY130" s="168"/>
      <c r="CBZ130" s="189"/>
      <c r="CCD130" s="188"/>
      <c r="CCE130" s="187"/>
      <c r="CCK130" s="188"/>
      <c r="CCL130" s="187"/>
      <c r="CCR130" s="188"/>
      <c r="CCS130" s="187"/>
      <c r="CCY130" s="188"/>
      <c r="CCZ130" s="187"/>
      <c r="CDD130" s="168"/>
      <c r="CDE130" s="189"/>
      <c r="CDF130" s="188"/>
      <c r="CDG130" s="187"/>
      <c r="CDM130" s="188"/>
      <c r="CDN130" s="187"/>
      <c r="CDT130" s="188"/>
      <c r="CDU130" s="187"/>
      <c r="CEA130" s="188"/>
      <c r="CEB130" s="187"/>
      <c r="CEH130" s="168"/>
      <c r="CEI130" s="189"/>
      <c r="CEO130" s="188"/>
      <c r="CEP130" s="187"/>
      <c r="CEV130" s="188"/>
      <c r="CEW130" s="187"/>
      <c r="CFC130" s="188"/>
      <c r="CFD130" s="187"/>
      <c r="CFJ130" s="188"/>
      <c r="CFK130" s="187"/>
    </row>
    <row r="131" spans="1:1019 1025:2048 2054:2195">
      <c r="A131" s="164" t="s">
        <v>422</v>
      </c>
      <c r="D131" s="186"/>
      <c r="E131" s="186"/>
      <c r="K131" s="187"/>
      <c r="Q131" s="188"/>
      <c r="R131" s="187"/>
      <c r="X131" s="188"/>
      <c r="Y131" s="187"/>
      <c r="AE131" s="188"/>
      <c r="AF131" s="187"/>
      <c r="AJ131" s="168"/>
      <c r="AK131" s="189"/>
      <c r="AL131" s="188"/>
      <c r="AM131" s="187"/>
      <c r="AS131" s="188"/>
      <c r="AT131" s="187"/>
      <c r="AZ131" s="188"/>
      <c r="BA131" s="187"/>
      <c r="BG131" s="188"/>
      <c r="BH131" s="187"/>
      <c r="BL131" s="168"/>
      <c r="BM131" s="189"/>
      <c r="BN131" s="188"/>
      <c r="BO131" s="187"/>
      <c r="BU131" s="188"/>
      <c r="BV131" s="187"/>
      <c r="CB131" s="188"/>
      <c r="CC131" s="187"/>
      <c r="CI131" s="188"/>
      <c r="CJ131" s="187"/>
      <c r="CP131" s="188"/>
      <c r="CQ131" s="190"/>
      <c r="CR131" s="189"/>
      <c r="CW131" s="188"/>
      <c r="CX131" s="187"/>
      <c r="DD131" s="188"/>
      <c r="DE131" s="187"/>
      <c r="DK131" s="188"/>
      <c r="DL131" s="187"/>
      <c r="DR131" s="188"/>
      <c r="DS131" s="187"/>
      <c r="DU131" s="168"/>
      <c r="DV131" s="189"/>
      <c r="DY131" s="188"/>
      <c r="DZ131" s="187"/>
      <c r="EF131" s="188"/>
      <c r="EG131" s="187"/>
      <c r="EM131" s="188"/>
      <c r="EN131" s="187"/>
      <c r="ET131" s="188"/>
      <c r="EU131" s="187"/>
      <c r="EZ131" s="168"/>
      <c r="FA131" s="191"/>
      <c r="FB131" s="187"/>
      <c r="FH131" s="188"/>
      <c r="FI131" s="187"/>
      <c r="FO131" s="188"/>
      <c r="FP131" s="187"/>
      <c r="FV131" s="188"/>
      <c r="FW131" s="187"/>
      <c r="GC131" s="188"/>
      <c r="GD131" s="190"/>
      <c r="GE131" s="189"/>
      <c r="GJ131" s="188"/>
      <c r="GK131" s="187"/>
      <c r="GQ131" s="188"/>
      <c r="GR131" s="187"/>
      <c r="GX131" s="188"/>
      <c r="GY131" s="187"/>
      <c r="HE131" s="188"/>
      <c r="HF131" s="187"/>
      <c r="HI131" s="168"/>
      <c r="HJ131" s="189"/>
      <c r="HL131" s="188"/>
      <c r="HM131" s="187"/>
      <c r="HS131" s="188"/>
      <c r="HT131" s="187"/>
      <c r="HZ131" s="188"/>
      <c r="IA131" s="187"/>
      <c r="IG131" s="188"/>
      <c r="IH131" s="187"/>
      <c r="IN131" s="168"/>
      <c r="IO131" s="189"/>
      <c r="IU131" s="188"/>
      <c r="IV131" s="187"/>
      <c r="JB131" s="188"/>
      <c r="JC131" s="187"/>
      <c r="JI131" s="188"/>
      <c r="JJ131" s="187"/>
      <c r="JP131" s="188"/>
      <c r="JQ131" s="187"/>
      <c r="JR131" s="168"/>
      <c r="JS131" s="189"/>
      <c r="JW131" s="188"/>
      <c r="JX131" s="187"/>
      <c r="KD131" s="188"/>
      <c r="KE131" s="187"/>
      <c r="KK131" s="188"/>
      <c r="KL131" s="187"/>
      <c r="KR131" s="188"/>
      <c r="KS131" s="187"/>
      <c r="KW131" s="168"/>
      <c r="KX131" s="189"/>
      <c r="KY131" s="188"/>
      <c r="KZ131" s="187"/>
      <c r="LF131" s="188"/>
      <c r="LG131" s="187"/>
      <c r="LM131" s="188"/>
      <c r="LN131" s="187"/>
      <c r="LT131" s="188"/>
      <c r="LU131" s="187"/>
      <c r="MA131" s="168"/>
      <c r="MB131" s="189"/>
      <c r="MH131" s="188"/>
      <c r="MI131" s="187"/>
      <c r="MO131" s="188"/>
      <c r="MP131" s="187"/>
      <c r="MV131" s="188"/>
      <c r="MW131" s="187"/>
      <c r="NC131" s="188"/>
      <c r="ND131" s="187"/>
      <c r="NF131" s="168"/>
      <c r="NG131" s="189"/>
      <c r="NJ131" s="188"/>
      <c r="NK131" s="187"/>
      <c r="NQ131" s="188"/>
      <c r="NR131" s="187"/>
      <c r="NX131" s="188"/>
      <c r="NY131" s="187"/>
      <c r="OE131" s="188"/>
      <c r="OF131" s="187"/>
      <c r="OK131" s="168"/>
      <c r="OL131" s="191"/>
      <c r="OM131" s="187"/>
      <c r="OS131" s="188"/>
      <c r="OT131" s="187"/>
      <c r="OZ131" s="188"/>
      <c r="PA131" s="187"/>
      <c r="PG131" s="188"/>
      <c r="PH131" s="187"/>
      <c r="PN131" s="168"/>
      <c r="PO131" s="189"/>
      <c r="PU131" s="188"/>
      <c r="PV131" s="187"/>
      <c r="QB131" s="188"/>
      <c r="QC131" s="187"/>
      <c r="QI131" s="188"/>
      <c r="QJ131" s="187"/>
      <c r="QP131" s="188"/>
      <c r="QQ131" s="187"/>
      <c r="QS131" s="168"/>
      <c r="QT131" s="189"/>
      <c r="QW131" s="188"/>
      <c r="QX131" s="187"/>
      <c r="RD131" s="188"/>
      <c r="RE131" s="187"/>
      <c r="RK131" s="188"/>
      <c r="RL131" s="187"/>
      <c r="RR131" s="188"/>
      <c r="RS131" s="187"/>
      <c r="RW131" s="168"/>
      <c r="RX131" s="189"/>
      <c r="RY131" s="188"/>
      <c r="RZ131" s="187"/>
      <c r="SF131" s="188"/>
      <c r="SG131" s="187"/>
      <c r="SM131" s="188"/>
      <c r="SN131" s="187"/>
      <c r="ST131" s="188"/>
      <c r="SU131" s="187"/>
      <c r="TA131" s="188"/>
      <c r="TB131" s="190"/>
      <c r="TC131" s="189"/>
      <c r="TH131" s="188"/>
      <c r="TI131" s="187"/>
      <c r="TO131" s="188"/>
      <c r="TP131" s="187"/>
      <c r="TV131" s="188"/>
      <c r="TW131" s="187"/>
      <c r="UC131" s="188"/>
      <c r="UD131" s="187"/>
      <c r="UF131" s="168"/>
      <c r="UG131" s="189"/>
      <c r="UJ131" s="188"/>
      <c r="UK131" s="187"/>
      <c r="UQ131" s="188"/>
      <c r="UR131" s="187"/>
      <c r="UX131" s="188"/>
      <c r="UY131" s="187"/>
      <c r="VE131" s="188"/>
      <c r="VF131" s="187"/>
      <c r="VK131" s="168"/>
      <c r="VL131" s="191"/>
      <c r="VM131" s="187"/>
      <c r="VS131" s="188"/>
      <c r="VT131" s="187"/>
      <c r="VZ131" s="188"/>
      <c r="WA131" s="187"/>
      <c r="WG131" s="188"/>
      <c r="WH131" s="187"/>
      <c r="WN131" s="188"/>
      <c r="WO131" s="187"/>
      <c r="WP131" s="168"/>
      <c r="WQ131" s="189"/>
      <c r="WU131" s="188"/>
      <c r="WV131" s="187"/>
      <c r="XB131" s="188"/>
      <c r="XC131" s="187"/>
      <c r="XI131" s="188"/>
      <c r="XJ131" s="187"/>
      <c r="XP131" s="188"/>
      <c r="XQ131" s="187"/>
      <c r="XT131" s="168"/>
      <c r="XU131" s="189"/>
      <c r="XW131" s="188"/>
      <c r="XX131" s="187"/>
      <c r="YD131" s="188"/>
      <c r="YE131" s="187"/>
      <c r="YK131" s="188"/>
      <c r="YL131" s="187"/>
      <c r="YR131" s="188"/>
      <c r="YS131" s="187"/>
      <c r="YY131" s="168"/>
      <c r="YZ131" s="189"/>
      <c r="ZF131" s="188"/>
      <c r="ZG131" s="187"/>
      <c r="ZM131" s="188"/>
      <c r="ZN131" s="187"/>
      <c r="ZT131" s="188"/>
      <c r="ZU131" s="187"/>
      <c r="AAA131" s="188"/>
      <c r="AAB131" s="187"/>
      <c r="AAC131" s="168"/>
      <c r="AAD131" s="189"/>
      <c r="AAH131" s="188"/>
      <c r="AAI131" s="187"/>
      <c r="AAO131" s="188"/>
      <c r="AAP131" s="187"/>
      <c r="AAV131" s="188"/>
      <c r="AAW131" s="187"/>
      <c r="ABC131" s="188"/>
      <c r="ABD131" s="187"/>
      <c r="ABH131" s="168"/>
      <c r="ABI131" s="189"/>
      <c r="ABJ131" s="188"/>
      <c r="ABK131" s="187"/>
      <c r="ABQ131" s="188"/>
      <c r="ABR131" s="187"/>
      <c r="ABX131" s="188"/>
      <c r="ABY131" s="187"/>
      <c r="ACE131" s="188"/>
      <c r="ACF131" s="187"/>
      <c r="ACL131" s="188"/>
      <c r="ACM131" s="190"/>
      <c r="ACN131" s="189"/>
      <c r="ACS131" s="188"/>
      <c r="ACT131" s="187"/>
      <c r="ACZ131" s="188"/>
      <c r="ADA131" s="187"/>
      <c r="ADG131" s="188"/>
      <c r="ADH131" s="187"/>
      <c r="ADN131" s="188"/>
      <c r="ADO131" s="190"/>
      <c r="ADP131" s="189"/>
      <c r="ADU131" s="188"/>
      <c r="ADV131" s="187"/>
      <c r="AEB131" s="188"/>
      <c r="AEC131" s="187"/>
      <c r="AEI131" s="188"/>
      <c r="AEJ131" s="187"/>
      <c r="AEP131" s="188"/>
      <c r="AEQ131" s="187"/>
      <c r="AET131" s="168"/>
      <c r="AEU131" s="189"/>
      <c r="AEW131" s="188"/>
      <c r="AEX131" s="187"/>
      <c r="AFD131" s="188"/>
      <c r="AFE131" s="187"/>
      <c r="AFK131" s="188"/>
      <c r="AFL131" s="187"/>
      <c r="AFR131" s="188"/>
      <c r="AFS131" s="187"/>
      <c r="AFX131" s="168"/>
      <c r="AFY131" s="191"/>
      <c r="AFZ131" s="187"/>
      <c r="AGF131" s="188"/>
      <c r="AGG131" s="187"/>
      <c r="AGM131" s="188"/>
      <c r="AGN131" s="187"/>
      <c r="AGT131" s="188"/>
      <c r="AGU131" s="187"/>
      <c r="AHA131" s="188"/>
      <c r="AHB131" s="187"/>
      <c r="AHC131" s="168"/>
      <c r="AHD131" s="189"/>
      <c r="AHH131" s="188"/>
      <c r="AHI131" s="187"/>
      <c r="AHO131" s="188"/>
      <c r="AHP131" s="187"/>
      <c r="AHV131" s="188"/>
      <c r="AHW131" s="187"/>
      <c r="AIC131" s="188"/>
      <c r="AID131" s="187"/>
      <c r="AIG131" s="168"/>
      <c r="AIH131" s="189"/>
      <c r="AIJ131" s="188"/>
      <c r="AIK131" s="187"/>
      <c r="AIQ131" s="188"/>
      <c r="AIR131" s="187"/>
      <c r="AIX131" s="188"/>
      <c r="AIY131" s="187"/>
      <c r="AJE131" s="188"/>
      <c r="AJF131" s="187"/>
      <c r="AJL131" s="168"/>
      <c r="AJM131" s="189"/>
      <c r="AJS131" s="188"/>
      <c r="AJT131" s="187"/>
      <c r="AJZ131" s="188"/>
      <c r="AKA131" s="187"/>
      <c r="AKG131" s="188"/>
      <c r="AKH131" s="187"/>
      <c r="AKN131" s="188"/>
      <c r="AKO131" s="187"/>
      <c r="AKQ131" s="168"/>
      <c r="AKR131" s="189"/>
      <c r="AKU131" s="188"/>
      <c r="AKV131" s="187"/>
      <c r="ALB131" s="188"/>
      <c r="ALC131" s="187"/>
      <c r="ALI131" s="188"/>
      <c r="ALJ131" s="187"/>
      <c r="ALP131" s="188"/>
      <c r="ALQ131" s="187"/>
      <c r="ALU131" s="168"/>
      <c r="ALV131" s="189"/>
      <c r="ALW131" s="188"/>
      <c r="ALX131" s="187"/>
      <c r="AMD131" s="188"/>
      <c r="AME131" s="187"/>
      <c r="AMK131" s="188"/>
      <c r="AML131" s="187"/>
      <c r="AMR131" s="188"/>
      <c r="AMS131" s="187"/>
      <c r="AMY131" s="188"/>
      <c r="AMZ131" s="190"/>
      <c r="ANA131" s="189"/>
      <c r="ANF131" s="188"/>
      <c r="ANG131" s="187"/>
      <c r="ANM131" s="188"/>
      <c r="ANN131" s="187"/>
      <c r="ANT131" s="188"/>
      <c r="ANU131" s="187"/>
      <c r="AOA131" s="188"/>
      <c r="AOB131" s="187"/>
      <c r="AOD131" s="168"/>
      <c r="AOE131" s="189"/>
      <c r="AOH131" s="188"/>
      <c r="AOI131" s="187"/>
      <c r="AOO131" s="188"/>
      <c r="AOP131" s="187"/>
      <c r="AOV131" s="188"/>
      <c r="AOW131" s="187"/>
      <c r="APC131" s="188"/>
      <c r="APD131" s="187"/>
      <c r="API131" s="168"/>
      <c r="APJ131" s="191"/>
      <c r="APK131" s="187"/>
      <c r="APQ131" s="188"/>
      <c r="APR131" s="187"/>
      <c r="APX131" s="188"/>
      <c r="APY131" s="187"/>
      <c r="AQE131" s="188"/>
      <c r="AQF131" s="187"/>
      <c r="AQL131" s="188"/>
      <c r="AQM131" s="187"/>
      <c r="AQN131" s="168"/>
      <c r="AQO131" s="189"/>
      <c r="AQS131" s="188"/>
      <c r="AQT131" s="187"/>
      <c r="AQZ131" s="188"/>
      <c r="ARA131" s="187"/>
      <c r="ARG131" s="188"/>
      <c r="ARH131" s="187"/>
      <c r="ARN131" s="188"/>
      <c r="ARO131" s="187"/>
      <c r="ARP131" s="168"/>
      <c r="ARQ131" s="189"/>
      <c r="ARU131" s="188"/>
      <c r="ARV131" s="187"/>
      <c r="ASB131" s="188"/>
      <c r="ASC131" s="187"/>
      <c r="ASI131" s="188"/>
      <c r="ASJ131" s="187"/>
      <c r="ASP131" s="188"/>
      <c r="ASQ131" s="187"/>
      <c r="ASU131" s="168"/>
      <c r="ASV131" s="189"/>
      <c r="ASW131" s="188"/>
      <c r="ASX131" s="187"/>
      <c r="ATD131" s="188"/>
      <c r="ATE131" s="187"/>
      <c r="ATK131" s="188"/>
      <c r="ATL131" s="187"/>
      <c r="ATR131" s="188"/>
      <c r="ATS131" s="187"/>
      <c r="ATY131" s="168"/>
      <c r="ATZ131" s="189"/>
      <c r="AUF131" s="188"/>
      <c r="AUG131" s="187"/>
      <c r="AUM131" s="188"/>
      <c r="AUN131" s="187"/>
      <c r="AUT131" s="188"/>
      <c r="AUU131" s="187"/>
      <c r="AVA131" s="188"/>
      <c r="AVB131" s="187"/>
      <c r="AVD131" s="168"/>
      <c r="AVE131" s="189"/>
      <c r="AVH131" s="188"/>
      <c r="AVI131" s="187"/>
      <c r="AVO131" s="188"/>
      <c r="AVP131" s="187"/>
      <c r="AVV131" s="188"/>
      <c r="AVW131" s="187"/>
      <c r="AWC131" s="188"/>
      <c r="AWD131" s="187"/>
      <c r="AWH131" s="168"/>
      <c r="AWI131" s="189"/>
      <c r="AWJ131" s="188"/>
      <c r="AWK131" s="187"/>
      <c r="AWQ131" s="188"/>
      <c r="AWR131" s="187"/>
      <c r="AWX131" s="188"/>
      <c r="AWY131" s="187"/>
      <c r="AXE131" s="188"/>
      <c r="AXF131" s="187"/>
      <c r="AXL131" s="188"/>
      <c r="AXM131" s="190"/>
      <c r="AXN131" s="189"/>
      <c r="AXS131" s="188"/>
      <c r="AXT131" s="187"/>
      <c r="AXZ131" s="188"/>
      <c r="AYA131" s="187"/>
      <c r="AYG131" s="188"/>
      <c r="AYH131" s="187"/>
      <c r="AYN131" s="188"/>
      <c r="AYO131" s="187"/>
      <c r="AYR131" s="168"/>
      <c r="AYS131" s="189"/>
      <c r="AYU131" s="188"/>
      <c r="AYV131" s="187"/>
      <c r="AZB131" s="188"/>
      <c r="AZC131" s="187"/>
      <c r="AZI131" s="188"/>
      <c r="AZJ131" s="187"/>
      <c r="AZP131" s="188"/>
      <c r="AZQ131" s="187"/>
      <c r="AZV131" s="168"/>
      <c r="AZW131" s="191"/>
      <c r="AZX131" s="187"/>
      <c r="BAD131" s="188"/>
      <c r="BAE131" s="187"/>
      <c r="BAK131" s="188"/>
      <c r="BAL131" s="187"/>
      <c r="BAR131" s="188"/>
      <c r="BAS131" s="187"/>
      <c r="BAY131" s="188"/>
      <c r="BAZ131" s="187"/>
      <c r="BBA131" s="168"/>
      <c r="BBB131" s="189"/>
      <c r="BBF131" s="188"/>
      <c r="BBG131" s="187"/>
      <c r="BBM131" s="188"/>
      <c r="BBN131" s="187"/>
      <c r="BBT131" s="188"/>
      <c r="BBU131" s="187"/>
      <c r="BCA131" s="188"/>
      <c r="BCB131" s="187"/>
      <c r="BCE131" s="168"/>
      <c r="BCF131" s="189"/>
      <c r="BCH131" s="188"/>
      <c r="BCI131" s="187"/>
      <c r="BCO131" s="188"/>
      <c r="BCP131" s="187"/>
      <c r="BCV131" s="188"/>
      <c r="BCW131" s="187"/>
      <c r="BDC131" s="188"/>
      <c r="BDD131" s="187"/>
      <c r="BDJ131" s="168"/>
      <c r="BDK131" s="189"/>
      <c r="BDQ131" s="188"/>
      <c r="BDR131" s="187"/>
      <c r="BDX131" s="188"/>
      <c r="BDY131" s="187"/>
      <c r="BEE131" s="188"/>
      <c r="BEF131" s="187"/>
      <c r="BEL131" s="188"/>
      <c r="BEM131" s="187"/>
      <c r="BEO131" s="168"/>
      <c r="BEP131" s="189"/>
      <c r="BES131" s="188"/>
      <c r="BET131" s="187"/>
      <c r="BEZ131" s="188"/>
      <c r="BFA131" s="187"/>
      <c r="BFG131" s="188"/>
      <c r="BFH131" s="187"/>
      <c r="BFN131" s="188"/>
      <c r="BFO131" s="187"/>
      <c r="BFQ131" s="168"/>
      <c r="BFR131" s="189"/>
      <c r="BFU131" s="188"/>
      <c r="BFV131" s="187"/>
      <c r="BGB131" s="188"/>
      <c r="BGC131" s="187"/>
      <c r="BGI131" s="188"/>
      <c r="BGJ131" s="187"/>
      <c r="BGP131" s="188"/>
      <c r="BGQ131" s="187"/>
      <c r="BGV131" s="168"/>
      <c r="BGW131" s="191"/>
      <c r="BGX131" s="187"/>
      <c r="BHD131" s="188"/>
      <c r="BHE131" s="187"/>
      <c r="BHK131" s="188"/>
      <c r="BHL131" s="187"/>
      <c r="BHR131" s="188"/>
      <c r="BHS131" s="187"/>
      <c r="BHY131" s="188"/>
      <c r="BHZ131" s="190"/>
      <c r="BIA131" s="189"/>
      <c r="BIF131" s="188"/>
      <c r="BIG131" s="187"/>
      <c r="BIM131" s="188"/>
      <c r="BIN131" s="187"/>
      <c r="BIT131" s="188"/>
      <c r="BIU131" s="187"/>
      <c r="BJA131" s="188"/>
      <c r="BJB131" s="187"/>
      <c r="BJE131" s="168"/>
      <c r="BJF131" s="189"/>
      <c r="BJH131" s="188"/>
      <c r="BJI131" s="187"/>
      <c r="BJO131" s="188"/>
      <c r="BJP131" s="187"/>
      <c r="BJV131" s="188"/>
      <c r="BJW131" s="187"/>
      <c r="BKC131" s="188"/>
      <c r="BKD131" s="187"/>
      <c r="BKI131" s="168"/>
      <c r="BKJ131" s="191"/>
      <c r="BKK131" s="187"/>
      <c r="BKQ131" s="188"/>
      <c r="BKR131" s="187"/>
      <c r="BKX131" s="188"/>
      <c r="BKY131" s="187"/>
      <c r="BLE131" s="188"/>
      <c r="BLF131" s="187"/>
      <c r="BLL131" s="188"/>
      <c r="BLM131" s="187"/>
      <c r="BLN131" s="168"/>
      <c r="BLO131" s="189"/>
      <c r="BLS131" s="188"/>
      <c r="BLT131" s="187"/>
      <c r="BLZ131" s="188"/>
      <c r="BMA131" s="187"/>
      <c r="BMG131" s="188"/>
      <c r="BMH131" s="187"/>
      <c r="BMN131" s="188"/>
      <c r="BMO131" s="187"/>
      <c r="BMS131" s="168"/>
      <c r="BMT131" s="189"/>
      <c r="BMU131" s="188"/>
      <c r="BMV131" s="187"/>
      <c r="BNB131" s="188"/>
      <c r="BNC131" s="187"/>
      <c r="BNI131" s="188"/>
      <c r="BNJ131" s="187"/>
      <c r="BNP131" s="188"/>
      <c r="BNQ131" s="187"/>
      <c r="BNW131" s="168"/>
      <c r="BNX131" s="189"/>
      <c r="BOD131" s="188"/>
      <c r="BOE131" s="187"/>
      <c r="BOK131" s="188"/>
      <c r="BOL131" s="187"/>
      <c r="BOR131" s="188"/>
      <c r="BOS131" s="187"/>
      <c r="BOY131" s="188"/>
      <c r="BOZ131" s="187"/>
      <c r="BPB131" s="168"/>
      <c r="BPC131" s="189"/>
      <c r="BPF131" s="188"/>
      <c r="BPG131" s="187"/>
      <c r="BPM131" s="188"/>
      <c r="BPN131" s="187"/>
      <c r="BPT131" s="188"/>
      <c r="BPU131" s="187"/>
      <c r="BQA131" s="188"/>
      <c r="BQB131" s="187"/>
      <c r="BQF131" s="168"/>
      <c r="BQG131" s="189"/>
      <c r="BQH131" s="188"/>
      <c r="BQI131" s="187"/>
      <c r="BQO131" s="188"/>
      <c r="BQP131" s="187"/>
      <c r="BQV131" s="188"/>
      <c r="BQW131" s="187"/>
      <c r="BRC131" s="188"/>
      <c r="BRD131" s="187"/>
      <c r="BRJ131" s="188"/>
      <c r="BRK131" s="190"/>
      <c r="BRL131" s="189"/>
      <c r="BRQ131" s="188"/>
      <c r="BRR131" s="187"/>
      <c r="BRX131" s="188"/>
      <c r="BRY131" s="187"/>
      <c r="BSE131" s="188"/>
      <c r="BSF131" s="187"/>
      <c r="BSL131" s="188"/>
      <c r="BSM131" s="187"/>
      <c r="BSP131" s="168"/>
      <c r="BSQ131" s="189"/>
      <c r="BSS131" s="188"/>
      <c r="BST131" s="187"/>
      <c r="BSZ131" s="188"/>
      <c r="BTA131" s="187"/>
      <c r="BTG131" s="188"/>
      <c r="BTH131" s="187"/>
      <c r="BTN131" s="188"/>
      <c r="BTO131" s="187"/>
      <c r="BTS131" s="168"/>
      <c r="BTT131" s="189"/>
      <c r="BTU131" s="188"/>
      <c r="BTV131" s="187"/>
      <c r="BUB131" s="188"/>
      <c r="BUC131" s="187"/>
      <c r="BUI131" s="188"/>
      <c r="BUJ131" s="187"/>
      <c r="BUP131" s="188"/>
      <c r="BUQ131" s="187"/>
      <c r="BUW131" s="188"/>
      <c r="BUX131" s="190"/>
      <c r="BUY131" s="189"/>
      <c r="BVD131" s="188"/>
      <c r="BVE131" s="187"/>
      <c r="BVK131" s="188"/>
      <c r="BVL131" s="187"/>
      <c r="BVR131" s="188"/>
      <c r="BVS131" s="187"/>
      <c r="BVY131" s="188"/>
      <c r="BVZ131" s="187"/>
      <c r="BWB131" s="168"/>
      <c r="BWC131" s="189"/>
      <c r="BWF131" s="188"/>
      <c r="BWG131" s="187"/>
      <c r="BWM131" s="188"/>
      <c r="BWN131" s="187"/>
      <c r="BWT131" s="188"/>
      <c r="BWU131" s="187"/>
      <c r="BXA131" s="188"/>
      <c r="BXB131" s="187"/>
      <c r="BXG131" s="168"/>
      <c r="BXH131" s="191"/>
      <c r="BXI131" s="187"/>
      <c r="BXO131" s="188"/>
      <c r="BXP131" s="187"/>
      <c r="BXV131" s="188"/>
      <c r="BXW131" s="187"/>
      <c r="BYC131" s="188"/>
      <c r="BYD131" s="187"/>
      <c r="BYJ131" s="188"/>
      <c r="BYK131" s="190"/>
      <c r="BYL131" s="189"/>
      <c r="BYQ131" s="188"/>
      <c r="BYR131" s="187"/>
      <c r="BYX131" s="188"/>
      <c r="BYY131" s="187"/>
      <c r="BZE131" s="188"/>
      <c r="BZF131" s="187"/>
      <c r="BZL131" s="188"/>
      <c r="BZM131" s="187"/>
      <c r="BZP131" s="168"/>
      <c r="BZQ131" s="189"/>
      <c r="BZS131" s="188"/>
      <c r="BZT131" s="187"/>
      <c r="BZZ131" s="188"/>
      <c r="CAA131" s="187"/>
      <c r="CAG131" s="188"/>
      <c r="CAH131" s="187"/>
      <c r="CAN131" s="188"/>
      <c r="CAO131" s="187"/>
      <c r="CAU131" s="168"/>
      <c r="CAV131" s="189"/>
      <c r="CBB131" s="188"/>
      <c r="CBC131" s="187"/>
      <c r="CBI131" s="188"/>
      <c r="CBJ131" s="187"/>
      <c r="CBP131" s="188"/>
      <c r="CBQ131" s="187"/>
      <c r="CBW131" s="188"/>
      <c r="CBX131" s="187"/>
      <c r="CBY131" s="168"/>
      <c r="CBZ131" s="189"/>
      <c r="CCD131" s="188"/>
      <c r="CCE131" s="187"/>
      <c r="CCK131" s="188"/>
      <c r="CCL131" s="187"/>
      <c r="CCR131" s="188"/>
      <c r="CCS131" s="187"/>
      <c r="CCY131" s="188"/>
      <c r="CCZ131" s="187"/>
      <c r="CDD131" s="168"/>
      <c r="CDE131" s="189"/>
      <c r="CDF131" s="188"/>
      <c r="CDG131" s="187"/>
      <c r="CDM131" s="188"/>
      <c r="CDN131" s="187"/>
      <c r="CDT131" s="188"/>
      <c r="CDU131" s="187"/>
      <c r="CEA131" s="188"/>
      <c r="CEB131" s="187"/>
      <c r="CEH131" s="168"/>
      <c r="CEI131" s="189"/>
      <c r="CEO131" s="188"/>
      <c r="CEP131" s="187"/>
      <c r="CEV131" s="188"/>
      <c r="CEW131" s="187"/>
      <c r="CFC131" s="188"/>
      <c r="CFD131" s="187"/>
      <c r="CFJ131" s="188"/>
      <c r="CFK131" s="187"/>
    </row>
    <row r="132" spans="1:1019 1025:2048 2054:2195">
      <c r="A132" s="164" t="s">
        <v>423</v>
      </c>
      <c r="D132" s="186"/>
      <c r="E132" s="186"/>
      <c r="K132" s="187"/>
      <c r="Q132" s="188"/>
      <c r="R132" s="187"/>
      <c r="X132" s="188"/>
      <c r="Y132" s="187"/>
      <c r="AE132" s="188"/>
      <c r="AF132" s="187"/>
      <c r="AJ132" s="168"/>
      <c r="AK132" s="189"/>
      <c r="AL132" s="188"/>
      <c r="AM132" s="187"/>
      <c r="AS132" s="188"/>
      <c r="AT132" s="187"/>
      <c r="AZ132" s="188"/>
      <c r="BA132" s="187"/>
      <c r="BG132" s="188"/>
      <c r="BH132" s="187"/>
      <c r="BL132" s="168"/>
      <c r="BM132" s="189"/>
      <c r="BN132" s="188"/>
      <c r="BO132" s="187"/>
      <c r="BU132" s="188"/>
      <c r="BV132" s="187"/>
      <c r="CB132" s="188"/>
      <c r="CC132" s="187"/>
      <c r="CI132" s="188"/>
      <c r="CJ132" s="187"/>
      <c r="CP132" s="188"/>
      <c r="CQ132" s="190"/>
      <c r="CR132" s="189"/>
      <c r="CW132" s="188"/>
      <c r="CX132" s="187"/>
      <c r="DD132" s="188"/>
      <c r="DE132" s="187"/>
      <c r="DK132" s="188"/>
      <c r="DL132" s="187"/>
      <c r="DR132" s="188"/>
      <c r="DS132" s="187"/>
      <c r="DU132" s="168"/>
      <c r="DV132" s="189"/>
      <c r="DY132" s="188"/>
      <c r="DZ132" s="187"/>
      <c r="EF132" s="188"/>
      <c r="EG132" s="187"/>
      <c r="EM132" s="188"/>
      <c r="EN132" s="187"/>
      <c r="ET132" s="188"/>
      <c r="EU132" s="187"/>
      <c r="EZ132" s="168"/>
      <c r="FA132" s="191"/>
      <c r="FB132" s="187"/>
      <c r="FH132" s="188"/>
      <c r="FI132" s="187"/>
      <c r="FO132" s="188"/>
      <c r="FP132" s="187"/>
      <c r="FV132" s="188"/>
      <c r="FW132" s="187"/>
      <c r="GC132" s="188"/>
      <c r="GD132" s="190"/>
      <c r="GE132" s="189"/>
      <c r="GJ132" s="188"/>
      <c r="GK132" s="187"/>
      <c r="GQ132" s="188"/>
      <c r="GR132" s="187"/>
      <c r="GX132" s="188"/>
      <c r="GY132" s="187"/>
      <c r="HE132" s="188"/>
      <c r="HF132" s="187"/>
      <c r="HI132" s="168"/>
      <c r="HJ132" s="189"/>
      <c r="HL132" s="188"/>
      <c r="HM132" s="187"/>
      <c r="HS132" s="188"/>
      <c r="HT132" s="187"/>
      <c r="HZ132" s="188"/>
      <c r="IA132" s="187"/>
      <c r="IG132" s="188"/>
      <c r="IH132" s="187"/>
      <c r="IN132" s="168"/>
      <c r="IO132" s="189"/>
      <c r="IU132" s="188"/>
      <c r="IV132" s="187"/>
      <c r="JB132" s="188"/>
      <c r="JC132" s="187"/>
      <c r="JI132" s="188"/>
      <c r="JJ132" s="187"/>
      <c r="JP132" s="188"/>
      <c r="JQ132" s="187"/>
      <c r="JR132" s="168"/>
      <c r="JS132" s="189"/>
      <c r="JW132" s="188"/>
      <c r="JX132" s="187"/>
      <c r="KD132" s="188"/>
      <c r="KE132" s="187"/>
      <c r="KK132" s="188"/>
      <c r="KL132" s="187"/>
      <c r="KR132" s="188"/>
      <c r="KS132" s="187"/>
      <c r="KW132" s="168"/>
      <c r="KX132" s="189"/>
      <c r="KY132" s="188"/>
      <c r="KZ132" s="187"/>
      <c r="LF132" s="188"/>
      <c r="LG132" s="187"/>
      <c r="LM132" s="188"/>
      <c r="LN132" s="187"/>
      <c r="LT132" s="188"/>
      <c r="LU132" s="187"/>
      <c r="MA132" s="168"/>
      <c r="MB132" s="189"/>
      <c r="MH132" s="188"/>
      <c r="MI132" s="187"/>
      <c r="MO132" s="188"/>
      <c r="MP132" s="187"/>
      <c r="MV132" s="188"/>
      <c r="MW132" s="187"/>
      <c r="NC132" s="188"/>
      <c r="ND132" s="187"/>
      <c r="NF132" s="168"/>
      <c r="NG132" s="189"/>
      <c r="NJ132" s="188"/>
      <c r="NK132" s="187"/>
      <c r="NQ132" s="188"/>
      <c r="NR132" s="187"/>
      <c r="NX132" s="188"/>
      <c r="NY132" s="187"/>
      <c r="OE132" s="188"/>
      <c r="OF132" s="187"/>
      <c r="OK132" s="168"/>
      <c r="OL132" s="191"/>
      <c r="OM132" s="187"/>
      <c r="OS132" s="188"/>
      <c r="OT132" s="187"/>
      <c r="OZ132" s="188"/>
      <c r="PA132" s="187"/>
      <c r="PG132" s="188"/>
      <c r="PH132" s="187"/>
      <c r="PN132" s="168"/>
      <c r="PO132" s="189"/>
      <c r="PU132" s="188"/>
      <c r="PV132" s="187"/>
      <c r="QB132" s="188"/>
      <c r="QC132" s="187"/>
      <c r="QI132" s="188"/>
      <c r="QJ132" s="187"/>
      <c r="QP132" s="188"/>
      <c r="QQ132" s="187"/>
      <c r="QS132" s="168"/>
      <c r="QT132" s="189"/>
      <c r="QW132" s="188"/>
      <c r="QX132" s="187"/>
      <c r="RD132" s="188"/>
      <c r="RE132" s="187"/>
      <c r="RK132" s="188"/>
      <c r="RL132" s="187"/>
      <c r="RR132" s="188"/>
      <c r="RS132" s="187"/>
      <c r="RW132" s="168"/>
      <c r="RX132" s="189"/>
      <c r="RY132" s="188"/>
      <c r="RZ132" s="187"/>
      <c r="SF132" s="188"/>
      <c r="SG132" s="187"/>
      <c r="SM132" s="188"/>
      <c r="SN132" s="187"/>
      <c r="ST132" s="188"/>
      <c r="SU132" s="187"/>
      <c r="TA132" s="188"/>
      <c r="TB132" s="190"/>
      <c r="TC132" s="189"/>
      <c r="TH132" s="188"/>
      <c r="TI132" s="187"/>
      <c r="TO132" s="188"/>
      <c r="TP132" s="187"/>
      <c r="TV132" s="188"/>
      <c r="TW132" s="187"/>
      <c r="UC132" s="188"/>
      <c r="UD132" s="187"/>
      <c r="UF132" s="168"/>
      <c r="UG132" s="189"/>
      <c r="UJ132" s="188"/>
      <c r="UK132" s="187"/>
      <c r="UQ132" s="188"/>
      <c r="UR132" s="187"/>
      <c r="UX132" s="188"/>
      <c r="UY132" s="187"/>
      <c r="VE132" s="188"/>
      <c r="VF132" s="187"/>
      <c r="VK132" s="168"/>
      <c r="VL132" s="191"/>
      <c r="VM132" s="187"/>
      <c r="VS132" s="188"/>
      <c r="VT132" s="187"/>
      <c r="VZ132" s="188"/>
      <c r="WA132" s="187"/>
      <c r="WG132" s="188"/>
      <c r="WH132" s="187"/>
      <c r="WN132" s="188"/>
      <c r="WO132" s="187"/>
      <c r="WP132" s="168"/>
      <c r="WQ132" s="189"/>
      <c r="WU132" s="188"/>
      <c r="WV132" s="187"/>
      <c r="XB132" s="188"/>
      <c r="XC132" s="187"/>
      <c r="XI132" s="188"/>
      <c r="XJ132" s="187"/>
      <c r="XP132" s="188"/>
      <c r="XQ132" s="187"/>
      <c r="XT132" s="168"/>
      <c r="XU132" s="189"/>
      <c r="XW132" s="188"/>
      <c r="XX132" s="187"/>
      <c r="YD132" s="188"/>
      <c r="YE132" s="187"/>
      <c r="YK132" s="188"/>
      <c r="YL132" s="187"/>
      <c r="YR132" s="188"/>
      <c r="YS132" s="187"/>
      <c r="YY132" s="168"/>
      <c r="YZ132" s="189"/>
      <c r="ZF132" s="188"/>
      <c r="ZG132" s="187"/>
      <c r="ZM132" s="188"/>
      <c r="ZN132" s="187"/>
      <c r="ZT132" s="188"/>
      <c r="ZU132" s="187"/>
      <c r="AAA132" s="188"/>
      <c r="AAB132" s="187"/>
      <c r="AAC132" s="168"/>
      <c r="AAD132" s="189"/>
      <c r="AAH132" s="188"/>
      <c r="AAI132" s="187"/>
      <c r="AAO132" s="188"/>
      <c r="AAP132" s="187"/>
      <c r="AAV132" s="188"/>
      <c r="AAW132" s="187"/>
      <c r="ABC132" s="188"/>
      <c r="ABD132" s="187"/>
      <c r="ABH132" s="168"/>
      <c r="ABI132" s="189"/>
      <c r="ABJ132" s="188"/>
      <c r="ABK132" s="187"/>
      <c r="ABQ132" s="188"/>
      <c r="ABR132" s="187"/>
      <c r="ABX132" s="188"/>
      <c r="ABY132" s="187"/>
      <c r="ACE132" s="188"/>
      <c r="ACF132" s="187"/>
      <c r="ACL132" s="188"/>
      <c r="ACM132" s="190"/>
      <c r="ACN132" s="189"/>
      <c r="ACS132" s="188"/>
      <c r="ACT132" s="187"/>
      <c r="ACZ132" s="188"/>
      <c r="ADA132" s="187"/>
      <c r="ADG132" s="188"/>
      <c r="ADH132" s="187"/>
      <c r="ADN132" s="188"/>
      <c r="ADO132" s="190"/>
      <c r="ADP132" s="189"/>
      <c r="ADU132" s="188"/>
      <c r="ADV132" s="187"/>
      <c r="AEB132" s="188"/>
      <c r="AEC132" s="187"/>
      <c r="AEI132" s="188"/>
      <c r="AEJ132" s="187"/>
      <c r="AEP132" s="188"/>
      <c r="AEQ132" s="187"/>
      <c r="AET132" s="168"/>
      <c r="AEU132" s="189"/>
      <c r="AEW132" s="188"/>
      <c r="AEX132" s="187"/>
      <c r="AFD132" s="188"/>
      <c r="AFE132" s="187"/>
      <c r="AFK132" s="188"/>
      <c r="AFL132" s="187"/>
      <c r="AFR132" s="188"/>
      <c r="AFS132" s="187"/>
      <c r="AFX132" s="168"/>
      <c r="AFY132" s="191"/>
      <c r="AFZ132" s="187"/>
      <c r="AGF132" s="188"/>
      <c r="AGG132" s="187"/>
      <c r="AGM132" s="188"/>
      <c r="AGN132" s="187"/>
      <c r="AGT132" s="188"/>
      <c r="AGU132" s="187"/>
      <c r="AHA132" s="188"/>
      <c r="AHB132" s="187"/>
      <c r="AHC132" s="168"/>
      <c r="AHD132" s="189"/>
      <c r="AHH132" s="188"/>
      <c r="AHI132" s="187"/>
      <c r="AHO132" s="188"/>
      <c r="AHP132" s="187"/>
      <c r="AHV132" s="188"/>
      <c r="AHW132" s="187"/>
      <c r="AIC132" s="188"/>
      <c r="AID132" s="187"/>
      <c r="AIG132" s="168"/>
      <c r="AIH132" s="189"/>
      <c r="AIJ132" s="188"/>
      <c r="AIK132" s="187"/>
      <c r="AIQ132" s="188"/>
      <c r="AIR132" s="187"/>
      <c r="AIX132" s="188"/>
      <c r="AIY132" s="187"/>
      <c r="AJE132" s="188"/>
      <c r="AJF132" s="187"/>
      <c r="AJL132" s="168"/>
      <c r="AJM132" s="189"/>
      <c r="AJS132" s="188"/>
      <c r="AJT132" s="187"/>
      <c r="AJZ132" s="188"/>
      <c r="AKA132" s="187"/>
      <c r="AKG132" s="188"/>
      <c r="AKH132" s="187"/>
      <c r="AKN132" s="188"/>
      <c r="AKO132" s="187"/>
      <c r="AKQ132" s="168"/>
      <c r="AKR132" s="189"/>
      <c r="AKU132" s="188"/>
      <c r="AKV132" s="187"/>
      <c r="ALB132" s="188"/>
      <c r="ALC132" s="187"/>
      <c r="ALI132" s="188"/>
      <c r="ALJ132" s="187"/>
      <c r="ALP132" s="188"/>
      <c r="ALQ132" s="187"/>
      <c r="ALU132" s="168"/>
      <c r="ALV132" s="189"/>
      <c r="ALW132" s="188"/>
      <c r="ALX132" s="187"/>
      <c r="AMD132" s="188"/>
      <c r="AME132" s="187"/>
      <c r="AMK132" s="188"/>
      <c r="AML132" s="187"/>
      <c r="AMR132" s="188"/>
      <c r="AMS132" s="187"/>
      <c r="AMY132" s="188"/>
      <c r="AMZ132" s="190"/>
      <c r="ANA132" s="189"/>
      <c r="ANF132" s="188"/>
      <c r="ANG132" s="187"/>
      <c r="ANM132" s="188"/>
      <c r="ANN132" s="187"/>
      <c r="ANT132" s="188"/>
      <c r="ANU132" s="187"/>
      <c r="AOA132" s="188"/>
      <c r="AOB132" s="187"/>
      <c r="AOD132" s="168"/>
      <c r="AOE132" s="189"/>
      <c r="AOH132" s="188"/>
      <c r="AOI132" s="187"/>
      <c r="AOO132" s="188"/>
      <c r="AOP132" s="187"/>
      <c r="AOV132" s="188"/>
      <c r="AOW132" s="187"/>
      <c r="APC132" s="188"/>
      <c r="APD132" s="187"/>
      <c r="API132" s="168"/>
      <c r="APJ132" s="191"/>
      <c r="APK132" s="187"/>
      <c r="APQ132" s="188"/>
      <c r="APR132" s="187"/>
      <c r="APX132" s="188"/>
      <c r="APY132" s="187"/>
      <c r="AQE132" s="188"/>
      <c r="AQF132" s="187"/>
      <c r="AQL132" s="188"/>
      <c r="AQM132" s="187"/>
      <c r="AQN132" s="168"/>
      <c r="AQO132" s="189"/>
      <c r="AQS132" s="188"/>
      <c r="AQT132" s="187"/>
      <c r="AQZ132" s="188"/>
      <c r="ARA132" s="187"/>
      <c r="ARG132" s="188"/>
      <c r="ARH132" s="187"/>
      <c r="ARN132" s="188"/>
      <c r="ARO132" s="187"/>
      <c r="ARP132" s="168"/>
      <c r="ARQ132" s="189"/>
      <c r="ARU132" s="188"/>
      <c r="ARV132" s="187"/>
      <c r="ASB132" s="188"/>
      <c r="ASC132" s="187"/>
      <c r="ASI132" s="188"/>
      <c r="ASJ132" s="187"/>
      <c r="ASP132" s="188"/>
      <c r="ASQ132" s="187"/>
      <c r="ASU132" s="168"/>
      <c r="ASV132" s="189"/>
      <c r="ASW132" s="188"/>
      <c r="ASX132" s="187"/>
      <c r="ATD132" s="188"/>
      <c r="ATE132" s="187"/>
      <c r="ATK132" s="188"/>
      <c r="ATL132" s="187"/>
      <c r="ATR132" s="188"/>
      <c r="ATS132" s="187"/>
      <c r="ATY132" s="168"/>
      <c r="ATZ132" s="189"/>
      <c r="AUF132" s="188"/>
      <c r="AUG132" s="187"/>
      <c r="AUM132" s="188"/>
      <c r="AUN132" s="187"/>
      <c r="AUT132" s="188"/>
      <c r="AUU132" s="187"/>
      <c r="AVA132" s="188"/>
      <c r="AVB132" s="187"/>
      <c r="AVD132" s="168"/>
      <c r="AVE132" s="189"/>
      <c r="AVH132" s="188"/>
      <c r="AVI132" s="187"/>
      <c r="AVO132" s="188"/>
      <c r="AVP132" s="187"/>
      <c r="AVV132" s="188"/>
      <c r="AVW132" s="187"/>
      <c r="AWC132" s="188"/>
      <c r="AWD132" s="187"/>
      <c r="AWH132" s="168"/>
      <c r="AWI132" s="189"/>
      <c r="AWJ132" s="188"/>
      <c r="AWK132" s="187"/>
      <c r="AWQ132" s="188"/>
      <c r="AWR132" s="187"/>
      <c r="AWX132" s="188"/>
      <c r="AWY132" s="187"/>
      <c r="AXE132" s="188"/>
      <c r="AXF132" s="187"/>
      <c r="AXL132" s="188"/>
      <c r="AXM132" s="190"/>
      <c r="AXN132" s="189"/>
      <c r="AXS132" s="188"/>
      <c r="AXT132" s="187"/>
      <c r="AXZ132" s="188"/>
      <c r="AYA132" s="187"/>
      <c r="AYG132" s="188"/>
      <c r="AYH132" s="187"/>
      <c r="AYN132" s="188"/>
      <c r="AYO132" s="187"/>
      <c r="AYR132" s="168"/>
      <c r="AYS132" s="189"/>
      <c r="AYU132" s="188"/>
      <c r="AYV132" s="187"/>
      <c r="AZB132" s="188"/>
      <c r="AZC132" s="187"/>
      <c r="AZI132" s="188"/>
      <c r="AZJ132" s="187"/>
      <c r="AZP132" s="188"/>
      <c r="AZQ132" s="187"/>
      <c r="AZV132" s="168"/>
      <c r="AZW132" s="191"/>
      <c r="AZX132" s="187"/>
      <c r="BAD132" s="188"/>
      <c r="BAE132" s="187"/>
      <c r="BAK132" s="188"/>
      <c r="BAL132" s="187"/>
      <c r="BAR132" s="188"/>
      <c r="BAS132" s="187"/>
      <c r="BAY132" s="188"/>
      <c r="BAZ132" s="187"/>
      <c r="BBA132" s="168"/>
      <c r="BBB132" s="189"/>
      <c r="BBF132" s="188"/>
      <c r="BBG132" s="187"/>
      <c r="BBM132" s="188"/>
      <c r="BBN132" s="187"/>
      <c r="BBT132" s="188"/>
      <c r="BBU132" s="187"/>
      <c r="BCA132" s="188"/>
      <c r="BCB132" s="187"/>
      <c r="BCE132" s="168"/>
      <c r="BCF132" s="189"/>
      <c r="BCH132" s="188"/>
      <c r="BCI132" s="187"/>
      <c r="BCO132" s="188"/>
      <c r="BCP132" s="187"/>
      <c r="BCV132" s="188"/>
      <c r="BCW132" s="187"/>
      <c r="BDC132" s="188"/>
      <c r="BDD132" s="187"/>
      <c r="BDJ132" s="168"/>
      <c r="BDK132" s="189"/>
      <c r="BDQ132" s="188"/>
      <c r="BDR132" s="187"/>
      <c r="BDX132" s="188"/>
      <c r="BDY132" s="187"/>
      <c r="BEE132" s="188"/>
      <c r="BEF132" s="187"/>
      <c r="BEL132" s="188"/>
      <c r="BEM132" s="187"/>
      <c r="BEO132" s="168"/>
      <c r="BEP132" s="189"/>
      <c r="BES132" s="188"/>
      <c r="BET132" s="187"/>
      <c r="BEZ132" s="188"/>
      <c r="BFA132" s="187"/>
      <c r="BFG132" s="188"/>
      <c r="BFH132" s="187"/>
      <c r="BFN132" s="188"/>
      <c r="BFO132" s="187"/>
      <c r="BFQ132" s="168"/>
      <c r="BFR132" s="189"/>
      <c r="BFU132" s="188"/>
      <c r="BFV132" s="187"/>
      <c r="BGB132" s="188"/>
      <c r="BGC132" s="187"/>
      <c r="BGI132" s="188"/>
      <c r="BGJ132" s="187"/>
      <c r="BGP132" s="188"/>
      <c r="BGQ132" s="187"/>
      <c r="BGV132" s="168"/>
      <c r="BGW132" s="191"/>
      <c r="BGX132" s="187"/>
      <c r="BHD132" s="188"/>
      <c r="BHE132" s="187"/>
      <c r="BHK132" s="188"/>
      <c r="BHL132" s="187"/>
      <c r="BHR132" s="188"/>
      <c r="BHS132" s="187"/>
      <c r="BHY132" s="188"/>
      <c r="BHZ132" s="190"/>
      <c r="BIA132" s="189"/>
      <c r="BIF132" s="188"/>
      <c r="BIG132" s="187"/>
      <c r="BIM132" s="188"/>
      <c r="BIN132" s="187"/>
      <c r="BIT132" s="188"/>
      <c r="BIU132" s="187"/>
      <c r="BJA132" s="188"/>
      <c r="BJB132" s="187"/>
      <c r="BJE132" s="168"/>
      <c r="BJF132" s="189"/>
      <c r="BJH132" s="188"/>
      <c r="BJI132" s="187"/>
      <c r="BJO132" s="188"/>
      <c r="BJP132" s="187"/>
      <c r="BJV132" s="188"/>
      <c r="BJW132" s="187"/>
      <c r="BKC132" s="188"/>
      <c r="BKD132" s="187"/>
      <c r="BKI132" s="168"/>
      <c r="BKJ132" s="191"/>
      <c r="BKK132" s="187"/>
      <c r="BKQ132" s="188"/>
      <c r="BKR132" s="187"/>
      <c r="BKX132" s="188"/>
      <c r="BKY132" s="187"/>
      <c r="BLE132" s="188"/>
      <c r="BLF132" s="187"/>
      <c r="BLL132" s="188"/>
      <c r="BLM132" s="187"/>
      <c r="BLN132" s="168"/>
      <c r="BLO132" s="189"/>
      <c r="BLS132" s="188"/>
      <c r="BLT132" s="187"/>
      <c r="BLZ132" s="188"/>
      <c r="BMA132" s="187"/>
      <c r="BMG132" s="188"/>
      <c r="BMH132" s="187"/>
      <c r="BMN132" s="188"/>
      <c r="BMO132" s="187"/>
      <c r="BMS132" s="168"/>
      <c r="BMT132" s="189"/>
      <c r="BMU132" s="188"/>
      <c r="BMV132" s="187"/>
      <c r="BNB132" s="188"/>
      <c r="BNC132" s="187"/>
      <c r="BNI132" s="188"/>
      <c r="BNJ132" s="187"/>
      <c r="BNP132" s="188"/>
      <c r="BNQ132" s="187"/>
      <c r="BNW132" s="168"/>
      <c r="BNX132" s="189"/>
      <c r="BOD132" s="188"/>
      <c r="BOE132" s="187"/>
      <c r="BOK132" s="188"/>
      <c r="BOL132" s="187"/>
      <c r="BOR132" s="188"/>
      <c r="BOS132" s="187"/>
      <c r="BOY132" s="188"/>
      <c r="BOZ132" s="187"/>
      <c r="BPB132" s="168"/>
      <c r="BPC132" s="189"/>
      <c r="BPF132" s="188"/>
      <c r="BPG132" s="187"/>
      <c r="BPM132" s="188"/>
      <c r="BPN132" s="187"/>
      <c r="BPT132" s="188"/>
      <c r="BPU132" s="187"/>
      <c r="BQA132" s="188"/>
      <c r="BQB132" s="187"/>
      <c r="BQF132" s="168"/>
      <c r="BQG132" s="189"/>
      <c r="BQH132" s="188"/>
      <c r="BQI132" s="187"/>
      <c r="BQO132" s="188"/>
      <c r="BQP132" s="187"/>
      <c r="BQV132" s="188"/>
      <c r="BQW132" s="187"/>
      <c r="BRC132" s="188"/>
      <c r="BRD132" s="187"/>
      <c r="BRJ132" s="188"/>
      <c r="BRK132" s="190"/>
      <c r="BRL132" s="189"/>
      <c r="BRQ132" s="188"/>
      <c r="BRR132" s="187"/>
      <c r="BRX132" s="188"/>
      <c r="BRY132" s="187"/>
      <c r="BSE132" s="188"/>
      <c r="BSF132" s="187"/>
      <c r="BSL132" s="188"/>
      <c r="BSM132" s="187"/>
      <c r="BSP132" s="168"/>
      <c r="BSQ132" s="189"/>
      <c r="BSS132" s="188"/>
      <c r="BST132" s="187"/>
      <c r="BSZ132" s="188"/>
      <c r="BTA132" s="187"/>
      <c r="BTG132" s="188"/>
      <c r="BTH132" s="187"/>
      <c r="BTN132" s="188"/>
      <c r="BTO132" s="187"/>
      <c r="BTS132" s="168"/>
      <c r="BTT132" s="189"/>
      <c r="BTU132" s="188"/>
      <c r="BTV132" s="187"/>
      <c r="BUB132" s="188"/>
      <c r="BUC132" s="187"/>
      <c r="BUI132" s="188"/>
      <c r="BUJ132" s="187"/>
      <c r="BUP132" s="188"/>
      <c r="BUQ132" s="187"/>
      <c r="BUW132" s="188"/>
      <c r="BUX132" s="190"/>
      <c r="BUY132" s="189"/>
      <c r="BVD132" s="188"/>
      <c r="BVE132" s="187"/>
      <c r="BVK132" s="188"/>
      <c r="BVL132" s="187"/>
      <c r="BVR132" s="188"/>
      <c r="BVS132" s="187"/>
      <c r="BVY132" s="188"/>
      <c r="BVZ132" s="187"/>
      <c r="BWB132" s="168"/>
      <c r="BWC132" s="189"/>
      <c r="BWF132" s="188"/>
      <c r="BWG132" s="187"/>
      <c r="BWM132" s="188"/>
      <c r="BWN132" s="187"/>
      <c r="BWT132" s="188"/>
      <c r="BWU132" s="187"/>
      <c r="BXA132" s="188"/>
      <c r="BXB132" s="187"/>
      <c r="BXG132" s="168"/>
      <c r="BXH132" s="191"/>
      <c r="BXI132" s="187"/>
      <c r="BXO132" s="188"/>
      <c r="BXP132" s="187"/>
      <c r="BXV132" s="188"/>
      <c r="BXW132" s="187"/>
      <c r="BYC132" s="188"/>
      <c r="BYD132" s="187"/>
      <c r="BYJ132" s="188"/>
      <c r="BYK132" s="190"/>
      <c r="BYL132" s="189"/>
      <c r="BYQ132" s="188"/>
      <c r="BYR132" s="187"/>
      <c r="BYX132" s="188"/>
      <c r="BYY132" s="187"/>
      <c r="BZE132" s="188"/>
      <c r="BZF132" s="187"/>
      <c r="BZL132" s="188"/>
      <c r="BZM132" s="187"/>
      <c r="BZP132" s="168"/>
      <c r="BZQ132" s="189"/>
      <c r="BZS132" s="188"/>
      <c r="BZT132" s="187"/>
      <c r="BZZ132" s="188"/>
      <c r="CAA132" s="187"/>
      <c r="CAG132" s="188"/>
      <c r="CAH132" s="187"/>
      <c r="CAN132" s="188"/>
      <c r="CAO132" s="187"/>
      <c r="CAU132" s="168"/>
      <c r="CAV132" s="189"/>
      <c r="CBB132" s="188"/>
      <c r="CBC132" s="187"/>
      <c r="CBI132" s="188"/>
      <c r="CBJ132" s="187"/>
      <c r="CBP132" s="188"/>
      <c r="CBQ132" s="187"/>
      <c r="CBW132" s="188"/>
      <c r="CBX132" s="187"/>
      <c r="CBY132" s="168"/>
      <c r="CBZ132" s="189"/>
      <c r="CCD132" s="188"/>
      <c r="CCE132" s="187"/>
      <c r="CCK132" s="188"/>
      <c r="CCL132" s="187"/>
      <c r="CCR132" s="188"/>
      <c r="CCS132" s="187"/>
      <c r="CCY132" s="188"/>
      <c r="CCZ132" s="187"/>
      <c r="CDD132" s="168"/>
      <c r="CDE132" s="189"/>
      <c r="CDF132" s="188"/>
      <c r="CDG132" s="187"/>
      <c r="CDM132" s="188"/>
      <c r="CDN132" s="187"/>
      <c r="CDT132" s="188"/>
      <c r="CDU132" s="187"/>
      <c r="CEA132" s="188"/>
      <c r="CEB132" s="187"/>
      <c r="CEH132" s="168"/>
      <c r="CEI132" s="189"/>
      <c r="CEO132" s="188"/>
      <c r="CEP132" s="187"/>
      <c r="CEV132" s="188"/>
      <c r="CEW132" s="187"/>
      <c r="CFC132" s="188"/>
      <c r="CFD132" s="187"/>
      <c r="CFJ132" s="188"/>
      <c r="CFK132" s="187"/>
    </row>
    <row r="133" spans="1:1019 1025:2048 2054:2195">
      <c r="D133" s="186"/>
      <c r="E133" s="186"/>
      <c r="K133" s="187"/>
      <c r="Q133" s="188"/>
      <c r="R133" s="187"/>
      <c r="X133" s="188"/>
      <c r="Y133" s="187"/>
      <c r="AE133" s="188"/>
      <c r="AF133" s="187"/>
      <c r="AJ133" s="168"/>
      <c r="AK133" s="189"/>
      <c r="AL133" s="188"/>
      <c r="AM133" s="187"/>
      <c r="AS133" s="188"/>
      <c r="AT133" s="187"/>
      <c r="AZ133" s="188"/>
      <c r="BA133" s="187"/>
      <c r="BG133" s="188"/>
      <c r="BH133" s="187"/>
      <c r="BL133" s="168"/>
      <c r="BM133" s="189"/>
      <c r="BN133" s="188"/>
      <c r="BO133" s="187"/>
      <c r="BU133" s="188"/>
      <c r="BV133" s="187"/>
      <c r="CB133" s="188"/>
      <c r="CC133" s="187"/>
      <c r="CI133" s="188"/>
      <c r="CJ133" s="187"/>
      <c r="CP133" s="188"/>
      <c r="CQ133" s="190"/>
      <c r="CR133" s="189"/>
      <c r="CW133" s="188"/>
      <c r="CX133" s="187"/>
      <c r="DD133" s="188"/>
      <c r="DE133" s="187"/>
      <c r="DK133" s="188"/>
      <c r="DL133" s="187"/>
      <c r="DR133" s="188"/>
      <c r="DS133" s="187"/>
      <c r="DU133" s="168"/>
      <c r="DV133" s="189"/>
      <c r="DY133" s="188"/>
      <c r="DZ133" s="187"/>
      <c r="EF133" s="188"/>
      <c r="EG133" s="187"/>
      <c r="EM133" s="188"/>
      <c r="EN133" s="187"/>
      <c r="ET133" s="188"/>
      <c r="EU133" s="187"/>
      <c r="EZ133" s="168"/>
      <c r="FA133" s="191"/>
      <c r="FB133" s="187"/>
      <c r="FH133" s="188"/>
      <c r="FI133" s="187"/>
      <c r="FO133" s="188"/>
      <c r="FP133" s="187"/>
      <c r="FV133" s="188"/>
      <c r="FW133" s="187"/>
      <c r="GC133" s="188"/>
      <c r="GD133" s="190"/>
      <c r="GE133" s="189"/>
      <c r="GJ133" s="188"/>
      <c r="GK133" s="187"/>
      <c r="GQ133" s="188"/>
      <c r="GR133" s="187"/>
      <c r="GX133" s="188"/>
      <c r="GY133" s="187"/>
      <c r="HE133" s="188"/>
      <c r="HF133" s="187"/>
      <c r="HI133" s="168"/>
      <c r="HJ133" s="189"/>
      <c r="HL133" s="188"/>
      <c r="HM133" s="187"/>
      <c r="HS133" s="188"/>
      <c r="HT133" s="187"/>
      <c r="HZ133" s="188"/>
      <c r="IA133" s="187"/>
      <c r="IG133" s="188"/>
      <c r="IH133" s="187"/>
      <c r="IN133" s="168"/>
      <c r="IO133" s="189"/>
      <c r="IU133" s="188"/>
      <c r="IV133" s="187"/>
      <c r="JB133" s="188"/>
      <c r="JC133" s="187"/>
      <c r="JI133" s="188"/>
      <c r="JJ133" s="187"/>
      <c r="JP133" s="188"/>
      <c r="JQ133" s="187"/>
      <c r="JR133" s="168"/>
      <c r="JS133" s="189"/>
      <c r="JW133" s="188"/>
      <c r="JX133" s="187"/>
      <c r="KD133" s="188"/>
      <c r="KE133" s="187"/>
      <c r="KK133" s="188"/>
      <c r="KL133" s="187"/>
      <c r="KR133" s="188"/>
      <c r="KS133" s="187"/>
      <c r="KW133" s="168"/>
      <c r="KX133" s="189"/>
      <c r="KY133" s="188"/>
      <c r="KZ133" s="187"/>
      <c r="LF133" s="188"/>
      <c r="LG133" s="187"/>
      <c r="LM133" s="188"/>
      <c r="LN133" s="187"/>
      <c r="LT133" s="188"/>
      <c r="LU133" s="187"/>
      <c r="MA133" s="168"/>
      <c r="MB133" s="189"/>
      <c r="MH133" s="188"/>
      <c r="MI133" s="187"/>
      <c r="MO133" s="188"/>
      <c r="MP133" s="187"/>
      <c r="MV133" s="188"/>
      <c r="MW133" s="187"/>
      <c r="NC133" s="188"/>
      <c r="ND133" s="187"/>
      <c r="NF133" s="168"/>
      <c r="NG133" s="189"/>
      <c r="NJ133" s="188"/>
      <c r="NK133" s="187"/>
      <c r="NQ133" s="188"/>
      <c r="NR133" s="187"/>
      <c r="NX133" s="188"/>
      <c r="NY133" s="187"/>
      <c r="OE133" s="188"/>
      <c r="OF133" s="187"/>
      <c r="OK133" s="168"/>
      <c r="OL133" s="191"/>
      <c r="OM133" s="187"/>
      <c r="OS133" s="188"/>
      <c r="OT133" s="187"/>
      <c r="OZ133" s="188"/>
      <c r="PA133" s="187"/>
      <c r="PG133" s="188"/>
      <c r="PH133" s="187"/>
      <c r="PN133" s="168"/>
      <c r="PO133" s="189"/>
      <c r="PU133" s="188"/>
      <c r="PV133" s="187"/>
      <c r="QB133" s="188"/>
      <c r="QC133" s="187"/>
      <c r="QI133" s="188"/>
      <c r="QJ133" s="187"/>
      <c r="QP133" s="188"/>
      <c r="QQ133" s="187"/>
      <c r="QS133" s="168"/>
      <c r="QT133" s="189"/>
      <c r="QW133" s="188"/>
      <c r="QX133" s="187"/>
      <c r="RD133" s="188"/>
      <c r="RE133" s="187"/>
      <c r="RK133" s="188"/>
      <c r="RL133" s="187"/>
      <c r="RR133" s="188"/>
      <c r="RS133" s="187"/>
      <c r="RW133" s="168"/>
      <c r="RX133" s="189"/>
      <c r="RY133" s="188"/>
      <c r="RZ133" s="187"/>
      <c r="SF133" s="188"/>
      <c r="SG133" s="187"/>
      <c r="SM133" s="188"/>
      <c r="SN133" s="187"/>
      <c r="ST133" s="188"/>
      <c r="SU133" s="187"/>
      <c r="TA133" s="188"/>
      <c r="TB133" s="190"/>
      <c r="TC133" s="189"/>
      <c r="TH133" s="188"/>
      <c r="TI133" s="187"/>
      <c r="TO133" s="188"/>
      <c r="TP133" s="187"/>
      <c r="TV133" s="188"/>
      <c r="TW133" s="187"/>
      <c r="UC133" s="188"/>
      <c r="UD133" s="187"/>
      <c r="UF133" s="168"/>
      <c r="UG133" s="189"/>
      <c r="UJ133" s="188"/>
      <c r="UK133" s="187"/>
      <c r="UQ133" s="188"/>
      <c r="UR133" s="187"/>
      <c r="UX133" s="188"/>
      <c r="UY133" s="187"/>
      <c r="VE133" s="188"/>
      <c r="VF133" s="187"/>
      <c r="VK133" s="168"/>
      <c r="VL133" s="191"/>
      <c r="VM133" s="187"/>
      <c r="VS133" s="188"/>
      <c r="VT133" s="187"/>
      <c r="VZ133" s="188"/>
      <c r="WA133" s="187"/>
      <c r="WG133" s="188"/>
      <c r="WH133" s="187"/>
      <c r="WN133" s="188"/>
      <c r="WO133" s="187"/>
      <c r="WP133" s="168"/>
      <c r="WQ133" s="189"/>
      <c r="WU133" s="188"/>
      <c r="WV133" s="187"/>
      <c r="XB133" s="188"/>
      <c r="XC133" s="187"/>
      <c r="XI133" s="188"/>
      <c r="XJ133" s="187"/>
      <c r="XP133" s="188"/>
      <c r="XQ133" s="187"/>
      <c r="XT133" s="168"/>
      <c r="XU133" s="189"/>
      <c r="XW133" s="188"/>
      <c r="XX133" s="187"/>
      <c r="YD133" s="188"/>
      <c r="YE133" s="187"/>
      <c r="YK133" s="188"/>
      <c r="YL133" s="187"/>
      <c r="YR133" s="188"/>
      <c r="YS133" s="187"/>
      <c r="YY133" s="168"/>
      <c r="YZ133" s="189"/>
      <c r="ZF133" s="188"/>
      <c r="ZG133" s="187"/>
      <c r="ZM133" s="188"/>
      <c r="ZN133" s="187"/>
      <c r="ZT133" s="188"/>
      <c r="ZU133" s="187"/>
      <c r="AAA133" s="188"/>
      <c r="AAB133" s="187"/>
      <c r="AAC133" s="168"/>
      <c r="AAD133" s="189"/>
      <c r="AAH133" s="188"/>
      <c r="AAI133" s="187"/>
      <c r="AAO133" s="188"/>
      <c r="AAP133" s="187"/>
      <c r="AAV133" s="188"/>
      <c r="AAW133" s="187"/>
      <c r="ABC133" s="188"/>
      <c r="ABD133" s="187"/>
      <c r="ABH133" s="168"/>
      <c r="ABI133" s="189"/>
      <c r="ABJ133" s="188"/>
      <c r="ABK133" s="187"/>
      <c r="ABQ133" s="188"/>
      <c r="ABR133" s="187"/>
      <c r="ABX133" s="188"/>
      <c r="ABY133" s="187"/>
      <c r="ACE133" s="188"/>
      <c r="ACF133" s="187"/>
      <c r="ACL133" s="188"/>
      <c r="ACM133" s="190"/>
      <c r="ACN133" s="189"/>
      <c r="ACS133" s="188"/>
      <c r="ACT133" s="187"/>
      <c r="ACZ133" s="188"/>
      <c r="ADA133" s="187"/>
      <c r="ADG133" s="188"/>
      <c r="ADH133" s="187"/>
      <c r="ADN133" s="188"/>
      <c r="ADO133" s="190"/>
      <c r="ADP133" s="189"/>
      <c r="ADU133" s="188"/>
      <c r="ADV133" s="187"/>
      <c r="AEB133" s="188"/>
      <c r="AEC133" s="187"/>
      <c r="AEI133" s="188"/>
      <c r="AEJ133" s="187"/>
      <c r="AEP133" s="188"/>
      <c r="AEQ133" s="187"/>
      <c r="AET133" s="168"/>
      <c r="AEU133" s="189"/>
      <c r="AEW133" s="188"/>
      <c r="AEX133" s="187"/>
      <c r="AFD133" s="188"/>
      <c r="AFE133" s="187"/>
      <c r="AFK133" s="188"/>
      <c r="AFL133" s="187"/>
      <c r="AFR133" s="188"/>
      <c r="AFS133" s="187"/>
      <c r="AFX133" s="168"/>
      <c r="AFY133" s="191"/>
      <c r="AFZ133" s="187"/>
      <c r="AGF133" s="188"/>
      <c r="AGG133" s="187"/>
      <c r="AGM133" s="188"/>
      <c r="AGN133" s="187"/>
      <c r="AGT133" s="188"/>
      <c r="AGU133" s="187"/>
      <c r="AHA133" s="188"/>
      <c r="AHB133" s="187"/>
      <c r="AHC133" s="168"/>
      <c r="AHD133" s="189"/>
      <c r="AHH133" s="188"/>
      <c r="AHI133" s="187"/>
      <c r="AHO133" s="188"/>
      <c r="AHP133" s="187"/>
      <c r="AHV133" s="188"/>
      <c r="AHW133" s="187"/>
      <c r="AIC133" s="188"/>
      <c r="AID133" s="187"/>
      <c r="AIG133" s="168"/>
      <c r="AIH133" s="189"/>
      <c r="AIJ133" s="188"/>
      <c r="AIK133" s="187"/>
      <c r="AIQ133" s="188"/>
      <c r="AIR133" s="187"/>
      <c r="AIX133" s="188"/>
      <c r="AIY133" s="187"/>
      <c r="AJE133" s="188"/>
      <c r="AJF133" s="187"/>
      <c r="AJL133" s="168"/>
      <c r="AJM133" s="189"/>
      <c r="AJS133" s="188"/>
      <c r="AJT133" s="187"/>
      <c r="AJZ133" s="188"/>
      <c r="AKA133" s="187"/>
      <c r="AKG133" s="188"/>
      <c r="AKH133" s="187"/>
      <c r="AKN133" s="188"/>
      <c r="AKO133" s="187"/>
      <c r="AKQ133" s="168"/>
      <c r="AKR133" s="189"/>
      <c r="AKU133" s="188"/>
      <c r="AKV133" s="187"/>
      <c r="ALB133" s="188"/>
      <c r="ALC133" s="187"/>
      <c r="ALI133" s="188"/>
      <c r="ALJ133" s="187"/>
      <c r="ALP133" s="188"/>
      <c r="ALQ133" s="187"/>
      <c r="ALU133" s="168"/>
      <c r="ALV133" s="189"/>
      <c r="ALW133" s="188"/>
      <c r="ALX133" s="187"/>
      <c r="AMD133" s="188"/>
      <c r="AME133" s="187"/>
      <c r="AMK133" s="188"/>
      <c r="AML133" s="187"/>
      <c r="AMR133" s="188"/>
      <c r="AMS133" s="187"/>
      <c r="AMY133" s="188"/>
      <c r="AMZ133" s="190"/>
      <c r="ANA133" s="189"/>
      <c r="ANF133" s="188"/>
      <c r="ANG133" s="187"/>
      <c r="ANM133" s="188"/>
      <c r="ANN133" s="187"/>
      <c r="ANT133" s="188"/>
      <c r="ANU133" s="187"/>
      <c r="AOA133" s="188"/>
      <c r="AOB133" s="187"/>
      <c r="AOD133" s="168"/>
      <c r="AOE133" s="189"/>
      <c r="AOH133" s="188"/>
      <c r="AOI133" s="187"/>
      <c r="AOO133" s="188"/>
      <c r="AOP133" s="187"/>
      <c r="AOV133" s="188"/>
      <c r="AOW133" s="187"/>
      <c r="APC133" s="188"/>
      <c r="APD133" s="187"/>
      <c r="API133" s="168"/>
      <c r="APJ133" s="191"/>
      <c r="APK133" s="187"/>
      <c r="APQ133" s="188"/>
      <c r="APR133" s="187"/>
      <c r="APX133" s="188"/>
      <c r="APY133" s="187"/>
      <c r="AQE133" s="188"/>
      <c r="AQF133" s="187"/>
      <c r="AQL133" s="188"/>
      <c r="AQM133" s="187"/>
      <c r="AQN133" s="168"/>
      <c r="AQO133" s="189"/>
      <c r="AQS133" s="188"/>
      <c r="AQT133" s="187"/>
      <c r="AQZ133" s="188"/>
      <c r="ARA133" s="187"/>
      <c r="ARG133" s="188"/>
      <c r="ARH133" s="187"/>
      <c r="ARN133" s="188"/>
      <c r="ARO133" s="187"/>
      <c r="ARP133" s="168"/>
      <c r="ARQ133" s="189"/>
      <c r="ARU133" s="188"/>
      <c r="ARV133" s="187"/>
      <c r="ASB133" s="188"/>
      <c r="ASC133" s="187"/>
      <c r="ASI133" s="188"/>
      <c r="ASJ133" s="187"/>
      <c r="ASP133" s="188"/>
      <c r="ASQ133" s="187"/>
      <c r="ASU133" s="168"/>
      <c r="ASV133" s="189"/>
      <c r="ASW133" s="188"/>
      <c r="ASX133" s="187"/>
      <c r="ATD133" s="188"/>
      <c r="ATE133" s="187"/>
      <c r="ATK133" s="188"/>
      <c r="ATL133" s="187"/>
      <c r="ATR133" s="188"/>
      <c r="ATS133" s="187"/>
      <c r="ATY133" s="168"/>
      <c r="ATZ133" s="189"/>
      <c r="AUF133" s="188"/>
      <c r="AUG133" s="187"/>
      <c r="AUM133" s="188"/>
      <c r="AUN133" s="187"/>
      <c r="AUT133" s="188"/>
      <c r="AUU133" s="187"/>
      <c r="AVA133" s="188"/>
      <c r="AVB133" s="187"/>
      <c r="AVD133" s="168"/>
      <c r="AVE133" s="189"/>
      <c r="AVH133" s="188"/>
      <c r="AVI133" s="187"/>
      <c r="AVO133" s="188"/>
      <c r="AVP133" s="187"/>
      <c r="AVV133" s="188"/>
      <c r="AVW133" s="187"/>
      <c r="AWC133" s="188"/>
      <c r="AWD133" s="187"/>
      <c r="AWH133" s="168"/>
      <c r="AWI133" s="189"/>
      <c r="AWJ133" s="188"/>
      <c r="AWK133" s="187"/>
      <c r="AWQ133" s="188"/>
      <c r="AWR133" s="187"/>
      <c r="AWX133" s="188"/>
      <c r="AWY133" s="187"/>
      <c r="AXE133" s="188"/>
      <c r="AXF133" s="187"/>
      <c r="AXL133" s="188"/>
      <c r="AXM133" s="190"/>
      <c r="AXN133" s="189"/>
      <c r="AXS133" s="188"/>
      <c r="AXT133" s="187"/>
      <c r="AXZ133" s="188"/>
      <c r="AYA133" s="187"/>
      <c r="AYG133" s="188"/>
      <c r="AYH133" s="187"/>
      <c r="AYN133" s="188"/>
      <c r="AYO133" s="187"/>
      <c r="AYR133" s="168"/>
      <c r="AYS133" s="189"/>
      <c r="AYU133" s="188"/>
      <c r="AYV133" s="187"/>
      <c r="AZB133" s="188"/>
      <c r="AZC133" s="187"/>
      <c r="AZI133" s="188"/>
      <c r="AZJ133" s="187"/>
      <c r="AZP133" s="188"/>
      <c r="AZQ133" s="187"/>
      <c r="AZV133" s="168"/>
      <c r="AZW133" s="191"/>
      <c r="AZX133" s="187"/>
      <c r="BAD133" s="188"/>
      <c r="BAE133" s="187"/>
      <c r="BAK133" s="188"/>
      <c r="BAL133" s="187"/>
      <c r="BAR133" s="188"/>
      <c r="BAS133" s="187"/>
      <c r="BAY133" s="188"/>
      <c r="BAZ133" s="187"/>
      <c r="BBA133" s="168"/>
      <c r="BBB133" s="189"/>
      <c r="BBF133" s="188"/>
      <c r="BBG133" s="187"/>
      <c r="BBM133" s="188"/>
      <c r="BBN133" s="187"/>
      <c r="BBT133" s="188"/>
      <c r="BBU133" s="187"/>
      <c r="BCA133" s="188"/>
      <c r="BCB133" s="187"/>
      <c r="BCE133" s="168"/>
      <c r="BCF133" s="189"/>
      <c r="BCH133" s="188"/>
      <c r="BCI133" s="187"/>
      <c r="BCO133" s="188"/>
      <c r="BCP133" s="187"/>
      <c r="BCV133" s="188"/>
      <c r="BCW133" s="187"/>
      <c r="BDC133" s="188"/>
      <c r="BDD133" s="187"/>
      <c r="BDJ133" s="168"/>
      <c r="BDK133" s="189"/>
      <c r="BDQ133" s="188"/>
      <c r="BDR133" s="187"/>
      <c r="BDX133" s="188"/>
      <c r="BDY133" s="187"/>
      <c r="BEE133" s="188"/>
      <c r="BEF133" s="187"/>
      <c r="BEL133" s="188"/>
      <c r="BEM133" s="187"/>
      <c r="BEO133" s="168"/>
      <c r="BEP133" s="189"/>
      <c r="BES133" s="188"/>
      <c r="BET133" s="187"/>
      <c r="BEZ133" s="188"/>
      <c r="BFA133" s="187"/>
      <c r="BFG133" s="188"/>
      <c r="BFH133" s="187"/>
      <c r="BFN133" s="188"/>
      <c r="BFO133" s="187"/>
      <c r="BFQ133" s="168"/>
      <c r="BFR133" s="189"/>
      <c r="BFU133" s="188"/>
      <c r="BFV133" s="187"/>
      <c r="BGB133" s="188"/>
      <c r="BGC133" s="187"/>
      <c r="BGI133" s="188"/>
      <c r="BGJ133" s="187"/>
      <c r="BGP133" s="188"/>
      <c r="BGQ133" s="187"/>
      <c r="BGV133" s="168"/>
      <c r="BGW133" s="191"/>
      <c r="BGX133" s="187"/>
      <c r="BHD133" s="188"/>
      <c r="BHE133" s="187"/>
      <c r="BHK133" s="188"/>
      <c r="BHL133" s="187"/>
      <c r="BHR133" s="188"/>
      <c r="BHS133" s="187"/>
      <c r="BHY133" s="188"/>
      <c r="BHZ133" s="190"/>
      <c r="BIA133" s="189"/>
      <c r="BIF133" s="188"/>
      <c r="BIG133" s="187"/>
      <c r="BIM133" s="188"/>
      <c r="BIN133" s="187"/>
      <c r="BIT133" s="188"/>
      <c r="BIU133" s="187"/>
      <c r="BJA133" s="188"/>
      <c r="BJB133" s="187"/>
      <c r="BJE133" s="168"/>
      <c r="BJF133" s="189"/>
      <c r="BJH133" s="188"/>
      <c r="BJI133" s="187"/>
      <c r="BJO133" s="188"/>
      <c r="BJP133" s="187"/>
      <c r="BJV133" s="188"/>
      <c r="BJW133" s="187"/>
      <c r="BKC133" s="188"/>
      <c r="BKD133" s="187"/>
      <c r="BKI133" s="168"/>
      <c r="BKJ133" s="191"/>
      <c r="BKK133" s="187"/>
      <c r="BKQ133" s="188"/>
      <c r="BKR133" s="187"/>
      <c r="BKX133" s="188"/>
      <c r="BKY133" s="187"/>
      <c r="BLE133" s="188"/>
      <c r="BLF133" s="187"/>
      <c r="BLL133" s="188"/>
      <c r="BLM133" s="187"/>
      <c r="BLN133" s="168"/>
      <c r="BLO133" s="189"/>
      <c r="BLS133" s="188"/>
      <c r="BLT133" s="187"/>
      <c r="BLZ133" s="188"/>
      <c r="BMA133" s="187"/>
      <c r="BMG133" s="188"/>
      <c r="BMH133" s="187"/>
      <c r="BMN133" s="188"/>
      <c r="BMO133" s="187"/>
      <c r="BMS133" s="168"/>
      <c r="BMT133" s="189"/>
      <c r="BMU133" s="188"/>
      <c r="BMV133" s="187"/>
      <c r="BNB133" s="188"/>
      <c r="BNC133" s="187"/>
      <c r="BNI133" s="188"/>
      <c r="BNJ133" s="187"/>
      <c r="BNP133" s="188"/>
      <c r="BNQ133" s="187"/>
      <c r="BNW133" s="168"/>
      <c r="BNX133" s="189"/>
      <c r="BOD133" s="188"/>
      <c r="BOE133" s="187"/>
      <c r="BOK133" s="188"/>
      <c r="BOL133" s="187"/>
      <c r="BOR133" s="188"/>
      <c r="BOS133" s="187"/>
      <c r="BOY133" s="188"/>
      <c r="BOZ133" s="187"/>
      <c r="BPB133" s="168"/>
      <c r="BPC133" s="189"/>
      <c r="BPF133" s="188"/>
      <c r="BPG133" s="187"/>
      <c r="BPM133" s="188"/>
      <c r="BPN133" s="187"/>
      <c r="BPT133" s="188"/>
      <c r="BPU133" s="187"/>
      <c r="BQA133" s="188"/>
      <c r="BQB133" s="187"/>
      <c r="BQF133" s="168"/>
      <c r="BQG133" s="189"/>
      <c r="BQH133" s="188"/>
      <c r="BQI133" s="187"/>
      <c r="BQO133" s="188"/>
      <c r="BQP133" s="187"/>
      <c r="BQV133" s="188"/>
      <c r="BQW133" s="187"/>
      <c r="BRC133" s="188"/>
      <c r="BRD133" s="187"/>
      <c r="BRJ133" s="188"/>
      <c r="BRK133" s="190"/>
      <c r="BRL133" s="189"/>
      <c r="BRQ133" s="188"/>
      <c r="BRR133" s="187"/>
      <c r="BRX133" s="188"/>
      <c r="BRY133" s="187"/>
      <c r="BSE133" s="188"/>
      <c r="BSF133" s="187"/>
      <c r="BSL133" s="188"/>
      <c r="BSM133" s="187"/>
      <c r="BSP133" s="168"/>
      <c r="BSQ133" s="189"/>
      <c r="BSS133" s="188"/>
      <c r="BST133" s="187"/>
      <c r="BSZ133" s="188"/>
      <c r="BTA133" s="187"/>
      <c r="BTG133" s="188"/>
      <c r="BTH133" s="187"/>
      <c r="BTN133" s="188"/>
      <c r="BTO133" s="187"/>
      <c r="BTS133" s="168"/>
      <c r="BTT133" s="189"/>
      <c r="BTU133" s="188"/>
      <c r="BTV133" s="187"/>
      <c r="BUB133" s="188"/>
      <c r="BUC133" s="187"/>
      <c r="BUI133" s="188"/>
      <c r="BUJ133" s="187"/>
      <c r="BUP133" s="188"/>
      <c r="BUQ133" s="187"/>
      <c r="BUW133" s="188"/>
      <c r="BUX133" s="190"/>
      <c r="BUY133" s="189"/>
      <c r="BVD133" s="188"/>
      <c r="BVE133" s="187"/>
      <c r="BVK133" s="188"/>
      <c r="BVL133" s="187"/>
      <c r="BVR133" s="188"/>
      <c r="BVS133" s="187"/>
      <c r="BVY133" s="188"/>
      <c r="BVZ133" s="187"/>
      <c r="BWB133" s="168"/>
      <c r="BWC133" s="189"/>
      <c r="BWF133" s="188"/>
      <c r="BWG133" s="187"/>
      <c r="BWM133" s="188"/>
      <c r="BWN133" s="187"/>
      <c r="BWT133" s="188"/>
      <c r="BWU133" s="187"/>
      <c r="BXA133" s="188"/>
      <c r="BXB133" s="187"/>
      <c r="BXG133" s="168"/>
      <c r="BXH133" s="191"/>
      <c r="BXI133" s="187"/>
      <c r="BXO133" s="188"/>
      <c r="BXP133" s="187"/>
      <c r="BXV133" s="188"/>
      <c r="BXW133" s="187"/>
      <c r="BYC133" s="188"/>
      <c r="BYD133" s="187"/>
      <c r="BYJ133" s="188"/>
      <c r="BYK133" s="190"/>
      <c r="BYL133" s="189"/>
      <c r="BYQ133" s="188"/>
      <c r="BYR133" s="187"/>
      <c r="BYX133" s="188"/>
      <c r="BYY133" s="187"/>
      <c r="BZE133" s="188"/>
      <c r="BZF133" s="187"/>
      <c r="BZL133" s="188"/>
      <c r="BZM133" s="187"/>
      <c r="BZP133" s="168"/>
      <c r="BZQ133" s="189"/>
      <c r="BZS133" s="188"/>
      <c r="BZT133" s="187"/>
      <c r="BZZ133" s="188"/>
      <c r="CAA133" s="187"/>
      <c r="CAG133" s="188"/>
      <c r="CAH133" s="187"/>
      <c r="CAN133" s="188"/>
      <c r="CAO133" s="187"/>
      <c r="CAU133" s="168"/>
      <c r="CAV133" s="189"/>
      <c r="CBB133" s="188"/>
      <c r="CBC133" s="187"/>
      <c r="CBI133" s="188"/>
      <c r="CBJ133" s="187"/>
      <c r="CBP133" s="188"/>
      <c r="CBQ133" s="187"/>
      <c r="CBW133" s="188"/>
      <c r="CBX133" s="187"/>
      <c r="CBY133" s="168"/>
      <c r="CBZ133" s="189"/>
      <c r="CCD133" s="188"/>
      <c r="CCE133" s="187"/>
      <c r="CCK133" s="188"/>
      <c r="CCL133" s="187"/>
      <c r="CCR133" s="188"/>
      <c r="CCS133" s="187"/>
      <c r="CCY133" s="188"/>
      <c r="CCZ133" s="187"/>
      <c r="CDD133" s="168"/>
      <c r="CDE133" s="189"/>
      <c r="CDF133" s="188"/>
      <c r="CDG133" s="187"/>
      <c r="CDM133" s="188"/>
      <c r="CDN133" s="187"/>
      <c r="CDT133" s="188"/>
      <c r="CDU133" s="187"/>
      <c r="CEA133" s="188"/>
      <c r="CEB133" s="187"/>
      <c r="CEH133" s="168"/>
      <c r="CEI133" s="189"/>
      <c r="CEO133" s="188"/>
      <c r="CEP133" s="187"/>
      <c r="CEV133" s="188"/>
      <c r="CEW133" s="187"/>
      <c r="CFC133" s="188"/>
      <c r="CFD133" s="187"/>
      <c r="CFJ133" s="188"/>
      <c r="CFK133" s="187"/>
    </row>
    <row r="134" spans="1:1019 1025:2048 2054:2195">
      <c r="D134" s="186"/>
      <c r="E134" s="186"/>
      <c r="K134" s="187"/>
      <c r="Q134" s="188"/>
      <c r="R134" s="187"/>
      <c r="X134" s="188"/>
      <c r="Y134" s="187"/>
      <c r="AE134" s="188"/>
      <c r="AF134" s="187"/>
      <c r="AJ134" s="168"/>
      <c r="AK134" s="189"/>
      <c r="AL134" s="188"/>
      <c r="AM134" s="187"/>
      <c r="AS134" s="188"/>
      <c r="AT134" s="187"/>
      <c r="AZ134" s="188"/>
      <c r="BA134" s="187"/>
      <c r="BG134" s="188"/>
      <c r="BH134" s="187"/>
      <c r="BL134" s="168"/>
      <c r="BM134" s="189"/>
      <c r="BN134" s="188"/>
      <c r="BO134" s="187"/>
      <c r="BU134" s="188"/>
      <c r="BV134" s="187"/>
      <c r="CB134" s="188"/>
      <c r="CC134" s="187"/>
      <c r="CI134" s="188"/>
      <c r="CJ134" s="187"/>
      <c r="CP134" s="188"/>
      <c r="CQ134" s="190"/>
      <c r="CR134" s="189"/>
      <c r="CW134" s="188"/>
      <c r="CX134" s="187"/>
      <c r="DD134" s="188"/>
      <c r="DE134" s="187"/>
      <c r="DK134" s="188"/>
      <c r="DL134" s="187"/>
      <c r="DR134" s="188"/>
      <c r="DS134" s="187"/>
      <c r="DU134" s="168"/>
      <c r="DV134" s="189"/>
      <c r="DY134" s="188"/>
      <c r="DZ134" s="187"/>
      <c r="EF134" s="188"/>
      <c r="EG134" s="187"/>
      <c r="EM134" s="188"/>
      <c r="EN134" s="187"/>
      <c r="ET134" s="188"/>
      <c r="EU134" s="187"/>
      <c r="EZ134" s="168"/>
      <c r="FA134" s="191"/>
      <c r="FB134" s="187"/>
      <c r="FH134" s="188"/>
      <c r="FI134" s="187"/>
      <c r="FO134" s="188"/>
      <c r="FP134" s="187"/>
      <c r="FV134" s="188"/>
      <c r="FW134" s="187"/>
      <c r="GC134" s="188"/>
      <c r="GD134" s="190"/>
      <c r="GE134" s="189"/>
      <c r="GJ134" s="188"/>
      <c r="GK134" s="187"/>
      <c r="GQ134" s="188"/>
      <c r="GR134" s="187"/>
      <c r="GX134" s="188"/>
      <c r="GY134" s="187"/>
      <c r="HE134" s="188"/>
      <c r="HF134" s="187"/>
      <c r="HI134" s="168"/>
      <c r="HJ134" s="189"/>
      <c r="HL134" s="188"/>
      <c r="HM134" s="187"/>
      <c r="HS134" s="188"/>
      <c r="HT134" s="187"/>
      <c r="HZ134" s="188"/>
      <c r="IA134" s="187"/>
      <c r="IG134" s="188"/>
      <c r="IH134" s="187"/>
      <c r="IN134" s="168"/>
      <c r="IO134" s="189"/>
      <c r="IU134" s="188"/>
      <c r="IV134" s="187"/>
      <c r="JB134" s="188"/>
      <c r="JC134" s="187"/>
      <c r="JI134" s="188"/>
      <c r="JJ134" s="187"/>
      <c r="JP134" s="188"/>
      <c r="JQ134" s="187"/>
      <c r="JR134" s="168"/>
      <c r="JS134" s="189"/>
      <c r="JW134" s="188"/>
      <c r="JX134" s="187"/>
      <c r="KD134" s="188"/>
      <c r="KE134" s="187"/>
      <c r="KK134" s="188"/>
      <c r="KL134" s="187"/>
      <c r="KR134" s="188"/>
      <c r="KS134" s="187"/>
      <c r="KW134" s="168"/>
      <c r="KX134" s="189"/>
      <c r="KY134" s="188"/>
      <c r="KZ134" s="187"/>
      <c r="LF134" s="188"/>
      <c r="LG134" s="187"/>
      <c r="LM134" s="188"/>
      <c r="LN134" s="187"/>
      <c r="LT134" s="188"/>
      <c r="LU134" s="187"/>
      <c r="MA134" s="168"/>
      <c r="MB134" s="189"/>
      <c r="MH134" s="188"/>
      <c r="MI134" s="187"/>
      <c r="MO134" s="188"/>
      <c r="MP134" s="187"/>
      <c r="MV134" s="188"/>
      <c r="MW134" s="187"/>
      <c r="NC134" s="188"/>
      <c r="ND134" s="187"/>
      <c r="NF134" s="168"/>
      <c r="NG134" s="189"/>
      <c r="NJ134" s="188"/>
      <c r="NK134" s="187"/>
      <c r="NQ134" s="188"/>
      <c r="NR134" s="187"/>
      <c r="NX134" s="188"/>
      <c r="NY134" s="187"/>
      <c r="OE134" s="188"/>
      <c r="OF134" s="187"/>
      <c r="OK134" s="168"/>
      <c r="OL134" s="191"/>
      <c r="OM134" s="187"/>
      <c r="OS134" s="188"/>
      <c r="OT134" s="187"/>
      <c r="OZ134" s="188"/>
      <c r="PA134" s="187"/>
      <c r="PG134" s="188"/>
      <c r="PH134" s="187"/>
      <c r="PN134" s="168"/>
      <c r="PO134" s="189"/>
      <c r="PU134" s="188"/>
      <c r="PV134" s="187"/>
      <c r="QB134" s="188"/>
      <c r="QC134" s="187"/>
      <c r="QI134" s="188"/>
      <c r="QJ134" s="187"/>
      <c r="QP134" s="188"/>
      <c r="QQ134" s="187"/>
      <c r="QS134" s="168"/>
      <c r="QT134" s="189"/>
      <c r="QW134" s="188"/>
      <c r="QX134" s="187"/>
      <c r="RD134" s="188"/>
      <c r="RE134" s="187"/>
      <c r="RK134" s="188"/>
      <c r="RL134" s="187"/>
      <c r="RR134" s="188"/>
      <c r="RS134" s="187"/>
      <c r="RW134" s="168"/>
      <c r="RX134" s="189"/>
      <c r="RY134" s="188"/>
      <c r="RZ134" s="187"/>
      <c r="SF134" s="188"/>
      <c r="SG134" s="187"/>
      <c r="SM134" s="188"/>
      <c r="SN134" s="187"/>
      <c r="ST134" s="188"/>
      <c r="SU134" s="187"/>
      <c r="TA134" s="188"/>
      <c r="TB134" s="190"/>
      <c r="TC134" s="189"/>
      <c r="TH134" s="188"/>
      <c r="TI134" s="187"/>
      <c r="TO134" s="188"/>
      <c r="TP134" s="187"/>
      <c r="TV134" s="188"/>
      <c r="TW134" s="187"/>
      <c r="UC134" s="188"/>
      <c r="UD134" s="187"/>
      <c r="UF134" s="168"/>
      <c r="UG134" s="189"/>
      <c r="UJ134" s="188"/>
      <c r="UK134" s="187"/>
      <c r="UQ134" s="188"/>
      <c r="UR134" s="187"/>
      <c r="UX134" s="188"/>
      <c r="UY134" s="187"/>
      <c r="VE134" s="188"/>
      <c r="VF134" s="187"/>
      <c r="VK134" s="168"/>
      <c r="VL134" s="191"/>
      <c r="VM134" s="187"/>
      <c r="VS134" s="188"/>
      <c r="VT134" s="187"/>
      <c r="VZ134" s="188"/>
      <c r="WA134" s="187"/>
      <c r="WG134" s="188"/>
      <c r="WH134" s="187"/>
      <c r="WN134" s="188"/>
      <c r="WO134" s="187"/>
      <c r="WP134" s="168"/>
      <c r="WQ134" s="189"/>
      <c r="WU134" s="188"/>
      <c r="WV134" s="187"/>
      <c r="XB134" s="188"/>
      <c r="XC134" s="187"/>
      <c r="XI134" s="188"/>
      <c r="XJ134" s="187"/>
      <c r="XP134" s="188"/>
      <c r="XQ134" s="187"/>
      <c r="XT134" s="168"/>
      <c r="XU134" s="189"/>
      <c r="XW134" s="188"/>
      <c r="XX134" s="187"/>
      <c r="YD134" s="188"/>
      <c r="YE134" s="187"/>
      <c r="YK134" s="188"/>
      <c r="YL134" s="187"/>
      <c r="YR134" s="188"/>
      <c r="YS134" s="187"/>
      <c r="YY134" s="168"/>
      <c r="YZ134" s="189"/>
      <c r="ZF134" s="188"/>
      <c r="ZG134" s="187"/>
      <c r="ZM134" s="188"/>
      <c r="ZN134" s="187"/>
      <c r="ZT134" s="188"/>
      <c r="ZU134" s="187"/>
      <c r="AAA134" s="188"/>
      <c r="AAB134" s="187"/>
      <c r="AAC134" s="168"/>
      <c r="AAD134" s="189"/>
      <c r="AAH134" s="188"/>
      <c r="AAI134" s="187"/>
      <c r="AAO134" s="188"/>
      <c r="AAP134" s="187"/>
      <c r="AAV134" s="188"/>
      <c r="AAW134" s="187"/>
      <c r="ABC134" s="188"/>
      <c r="ABD134" s="187"/>
      <c r="ABH134" s="168"/>
      <c r="ABI134" s="189"/>
      <c r="ABJ134" s="188"/>
      <c r="ABK134" s="187"/>
      <c r="ABQ134" s="188"/>
      <c r="ABR134" s="187"/>
      <c r="ABX134" s="188"/>
      <c r="ABY134" s="187"/>
      <c r="ACE134" s="188"/>
      <c r="ACF134" s="187"/>
      <c r="ACL134" s="188"/>
      <c r="ACM134" s="190"/>
      <c r="ACN134" s="189"/>
      <c r="ACS134" s="188"/>
      <c r="ACT134" s="187"/>
      <c r="ACZ134" s="188"/>
      <c r="ADA134" s="187"/>
      <c r="ADG134" s="188"/>
      <c r="ADH134" s="187"/>
      <c r="ADN134" s="188"/>
      <c r="ADO134" s="190"/>
      <c r="ADP134" s="189"/>
      <c r="ADU134" s="188"/>
      <c r="ADV134" s="187"/>
      <c r="AEB134" s="188"/>
      <c r="AEC134" s="187"/>
      <c r="AEI134" s="188"/>
      <c r="AEJ134" s="187"/>
      <c r="AEP134" s="188"/>
      <c r="AEQ134" s="187"/>
      <c r="AET134" s="168"/>
      <c r="AEU134" s="189"/>
      <c r="AEW134" s="188"/>
      <c r="AEX134" s="187"/>
      <c r="AFD134" s="188"/>
      <c r="AFE134" s="187"/>
      <c r="AFK134" s="188"/>
      <c r="AFL134" s="187"/>
      <c r="AFR134" s="188"/>
      <c r="AFS134" s="187"/>
      <c r="AFX134" s="168"/>
      <c r="AFY134" s="191"/>
      <c r="AFZ134" s="187"/>
      <c r="AGF134" s="188"/>
      <c r="AGG134" s="187"/>
      <c r="AGM134" s="188"/>
      <c r="AGN134" s="187"/>
      <c r="AGT134" s="188"/>
      <c r="AGU134" s="187"/>
      <c r="AHA134" s="188"/>
      <c r="AHB134" s="187"/>
      <c r="AHC134" s="168"/>
      <c r="AHD134" s="189"/>
      <c r="AHH134" s="188"/>
      <c r="AHI134" s="187"/>
      <c r="AHO134" s="188"/>
      <c r="AHP134" s="187"/>
      <c r="AHV134" s="188"/>
      <c r="AHW134" s="187"/>
      <c r="AIC134" s="188"/>
      <c r="AID134" s="187"/>
      <c r="AIG134" s="168"/>
      <c r="AIH134" s="189"/>
      <c r="AIJ134" s="188"/>
      <c r="AIK134" s="187"/>
      <c r="AIQ134" s="188"/>
      <c r="AIR134" s="187"/>
      <c r="AIX134" s="188"/>
      <c r="AIY134" s="187"/>
      <c r="AJE134" s="188"/>
      <c r="AJF134" s="187"/>
      <c r="AJL134" s="168"/>
      <c r="AJM134" s="189"/>
      <c r="AJS134" s="188"/>
      <c r="AJT134" s="187"/>
      <c r="AJZ134" s="188"/>
      <c r="AKA134" s="187"/>
      <c r="AKG134" s="188"/>
      <c r="AKH134" s="187"/>
      <c r="AKN134" s="188"/>
      <c r="AKO134" s="187"/>
      <c r="AKQ134" s="168"/>
      <c r="AKR134" s="189"/>
      <c r="AKU134" s="188"/>
      <c r="AKV134" s="187"/>
      <c r="ALB134" s="188"/>
      <c r="ALC134" s="187"/>
      <c r="ALI134" s="188"/>
      <c r="ALJ134" s="187"/>
      <c r="ALP134" s="188"/>
      <c r="ALQ134" s="187"/>
      <c r="ALU134" s="168"/>
      <c r="ALV134" s="189"/>
      <c r="ALW134" s="188"/>
      <c r="ALX134" s="187"/>
      <c r="AMD134" s="188"/>
      <c r="AME134" s="187"/>
      <c r="AMK134" s="188"/>
      <c r="AML134" s="187"/>
      <c r="AMR134" s="188"/>
      <c r="AMS134" s="187"/>
      <c r="AMY134" s="188"/>
      <c r="AMZ134" s="190"/>
      <c r="ANA134" s="189"/>
      <c r="ANF134" s="188"/>
      <c r="ANG134" s="187"/>
      <c r="ANM134" s="188"/>
      <c r="ANN134" s="187"/>
      <c r="ANT134" s="188"/>
      <c r="ANU134" s="187"/>
      <c r="AOA134" s="188"/>
      <c r="AOB134" s="187"/>
      <c r="AOD134" s="168"/>
      <c r="AOE134" s="189"/>
      <c r="AOH134" s="188"/>
      <c r="AOI134" s="187"/>
      <c r="AOO134" s="188"/>
      <c r="AOP134" s="187"/>
      <c r="AOV134" s="188"/>
      <c r="AOW134" s="187"/>
      <c r="APC134" s="188"/>
      <c r="APD134" s="187"/>
      <c r="API134" s="168"/>
      <c r="APJ134" s="191"/>
      <c r="APK134" s="187"/>
      <c r="APQ134" s="188"/>
      <c r="APR134" s="187"/>
      <c r="APX134" s="188"/>
      <c r="APY134" s="187"/>
      <c r="AQE134" s="188"/>
      <c r="AQF134" s="187"/>
      <c r="AQL134" s="188"/>
      <c r="AQM134" s="187"/>
      <c r="AQN134" s="168"/>
      <c r="AQO134" s="189"/>
      <c r="AQS134" s="188"/>
      <c r="AQT134" s="187"/>
      <c r="AQZ134" s="188"/>
      <c r="ARA134" s="187"/>
      <c r="ARG134" s="188"/>
      <c r="ARH134" s="187"/>
      <c r="ARN134" s="188"/>
      <c r="ARO134" s="187"/>
      <c r="ARP134" s="168"/>
      <c r="ARQ134" s="189"/>
      <c r="ARU134" s="188"/>
      <c r="ARV134" s="187"/>
      <c r="ASB134" s="188"/>
      <c r="ASC134" s="187"/>
      <c r="ASI134" s="188"/>
      <c r="ASJ134" s="187"/>
      <c r="ASP134" s="188"/>
      <c r="ASQ134" s="187"/>
      <c r="ASU134" s="168"/>
      <c r="ASV134" s="189"/>
      <c r="ASW134" s="188"/>
      <c r="ASX134" s="187"/>
      <c r="ATD134" s="188"/>
      <c r="ATE134" s="187"/>
      <c r="ATK134" s="188"/>
      <c r="ATL134" s="187"/>
      <c r="ATR134" s="188"/>
      <c r="ATS134" s="187"/>
      <c r="ATY134" s="168"/>
      <c r="ATZ134" s="189"/>
      <c r="AUF134" s="188"/>
      <c r="AUG134" s="187"/>
      <c r="AUM134" s="188"/>
      <c r="AUN134" s="187"/>
      <c r="AUT134" s="188"/>
      <c r="AUU134" s="187"/>
      <c r="AVA134" s="188"/>
      <c r="AVB134" s="187"/>
      <c r="AVD134" s="168"/>
      <c r="AVE134" s="189"/>
      <c r="AVH134" s="188"/>
      <c r="AVI134" s="187"/>
      <c r="AVO134" s="188"/>
      <c r="AVP134" s="187"/>
      <c r="AVV134" s="188"/>
      <c r="AVW134" s="187"/>
      <c r="AWC134" s="188"/>
      <c r="AWD134" s="187"/>
      <c r="AWH134" s="168"/>
      <c r="AWI134" s="189"/>
      <c r="AWJ134" s="188"/>
      <c r="AWK134" s="187"/>
      <c r="AWQ134" s="188"/>
      <c r="AWR134" s="187"/>
      <c r="AWX134" s="188"/>
      <c r="AWY134" s="187"/>
      <c r="AXE134" s="188"/>
      <c r="AXF134" s="187"/>
      <c r="AXL134" s="188"/>
      <c r="AXM134" s="190"/>
      <c r="AXN134" s="189"/>
      <c r="AXS134" s="188"/>
      <c r="AXT134" s="187"/>
      <c r="AXZ134" s="188"/>
      <c r="AYA134" s="187"/>
      <c r="AYG134" s="188"/>
      <c r="AYH134" s="187"/>
      <c r="AYN134" s="188"/>
      <c r="AYO134" s="187"/>
      <c r="AYR134" s="168"/>
      <c r="AYS134" s="189"/>
      <c r="AYU134" s="188"/>
      <c r="AYV134" s="187"/>
      <c r="AZB134" s="188"/>
      <c r="AZC134" s="187"/>
      <c r="AZI134" s="188"/>
      <c r="AZJ134" s="187"/>
      <c r="AZP134" s="188"/>
      <c r="AZQ134" s="187"/>
      <c r="AZV134" s="168"/>
      <c r="AZW134" s="191"/>
      <c r="AZX134" s="187"/>
      <c r="BAD134" s="188"/>
      <c r="BAE134" s="187"/>
      <c r="BAK134" s="188"/>
      <c r="BAL134" s="187"/>
      <c r="BAR134" s="188"/>
      <c r="BAS134" s="187"/>
      <c r="BAY134" s="188"/>
      <c r="BAZ134" s="187"/>
      <c r="BBA134" s="168"/>
      <c r="BBB134" s="189"/>
      <c r="BBF134" s="188"/>
      <c r="BBG134" s="187"/>
      <c r="BBM134" s="188"/>
      <c r="BBN134" s="187"/>
      <c r="BBT134" s="188"/>
      <c r="BBU134" s="187"/>
      <c r="BCA134" s="188"/>
      <c r="BCB134" s="187"/>
      <c r="BCE134" s="168"/>
      <c r="BCF134" s="189"/>
      <c r="BCH134" s="188"/>
      <c r="BCI134" s="187"/>
      <c r="BCO134" s="188"/>
      <c r="BCP134" s="187"/>
      <c r="BCV134" s="188"/>
      <c r="BCW134" s="187"/>
      <c r="BDC134" s="188"/>
      <c r="BDD134" s="187"/>
      <c r="BDJ134" s="168"/>
      <c r="BDK134" s="189"/>
      <c r="BDQ134" s="188"/>
      <c r="BDR134" s="187"/>
      <c r="BDX134" s="188"/>
      <c r="BDY134" s="187"/>
      <c r="BEE134" s="188"/>
      <c r="BEF134" s="187"/>
      <c r="BEL134" s="188"/>
      <c r="BEM134" s="187"/>
      <c r="BEO134" s="168"/>
      <c r="BEP134" s="189"/>
      <c r="BES134" s="188"/>
      <c r="BET134" s="187"/>
      <c r="BEZ134" s="188"/>
      <c r="BFA134" s="187"/>
      <c r="BFG134" s="188"/>
      <c r="BFH134" s="187"/>
      <c r="BFN134" s="188"/>
      <c r="BFO134" s="187"/>
      <c r="BFQ134" s="168"/>
      <c r="BFR134" s="189"/>
      <c r="BFU134" s="188"/>
      <c r="BFV134" s="187"/>
      <c r="BGB134" s="188"/>
      <c r="BGC134" s="187"/>
      <c r="BGI134" s="188"/>
      <c r="BGJ134" s="187"/>
      <c r="BGP134" s="188"/>
      <c r="BGQ134" s="187"/>
      <c r="BGV134" s="168"/>
      <c r="BGW134" s="191"/>
      <c r="BGX134" s="187"/>
      <c r="BHD134" s="188"/>
      <c r="BHE134" s="187"/>
      <c r="BHK134" s="188"/>
      <c r="BHL134" s="187"/>
      <c r="BHR134" s="188"/>
      <c r="BHS134" s="187"/>
      <c r="BHY134" s="188"/>
      <c r="BHZ134" s="190"/>
      <c r="BIA134" s="189"/>
      <c r="BIF134" s="188"/>
      <c r="BIG134" s="187"/>
      <c r="BIM134" s="188"/>
      <c r="BIN134" s="187"/>
      <c r="BIT134" s="188"/>
      <c r="BIU134" s="187"/>
      <c r="BJA134" s="188"/>
      <c r="BJB134" s="187"/>
      <c r="BJE134" s="168"/>
      <c r="BJF134" s="189"/>
      <c r="BJH134" s="188"/>
      <c r="BJI134" s="187"/>
      <c r="BJO134" s="188"/>
      <c r="BJP134" s="187"/>
      <c r="BJV134" s="188"/>
      <c r="BJW134" s="187"/>
      <c r="BKC134" s="188"/>
      <c r="BKD134" s="187"/>
      <c r="BKI134" s="168"/>
      <c r="BKJ134" s="191"/>
      <c r="BKK134" s="187"/>
      <c r="BKQ134" s="188"/>
      <c r="BKR134" s="187"/>
      <c r="BKX134" s="188"/>
      <c r="BKY134" s="187"/>
      <c r="BLE134" s="188"/>
      <c r="BLF134" s="187"/>
      <c r="BLL134" s="188"/>
      <c r="BLM134" s="187"/>
      <c r="BLN134" s="168"/>
      <c r="BLO134" s="189"/>
      <c r="BLS134" s="188"/>
      <c r="BLT134" s="187"/>
      <c r="BLZ134" s="188"/>
      <c r="BMA134" s="187"/>
      <c r="BMG134" s="188"/>
      <c r="BMH134" s="187"/>
      <c r="BMN134" s="188"/>
      <c r="BMO134" s="187"/>
      <c r="BMS134" s="168"/>
      <c r="BMT134" s="189"/>
      <c r="BMU134" s="188"/>
      <c r="BMV134" s="187"/>
      <c r="BNB134" s="188"/>
      <c r="BNC134" s="187"/>
      <c r="BNI134" s="188"/>
      <c r="BNJ134" s="187"/>
      <c r="BNP134" s="188"/>
      <c r="BNQ134" s="187"/>
      <c r="BNW134" s="168"/>
      <c r="BNX134" s="189"/>
      <c r="BOD134" s="188"/>
      <c r="BOE134" s="187"/>
      <c r="BOK134" s="188"/>
      <c r="BOL134" s="187"/>
      <c r="BOR134" s="188"/>
      <c r="BOS134" s="187"/>
      <c r="BOY134" s="188"/>
      <c r="BOZ134" s="187"/>
      <c r="BPB134" s="168"/>
      <c r="BPC134" s="189"/>
      <c r="BPF134" s="188"/>
      <c r="BPG134" s="187"/>
      <c r="BPM134" s="188"/>
      <c r="BPN134" s="187"/>
      <c r="BPT134" s="188"/>
      <c r="BPU134" s="187"/>
      <c r="BQA134" s="188"/>
      <c r="BQB134" s="187"/>
      <c r="BQF134" s="168"/>
      <c r="BQG134" s="189"/>
      <c r="BQH134" s="188"/>
      <c r="BQI134" s="187"/>
      <c r="BQO134" s="188"/>
      <c r="BQP134" s="187"/>
      <c r="BQV134" s="188"/>
      <c r="BQW134" s="187"/>
      <c r="BRC134" s="188"/>
      <c r="BRD134" s="187"/>
      <c r="BRJ134" s="188"/>
      <c r="BRK134" s="190"/>
      <c r="BRL134" s="189"/>
      <c r="BRQ134" s="188"/>
      <c r="BRR134" s="187"/>
      <c r="BRX134" s="188"/>
      <c r="BRY134" s="187"/>
      <c r="BSE134" s="188"/>
      <c r="BSF134" s="187"/>
      <c r="BSL134" s="188"/>
      <c r="BSM134" s="187"/>
      <c r="BSP134" s="168"/>
      <c r="BSQ134" s="189"/>
      <c r="BSS134" s="188"/>
      <c r="BST134" s="187"/>
      <c r="BSZ134" s="188"/>
      <c r="BTA134" s="187"/>
      <c r="BTG134" s="188"/>
      <c r="BTH134" s="187"/>
      <c r="BTN134" s="188"/>
      <c r="BTO134" s="187"/>
      <c r="BTS134" s="168"/>
      <c r="BTT134" s="189"/>
      <c r="BTU134" s="188"/>
      <c r="BTV134" s="187"/>
      <c r="BUB134" s="188"/>
      <c r="BUC134" s="187"/>
      <c r="BUI134" s="188"/>
      <c r="BUJ134" s="187"/>
      <c r="BUP134" s="188"/>
      <c r="BUQ134" s="187"/>
      <c r="BUW134" s="188"/>
      <c r="BUX134" s="190"/>
      <c r="BUY134" s="189"/>
      <c r="BVD134" s="188"/>
      <c r="BVE134" s="187"/>
      <c r="BVK134" s="188"/>
      <c r="BVL134" s="187"/>
      <c r="BVR134" s="188"/>
      <c r="BVS134" s="187"/>
      <c r="BVY134" s="188"/>
      <c r="BVZ134" s="187"/>
      <c r="BWB134" s="168"/>
      <c r="BWC134" s="189"/>
      <c r="BWF134" s="188"/>
      <c r="BWG134" s="187"/>
      <c r="BWM134" s="188"/>
      <c r="BWN134" s="187"/>
      <c r="BWT134" s="188"/>
      <c r="BWU134" s="187"/>
      <c r="BXA134" s="188"/>
      <c r="BXB134" s="187"/>
      <c r="BXG134" s="168"/>
      <c r="BXH134" s="191"/>
      <c r="BXI134" s="187"/>
      <c r="BXO134" s="188"/>
      <c r="BXP134" s="187"/>
      <c r="BXV134" s="188"/>
      <c r="BXW134" s="187"/>
      <c r="BYC134" s="188"/>
      <c r="BYD134" s="187"/>
      <c r="BYJ134" s="188"/>
      <c r="BYK134" s="190"/>
      <c r="BYL134" s="189"/>
      <c r="BYQ134" s="188"/>
      <c r="BYR134" s="187"/>
      <c r="BYX134" s="188"/>
      <c r="BYY134" s="187"/>
      <c r="BZE134" s="188"/>
      <c r="BZF134" s="187"/>
      <c r="BZL134" s="188"/>
      <c r="BZM134" s="187"/>
      <c r="BZP134" s="168"/>
      <c r="BZQ134" s="189"/>
      <c r="BZS134" s="188"/>
      <c r="BZT134" s="187"/>
      <c r="BZZ134" s="188"/>
      <c r="CAA134" s="187"/>
      <c r="CAG134" s="188"/>
      <c r="CAH134" s="187"/>
      <c r="CAN134" s="188"/>
      <c r="CAO134" s="187"/>
      <c r="CAU134" s="168"/>
      <c r="CAV134" s="189"/>
      <c r="CBB134" s="188"/>
      <c r="CBC134" s="187"/>
      <c r="CBI134" s="188"/>
      <c r="CBJ134" s="187"/>
      <c r="CBP134" s="188"/>
      <c r="CBQ134" s="187"/>
      <c r="CBW134" s="188"/>
      <c r="CBX134" s="187"/>
      <c r="CBY134" s="168"/>
      <c r="CBZ134" s="189"/>
      <c r="CCD134" s="188"/>
      <c r="CCE134" s="187"/>
      <c r="CCK134" s="188"/>
      <c r="CCL134" s="187"/>
      <c r="CCR134" s="188"/>
      <c r="CCS134" s="187"/>
      <c r="CCY134" s="188"/>
      <c r="CCZ134" s="187"/>
      <c r="CDD134" s="168"/>
      <c r="CDE134" s="189"/>
      <c r="CDF134" s="188"/>
      <c r="CDG134" s="187"/>
      <c r="CDM134" s="188"/>
      <c r="CDN134" s="187"/>
      <c r="CDT134" s="188"/>
      <c r="CDU134" s="187"/>
      <c r="CEA134" s="188"/>
      <c r="CEB134" s="187"/>
      <c r="CEH134" s="168"/>
      <c r="CEI134" s="189"/>
      <c r="CEO134" s="188"/>
      <c r="CEP134" s="187"/>
      <c r="CEV134" s="188"/>
      <c r="CEW134" s="187"/>
      <c r="CFC134" s="188"/>
      <c r="CFD134" s="187"/>
      <c r="CFJ134" s="188"/>
      <c r="CFK134" s="187"/>
    </row>
    <row r="135" spans="1:1019 1025:2048 2054:2195">
      <c r="D135" s="186"/>
      <c r="E135" s="186"/>
      <c r="K135" s="187"/>
      <c r="Q135" s="188"/>
      <c r="R135" s="187"/>
      <c r="X135" s="188"/>
      <c r="Y135" s="187"/>
      <c r="AE135" s="188"/>
      <c r="AF135" s="187"/>
      <c r="AJ135" s="168"/>
      <c r="AK135" s="189"/>
      <c r="AL135" s="188"/>
      <c r="AM135" s="187"/>
      <c r="AS135" s="188"/>
      <c r="AT135" s="187"/>
      <c r="AZ135" s="188"/>
      <c r="BA135" s="187"/>
      <c r="BG135" s="188"/>
      <c r="BH135" s="187"/>
      <c r="BL135" s="168"/>
      <c r="BM135" s="189"/>
      <c r="BN135" s="188"/>
      <c r="BO135" s="187"/>
      <c r="BU135" s="188"/>
      <c r="BV135" s="187"/>
      <c r="CB135" s="188"/>
      <c r="CC135" s="187"/>
      <c r="CI135" s="188"/>
      <c r="CJ135" s="187"/>
      <c r="CP135" s="188"/>
      <c r="CQ135" s="190"/>
      <c r="CR135" s="189"/>
      <c r="CW135" s="188"/>
      <c r="CX135" s="187"/>
      <c r="DD135" s="188"/>
      <c r="DE135" s="187"/>
      <c r="DK135" s="188"/>
      <c r="DL135" s="187"/>
      <c r="DR135" s="188"/>
      <c r="DS135" s="187"/>
      <c r="DU135" s="168"/>
      <c r="DV135" s="189"/>
      <c r="DY135" s="188"/>
      <c r="DZ135" s="187"/>
      <c r="EF135" s="188"/>
      <c r="EG135" s="187"/>
      <c r="EM135" s="188"/>
      <c r="EN135" s="187"/>
      <c r="ET135" s="188"/>
      <c r="EU135" s="187"/>
      <c r="EZ135" s="168"/>
      <c r="FA135" s="191"/>
      <c r="FB135" s="187"/>
      <c r="FH135" s="188"/>
      <c r="FI135" s="187"/>
      <c r="FO135" s="188"/>
      <c r="FP135" s="187"/>
      <c r="FV135" s="188"/>
      <c r="FW135" s="187"/>
      <c r="GC135" s="188"/>
      <c r="GD135" s="190"/>
      <c r="GE135" s="189"/>
      <c r="GJ135" s="188"/>
      <c r="GK135" s="187"/>
      <c r="GQ135" s="188"/>
      <c r="GR135" s="187"/>
      <c r="GX135" s="188"/>
      <c r="GY135" s="187"/>
      <c r="HE135" s="188"/>
      <c r="HF135" s="187"/>
      <c r="HI135" s="168"/>
      <c r="HJ135" s="189"/>
      <c r="HL135" s="188"/>
      <c r="HM135" s="187"/>
      <c r="HS135" s="188"/>
      <c r="HT135" s="187"/>
      <c r="HZ135" s="188"/>
      <c r="IA135" s="187"/>
      <c r="IG135" s="188"/>
      <c r="IH135" s="187"/>
      <c r="IN135" s="168"/>
      <c r="IO135" s="189"/>
      <c r="IU135" s="188"/>
      <c r="IV135" s="187"/>
      <c r="JB135" s="188"/>
      <c r="JC135" s="187"/>
      <c r="JI135" s="188"/>
      <c r="JJ135" s="187"/>
      <c r="JP135" s="188"/>
      <c r="JQ135" s="187"/>
      <c r="JR135" s="168"/>
      <c r="JS135" s="189"/>
      <c r="JW135" s="188"/>
      <c r="JX135" s="187"/>
      <c r="KD135" s="188"/>
      <c r="KE135" s="187"/>
      <c r="KK135" s="188"/>
      <c r="KL135" s="187"/>
      <c r="KR135" s="188"/>
      <c r="KS135" s="187"/>
      <c r="KW135" s="168"/>
      <c r="KX135" s="189"/>
      <c r="KY135" s="188"/>
      <c r="KZ135" s="187"/>
      <c r="LF135" s="188"/>
      <c r="LG135" s="187"/>
      <c r="LM135" s="188"/>
      <c r="LN135" s="187"/>
      <c r="LT135" s="188"/>
      <c r="LU135" s="187"/>
      <c r="MA135" s="168"/>
      <c r="MB135" s="189"/>
      <c r="MH135" s="188"/>
      <c r="MI135" s="187"/>
      <c r="MO135" s="188"/>
      <c r="MP135" s="187"/>
      <c r="MV135" s="188"/>
      <c r="MW135" s="187"/>
      <c r="NC135" s="188"/>
      <c r="ND135" s="187"/>
      <c r="NF135" s="168"/>
      <c r="NG135" s="189"/>
      <c r="NJ135" s="188"/>
      <c r="NK135" s="187"/>
      <c r="NQ135" s="188"/>
      <c r="NR135" s="187"/>
      <c r="NX135" s="188"/>
      <c r="NY135" s="187"/>
      <c r="OE135" s="188"/>
      <c r="OF135" s="187"/>
      <c r="OK135" s="168"/>
      <c r="OL135" s="191"/>
      <c r="OM135" s="187"/>
      <c r="OS135" s="188"/>
      <c r="OT135" s="187"/>
      <c r="OZ135" s="188"/>
      <c r="PA135" s="187"/>
      <c r="PG135" s="188"/>
      <c r="PH135" s="187"/>
      <c r="PN135" s="168"/>
      <c r="PO135" s="189"/>
      <c r="PU135" s="188"/>
      <c r="PV135" s="187"/>
      <c r="QB135" s="188"/>
      <c r="QC135" s="187"/>
      <c r="QI135" s="188"/>
      <c r="QJ135" s="187"/>
      <c r="QP135" s="188"/>
      <c r="QQ135" s="187"/>
      <c r="QS135" s="168"/>
      <c r="QT135" s="189"/>
      <c r="QW135" s="188"/>
      <c r="QX135" s="187"/>
      <c r="RD135" s="188"/>
      <c r="RE135" s="187"/>
      <c r="RK135" s="188"/>
      <c r="RL135" s="187"/>
      <c r="RR135" s="188"/>
      <c r="RS135" s="187"/>
      <c r="RW135" s="168"/>
      <c r="RX135" s="189"/>
      <c r="RY135" s="188"/>
      <c r="RZ135" s="187"/>
      <c r="SF135" s="188"/>
      <c r="SG135" s="187"/>
      <c r="SM135" s="188"/>
      <c r="SN135" s="187"/>
      <c r="ST135" s="188"/>
      <c r="SU135" s="187"/>
      <c r="TA135" s="188"/>
      <c r="TB135" s="190"/>
      <c r="TC135" s="189"/>
      <c r="TH135" s="188"/>
      <c r="TI135" s="187"/>
      <c r="TO135" s="188"/>
      <c r="TP135" s="187"/>
      <c r="TV135" s="188"/>
      <c r="TW135" s="187"/>
      <c r="UC135" s="188"/>
      <c r="UD135" s="187"/>
      <c r="UF135" s="168"/>
      <c r="UG135" s="189"/>
      <c r="UJ135" s="188"/>
      <c r="UK135" s="187"/>
      <c r="UQ135" s="188"/>
      <c r="UR135" s="187"/>
      <c r="UX135" s="188"/>
      <c r="UY135" s="187"/>
      <c r="VE135" s="188"/>
      <c r="VF135" s="187"/>
      <c r="VK135" s="168"/>
      <c r="VL135" s="191"/>
      <c r="VM135" s="187"/>
      <c r="VS135" s="188"/>
      <c r="VT135" s="187"/>
      <c r="VZ135" s="188"/>
      <c r="WA135" s="187"/>
      <c r="WG135" s="188"/>
      <c r="WH135" s="187"/>
      <c r="WN135" s="188"/>
      <c r="WO135" s="187"/>
      <c r="WP135" s="168"/>
      <c r="WQ135" s="189"/>
      <c r="WU135" s="188"/>
      <c r="WV135" s="187"/>
      <c r="XB135" s="188"/>
      <c r="XC135" s="187"/>
      <c r="XI135" s="188"/>
      <c r="XJ135" s="187"/>
      <c r="XP135" s="188"/>
      <c r="XQ135" s="187"/>
      <c r="XT135" s="168"/>
      <c r="XU135" s="189"/>
      <c r="XW135" s="188"/>
      <c r="XX135" s="187"/>
      <c r="YD135" s="188"/>
      <c r="YE135" s="187"/>
      <c r="YK135" s="188"/>
      <c r="YL135" s="187"/>
      <c r="YR135" s="188"/>
      <c r="YS135" s="187"/>
      <c r="YY135" s="168"/>
      <c r="YZ135" s="189"/>
      <c r="ZF135" s="188"/>
      <c r="ZG135" s="187"/>
      <c r="ZM135" s="188"/>
      <c r="ZN135" s="187"/>
      <c r="ZT135" s="188"/>
      <c r="ZU135" s="187"/>
      <c r="AAA135" s="188"/>
      <c r="AAB135" s="187"/>
      <c r="AAC135" s="168"/>
      <c r="AAD135" s="189"/>
      <c r="AAH135" s="188"/>
      <c r="AAI135" s="187"/>
      <c r="AAO135" s="188"/>
      <c r="AAP135" s="187"/>
      <c r="AAV135" s="188"/>
      <c r="AAW135" s="187"/>
      <c r="ABC135" s="188"/>
      <c r="ABD135" s="187"/>
      <c r="ABH135" s="168"/>
      <c r="ABI135" s="189"/>
      <c r="ABJ135" s="188"/>
      <c r="ABK135" s="187"/>
      <c r="ABQ135" s="188"/>
      <c r="ABR135" s="187"/>
      <c r="ABX135" s="188"/>
      <c r="ABY135" s="187"/>
      <c r="ACE135" s="188"/>
      <c r="ACF135" s="187"/>
      <c r="ACL135" s="188"/>
      <c r="ACM135" s="190"/>
      <c r="ACN135" s="189"/>
      <c r="ACS135" s="188"/>
      <c r="ACT135" s="187"/>
      <c r="ACZ135" s="188"/>
      <c r="ADA135" s="187"/>
      <c r="ADG135" s="188"/>
      <c r="ADH135" s="187"/>
      <c r="ADN135" s="188"/>
      <c r="ADO135" s="190"/>
      <c r="ADP135" s="189"/>
      <c r="ADU135" s="188"/>
      <c r="ADV135" s="187"/>
      <c r="AEB135" s="188"/>
      <c r="AEC135" s="187"/>
      <c r="AEI135" s="188"/>
      <c r="AEJ135" s="187"/>
      <c r="AEP135" s="188"/>
      <c r="AEQ135" s="187"/>
      <c r="AET135" s="168"/>
      <c r="AEU135" s="189"/>
      <c r="AEW135" s="188"/>
      <c r="AEX135" s="187"/>
      <c r="AFD135" s="188"/>
      <c r="AFE135" s="187"/>
      <c r="AFK135" s="188"/>
      <c r="AFL135" s="187"/>
      <c r="AFR135" s="188"/>
      <c r="AFS135" s="187"/>
      <c r="AFX135" s="168"/>
      <c r="AFY135" s="191"/>
      <c r="AFZ135" s="187"/>
      <c r="AGF135" s="188"/>
      <c r="AGG135" s="187"/>
      <c r="AGM135" s="188"/>
      <c r="AGN135" s="187"/>
      <c r="AGT135" s="188"/>
      <c r="AGU135" s="187"/>
      <c r="AHA135" s="188"/>
      <c r="AHB135" s="187"/>
      <c r="AHC135" s="168"/>
      <c r="AHD135" s="189"/>
      <c r="AHH135" s="188"/>
      <c r="AHI135" s="187"/>
      <c r="AHO135" s="188"/>
      <c r="AHP135" s="187"/>
      <c r="AHV135" s="188"/>
      <c r="AHW135" s="187"/>
      <c r="AIC135" s="188"/>
      <c r="AID135" s="187"/>
      <c r="AIG135" s="168"/>
      <c r="AIH135" s="189"/>
      <c r="AIJ135" s="188"/>
      <c r="AIK135" s="187"/>
      <c r="AIQ135" s="188"/>
      <c r="AIR135" s="187"/>
      <c r="AIX135" s="188"/>
      <c r="AIY135" s="187"/>
      <c r="AJE135" s="188"/>
      <c r="AJF135" s="187"/>
      <c r="AJL135" s="168"/>
      <c r="AJM135" s="189"/>
      <c r="AJS135" s="188"/>
      <c r="AJT135" s="187"/>
      <c r="AJZ135" s="188"/>
      <c r="AKA135" s="187"/>
      <c r="AKG135" s="188"/>
      <c r="AKH135" s="187"/>
      <c r="AKN135" s="188"/>
      <c r="AKO135" s="187"/>
      <c r="AKQ135" s="168"/>
      <c r="AKR135" s="189"/>
      <c r="AKU135" s="188"/>
      <c r="AKV135" s="187"/>
      <c r="ALB135" s="188"/>
      <c r="ALC135" s="187"/>
      <c r="ALI135" s="188"/>
      <c r="ALJ135" s="187"/>
      <c r="ALP135" s="188"/>
      <c r="ALQ135" s="187"/>
      <c r="ALU135" s="168"/>
      <c r="ALV135" s="189"/>
      <c r="ALW135" s="188"/>
      <c r="ALX135" s="187"/>
      <c r="AMD135" s="188"/>
      <c r="AME135" s="187"/>
      <c r="AMK135" s="188"/>
      <c r="AML135" s="187"/>
      <c r="AMR135" s="188"/>
      <c r="AMS135" s="187"/>
      <c r="AMY135" s="188"/>
      <c r="AMZ135" s="190"/>
      <c r="ANA135" s="189"/>
      <c r="ANF135" s="188"/>
      <c r="ANG135" s="187"/>
      <c r="ANM135" s="188"/>
      <c r="ANN135" s="187"/>
      <c r="ANT135" s="188"/>
      <c r="ANU135" s="187"/>
      <c r="AOA135" s="188"/>
      <c r="AOB135" s="187"/>
      <c r="AOD135" s="168"/>
      <c r="AOE135" s="189"/>
      <c r="AOH135" s="188"/>
      <c r="AOI135" s="187"/>
      <c r="AOO135" s="188"/>
      <c r="AOP135" s="187"/>
      <c r="AOV135" s="188"/>
      <c r="AOW135" s="187"/>
      <c r="APC135" s="188"/>
      <c r="APD135" s="187"/>
      <c r="API135" s="168"/>
      <c r="APJ135" s="191"/>
      <c r="APK135" s="187"/>
      <c r="APQ135" s="188"/>
      <c r="APR135" s="187"/>
      <c r="APX135" s="188"/>
      <c r="APY135" s="187"/>
      <c r="AQE135" s="188"/>
      <c r="AQF135" s="187"/>
      <c r="AQL135" s="188"/>
      <c r="AQM135" s="187"/>
      <c r="AQN135" s="168"/>
      <c r="AQO135" s="189"/>
      <c r="AQS135" s="188"/>
      <c r="AQT135" s="187"/>
      <c r="AQZ135" s="188"/>
      <c r="ARA135" s="187"/>
      <c r="ARG135" s="188"/>
      <c r="ARH135" s="187"/>
      <c r="ARN135" s="188"/>
      <c r="ARO135" s="187"/>
      <c r="ARP135" s="168"/>
      <c r="ARQ135" s="189"/>
      <c r="ARU135" s="188"/>
      <c r="ARV135" s="187"/>
      <c r="ASB135" s="188"/>
      <c r="ASC135" s="187"/>
      <c r="ASI135" s="188"/>
      <c r="ASJ135" s="187"/>
      <c r="ASP135" s="188"/>
      <c r="ASQ135" s="187"/>
      <c r="ASU135" s="168"/>
      <c r="ASV135" s="189"/>
      <c r="ASW135" s="188"/>
      <c r="ASX135" s="187"/>
      <c r="ATD135" s="188"/>
      <c r="ATE135" s="187"/>
      <c r="ATK135" s="188"/>
      <c r="ATL135" s="187"/>
      <c r="ATR135" s="188"/>
      <c r="ATS135" s="187"/>
      <c r="ATY135" s="168"/>
      <c r="ATZ135" s="189"/>
      <c r="AUF135" s="188"/>
      <c r="AUG135" s="187"/>
      <c r="AUM135" s="188"/>
      <c r="AUN135" s="187"/>
      <c r="AUT135" s="188"/>
      <c r="AUU135" s="187"/>
      <c r="AVA135" s="188"/>
      <c r="AVB135" s="187"/>
      <c r="AVD135" s="168"/>
      <c r="AVE135" s="189"/>
      <c r="AVH135" s="188"/>
      <c r="AVI135" s="187"/>
      <c r="AVO135" s="188"/>
      <c r="AVP135" s="187"/>
      <c r="AVV135" s="188"/>
      <c r="AVW135" s="187"/>
      <c r="AWC135" s="188"/>
      <c r="AWD135" s="187"/>
      <c r="AWH135" s="168"/>
      <c r="AWI135" s="189"/>
      <c r="AWJ135" s="188"/>
      <c r="AWK135" s="187"/>
      <c r="AWQ135" s="188"/>
      <c r="AWR135" s="187"/>
      <c r="AWX135" s="188"/>
      <c r="AWY135" s="187"/>
      <c r="AXE135" s="188"/>
      <c r="AXF135" s="187"/>
      <c r="AXL135" s="188"/>
      <c r="AXM135" s="190"/>
      <c r="AXN135" s="189"/>
      <c r="AXS135" s="188"/>
      <c r="AXT135" s="187"/>
      <c r="AXZ135" s="188"/>
      <c r="AYA135" s="187"/>
      <c r="AYG135" s="188"/>
      <c r="AYH135" s="187"/>
      <c r="AYN135" s="188"/>
      <c r="AYO135" s="187"/>
      <c r="AYR135" s="168"/>
      <c r="AYS135" s="189"/>
      <c r="AYU135" s="188"/>
      <c r="AYV135" s="187"/>
      <c r="AZB135" s="188"/>
      <c r="AZC135" s="187"/>
      <c r="AZI135" s="188"/>
      <c r="AZJ135" s="187"/>
      <c r="AZP135" s="188"/>
      <c r="AZQ135" s="187"/>
      <c r="AZV135" s="168"/>
      <c r="AZW135" s="191"/>
      <c r="AZX135" s="187"/>
      <c r="BAD135" s="188"/>
      <c r="BAE135" s="187"/>
      <c r="BAK135" s="188"/>
      <c r="BAL135" s="187"/>
      <c r="BAR135" s="188"/>
      <c r="BAS135" s="187"/>
      <c r="BAY135" s="188"/>
      <c r="BAZ135" s="187"/>
      <c r="BBA135" s="168"/>
      <c r="BBB135" s="189"/>
      <c r="BBF135" s="188"/>
      <c r="BBG135" s="187"/>
      <c r="BBM135" s="188"/>
      <c r="BBN135" s="187"/>
      <c r="BBT135" s="188"/>
      <c r="BBU135" s="187"/>
      <c r="BCA135" s="188"/>
      <c r="BCB135" s="187"/>
      <c r="BCE135" s="168"/>
      <c r="BCF135" s="189"/>
      <c r="BCH135" s="188"/>
      <c r="BCI135" s="187"/>
      <c r="BCO135" s="188"/>
      <c r="BCP135" s="187"/>
      <c r="BCV135" s="188"/>
      <c r="BCW135" s="187"/>
      <c r="BDC135" s="188"/>
      <c r="BDD135" s="187"/>
      <c r="BDJ135" s="168"/>
      <c r="BDK135" s="189"/>
      <c r="BDQ135" s="188"/>
      <c r="BDR135" s="187"/>
      <c r="BDX135" s="188"/>
      <c r="BDY135" s="187"/>
      <c r="BEE135" s="188"/>
      <c r="BEF135" s="187"/>
      <c r="BEL135" s="188"/>
      <c r="BEM135" s="187"/>
      <c r="BEO135" s="168"/>
      <c r="BEP135" s="189"/>
      <c r="BES135" s="188"/>
      <c r="BET135" s="187"/>
      <c r="BEZ135" s="188"/>
      <c r="BFA135" s="187"/>
      <c r="BFG135" s="188"/>
      <c r="BFH135" s="187"/>
      <c r="BFN135" s="188"/>
      <c r="BFO135" s="187"/>
      <c r="BFQ135" s="168"/>
      <c r="BFR135" s="189"/>
      <c r="BFU135" s="188"/>
      <c r="BFV135" s="187"/>
      <c r="BGB135" s="188"/>
      <c r="BGC135" s="187"/>
      <c r="BGI135" s="188"/>
      <c r="BGJ135" s="187"/>
      <c r="BGP135" s="188"/>
      <c r="BGQ135" s="187"/>
      <c r="BGV135" s="168"/>
      <c r="BGW135" s="191"/>
      <c r="BGX135" s="187"/>
      <c r="BHD135" s="188"/>
      <c r="BHE135" s="187"/>
      <c r="BHK135" s="188"/>
      <c r="BHL135" s="187"/>
      <c r="BHR135" s="188"/>
      <c r="BHS135" s="187"/>
      <c r="BHY135" s="188"/>
      <c r="BHZ135" s="190"/>
      <c r="BIA135" s="189"/>
      <c r="BIF135" s="188"/>
      <c r="BIG135" s="187"/>
      <c r="BIM135" s="188"/>
      <c r="BIN135" s="187"/>
      <c r="BIT135" s="188"/>
      <c r="BIU135" s="187"/>
      <c r="BJA135" s="188"/>
      <c r="BJB135" s="187"/>
      <c r="BJE135" s="168"/>
      <c r="BJF135" s="189"/>
      <c r="BJH135" s="188"/>
      <c r="BJI135" s="187"/>
      <c r="BJO135" s="188"/>
      <c r="BJP135" s="187"/>
      <c r="BJV135" s="188"/>
      <c r="BJW135" s="187"/>
      <c r="BKC135" s="188"/>
      <c r="BKD135" s="187"/>
      <c r="BKI135" s="168"/>
      <c r="BKJ135" s="191"/>
      <c r="BKK135" s="187"/>
      <c r="BKQ135" s="188"/>
      <c r="BKR135" s="187"/>
      <c r="BKX135" s="188"/>
      <c r="BKY135" s="187"/>
      <c r="BLE135" s="188"/>
      <c r="BLF135" s="187"/>
      <c r="BLL135" s="188"/>
      <c r="BLM135" s="187"/>
      <c r="BLN135" s="168"/>
      <c r="BLO135" s="189"/>
      <c r="BLS135" s="188"/>
      <c r="BLT135" s="187"/>
      <c r="BLZ135" s="188"/>
      <c r="BMA135" s="187"/>
      <c r="BMG135" s="188"/>
      <c r="BMH135" s="187"/>
      <c r="BMN135" s="188"/>
      <c r="BMO135" s="187"/>
      <c r="BMS135" s="168"/>
      <c r="BMT135" s="189"/>
      <c r="BMU135" s="188"/>
      <c r="BMV135" s="187"/>
      <c r="BNB135" s="188"/>
      <c r="BNC135" s="187"/>
      <c r="BNI135" s="188"/>
      <c r="BNJ135" s="187"/>
      <c r="BNP135" s="188"/>
      <c r="BNQ135" s="187"/>
      <c r="BNW135" s="168"/>
      <c r="BNX135" s="189"/>
      <c r="BOD135" s="188"/>
      <c r="BOE135" s="187"/>
      <c r="BOK135" s="188"/>
      <c r="BOL135" s="187"/>
      <c r="BOR135" s="188"/>
      <c r="BOS135" s="187"/>
      <c r="BOY135" s="188"/>
      <c r="BOZ135" s="187"/>
      <c r="BPB135" s="168"/>
      <c r="BPC135" s="189"/>
      <c r="BPF135" s="188"/>
      <c r="BPG135" s="187"/>
      <c r="BPM135" s="188"/>
      <c r="BPN135" s="187"/>
      <c r="BPT135" s="188"/>
      <c r="BPU135" s="187"/>
      <c r="BQA135" s="188"/>
      <c r="BQB135" s="187"/>
      <c r="BQF135" s="168"/>
      <c r="BQG135" s="189"/>
      <c r="BQH135" s="188"/>
      <c r="BQI135" s="187"/>
      <c r="BQO135" s="188"/>
      <c r="BQP135" s="187"/>
      <c r="BQV135" s="188"/>
      <c r="BQW135" s="187"/>
      <c r="BRC135" s="188"/>
      <c r="BRD135" s="187"/>
      <c r="BRJ135" s="188"/>
      <c r="BRK135" s="190"/>
      <c r="BRL135" s="189"/>
      <c r="BRQ135" s="188"/>
      <c r="BRR135" s="187"/>
      <c r="BRX135" s="188"/>
      <c r="BRY135" s="187"/>
      <c r="BSE135" s="188"/>
      <c r="BSF135" s="187"/>
      <c r="BSL135" s="188"/>
      <c r="BSM135" s="187"/>
      <c r="BSP135" s="168"/>
      <c r="BSQ135" s="189"/>
      <c r="BSS135" s="188"/>
      <c r="BST135" s="187"/>
      <c r="BSZ135" s="188"/>
      <c r="BTA135" s="187"/>
      <c r="BTG135" s="188"/>
      <c r="BTH135" s="187"/>
      <c r="BTN135" s="188"/>
      <c r="BTO135" s="187"/>
      <c r="BTS135" s="168"/>
      <c r="BTT135" s="189"/>
      <c r="BTU135" s="188"/>
      <c r="BTV135" s="187"/>
      <c r="BUB135" s="188"/>
      <c r="BUC135" s="187"/>
      <c r="BUI135" s="188"/>
      <c r="BUJ135" s="187"/>
      <c r="BUP135" s="188"/>
      <c r="BUQ135" s="187"/>
      <c r="BUW135" s="188"/>
      <c r="BUX135" s="190"/>
      <c r="BUY135" s="189"/>
      <c r="BVD135" s="188"/>
      <c r="BVE135" s="187"/>
      <c r="BVK135" s="188"/>
      <c r="BVL135" s="187"/>
      <c r="BVR135" s="188"/>
      <c r="BVS135" s="187"/>
      <c r="BVY135" s="188"/>
      <c r="BVZ135" s="187"/>
      <c r="BWB135" s="168"/>
      <c r="BWC135" s="189"/>
      <c r="BWF135" s="188"/>
      <c r="BWG135" s="187"/>
      <c r="BWM135" s="188"/>
      <c r="BWN135" s="187"/>
      <c r="BWT135" s="188"/>
      <c r="BWU135" s="187"/>
      <c r="BXA135" s="188"/>
      <c r="BXB135" s="187"/>
      <c r="BXG135" s="168"/>
      <c r="BXH135" s="191"/>
      <c r="BXI135" s="187"/>
      <c r="BXO135" s="188"/>
      <c r="BXP135" s="187"/>
      <c r="BXV135" s="188"/>
      <c r="BXW135" s="187"/>
      <c r="BYC135" s="188"/>
      <c r="BYD135" s="187"/>
      <c r="BYJ135" s="188"/>
      <c r="BYK135" s="190"/>
      <c r="BYL135" s="189"/>
      <c r="BYQ135" s="188"/>
      <c r="BYR135" s="187"/>
      <c r="BYX135" s="188"/>
      <c r="BYY135" s="187"/>
      <c r="BZE135" s="188"/>
      <c r="BZF135" s="187"/>
      <c r="BZL135" s="188"/>
      <c r="BZM135" s="187"/>
      <c r="BZP135" s="168"/>
      <c r="BZQ135" s="189"/>
      <c r="BZS135" s="188"/>
      <c r="BZT135" s="187"/>
      <c r="BZZ135" s="188"/>
      <c r="CAA135" s="187"/>
      <c r="CAG135" s="188"/>
      <c r="CAH135" s="187"/>
      <c r="CAN135" s="188"/>
      <c r="CAO135" s="187"/>
      <c r="CAU135" s="168"/>
      <c r="CAV135" s="189"/>
      <c r="CBB135" s="188"/>
      <c r="CBC135" s="187"/>
      <c r="CBI135" s="188"/>
      <c r="CBJ135" s="187"/>
      <c r="CBP135" s="188"/>
      <c r="CBQ135" s="187"/>
      <c r="CBW135" s="188"/>
      <c r="CBX135" s="187"/>
      <c r="CBY135" s="168"/>
      <c r="CBZ135" s="189"/>
      <c r="CCD135" s="188"/>
      <c r="CCE135" s="187"/>
      <c r="CCK135" s="188"/>
      <c r="CCL135" s="187"/>
      <c r="CCR135" s="188"/>
      <c r="CCS135" s="187"/>
      <c r="CCY135" s="188"/>
      <c r="CCZ135" s="187"/>
      <c r="CDD135" s="168"/>
      <c r="CDE135" s="189"/>
      <c r="CDF135" s="188"/>
      <c r="CDG135" s="187"/>
      <c r="CDM135" s="188"/>
      <c r="CDN135" s="187"/>
      <c r="CDT135" s="188"/>
      <c r="CDU135" s="187"/>
      <c r="CEA135" s="188"/>
      <c r="CEB135" s="187"/>
      <c r="CEH135" s="168"/>
      <c r="CEI135" s="189"/>
      <c r="CEO135" s="188"/>
      <c r="CEP135" s="187"/>
      <c r="CEV135" s="188"/>
      <c r="CEW135" s="187"/>
      <c r="CFC135" s="188"/>
      <c r="CFD135" s="187"/>
      <c r="CFJ135" s="188"/>
      <c r="CFK135" s="187"/>
    </row>
    <row r="136" spans="1:1019 1025:2048 2054:2195">
      <c r="D136" s="186"/>
      <c r="E136" s="186"/>
      <c r="K136" s="187"/>
      <c r="Q136" s="188"/>
      <c r="R136" s="187"/>
      <c r="X136" s="188"/>
      <c r="Y136" s="187"/>
      <c r="AE136" s="188"/>
      <c r="AF136" s="187"/>
      <c r="AJ136" s="168"/>
      <c r="AK136" s="189"/>
      <c r="AL136" s="188"/>
      <c r="AM136" s="187"/>
      <c r="AS136" s="188"/>
      <c r="AT136" s="187"/>
      <c r="AZ136" s="188"/>
      <c r="BA136" s="187"/>
      <c r="BG136" s="188"/>
      <c r="BH136" s="187"/>
      <c r="BL136" s="168"/>
      <c r="BM136" s="189"/>
      <c r="BN136" s="188"/>
      <c r="BO136" s="187"/>
      <c r="BU136" s="188"/>
      <c r="BV136" s="187"/>
      <c r="CB136" s="188"/>
      <c r="CC136" s="187"/>
      <c r="CI136" s="188"/>
      <c r="CJ136" s="187"/>
      <c r="CP136" s="188"/>
      <c r="CQ136" s="190"/>
      <c r="CR136" s="189"/>
      <c r="CW136" s="188"/>
      <c r="CX136" s="187"/>
      <c r="DD136" s="188"/>
      <c r="DE136" s="187"/>
      <c r="DK136" s="188"/>
      <c r="DL136" s="187"/>
      <c r="DR136" s="188"/>
      <c r="DS136" s="187"/>
      <c r="DU136" s="168"/>
      <c r="DV136" s="189"/>
      <c r="DY136" s="188"/>
      <c r="DZ136" s="187"/>
      <c r="EF136" s="188"/>
      <c r="EG136" s="187"/>
      <c r="EM136" s="188"/>
      <c r="EN136" s="187"/>
      <c r="ET136" s="188"/>
      <c r="EU136" s="187"/>
      <c r="EZ136" s="168"/>
      <c r="FA136" s="191"/>
      <c r="FB136" s="187"/>
      <c r="FH136" s="188"/>
      <c r="FI136" s="187"/>
      <c r="FO136" s="188"/>
      <c r="FP136" s="187"/>
      <c r="FV136" s="188"/>
      <c r="FW136" s="187"/>
      <c r="GC136" s="188"/>
      <c r="GD136" s="190"/>
      <c r="GE136" s="189"/>
      <c r="GJ136" s="188"/>
      <c r="GK136" s="187"/>
      <c r="GQ136" s="188"/>
      <c r="GR136" s="187"/>
      <c r="GX136" s="188"/>
      <c r="GY136" s="187"/>
      <c r="HE136" s="188"/>
      <c r="HF136" s="187"/>
      <c r="HI136" s="168"/>
      <c r="HJ136" s="189"/>
      <c r="HL136" s="188"/>
      <c r="HM136" s="187"/>
      <c r="HS136" s="188"/>
      <c r="HT136" s="187"/>
      <c r="HZ136" s="188"/>
      <c r="IA136" s="187"/>
      <c r="IG136" s="188"/>
      <c r="IH136" s="187"/>
      <c r="IN136" s="168"/>
      <c r="IO136" s="189"/>
      <c r="IU136" s="188"/>
      <c r="IV136" s="187"/>
      <c r="JB136" s="188"/>
      <c r="JC136" s="187"/>
      <c r="JI136" s="188"/>
      <c r="JJ136" s="187"/>
      <c r="JP136" s="188"/>
      <c r="JQ136" s="187"/>
      <c r="JR136" s="168"/>
      <c r="JS136" s="189"/>
      <c r="JW136" s="188"/>
      <c r="JX136" s="187"/>
      <c r="KD136" s="188"/>
      <c r="KE136" s="187"/>
      <c r="KK136" s="188"/>
      <c r="KL136" s="187"/>
      <c r="KR136" s="188"/>
      <c r="KS136" s="187"/>
      <c r="KW136" s="168"/>
      <c r="KX136" s="189"/>
      <c r="KY136" s="188"/>
      <c r="KZ136" s="187"/>
      <c r="LF136" s="188"/>
      <c r="LG136" s="187"/>
      <c r="LM136" s="188"/>
      <c r="LN136" s="187"/>
      <c r="LT136" s="188"/>
      <c r="LU136" s="187"/>
      <c r="MA136" s="168"/>
      <c r="MB136" s="189"/>
      <c r="MH136" s="188"/>
      <c r="MI136" s="187"/>
      <c r="MO136" s="188"/>
      <c r="MP136" s="187"/>
      <c r="MV136" s="188"/>
      <c r="MW136" s="187"/>
      <c r="NC136" s="188"/>
      <c r="ND136" s="187"/>
      <c r="NF136" s="168"/>
      <c r="NG136" s="189"/>
      <c r="NJ136" s="188"/>
      <c r="NK136" s="187"/>
      <c r="NQ136" s="188"/>
      <c r="NR136" s="187"/>
      <c r="NX136" s="188"/>
      <c r="NY136" s="187"/>
      <c r="OE136" s="188"/>
      <c r="OF136" s="187"/>
      <c r="OK136" s="168"/>
      <c r="OL136" s="191"/>
      <c r="OM136" s="187"/>
      <c r="OS136" s="188"/>
      <c r="OT136" s="187"/>
      <c r="OZ136" s="188"/>
      <c r="PA136" s="187"/>
      <c r="PG136" s="188"/>
      <c r="PH136" s="187"/>
      <c r="PN136" s="168"/>
      <c r="PO136" s="189"/>
      <c r="PU136" s="188"/>
      <c r="PV136" s="187"/>
      <c r="QB136" s="188"/>
      <c r="QC136" s="187"/>
      <c r="QI136" s="188"/>
      <c r="QJ136" s="187"/>
      <c r="QP136" s="188"/>
      <c r="QQ136" s="187"/>
      <c r="QS136" s="168"/>
      <c r="QT136" s="189"/>
      <c r="QW136" s="188"/>
      <c r="QX136" s="187"/>
      <c r="RD136" s="188"/>
      <c r="RE136" s="187"/>
      <c r="RK136" s="188"/>
      <c r="RL136" s="187"/>
      <c r="RR136" s="188"/>
      <c r="RS136" s="187"/>
      <c r="RW136" s="168"/>
      <c r="RX136" s="189"/>
      <c r="RY136" s="188"/>
      <c r="RZ136" s="187"/>
      <c r="SF136" s="188"/>
      <c r="SG136" s="187"/>
      <c r="SM136" s="188"/>
      <c r="SN136" s="187"/>
      <c r="ST136" s="188"/>
      <c r="SU136" s="187"/>
      <c r="TA136" s="188"/>
      <c r="TB136" s="190"/>
      <c r="TC136" s="189"/>
      <c r="TH136" s="188"/>
      <c r="TI136" s="187"/>
      <c r="TO136" s="188"/>
      <c r="TP136" s="187"/>
      <c r="TV136" s="188"/>
      <c r="TW136" s="187"/>
      <c r="UC136" s="188"/>
      <c r="UD136" s="187"/>
      <c r="UF136" s="168"/>
      <c r="UG136" s="189"/>
      <c r="UJ136" s="188"/>
      <c r="UK136" s="187"/>
      <c r="UQ136" s="188"/>
      <c r="UR136" s="187"/>
      <c r="UX136" s="188"/>
      <c r="UY136" s="187"/>
      <c r="VE136" s="188"/>
      <c r="VF136" s="187"/>
      <c r="VK136" s="168"/>
      <c r="VL136" s="191"/>
      <c r="VM136" s="187"/>
      <c r="VS136" s="188"/>
      <c r="VT136" s="187"/>
      <c r="VZ136" s="188"/>
      <c r="WA136" s="187"/>
      <c r="WG136" s="188"/>
      <c r="WH136" s="187"/>
      <c r="WN136" s="188"/>
      <c r="WO136" s="187"/>
      <c r="WP136" s="168"/>
      <c r="WQ136" s="189"/>
      <c r="WU136" s="188"/>
      <c r="WV136" s="187"/>
      <c r="XB136" s="188"/>
      <c r="XC136" s="187"/>
      <c r="XI136" s="188"/>
      <c r="XJ136" s="187"/>
      <c r="XP136" s="188"/>
      <c r="XQ136" s="187"/>
      <c r="XT136" s="168"/>
      <c r="XU136" s="189"/>
      <c r="XW136" s="188"/>
      <c r="XX136" s="187"/>
      <c r="YD136" s="188"/>
      <c r="YE136" s="187"/>
      <c r="YK136" s="188"/>
      <c r="YL136" s="187"/>
      <c r="YR136" s="188"/>
      <c r="YS136" s="187"/>
      <c r="YY136" s="168"/>
      <c r="YZ136" s="189"/>
      <c r="ZF136" s="188"/>
      <c r="ZG136" s="187"/>
      <c r="ZM136" s="188"/>
      <c r="ZN136" s="187"/>
      <c r="ZT136" s="188"/>
      <c r="ZU136" s="187"/>
      <c r="AAA136" s="188"/>
      <c r="AAB136" s="187"/>
      <c r="AAC136" s="168"/>
      <c r="AAD136" s="189"/>
      <c r="AAH136" s="188"/>
      <c r="AAI136" s="187"/>
      <c r="AAO136" s="188"/>
      <c r="AAP136" s="187"/>
      <c r="AAV136" s="188"/>
      <c r="AAW136" s="187"/>
      <c r="ABC136" s="188"/>
      <c r="ABD136" s="187"/>
      <c r="ABH136" s="168"/>
      <c r="ABI136" s="189"/>
      <c r="ABJ136" s="188"/>
      <c r="ABK136" s="187"/>
      <c r="ABQ136" s="188"/>
      <c r="ABR136" s="187"/>
      <c r="ABX136" s="188"/>
      <c r="ABY136" s="187"/>
      <c r="ACE136" s="188"/>
      <c r="ACF136" s="187"/>
      <c r="ACL136" s="188"/>
      <c r="ACM136" s="190"/>
      <c r="ACN136" s="189"/>
      <c r="ACS136" s="188"/>
      <c r="ACT136" s="187"/>
      <c r="ACZ136" s="188"/>
      <c r="ADA136" s="187"/>
      <c r="ADG136" s="188"/>
      <c r="ADH136" s="187"/>
      <c r="ADN136" s="188"/>
      <c r="ADO136" s="190"/>
      <c r="ADP136" s="189"/>
      <c r="ADU136" s="188"/>
      <c r="ADV136" s="187"/>
      <c r="AEB136" s="188"/>
      <c r="AEC136" s="187"/>
      <c r="AEI136" s="188"/>
      <c r="AEJ136" s="187"/>
      <c r="AEP136" s="188"/>
      <c r="AEQ136" s="187"/>
      <c r="AET136" s="168"/>
      <c r="AEU136" s="189"/>
      <c r="AEW136" s="188"/>
      <c r="AEX136" s="187"/>
      <c r="AFD136" s="188"/>
      <c r="AFE136" s="187"/>
      <c r="AFK136" s="188"/>
      <c r="AFL136" s="187"/>
      <c r="AFR136" s="188"/>
      <c r="AFS136" s="187"/>
      <c r="AFX136" s="168"/>
      <c r="AFY136" s="191"/>
      <c r="AFZ136" s="187"/>
      <c r="AGF136" s="188"/>
      <c r="AGG136" s="187"/>
      <c r="AGM136" s="188"/>
      <c r="AGN136" s="187"/>
      <c r="AGT136" s="188"/>
      <c r="AGU136" s="187"/>
      <c r="AHA136" s="188"/>
      <c r="AHB136" s="187"/>
      <c r="AHC136" s="168"/>
      <c r="AHD136" s="189"/>
      <c r="AHH136" s="188"/>
      <c r="AHI136" s="187"/>
      <c r="AHO136" s="188"/>
      <c r="AHP136" s="187"/>
      <c r="AHV136" s="188"/>
      <c r="AHW136" s="187"/>
      <c r="AIC136" s="188"/>
      <c r="AID136" s="187"/>
      <c r="AIG136" s="168"/>
      <c r="AIH136" s="189"/>
      <c r="AIJ136" s="188"/>
      <c r="AIK136" s="187"/>
      <c r="AIQ136" s="188"/>
      <c r="AIR136" s="187"/>
      <c r="AIX136" s="188"/>
      <c r="AIY136" s="187"/>
      <c r="AJE136" s="188"/>
      <c r="AJF136" s="187"/>
      <c r="AJL136" s="168"/>
      <c r="AJM136" s="189"/>
      <c r="AJS136" s="188"/>
      <c r="AJT136" s="187"/>
      <c r="AJZ136" s="188"/>
      <c r="AKA136" s="187"/>
      <c r="AKG136" s="188"/>
      <c r="AKH136" s="187"/>
      <c r="AKN136" s="188"/>
      <c r="AKO136" s="187"/>
      <c r="AKQ136" s="168"/>
      <c r="AKR136" s="189"/>
      <c r="AKU136" s="188"/>
      <c r="AKV136" s="187"/>
      <c r="ALB136" s="188"/>
      <c r="ALC136" s="187"/>
      <c r="ALI136" s="188"/>
      <c r="ALJ136" s="187"/>
      <c r="ALP136" s="188"/>
      <c r="ALQ136" s="187"/>
      <c r="ALU136" s="168"/>
      <c r="ALV136" s="189"/>
      <c r="ALW136" s="188"/>
      <c r="ALX136" s="187"/>
      <c r="AMD136" s="188"/>
      <c r="AME136" s="187"/>
      <c r="AMK136" s="188"/>
      <c r="AML136" s="187"/>
      <c r="AMR136" s="188"/>
      <c r="AMS136" s="187"/>
      <c r="AMY136" s="188"/>
      <c r="AMZ136" s="190"/>
      <c r="ANA136" s="189"/>
      <c r="ANF136" s="188"/>
      <c r="ANG136" s="187"/>
      <c r="ANM136" s="188"/>
      <c r="ANN136" s="187"/>
      <c r="ANT136" s="188"/>
      <c r="ANU136" s="187"/>
      <c r="AOA136" s="188"/>
      <c r="AOB136" s="187"/>
      <c r="AOD136" s="168"/>
      <c r="AOE136" s="189"/>
      <c r="AOH136" s="188"/>
      <c r="AOI136" s="187"/>
      <c r="AOO136" s="188"/>
      <c r="AOP136" s="187"/>
      <c r="AOV136" s="188"/>
      <c r="AOW136" s="187"/>
      <c r="APC136" s="188"/>
      <c r="APD136" s="187"/>
      <c r="API136" s="168"/>
      <c r="APJ136" s="191"/>
      <c r="APK136" s="187"/>
      <c r="APQ136" s="188"/>
      <c r="APR136" s="187"/>
      <c r="APX136" s="188"/>
      <c r="APY136" s="187"/>
      <c r="AQE136" s="188"/>
      <c r="AQF136" s="187"/>
      <c r="AQL136" s="188"/>
      <c r="AQM136" s="187"/>
      <c r="AQN136" s="168"/>
      <c r="AQO136" s="189"/>
      <c r="AQS136" s="188"/>
      <c r="AQT136" s="187"/>
      <c r="AQZ136" s="188"/>
      <c r="ARA136" s="187"/>
      <c r="ARG136" s="188"/>
      <c r="ARH136" s="187"/>
      <c r="ARN136" s="188"/>
      <c r="ARO136" s="187"/>
      <c r="ARP136" s="168"/>
      <c r="ARQ136" s="189"/>
      <c r="ARU136" s="188"/>
      <c r="ARV136" s="187"/>
      <c r="ASB136" s="188"/>
      <c r="ASC136" s="187"/>
      <c r="ASI136" s="188"/>
      <c r="ASJ136" s="187"/>
      <c r="ASP136" s="188"/>
      <c r="ASQ136" s="187"/>
      <c r="ASU136" s="168"/>
      <c r="ASV136" s="189"/>
      <c r="ASW136" s="188"/>
      <c r="ASX136" s="187"/>
      <c r="ATD136" s="188"/>
      <c r="ATE136" s="187"/>
      <c r="ATK136" s="188"/>
      <c r="ATL136" s="187"/>
      <c r="ATR136" s="188"/>
      <c r="ATS136" s="187"/>
      <c r="ATY136" s="168"/>
      <c r="ATZ136" s="189"/>
      <c r="AUF136" s="188"/>
      <c r="AUG136" s="187"/>
      <c r="AUM136" s="188"/>
      <c r="AUN136" s="187"/>
      <c r="AUT136" s="188"/>
      <c r="AUU136" s="187"/>
      <c r="AVA136" s="188"/>
      <c r="AVB136" s="187"/>
      <c r="AVD136" s="168"/>
      <c r="AVE136" s="189"/>
      <c r="AVH136" s="188"/>
      <c r="AVI136" s="187"/>
      <c r="AVO136" s="188"/>
      <c r="AVP136" s="187"/>
      <c r="AVV136" s="188"/>
      <c r="AVW136" s="187"/>
      <c r="AWC136" s="188"/>
      <c r="AWD136" s="187"/>
      <c r="AWH136" s="168"/>
      <c r="AWI136" s="189"/>
      <c r="AWJ136" s="188"/>
      <c r="AWK136" s="187"/>
      <c r="AWQ136" s="188"/>
      <c r="AWR136" s="187"/>
      <c r="AWX136" s="188"/>
      <c r="AWY136" s="187"/>
      <c r="AXE136" s="188"/>
      <c r="AXF136" s="187"/>
      <c r="AXL136" s="188"/>
      <c r="AXM136" s="190"/>
      <c r="AXN136" s="189"/>
      <c r="AXS136" s="188"/>
      <c r="AXT136" s="187"/>
      <c r="AXZ136" s="188"/>
      <c r="AYA136" s="187"/>
      <c r="AYG136" s="188"/>
      <c r="AYH136" s="187"/>
      <c r="AYN136" s="188"/>
      <c r="AYO136" s="187"/>
      <c r="AYR136" s="168"/>
      <c r="AYS136" s="189"/>
      <c r="AYU136" s="188"/>
      <c r="AYV136" s="187"/>
      <c r="AZB136" s="188"/>
      <c r="AZC136" s="187"/>
      <c r="AZI136" s="188"/>
      <c r="AZJ136" s="187"/>
      <c r="AZP136" s="188"/>
      <c r="AZQ136" s="187"/>
      <c r="AZV136" s="168"/>
      <c r="AZW136" s="191"/>
      <c r="AZX136" s="187"/>
      <c r="BAD136" s="188"/>
      <c r="BAE136" s="187"/>
      <c r="BAK136" s="188"/>
      <c r="BAL136" s="187"/>
      <c r="BAR136" s="188"/>
      <c r="BAS136" s="187"/>
      <c r="BAY136" s="188"/>
      <c r="BAZ136" s="187"/>
      <c r="BBA136" s="168"/>
      <c r="BBB136" s="189"/>
      <c r="BBF136" s="188"/>
      <c r="BBG136" s="187"/>
      <c r="BBM136" s="188"/>
      <c r="BBN136" s="187"/>
      <c r="BBT136" s="188"/>
      <c r="BBU136" s="187"/>
      <c r="BCA136" s="188"/>
      <c r="BCB136" s="187"/>
      <c r="BCE136" s="168"/>
      <c r="BCF136" s="189"/>
      <c r="BCH136" s="188"/>
      <c r="BCI136" s="187"/>
      <c r="BCO136" s="188"/>
      <c r="BCP136" s="187"/>
      <c r="BCV136" s="188"/>
      <c r="BCW136" s="187"/>
      <c r="BDC136" s="188"/>
      <c r="BDD136" s="187"/>
      <c r="BDJ136" s="168"/>
      <c r="BDK136" s="189"/>
      <c r="BDQ136" s="188"/>
      <c r="BDR136" s="187"/>
      <c r="BDX136" s="188"/>
      <c r="BDY136" s="187"/>
      <c r="BEE136" s="188"/>
      <c r="BEF136" s="187"/>
      <c r="BEL136" s="188"/>
      <c r="BEM136" s="187"/>
      <c r="BEO136" s="168"/>
      <c r="BEP136" s="189"/>
      <c r="BES136" s="188"/>
      <c r="BET136" s="187"/>
      <c r="BEZ136" s="188"/>
      <c r="BFA136" s="187"/>
      <c r="BFG136" s="188"/>
      <c r="BFH136" s="187"/>
      <c r="BFN136" s="188"/>
      <c r="BFO136" s="187"/>
      <c r="BFQ136" s="168"/>
      <c r="BFR136" s="189"/>
      <c r="BFU136" s="188"/>
      <c r="BFV136" s="187"/>
      <c r="BGB136" s="188"/>
      <c r="BGC136" s="187"/>
      <c r="BGI136" s="188"/>
      <c r="BGJ136" s="187"/>
      <c r="BGP136" s="188"/>
      <c r="BGQ136" s="187"/>
      <c r="BGV136" s="168"/>
      <c r="BGW136" s="191"/>
      <c r="BGX136" s="187"/>
      <c r="BHD136" s="188"/>
      <c r="BHE136" s="187"/>
      <c r="BHK136" s="188"/>
      <c r="BHL136" s="187"/>
      <c r="BHR136" s="188"/>
      <c r="BHS136" s="187"/>
      <c r="BHY136" s="188"/>
      <c r="BHZ136" s="190"/>
      <c r="BIA136" s="189"/>
      <c r="BIF136" s="188"/>
      <c r="BIG136" s="187"/>
      <c r="BIM136" s="188"/>
      <c r="BIN136" s="187"/>
      <c r="BIT136" s="188"/>
      <c r="BIU136" s="187"/>
      <c r="BJA136" s="188"/>
      <c r="BJB136" s="187"/>
      <c r="BJE136" s="168"/>
      <c r="BJF136" s="189"/>
      <c r="BJH136" s="188"/>
      <c r="BJI136" s="187"/>
      <c r="BJO136" s="188"/>
      <c r="BJP136" s="187"/>
      <c r="BJV136" s="188"/>
      <c r="BJW136" s="187"/>
      <c r="BKC136" s="188"/>
      <c r="BKD136" s="187"/>
      <c r="BKI136" s="168"/>
      <c r="BKJ136" s="191"/>
      <c r="BKK136" s="187"/>
      <c r="BKQ136" s="188"/>
      <c r="BKR136" s="187"/>
      <c r="BKX136" s="188"/>
      <c r="BKY136" s="187"/>
      <c r="BLE136" s="188"/>
      <c r="BLF136" s="187"/>
      <c r="BLL136" s="188"/>
      <c r="BLM136" s="187"/>
      <c r="BLN136" s="168"/>
      <c r="BLO136" s="189"/>
      <c r="BLS136" s="188"/>
      <c r="BLT136" s="187"/>
      <c r="BLZ136" s="188"/>
      <c r="BMA136" s="187"/>
      <c r="BMG136" s="188"/>
      <c r="BMH136" s="187"/>
      <c r="BMN136" s="188"/>
      <c r="BMO136" s="187"/>
      <c r="BMS136" s="168"/>
      <c r="BMT136" s="189"/>
      <c r="BMU136" s="188"/>
      <c r="BMV136" s="187"/>
      <c r="BNB136" s="188"/>
      <c r="BNC136" s="187"/>
      <c r="BNI136" s="188"/>
      <c r="BNJ136" s="187"/>
      <c r="BNP136" s="188"/>
      <c r="BNQ136" s="187"/>
      <c r="BNW136" s="168"/>
      <c r="BNX136" s="189"/>
      <c r="BOD136" s="188"/>
      <c r="BOE136" s="187"/>
      <c r="BOK136" s="188"/>
      <c r="BOL136" s="187"/>
      <c r="BOR136" s="188"/>
      <c r="BOS136" s="187"/>
      <c r="BOY136" s="188"/>
      <c r="BOZ136" s="187"/>
      <c r="BPB136" s="168"/>
      <c r="BPC136" s="189"/>
      <c r="BPF136" s="188"/>
      <c r="BPG136" s="187"/>
      <c r="BPM136" s="188"/>
      <c r="BPN136" s="187"/>
      <c r="BPT136" s="188"/>
      <c r="BPU136" s="187"/>
      <c r="BQA136" s="188"/>
      <c r="BQB136" s="187"/>
      <c r="BQF136" s="168"/>
      <c r="BQG136" s="189"/>
      <c r="BQH136" s="188"/>
      <c r="BQI136" s="187"/>
      <c r="BQO136" s="188"/>
      <c r="BQP136" s="187"/>
      <c r="BQV136" s="188"/>
      <c r="BQW136" s="187"/>
      <c r="BRC136" s="188"/>
      <c r="BRD136" s="187"/>
      <c r="BRJ136" s="188"/>
      <c r="BRK136" s="190"/>
      <c r="BRL136" s="189"/>
      <c r="BRQ136" s="188"/>
      <c r="BRR136" s="187"/>
      <c r="BRX136" s="188"/>
      <c r="BRY136" s="187"/>
      <c r="BSE136" s="188"/>
      <c r="BSF136" s="187"/>
      <c r="BSL136" s="188"/>
      <c r="BSM136" s="187"/>
      <c r="BSP136" s="168"/>
      <c r="BSQ136" s="189"/>
      <c r="BSS136" s="188"/>
      <c r="BST136" s="187"/>
      <c r="BSZ136" s="188"/>
      <c r="BTA136" s="187"/>
      <c r="BTG136" s="188"/>
      <c r="BTH136" s="187"/>
      <c r="BTN136" s="188"/>
      <c r="BTO136" s="187"/>
      <c r="BTS136" s="168"/>
      <c r="BTT136" s="189"/>
      <c r="BTU136" s="188"/>
      <c r="BTV136" s="187"/>
      <c r="BUB136" s="188"/>
      <c r="BUC136" s="187"/>
      <c r="BUI136" s="188"/>
      <c r="BUJ136" s="187"/>
      <c r="BUP136" s="188"/>
      <c r="BUQ136" s="187"/>
      <c r="BUW136" s="188"/>
      <c r="BUX136" s="190"/>
      <c r="BUY136" s="189"/>
      <c r="BVD136" s="188"/>
      <c r="BVE136" s="187"/>
      <c r="BVK136" s="188"/>
      <c r="BVL136" s="187"/>
      <c r="BVR136" s="188"/>
      <c r="BVS136" s="187"/>
      <c r="BVY136" s="188"/>
      <c r="BVZ136" s="187"/>
      <c r="BWB136" s="168"/>
      <c r="BWC136" s="189"/>
      <c r="BWF136" s="188"/>
      <c r="BWG136" s="187"/>
      <c r="BWM136" s="188"/>
      <c r="BWN136" s="187"/>
      <c r="BWT136" s="188"/>
      <c r="BWU136" s="187"/>
      <c r="BXA136" s="188"/>
      <c r="BXB136" s="187"/>
      <c r="BXG136" s="168"/>
      <c r="BXH136" s="191"/>
      <c r="BXI136" s="187"/>
      <c r="BXO136" s="188"/>
      <c r="BXP136" s="187"/>
      <c r="BXV136" s="188"/>
      <c r="BXW136" s="187"/>
      <c r="BYC136" s="188"/>
      <c r="BYD136" s="187"/>
      <c r="BYJ136" s="188"/>
      <c r="BYK136" s="190"/>
      <c r="BYL136" s="189"/>
      <c r="BYQ136" s="188"/>
      <c r="BYR136" s="187"/>
      <c r="BYX136" s="188"/>
      <c r="BYY136" s="187"/>
      <c r="BZE136" s="188"/>
      <c r="BZF136" s="187"/>
      <c r="BZL136" s="188"/>
      <c r="BZM136" s="187"/>
      <c r="BZP136" s="168"/>
      <c r="BZQ136" s="189"/>
      <c r="BZS136" s="188"/>
      <c r="BZT136" s="187"/>
      <c r="BZZ136" s="188"/>
      <c r="CAA136" s="187"/>
      <c r="CAG136" s="188"/>
      <c r="CAH136" s="187"/>
      <c r="CAN136" s="188"/>
      <c r="CAO136" s="187"/>
      <c r="CAU136" s="168"/>
      <c r="CAV136" s="189"/>
      <c r="CBB136" s="188"/>
      <c r="CBC136" s="187"/>
      <c r="CBI136" s="188"/>
      <c r="CBJ136" s="187"/>
      <c r="CBP136" s="188"/>
      <c r="CBQ136" s="187"/>
      <c r="CBW136" s="188"/>
      <c r="CBX136" s="187"/>
      <c r="CBY136" s="168"/>
      <c r="CBZ136" s="189"/>
      <c r="CCD136" s="188"/>
      <c r="CCE136" s="187"/>
      <c r="CCK136" s="188"/>
      <c r="CCL136" s="187"/>
      <c r="CCR136" s="188"/>
      <c r="CCS136" s="187"/>
      <c r="CCY136" s="188"/>
      <c r="CCZ136" s="187"/>
      <c r="CDD136" s="168"/>
      <c r="CDE136" s="189"/>
      <c r="CDF136" s="188"/>
      <c r="CDG136" s="187"/>
      <c r="CDM136" s="188"/>
      <c r="CDN136" s="187"/>
      <c r="CDT136" s="188"/>
      <c r="CDU136" s="187"/>
      <c r="CEA136" s="188"/>
      <c r="CEB136" s="187"/>
      <c r="CEH136" s="168"/>
      <c r="CEI136" s="189"/>
      <c r="CEO136" s="188"/>
      <c r="CEP136" s="187"/>
      <c r="CEV136" s="188"/>
      <c r="CEW136" s="187"/>
      <c r="CFC136" s="188"/>
      <c r="CFD136" s="187"/>
      <c r="CFJ136" s="188"/>
      <c r="CFK136" s="187"/>
    </row>
    <row r="137" spans="1:1019 1025:2048 2054:2195">
      <c r="D137" s="186"/>
      <c r="E137" s="186"/>
      <c r="K137" s="187"/>
      <c r="Q137" s="188"/>
      <c r="R137" s="187"/>
      <c r="X137" s="188"/>
      <c r="Y137" s="187"/>
      <c r="AE137" s="188"/>
      <c r="AF137" s="187"/>
      <c r="AJ137" s="168"/>
      <c r="AK137" s="189"/>
      <c r="AL137" s="188"/>
      <c r="AM137" s="187"/>
      <c r="AS137" s="188"/>
      <c r="AT137" s="187"/>
      <c r="AZ137" s="188"/>
      <c r="BA137" s="187"/>
      <c r="BG137" s="188"/>
      <c r="BH137" s="187"/>
      <c r="BL137" s="168"/>
      <c r="BM137" s="189"/>
      <c r="BN137" s="188"/>
      <c r="BO137" s="187"/>
      <c r="BU137" s="188"/>
      <c r="BV137" s="187"/>
      <c r="CB137" s="188"/>
      <c r="CC137" s="187"/>
      <c r="CI137" s="188"/>
      <c r="CJ137" s="187"/>
      <c r="CP137" s="188"/>
      <c r="CQ137" s="190"/>
      <c r="CR137" s="189"/>
      <c r="CW137" s="188"/>
      <c r="CX137" s="187"/>
      <c r="DD137" s="188"/>
      <c r="DE137" s="187"/>
      <c r="DK137" s="188"/>
      <c r="DL137" s="187"/>
      <c r="DR137" s="188"/>
      <c r="DS137" s="187"/>
      <c r="DU137" s="168"/>
      <c r="DV137" s="189"/>
      <c r="DY137" s="188"/>
      <c r="DZ137" s="187"/>
      <c r="EF137" s="188"/>
      <c r="EG137" s="187"/>
      <c r="EM137" s="188"/>
      <c r="EN137" s="187"/>
      <c r="ET137" s="188"/>
      <c r="EU137" s="187"/>
      <c r="EZ137" s="168"/>
      <c r="FA137" s="191"/>
      <c r="FB137" s="187"/>
      <c r="FH137" s="188"/>
      <c r="FI137" s="187"/>
      <c r="FO137" s="188"/>
      <c r="FP137" s="187"/>
      <c r="FV137" s="188"/>
      <c r="FW137" s="187"/>
      <c r="GC137" s="188"/>
      <c r="GD137" s="190"/>
      <c r="GE137" s="189"/>
      <c r="GJ137" s="188"/>
      <c r="GK137" s="187"/>
      <c r="GQ137" s="188"/>
      <c r="GR137" s="187"/>
      <c r="GX137" s="188"/>
      <c r="GY137" s="187"/>
      <c r="HE137" s="188"/>
      <c r="HF137" s="187"/>
      <c r="HI137" s="168"/>
      <c r="HJ137" s="189"/>
      <c r="HL137" s="188"/>
      <c r="HM137" s="187"/>
      <c r="HS137" s="188"/>
      <c r="HT137" s="187"/>
      <c r="HZ137" s="188"/>
      <c r="IA137" s="187"/>
      <c r="IG137" s="188"/>
      <c r="IH137" s="187"/>
      <c r="IN137" s="168"/>
      <c r="IO137" s="189"/>
      <c r="IU137" s="188"/>
      <c r="IV137" s="187"/>
      <c r="JB137" s="188"/>
      <c r="JC137" s="187"/>
      <c r="JI137" s="188"/>
      <c r="JJ137" s="187"/>
      <c r="JP137" s="188"/>
      <c r="JQ137" s="187"/>
      <c r="JR137" s="168"/>
      <c r="JS137" s="189"/>
      <c r="JW137" s="188"/>
      <c r="JX137" s="187"/>
      <c r="KD137" s="188"/>
      <c r="KE137" s="187"/>
      <c r="KK137" s="188"/>
      <c r="KL137" s="187"/>
      <c r="KR137" s="188"/>
      <c r="KS137" s="187"/>
      <c r="KW137" s="168"/>
      <c r="KX137" s="189"/>
      <c r="KY137" s="188"/>
      <c r="KZ137" s="187"/>
      <c r="LF137" s="188"/>
      <c r="LG137" s="187"/>
      <c r="LM137" s="188"/>
      <c r="LN137" s="187"/>
      <c r="LT137" s="188"/>
      <c r="LU137" s="187"/>
      <c r="MA137" s="168"/>
      <c r="MB137" s="189"/>
      <c r="MH137" s="188"/>
      <c r="MI137" s="187"/>
      <c r="MO137" s="188"/>
      <c r="MP137" s="187"/>
      <c r="MV137" s="188"/>
      <c r="MW137" s="187"/>
      <c r="NC137" s="188"/>
      <c r="ND137" s="187"/>
      <c r="NF137" s="168"/>
      <c r="NG137" s="189"/>
      <c r="NJ137" s="188"/>
      <c r="NK137" s="187"/>
      <c r="NQ137" s="188"/>
      <c r="NR137" s="187"/>
      <c r="NX137" s="188"/>
      <c r="NY137" s="187"/>
      <c r="OE137" s="188"/>
      <c r="OF137" s="187"/>
      <c r="OK137" s="168"/>
      <c r="OL137" s="191"/>
      <c r="OM137" s="187"/>
      <c r="OS137" s="188"/>
      <c r="OT137" s="187"/>
      <c r="OZ137" s="188"/>
      <c r="PA137" s="187"/>
      <c r="PG137" s="188"/>
      <c r="PH137" s="187"/>
      <c r="PN137" s="168"/>
      <c r="PO137" s="189"/>
      <c r="PU137" s="188"/>
      <c r="PV137" s="187"/>
      <c r="QB137" s="188"/>
      <c r="QC137" s="187"/>
      <c r="QI137" s="188"/>
      <c r="QJ137" s="187"/>
      <c r="QP137" s="188"/>
      <c r="QQ137" s="187"/>
      <c r="QS137" s="168"/>
      <c r="QT137" s="189"/>
      <c r="QW137" s="188"/>
      <c r="QX137" s="187"/>
      <c r="RD137" s="188"/>
      <c r="RE137" s="187"/>
      <c r="RK137" s="188"/>
      <c r="RL137" s="187"/>
      <c r="RR137" s="188"/>
      <c r="RS137" s="187"/>
      <c r="RW137" s="168"/>
      <c r="RX137" s="189"/>
      <c r="RY137" s="188"/>
      <c r="RZ137" s="187"/>
      <c r="SF137" s="188"/>
      <c r="SG137" s="187"/>
      <c r="SM137" s="188"/>
      <c r="SN137" s="187"/>
      <c r="ST137" s="188"/>
      <c r="SU137" s="187"/>
      <c r="TA137" s="188"/>
      <c r="TB137" s="190"/>
      <c r="TC137" s="189"/>
      <c r="TH137" s="188"/>
      <c r="TI137" s="187"/>
      <c r="TO137" s="188"/>
      <c r="TP137" s="187"/>
      <c r="TV137" s="188"/>
      <c r="TW137" s="187"/>
      <c r="UC137" s="188"/>
      <c r="UD137" s="187"/>
      <c r="UF137" s="168"/>
      <c r="UG137" s="189"/>
      <c r="UJ137" s="188"/>
      <c r="UK137" s="187"/>
      <c r="UQ137" s="188"/>
      <c r="UR137" s="187"/>
      <c r="UX137" s="188"/>
      <c r="UY137" s="187"/>
      <c r="VE137" s="188"/>
      <c r="VF137" s="187"/>
      <c r="VK137" s="168"/>
      <c r="VL137" s="191"/>
      <c r="VM137" s="187"/>
      <c r="VS137" s="188"/>
      <c r="VT137" s="187"/>
      <c r="VZ137" s="188"/>
      <c r="WA137" s="187"/>
      <c r="WG137" s="188"/>
      <c r="WH137" s="187"/>
      <c r="WN137" s="188"/>
      <c r="WO137" s="187"/>
      <c r="WP137" s="168"/>
      <c r="WQ137" s="189"/>
      <c r="WU137" s="188"/>
      <c r="WV137" s="187"/>
      <c r="XB137" s="188"/>
      <c r="XC137" s="187"/>
      <c r="XI137" s="188"/>
      <c r="XJ137" s="187"/>
      <c r="XP137" s="188"/>
      <c r="XQ137" s="187"/>
      <c r="XT137" s="168"/>
      <c r="XU137" s="189"/>
      <c r="XW137" s="188"/>
      <c r="XX137" s="187"/>
      <c r="YD137" s="188"/>
      <c r="YE137" s="187"/>
      <c r="YK137" s="188"/>
      <c r="YL137" s="187"/>
      <c r="YR137" s="188"/>
      <c r="YS137" s="187"/>
      <c r="YY137" s="168"/>
      <c r="YZ137" s="189"/>
      <c r="ZF137" s="188"/>
      <c r="ZG137" s="187"/>
      <c r="ZM137" s="188"/>
      <c r="ZN137" s="187"/>
      <c r="ZT137" s="188"/>
      <c r="ZU137" s="187"/>
      <c r="AAA137" s="188"/>
      <c r="AAB137" s="187"/>
      <c r="AAC137" s="168"/>
      <c r="AAD137" s="189"/>
      <c r="AAH137" s="188"/>
      <c r="AAI137" s="187"/>
      <c r="AAO137" s="188"/>
      <c r="AAP137" s="187"/>
      <c r="AAV137" s="188"/>
      <c r="AAW137" s="187"/>
      <c r="ABC137" s="188"/>
      <c r="ABD137" s="187"/>
      <c r="ABH137" s="168"/>
      <c r="ABI137" s="189"/>
      <c r="ABJ137" s="188"/>
      <c r="ABK137" s="187"/>
      <c r="ABQ137" s="188"/>
      <c r="ABR137" s="187"/>
      <c r="ABX137" s="188"/>
      <c r="ABY137" s="187"/>
      <c r="ACE137" s="188"/>
      <c r="ACF137" s="187"/>
      <c r="ACL137" s="188"/>
      <c r="ACM137" s="190"/>
      <c r="ACN137" s="189"/>
      <c r="ACS137" s="188"/>
      <c r="ACT137" s="187"/>
      <c r="ACZ137" s="188"/>
      <c r="ADA137" s="187"/>
      <c r="ADG137" s="188"/>
      <c r="ADH137" s="187"/>
      <c r="ADN137" s="188"/>
      <c r="ADO137" s="190"/>
      <c r="ADP137" s="189"/>
      <c r="ADU137" s="188"/>
      <c r="ADV137" s="187"/>
      <c r="AEB137" s="188"/>
      <c r="AEC137" s="187"/>
      <c r="AEI137" s="188"/>
      <c r="AEJ137" s="187"/>
      <c r="AEP137" s="188"/>
      <c r="AEQ137" s="187"/>
      <c r="AET137" s="168"/>
      <c r="AEU137" s="189"/>
      <c r="AEW137" s="188"/>
      <c r="AEX137" s="187"/>
      <c r="AFD137" s="188"/>
      <c r="AFE137" s="187"/>
      <c r="AFK137" s="188"/>
      <c r="AFL137" s="187"/>
      <c r="AFR137" s="188"/>
      <c r="AFS137" s="187"/>
      <c r="AFX137" s="168"/>
      <c r="AFY137" s="191"/>
      <c r="AFZ137" s="187"/>
      <c r="AGF137" s="188"/>
      <c r="AGG137" s="187"/>
      <c r="AGM137" s="188"/>
      <c r="AGN137" s="187"/>
      <c r="AGT137" s="188"/>
      <c r="AGU137" s="187"/>
      <c r="AHA137" s="188"/>
      <c r="AHB137" s="187"/>
      <c r="AHC137" s="168"/>
      <c r="AHD137" s="189"/>
      <c r="AHH137" s="188"/>
      <c r="AHI137" s="187"/>
      <c r="AHO137" s="188"/>
      <c r="AHP137" s="187"/>
      <c r="AHV137" s="188"/>
      <c r="AHW137" s="187"/>
      <c r="AIC137" s="188"/>
      <c r="AID137" s="187"/>
      <c r="AIG137" s="168"/>
      <c r="AIH137" s="189"/>
      <c r="AIJ137" s="188"/>
      <c r="AIK137" s="187"/>
      <c r="AIQ137" s="188"/>
      <c r="AIR137" s="187"/>
      <c r="AIX137" s="188"/>
      <c r="AIY137" s="187"/>
      <c r="AJE137" s="188"/>
      <c r="AJF137" s="187"/>
      <c r="AJL137" s="168"/>
      <c r="AJM137" s="189"/>
      <c r="AJS137" s="188"/>
      <c r="AJT137" s="187"/>
      <c r="AJZ137" s="188"/>
      <c r="AKA137" s="187"/>
      <c r="AKG137" s="188"/>
      <c r="AKH137" s="187"/>
      <c r="AKN137" s="188"/>
      <c r="AKO137" s="187"/>
      <c r="AKQ137" s="168"/>
      <c r="AKR137" s="189"/>
      <c r="AKU137" s="188"/>
      <c r="AKV137" s="187"/>
      <c r="ALB137" s="188"/>
      <c r="ALC137" s="187"/>
      <c r="ALI137" s="188"/>
      <c r="ALJ137" s="187"/>
      <c r="ALP137" s="188"/>
      <c r="ALQ137" s="187"/>
      <c r="ALU137" s="168"/>
      <c r="ALV137" s="189"/>
      <c r="ALW137" s="188"/>
      <c r="ALX137" s="187"/>
      <c r="AMD137" s="188"/>
      <c r="AME137" s="187"/>
      <c r="AMK137" s="188"/>
      <c r="AML137" s="187"/>
      <c r="AMR137" s="188"/>
      <c r="AMS137" s="187"/>
      <c r="AMY137" s="188"/>
      <c r="AMZ137" s="190"/>
      <c r="ANA137" s="189"/>
      <c r="ANF137" s="188"/>
      <c r="ANG137" s="187"/>
      <c r="ANM137" s="188"/>
      <c r="ANN137" s="187"/>
      <c r="ANT137" s="188"/>
      <c r="ANU137" s="187"/>
      <c r="AOA137" s="188"/>
      <c r="AOB137" s="187"/>
      <c r="AOD137" s="168"/>
      <c r="AOE137" s="189"/>
      <c r="AOH137" s="188"/>
      <c r="AOI137" s="187"/>
      <c r="AOO137" s="188"/>
      <c r="AOP137" s="187"/>
      <c r="AOV137" s="188"/>
      <c r="AOW137" s="187"/>
      <c r="APC137" s="188"/>
      <c r="APD137" s="187"/>
      <c r="API137" s="168"/>
      <c r="APJ137" s="191"/>
      <c r="APK137" s="187"/>
      <c r="APQ137" s="188"/>
      <c r="APR137" s="187"/>
      <c r="APX137" s="188"/>
      <c r="APY137" s="187"/>
      <c r="AQE137" s="188"/>
      <c r="AQF137" s="187"/>
      <c r="AQL137" s="188"/>
      <c r="AQM137" s="187"/>
      <c r="AQN137" s="168"/>
      <c r="AQO137" s="189"/>
      <c r="AQS137" s="188"/>
      <c r="AQT137" s="187"/>
      <c r="AQZ137" s="188"/>
      <c r="ARA137" s="187"/>
      <c r="ARG137" s="188"/>
      <c r="ARH137" s="187"/>
      <c r="ARN137" s="188"/>
      <c r="ARO137" s="187"/>
      <c r="ARP137" s="168"/>
      <c r="ARQ137" s="189"/>
      <c r="ARU137" s="188"/>
      <c r="ARV137" s="187"/>
      <c r="ASB137" s="188"/>
      <c r="ASC137" s="187"/>
      <c r="ASI137" s="188"/>
      <c r="ASJ137" s="187"/>
      <c r="ASP137" s="188"/>
      <c r="ASQ137" s="187"/>
      <c r="ASU137" s="168"/>
      <c r="ASV137" s="189"/>
      <c r="ASW137" s="188"/>
      <c r="ASX137" s="187"/>
      <c r="ATD137" s="188"/>
      <c r="ATE137" s="187"/>
      <c r="ATK137" s="188"/>
      <c r="ATL137" s="187"/>
      <c r="ATR137" s="188"/>
      <c r="ATS137" s="187"/>
      <c r="ATY137" s="168"/>
      <c r="ATZ137" s="189"/>
      <c r="AUF137" s="188"/>
      <c r="AUG137" s="187"/>
      <c r="AUM137" s="188"/>
      <c r="AUN137" s="187"/>
      <c r="AUT137" s="188"/>
      <c r="AUU137" s="187"/>
      <c r="AVA137" s="188"/>
      <c r="AVB137" s="187"/>
      <c r="AVD137" s="168"/>
      <c r="AVE137" s="189"/>
      <c r="AVH137" s="188"/>
      <c r="AVI137" s="187"/>
      <c r="AVO137" s="188"/>
      <c r="AVP137" s="187"/>
      <c r="AVV137" s="188"/>
      <c r="AVW137" s="187"/>
      <c r="AWC137" s="188"/>
      <c r="AWD137" s="187"/>
      <c r="AWH137" s="168"/>
      <c r="AWI137" s="189"/>
      <c r="AWJ137" s="188"/>
      <c r="AWK137" s="187"/>
      <c r="AWQ137" s="188"/>
      <c r="AWR137" s="187"/>
      <c r="AWX137" s="188"/>
      <c r="AWY137" s="187"/>
      <c r="AXE137" s="188"/>
      <c r="AXF137" s="187"/>
      <c r="AXL137" s="188"/>
      <c r="AXM137" s="190"/>
      <c r="AXN137" s="189"/>
      <c r="AXS137" s="188"/>
      <c r="AXT137" s="187"/>
      <c r="AXZ137" s="188"/>
      <c r="AYA137" s="187"/>
      <c r="AYG137" s="188"/>
      <c r="AYH137" s="187"/>
      <c r="AYN137" s="188"/>
      <c r="AYO137" s="187"/>
      <c r="AYR137" s="168"/>
      <c r="AYS137" s="189"/>
      <c r="AYU137" s="188"/>
      <c r="AYV137" s="187"/>
      <c r="AZB137" s="188"/>
      <c r="AZC137" s="187"/>
      <c r="AZI137" s="188"/>
      <c r="AZJ137" s="187"/>
      <c r="AZP137" s="188"/>
      <c r="AZQ137" s="187"/>
      <c r="AZV137" s="168"/>
      <c r="AZW137" s="191"/>
      <c r="AZX137" s="187"/>
      <c r="BAD137" s="188"/>
      <c r="BAE137" s="187"/>
      <c r="BAK137" s="188"/>
      <c r="BAL137" s="187"/>
      <c r="BAR137" s="188"/>
      <c r="BAS137" s="187"/>
      <c r="BAY137" s="188"/>
      <c r="BAZ137" s="187"/>
      <c r="BBA137" s="168"/>
      <c r="BBB137" s="189"/>
      <c r="BBF137" s="188"/>
      <c r="BBG137" s="187"/>
      <c r="BBM137" s="188"/>
      <c r="BBN137" s="187"/>
      <c r="BBT137" s="188"/>
      <c r="BBU137" s="187"/>
      <c r="BCA137" s="188"/>
      <c r="BCB137" s="187"/>
      <c r="BCE137" s="168"/>
      <c r="BCF137" s="189"/>
      <c r="BCH137" s="188"/>
      <c r="BCI137" s="187"/>
      <c r="BCO137" s="188"/>
      <c r="BCP137" s="187"/>
      <c r="BCV137" s="188"/>
      <c r="BCW137" s="187"/>
      <c r="BDC137" s="188"/>
      <c r="BDD137" s="187"/>
      <c r="BDJ137" s="168"/>
      <c r="BDK137" s="189"/>
      <c r="BDQ137" s="188"/>
      <c r="BDR137" s="187"/>
      <c r="BDX137" s="188"/>
      <c r="BDY137" s="187"/>
      <c r="BEE137" s="188"/>
      <c r="BEF137" s="187"/>
      <c r="BEL137" s="188"/>
      <c r="BEM137" s="187"/>
      <c r="BEO137" s="168"/>
      <c r="BEP137" s="189"/>
      <c r="BES137" s="188"/>
      <c r="BET137" s="187"/>
      <c r="BEZ137" s="188"/>
      <c r="BFA137" s="187"/>
      <c r="BFG137" s="188"/>
      <c r="BFH137" s="187"/>
      <c r="BFN137" s="188"/>
      <c r="BFO137" s="187"/>
      <c r="BFQ137" s="168"/>
      <c r="BFR137" s="189"/>
      <c r="BFU137" s="188"/>
      <c r="BFV137" s="187"/>
      <c r="BGB137" s="188"/>
      <c r="BGC137" s="187"/>
      <c r="BGI137" s="188"/>
      <c r="BGJ137" s="187"/>
      <c r="BGP137" s="188"/>
      <c r="BGQ137" s="187"/>
      <c r="BGV137" s="168"/>
      <c r="BGW137" s="191"/>
      <c r="BGX137" s="187"/>
      <c r="BHD137" s="188"/>
      <c r="BHE137" s="187"/>
      <c r="BHK137" s="188"/>
      <c r="BHL137" s="187"/>
      <c r="BHR137" s="188"/>
      <c r="BHS137" s="187"/>
      <c r="BHY137" s="188"/>
      <c r="BHZ137" s="190"/>
      <c r="BIA137" s="189"/>
      <c r="BIF137" s="188"/>
      <c r="BIG137" s="187"/>
      <c r="BIM137" s="188"/>
      <c r="BIN137" s="187"/>
      <c r="BIT137" s="188"/>
      <c r="BIU137" s="187"/>
      <c r="BJA137" s="188"/>
      <c r="BJB137" s="187"/>
      <c r="BJE137" s="168"/>
      <c r="BJF137" s="189"/>
      <c r="BJH137" s="188"/>
      <c r="BJI137" s="187"/>
      <c r="BJO137" s="188"/>
      <c r="BJP137" s="187"/>
      <c r="BJV137" s="188"/>
      <c r="BJW137" s="187"/>
      <c r="BKC137" s="188"/>
      <c r="BKD137" s="187"/>
      <c r="BKI137" s="168"/>
      <c r="BKJ137" s="191"/>
      <c r="BKK137" s="187"/>
      <c r="BKQ137" s="188"/>
      <c r="BKR137" s="187"/>
      <c r="BKX137" s="188"/>
      <c r="BKY137" s="187"/>
      <c r="BLE137" s="188"/>
      <c r="BLF137" s="187"/>
      <c r="BLL137" s="188"/>
      <c r="BLM137" s="187"/>
      <c r="BLN137" s="168"/>
      <c r="BLO137" s="189"/>
      <c r="BLS137" s="188"/>
      <c r="BLT137" s="187"/>
      <c r="BLZ137" s="188"/>
      <c r="BMA137" s="187"/>
      <c r="BMG137" s="188"/>
      <c r="BMH137" s="187"/>
      <c r="BMN137" s="188"/>
      <c r="BMO137" s="187"/>
      <c r="BMS137" s="168"/>
      <c r="BMT137" s="189"/>
      <c r="BMU137" s="188"/>
      <c r="BMV137" s="187"/>
      <c r="BNB137" s="188"/>
      <c r="BNC137" s="187"/>
      <c r="BNI137" s="188"/>
      <c r="BNJ137" s="187"/>
      <c r="BNP137" s="188"/>
      <c r="BNQ137" s="187"/>
      <c r="BNW137" s="168"/>
      <c r="BNX137" s="189"/>
      <c r="BOD137" s="188"/>
      <c r="BOE137" s="187"/>
      <c r="BOK137" s="188"/>
      <c r="BOL137" s="187"/>
      <c r="BOR137" s="188"/>
      <c r="BOS137" s="187"/>
      <c r="BOY137" s="188"/>
      <c r="BOZ137" s="187"/>
      <c r="BPB137" s="168"/>
      <c r="BPC137" s="189"/>
      <c r="BPF137" s="188"/>
      <c r="BPG137" s="187"/>
      <c r="BPM137" s="188"/>
      <c r="BPN137" s="187"/>
      <c r="BPT137" s="188"/>
      <c r="BPU137" s="187"/>
      <c r="BQA137" s="188"/>
      <c r="BQB137" s="187"/>
      <c r="BQF137" s="168"/>
      <c r="BQG137" s="189"/>
      <c r="BQH137" s="188"/>
      <c r="BQI137" s="187"/>
      <c r="BQO137" s="188"/>
      <c r="BQP137" s="187"/>
      <c r="BQV137" s="188"/>
      <c r="BQW137" s="187"/>
      <c r="BRC137" s="188"/>
      <c r="BRD137" s="187"/>
      <c r="BRJ137" s="188"/>
      <c r="BRK137" s="190"/>
      <c r="BRL137" s="189"/>
      <c r="BRQ137" s="188"/>
      <c r="BRR137" s="187"/>
      <c r="BRX137" s="188"/>
      <c r="BRY137" s="187"/>
      <c r="BSE137" s="188"/>
      <c r="BSF137" s="187"/>
      <c r="BSL137" s="188"/>
      <c r="BSM137" s="187"/>
      <c r="BSP137" s="168"/>
      <c r="BSQ137" s="189"/>
      <c r="BSS137" s="188"/>
      <c r="BST137" s="187"/>
      <c r="BSZ137" s="188"/>
      <c r="BTA137" s="187"/>
      <c r="BTG137" s="188"/>
      <c r="BTH137" s="187"/>
      <c r="BTN137" s="188"/>
      <c r="BTO137" s="187"/>
      <c r="BTS137" s="168"/>
      <c r="BTT137" s="189"/>
      <c r="BTU137" s="188"/>
      <c r="BTV137" s="187"/>
      <c r="BUB137" s="188"/>
      <c r="BUC137" s="187"/>
      <c r="BUI137" s="188"/>
      <c r="BUJ137" s="187"/>
      <c r="BUP137" s="188"/>
      <c r="BUQ137" s="187"/>
      <c r="BUW137" s="188"/>
      <c r="BUX137" s="190"/>
      <c r="BUY137" s="189"/>
      <c r="BVD137" s="188"/>
      <c r="BVE137" s="187"/>
      <c r="BVK137" s="188"/>
      <c r="BVL137" s="187"/>
      <c r="BVR137" s="188"/>
      <c r="BVS137" s="187"/>
      <c r="BVY137" s="188"/>
      <c r="BVZ137" s="187"/>
      <c r="BWB137" s="168"/>
      <c r="BWC137" s="189"/>
      <c r="BWF137" s="188"/>
      <c r="BWG137" s="187"/>
      <c r="BWM137" s="188"/>
      <c r="BWN137" s="187"/>
      <c r="BWT137" s="188"/>
      <c r="BWU137" s="187"/>
      <c r="BXA137" s="188"/>
      <c r="BXB137" s="187"/>
      <c r="BXG137" s="168"/>
      <c r="BXH137" s="191"/>
      <c r="BXI137" s="187"/>
      <c r="BXO137" s="188"/>
      <c r="BXP137" s="187"/>
      <c r="BXV137" s="188"/>
      <c r="BXW137" s="187"/>
      <c r="BYC137" s="188"/>
      <c r="BYD137" s="187"/>
      <c r="BYJ137" s="188"/>
      <c r="BYK137" s="190"/>
      <c r="BYL137" s="189"/>
      <c r="BYQ137" s="188"/>
      <c r="BYR137" s="187"/>
      <c r="BYX137" s="188"/>
      <c r="BYY137" s="187"/>
      <c r="BZE137" s="188"/>
      <c r="BZF137" s="187"/>
      <c r="BZL137" s="188"/>
      <c r="BZM137" s="187"/>
      <c r="BZP137" s="168"/>
      <c r="BZQ137" s="189"/>
      <c r="BZS137" s="188"/>
      <c r="BZT137" s="187"/>
      <c r="BZZ137" s="188"/>
      <c r="CAA137" s="187"/>
      <c r="CAG137" s="188"/>
      <c r="CAH137" s="187"/>
      <c r="CAN137" s="188"/>
      <c r="CAO137" s="187"/>
      <c r="CAU137" s="168"/>
      <c r="CAV137" s="189"/>
      <c r="CBB137" s="188"/>
      <c r="CBC137" s="187"/>
      <c r="CBI137" s="188"/>
      <c r="CBJ137" s="187"/>
      <c r="CBP137" s="188"/>
      <c r="CBQ137" s="187"/>
      <c r="CBW137" s="188"/>
      <c r="CBX137" s="187"/>
      <c r="CBY137" s="168"/>
      <c r="CBZ137" s="189"/>
      <c r="CCD137" s="188"/>
      <c r="CCE137" s="187"/>
      <c r="CCK137" s="188"/>
      <c r="CCL137" s="187"/>
      <c r="CCR137" s="188"/>
      <c r="CCS137" s="187"/>
      <c r="CCY137" s="188"/>
      <c r="CCZ137" s="187"/>
      <c r="CDD137" s="168"/>
      <c r="CDE137" s="189"/>
      <c r="CDF137" s="188"/>
      <c r="CDG137" s="187"/>
      <c r="CDM137" s="188"/>
      <c r="CDN137" s="187"/>
      <c r="CDT137" s="188"/>
      <c r="CDU137" s="187"/>
      <c r="CEA137" s="188"/>
      <c r="CEB137" s="187"/>
      <c r="CEH137" s="168"/>
      <c r="CEI137" s="189"/>
      <c r="CEO137" s="188"/>
      <c r="CEP137" s="187"/>
      <c r="CEV137" s="188"/>
      <c r="CEW137" s="187"/>
      <c r="CFC137" s="188"/>
      <c r="CFD137" s="187"/>
      <c r="CFJ137" s="188"/>
      <c r="CFK137" s="187"/>
    </row>
    <row r="138" spans="1:1019 1025:2048 2054:2195">
      <c r="D138" s="186"/>
      <c r="E138" s="186"/>
      <c r="K138" s="187"/>
      <c r="Q138" s="188"/>
      <c r="R138" s="187"/>
      <c r="X138" s="188"/>
      <c r="Y138" s="187"/>
      <c r="AE138" s="188"/>
      <c r="AF138" s="187"/>
      <c r="AJ138" s="168"/>
      <c r="AK138" s="189"/>
      <c r="AL138" s="188"/>
      <c r="AM138" s="187"/>
      <c r="AS138" s="188"/>
      <c r="AT138" s="187"/>
      <c r="AZ138" s="188"/>
      <c r="BA138" s="187"/>
      <c r="BG138" s="188"/>
      <c r="BH138" s="187"/>
      <c r="BL138" s="168"/>
      <c r="BM138" s="189"/>
      <c r="BN138" s="188"/>
      <c r="BO138" s="187"/>
      <c r="BU138" s="188"/>
      <c r="BV138" s="187"/>
      <c r="CB138" s="188"/>
      <c r="CC138" s="187"/>
      <c r="CI138" s="188"/>
      <c r="CJ138" s="187"/>
      <c r="CP138" s="188"/>
      <c r="CQ138" s="190"/>
      <c r="CR138" s="189"/>
      <c r="CW138" s="188"/>
      <c r="CX138" s="187"/>
      <c r="DD138" s="188"/>
      <c r="DE138" s="187"/>
      <c r="DK138" s="188"/>
      <c r="DL138" s="187"/>
      <c r="DR138" s="188"/>
      <c r="DS138" s="187"/>
      <c r="DU138" s="168"/>
      <c r="DV138" s="189"/>
      <c r="DY138" s="188"/>
      <c r="DZ138" s="187"/>
      <c r="EF138" s="188"/>
      <c r="EG138" s="187"/>
      <c r="EM138" s="188"/>
      <c r="EN138" s="187"/>
      <c r="ET138" s="188"/>
      <c r="EU138" s="187"/>
      <c r="EZ138" s="168"/>
      <c r="FA138" s="191"/>
      <c r="FB138" s="187"/>
      <c r="FH138" s="188"/>
      <c r="FI138" s="187"/>
      <c r="FO138" s="188"/>
      <c r="FP138" s="187"/>
      <c r="FV138" s="188"/>
      <c r="FW138" s="187"/>
      <c r="GC138" s="188"/>
      <c r="GD138" s="190"/>
      <c r="GE138" s="189"/>
      <c r="GJ138" s="188"/>
      <c r="GK138" s="187"/>
      <c r="GQ138" s="188"/>
      <c r="GR138" s="187"/>
      <c r="GX138" s="188"/>
      <c r="GY138" s="187"/>
      <c r="HE138" s="188"/>
      <c r="HF138" s="187"/>
      <c r="HI138" s="168"/>
      <c r="HJ138" s="189"/>
      <c r="HL138" s="188"/>
      <c r="HM138" s="187"/>
      <c r="HS138" s="188"/>
      <c r="HT138" s="187"/>
      <c r="HZ138" s="188"/>
      <c r="IA138" s="187"/>
      <c r="IG138" s="188"/>
      <c r="IH138" s="187"/>
      <c r="IN138" s="168"/>
      <c r="IO138" s="189"/>
      <c r="IU138" s="188"/>
      <c r="IV138" s="187"/>
      <c r="JB138" s="188"/>
      <c r="JC138" s="187"/>
      <c r="JI138" s="188"/>
      <c r="JJ138" s="187"/>
      <c r="JP138" s="188"/>
      <c r="JQ138" s="187"/>
      <c r="JR138" s="168"/>
      <c r="JS138" s="189"/>
      <c r="JW138" s="188"/>
      <c r="JX138" s="187"/>
      <c r="KD138" s="188"/>
      <c r="KE138" s="187"/>
      <c r="KK138" s="188"/>
      <c r="KL138" s="187"/>
      <c r="KR138" s="188"/>
      <c r="KS138" s="187"/>
      <c r="KW138" s="168"/>
      <c r="KX138" s="189"/>
      <c r="KY138" s="188"/>
      <c r="KZ138" s="187"/>
      <c r="LF138" s="188"/>
      <c r="LG138" s="187"/>
      <c r="LM138" s="188"/>
      <c r="LN138" s="187"/>
      <c r="LT138" s="188"/>
      <c r="LU138" s="187"/>
      <c r="MA138" s="168"/>
      <c r="MB138" s="189"/>
      <c r="MH138" s="188"/>
      <c r="MI138" s="187"/>
      <c r="MO138" s="188"/>
      <c r="MP138" s="187"/>
      <c r="MV138" s="188"/>
      <c r="MW138" s="187"/>
      <c r="NC138" s="188"/>
      <c r="ND138" s="187"/>
      <c r="NF138" s="168"/>
      <c r="NG138" s="189"/>
      <c r="NJ138" s="188"/>
      <c r="NK138" s="187"/>
      <c r="NQ138" s="188"/>
      <c r="NR138" s="187"/>
      <c r="NX138" s="188"/>
      <c r="NY138" s="187"/>
      <c r="OE138" s="188"/>
      <c r="OF138" s="187"/>
      <c r="OK138" s="168"/>
      <c r="OL138" s="191"/>
      <c r="OM138" s="187"/>
      <c r="OS138" s="188"/>
      <c r="OT138" s="187"/>
      <c r="OZ138" s="188"/>
      <c r="PA138" s="187"/>
      <c r="PG138" s="188"/>
      <c r="PH138" s="187"/>
      <c r="PN138" s="168"/>
      <c r="PO138" s="189"/>
      <c r="PU138" s="188"/>
      <c r="PV138" s="187"/>
      <c r="QB138" s="188"/>
      <c r="QC138" s="187"/>
      <c r="QI138" s="188"/>
      <c r="QJ138" s="187"/>
      <c r="QP138" s="188"/>
      <c r="QQ138" s="187"/>
      <c r="QS138" s="168"/>
      <c r="QT138" s="189"/>
      <c r="QW138" s="188"/>
      <c r="QX138" s="187"/>
      <c r="RD138" s="188"/>
      <c r="RE138" s="187"/>
      <c r="RK138" s="188"/>
      <c r="RL138" s="187"/>
      <c r="RR138" s="188"/>
      <c r="RS138" s="187"/>
      <c r="RW138" s="168"/>
      <c r="RX138" s="189"/>
      <c r="RY138" s="188"/>
      <c r="RZ138" s="187"/>
      <c r="SF138" s="188"/>
      <c r="SG138" s="187"/>
      <c r="SM138" s="188"/>
      <c r="SN138" s="187"/>
      <c r="ST138" s="188"/>
      <c r="SU138" s="187"/>
      <c r="TA138" s="188"/>
      <c r="TB138" s="190"/>
      <c r="TC138" s="189"/>
      <c r="TH138" s="188"/>
      <c r="TI138" s="187"/>
      <c r="TO138" s="188"/>
      <c r="TP138" s="187"/>
      <c r="TV138" s="188"/>
      <c r="TW138" s="187"/>
      <c r="UC138" s="188"/>
      <c r="UD138" s="187"/>
      <c r="UF138" s="168"/>
      <c r="UG138" s="189"/>
      <c r="UJ138" s="188"/>
      <c r="UK138" s="187"/>
      <c r="UQ138" s="188"/>
      <c r="UR138" s="187"/>
      <c r="UX138" s="188"/>
      <c r="UY138" s="187"/>
      <c r="VE138" s="188"/>
      <c r="VF138" s="187"/>
      <c r="VK138" s="168"/>
      <c r="VL138" s="191"/>
      <c r="VM138" s="187"/>
      <c r="VS138" s="188"/>
      <c r="VT138" s="187"/>
      <c r="VZ138" s="188"/>
      <c r="WA138" s="187"/>
      <c r="WG138" s="188"/>
      <c r="WH138" s="187"/>
      <c r="WN138" s="188"/>
      <c r="WO138" s="187"/>
      <c r="WP138" s="168"/>
      <c r="WQ138" s="189"/>
      <c r="WU138" s="188"/>
      <c r="WV138" s="187"/>
      <c r="XB138" s="188"/>
      <c r="XC138" s="187"/>
      <c r="XI138" s="188"/>
      <c r="XJ138" s="187"/>
      <c r="XP138" s="188"/>
      <c r="XQ138" s="187"/>
      <c r="XT138" s="168"/>
      <c r="XU138" s="189"/>
      <c r="XW138" s="188"/>
      <c r="XX138" s="187"/>
      <c r="YD138" s="188"/>
      <c r="YE138" s="187"/>
      <c r="YK138" s="188"/>
      <c r="YL138" s="187"/>
      <c r="YR138" s="188"/>
      <c r="YS138" s="187"/>
      <c r="YY138" s="168"/>
      <c r="YZ138" s="189"/>
      <c r="ZF138" s="188"/>
      <c r="ZG138" s="187"/>
      <c r="ZM138" s="188"/>
      <c r="ZN138" s="187"/>
      <c r="ZT138" s="188"/>
      <c r="ZU138" s="187"/>
      <c r="AAA138" s="188"/>
      <c r="AAB138" s="187"/>
      <c r="AAC138" s="168"/>
      <c r="AAD138" s="189"/>
      <c r="AAH138" s="188"/>
      <c r="AAI138" s="187"/>
      <c r="AAO138" s="188"/>
      <c r="AAP138" s="187"/>
      <c r="AAV138" s="188"/>
      <c r="AAW138" s="187"/>
      <c r="ABC138" s="188"/>
      <c r="ABD138" s="187"/>
      <c r="ABH138" s="168"/>
      <c r="ABI138" s="189"/>
      <c r="ABJ138" s="188"/>
      <c r="ABK138" s="187"/>
      <c r="ABQ138" s="188"/>
      <c r="ABR138" s="187"/>
      <c r="ABX138" s="188"/>
      <c r="ABY138" s="187"/>
      <c r="ACE138" s="188"/>
      <c r="ACF138" s="187"/>
      <c r="ACL138" s="188"/>
      <c r="ACM138" s="190"/>
      <c r="ACN138" s="189"/>
      <c r="ACS138" s="188"/>
      <c r="ACT138" s="187"/>
      <c r="ACZ138" s="188"/>
      <c r="ADA138" s="187"/>
      <c r="ADG138" s="188"/>
      <c r="ADH138" s="187"/>
      <c r="ADN138" s="188"/>
      <c r="ADO138" s="190"/>
      <c r="ADP138" s="189"/>
      <c r="ADU138" s="188"/>
      <c r="ADV138" s="187"/>
      <c r="AEB138" s="188"/>
      <c r="AEC138" s="187"/>
      <c r="AEI138" s="188"/>
      <c r="AEJ138" s="187"/>
      <c r="AEP138" s="188"/>
      <c r="AEQ138" s="187"/>
      <c r="AET138" s="168"/>
      <c r="AEU138" s="189"/>
      <c r="AEW138" s="188"/>
      <c r="AEX138" s="187"/>
      <c r="AFD138" s="188"/>
      <c r="AFE138" s="187"/>
      <c r="AFK138" s="188"/>
      <c r="AFL138" s="187"/>
      <c r="AFR138" s="188"/>
      <c r="AFS138" s="187"/>
      <c r="AFX138" s="168"/>
      <c r="AFY138" s="191"/>
      <c r="AFZ138" s="187"/>
      <c r="AGF138" s="188"/>
      <c r="AGG138" s="187"/>
      <c r="AGM138" s="188"/>
      <c r="AGN138" s="187"/>
      <c r="AGT138" s="188"/>
      <c r="AGU138" s="187"/>
      <c r="AHA138" s="188"/>
      <c r="AHB138" s="187"/>
      <c r="AHC138" s="168"/>
      <c r="AHD138" s="189"/>
      <c r="AHH138" s="188"/>
      <c r="AHI138" s="187"/>
      <c r="AHO138" s="188"/>
      <c r="AHP138" s="187"/>
      <c r="AHV138" s="188"/>
      <c r="AHW138" s="187"/>
      <c r="AIC138" s="188"/>
      <c r="AID138" s="187"/>
      <c r="AIG138" s="168"/>
      <c r="AIH138" s="189"/>
      <c r="AIJ138" s="188"/>
      <c r="AIK138" s="187"/>
      <c r="AIQ138" s="188"/>
      <c r="AIR138" s="187"/>
      <c r="AIX138" s="188"/>
      <c r="AIY138" s="187"/>
      <c r="AJE138" s="188"/>
      <c r="AJF138" s="187"/>
      <c r="AJL138" s="168"/>
      <c r="AJM138" s="189"/>
      <c r="AJS138" s="188"/>
      <c r="AJT138" s="187"/>
      <c r="AJZ138" s="188"/>
      <c r="AKA138" s="187"/>
      <c r="AKG138" s="188"/>
      <c r="AKH138" s="187"/>
      <c r="AKN138" s="188"/>
      <c r="AKO138" s="187"/>
      <c r="AKQ138" s="168"/>
      <c r="AKR138" s="189"/>
      <c r="AKU138" s="188"/>
      <c r="AKV138" s="187"/>
      <c r="ALB138" s="188"/>
      <c r="ALC138" s="187"/>
      <c r="ALI138" s="188"/>
      <c r="ALJ138" s="187"/>
      <c r="ALP138" s="188"/>
      <c r="ALQ138" s="187"/>
      <c r="ALU138" s="168"/>
      <c r="ALV138" s="189"/>
      <c r="ALW138" s="188"/>
      <c r="ALX138" s="187"/>
      <c r="AMD138" s="188"/>
      <c r="AME138" s="187"/>
      <c r="AMK138" s="188"/>
      <c r="AML138" s="187"/>
      <c r="AMR138" s="188"/>
      <c r="AMS138" s="187"/>
      <c r="AMY138" s="188"/>
      <c r="AMZ138" s="190"/>
      <c r="ANA138" s="189"/>
      <c r="ANF138" s="188"/>
      <c r="ANG138" s="187"/>
      <c r="ANM138" s="188"/>
      <c r="ANN138" s="187"/>
      <c r="ANT138" s="188"/>
      <c r="ANU138" s="187"/>
      <c r="AOA138" s="188"/>
      <c r="AOB138" s="187"/>
      <c r="AOD138" s="168"/>
      <c r="AOE138" s="189"/>
      <c r="AOH138" s="188"/>
      <c r="AOI138" s="187"/>
      <c r="AOO138" s="188"/>
      <c r="AOP138" s="187"/>
      <c r="AOV138" s="188"/>
      <c r="AOW138" s="187"/>
      <c r="APC138" s="188"/>
      <c r="APD138" s="187"/>
      <c r="API138" s="168"/>
      <c r="APJ138" s="191"/>
      <c r="APK138" s="187"/>
      <c r="APQ138" s="188"/>
      <c r="APR138" s="187"/>
      <c r="APX138" s="188"/>
      <c r="APY138" s="187"/>
      <c r="AQE138" s="188"/>
      <c r="AQF138" s="187"/>
      <c r="AQL138" s="188"/>
      <c r="AQM138" s="187"/>
      <c r="AQN138" s="168"/>
      <c r="AQO138" s="189"/>
      <c r="AQS138" s="188"/>
      <c r="AQT138" s="187"/>
      <c r="AQZ138" s="188"/>
      <c r="ARA138" s="187"/>
      <c r="ARG138" s="188"/>
      <c r="ARH138" s="187"/>
      <c r="ARN138" s="188"/>
      <c r="ARO138" s="187"/>
      <c r="ARP138" s="168"/>
      <c r="ARQ138" s="189"/>
      <c r="ARU138" s="188"/>
      <c r="ARV138" s="187"/>
      <c r="ASB138" s="188"/>
      <c r="ASC138" s="187"/>
      <c r="ASI138" s="188"/>
      <c r="ASJ138" s="187"/>
      <c r="ASP138" s="188"/>
      <c r="ASQ138" s="187"/>
      <c r="ASU138" s="168"/>
      <c r="ASV138" s="189"/>
      <c r="ASW138" s="188"/>
      <c r="ASX138" s="187"/>
      <c r="ATD138" s="188"/>
      <c r="ATE138" s="187"/>
      <c r="ATK138" s="188"/>
      <c r="ATL138" s="187"/>
      <c r="ATR138" s="188"/>
      <c r="ATS138" s="187"/>
      <c r="ATY138" s="168"/>
      <c r="ATZ138" s="189"/>
      <c r="AUF138" s="188"/>
      <c r="AUG138" s="187"/>
      <c r="AUM138" s="188"/>
      <c r="AUN138" s="187"/>
      <c r="AUT138" s="188"/>
      <c r="AUU138" s="187"/>
      <c r="AVA138" s="188"/>
      <c r="AVB138" s="187"/>
      <c r="AVD138" s="168"/>
      <c r="AVE138" s="189"/>
      <c r="AVH138" s="188"/>
      <c r="AVI138" s="187"/>
      <c r="AVO138" s="188"/>
      <c r="AVP138" s="187"/>
      <c r="AVV138" s="188"/>
      <c r="AVW138" s="187"/>
      <c r="AWC138" s="188"/>
      <c r="AWD138" s="187"/>
      <c r="AWH138" s="168"/>
      <c r="AWI138" s="189"/>
      <c r="AWJ138" s="188"/>
      <c r="AWK138" s="187"/>
      <c r="AWQ138" s="188"/>
      <c r="AWR138" s="187"/>
      <c r="AWX138" s="188"/>
      <c r="AWY138" s="187"/>
      <c r="AXE138" s="188"/>
      <c r="AXF138" s="187"/>
      <c r="AXL138" s="188"/>
      <c r="AXM138" s="190"/>
      <c r="AXN138" s="189"/>
      <c r="AXS138" s="188"/>
      <c r="AXT138" s="187"/>
      <c r="AXZ138" s="188"/>
      <c r="AYA138" s="187"/>
      <c r="AYG138" s="188"/>
      <c r="AYH138" s="187"/>
      <c r="AYN138" s="188"/>
      <c r="AYO138" s="187"/>
      <c r="AYR138" s="168"/>
      <c r="AYS138" s="189"/>
      <c r="AYU138" s="188"/>
      <c r="AYV138" s="187"/>
      <c r="AZB138" s="188"/>
      <c r="AZC138" s="187"/>
      <c r="AZI138" s="188"/>
      <c r="AZJ138" s="187"/>
      <c r="AZP138" s="188"/>
      <c r="AZQ138" s="187"/>
      <c r="AZV138" s="168"/>
      <c r="AZW138" s="191"/>
      <c r="AZX138" s="187"/>
      <c r="BAD138" s="188"/>
      <c r="BAE138" s="187"/>
      <c r="BAK138" s="188"/>
      <c r="BAL138" s="187"/>
      <c r="BAR138" s="188"/>
      <c r="BAS138" s="187"/>
      <c r="BAY138" s="188"/>
      <c r="BAZ138" s="187"/>
      <c r="BBA138" s="168"/>
      <c r="BBB138" s="189"/>
      <c r="BBF138" s="188"/>
      <c r="BBG138" s="187"/>
      <c r="BBM138" s="188"/>
      <c r="BBN138" s="187"/>
      <c r="BBT138" s="188"/>
      <c r="BBU138" s="187"/>
      <c r="BCA138" s="188"/>
      <c r="BCB138" s="187"/>
      <c r="BCE138" s="168"/>
      <c r="BCF138" s="189"/>
      <c r="BCH138" s="188"/>
      <c r="BCI138" s="187"/>
      <c r="BCO138" s="188"/>
      <c r="BCP138" s="187"/>
      <c r="BCV138" s="188"/>
      <c r="BCW138" s="187"/>
      <c r="BDC138" s="188"/>
      <c r="BDD138" s="187"/>
      <c r="BDJ138" s="168"/>
      <c r="BDK138" s="189"/>
      <c r="BDQ138" s="188"/>
      <c r="BDR138" s="187"/>
      <c r="BDX138" s="188"/>
      <c r="BDY138" s="187"/>
      <c r="BEE138" s="188"/>
      <c r="BEF138" s="187"/>
      <c r="BEL138" s="188"/>
      <c r="BEM138" s="187"/>
      <c r="BEO138" s="168"/>
      <c r="BEP138" s="189"/>
      <c r="BES138" s="188"/>
      <c r="BET138" s="187"/>
      <c r="BEZ138" s="188"/>
      <c r="BFA138" s="187"/>
      <c r="BFG138" s="188"/>
      <c r="BFH138" s="187"/>
      <c r="BFN138" s="188"/>
      <c r="BFO138" s="187"/>
      <c r="BFQ138" s="168"/>
      <c r="BFR138" s="189"/>
      <c r="BFU138" s="188"/>
      <c r="BFV138" s="187"/>
      <c r="BGB138" s="188"/>
      <c r="BGC138" s="187"/>
      <c r="BGI138" s="188"/>
      <c r="BGJ138" s="187"/>
      <c r="BGP138" s="188"/>
      <c r="BGQ138" s="187"/>
      <c r="BGV138" s="168"/>
      <c r="BGW138" s="191"/>
      <c r="BGX138" s="187"/>
      <c r="BHD138" s="188"/>
      <c r="BHE138" s="187"/>
      <c r="BHK138" s="188"/>
      <c r="BHL138" s="187"/>
      <c r="BHR138" s="188"/>
      <c r="BHS138" s="187"/>
      <c r="BHY138" s="188"/>
      <c r="BHZ138" s="190"/>
      <c r="BIA138" s="189"/>
      <c r="BIF138" s="188"/>
      <c r="BIG138" s="187"/>
      <c r="BIM138" s="188"/>
      <c r="BIN138" s="187"/>
      <c r="BIT138" s="188"/>
      <c r="BIU138" s="187"/>
      <c r="BJA138" s="188"/>
      <c r="BJB138" s="187"/>
      <c r="BJE138" s="168"/>
      <c r="BJF138" s="189"/>
      <c r="BJH138" s="188"/>
      <c r="BJI138" s="187"/>
      <c r="BJO138" s="188"/>
      <c r="BJP138" s="187"/>
      <c r="BJV138" s="188"/>
      <c r="BJW138" s="187"/>
      <c r="BKC138" s="188"/>
      <c r="BKD138" s="187"/>
      <c r="BKI138" s="168"/>
      <c r="BKJ138" s="191"/>
      <c r="BKK138" s="187"/>
      <c r="BKQ138" s="188"/>
      <c r="BKR138" s="187"/>
      <c r="BKX138" s="188"/>
      <c r="BKY138" s="187"/>
      <c r="BLE138" s="188"/>
      <c r="BLF138" s="187"/>
      <c r="BLL138" s="188"/>
      <c r="BLM138" s="187"/>
      <c r="BLN138" s="168"/>
      <c r="BLO138" s="189"/>
      <c r="BLS138" s="188"/>
      <c r="BLT138" s="187"/>
      <c r="BLZ138" s="188"/>
      <c r="BMA138" s="187"/>
      <c r="BMG138" s="188"/>
      <c r="BMH138" s="187"/>
      <c r="BMN138" s="188"/>
      <c r="BMO138" s="187"/>
      <c r="BMS138" s="168"/>
      <c r="BMT138" s="189"/>
      <c r="BMU138" s="188"/>
      <c r="BMV138" s="187"/>
      <c r="BNB138" s="188"/>
      <c r="BNC138" s="187"/>
      <c r="BNI138" s="188"/>
      <c r="BNJ138" s="187"/>
      <c r="BNP138" s="188"/>
      <c r="BNQ138" s="187"/>
      <c r="BNW138" s="168"/>
      <c r="BNX138" s="189"/>
      <c r="BOD138" s="188"/>
      <c r="BOE138" s="187"/>
      <c r="BOK138" s="188"/>
      <c r="BOL138" s="187"/>
      <c r="BOR138" s="188"/>
      <c r="BOS138" s="187"/>
      <c r="BOY138" s="188"/>
      <c r="BOZ138" s="187"/>
      <c r="BPB138" s="168"/>
      <c r="BPC138" s="189"/>
      <c r="BPF138" s="188"/>
      <c r="BPG138" s="187"/>
      <c r="BPM138" s="188"/>
      <c r="BPN138" s="187"/>
      <c r="BPT138" s="188"/>
      <c r="BPU138" s="187"/>
      <c r="BQA138" s="188"/>
      <c r="BQB138" s="187"/>
      <c r="BQF138" s="168"/>
      <c r="BQG138" s="189"/>
      <c r="BQH138" s="188"/>
      <c r="BQI138" s="187"/>
      <c r="BQO138" s="188"/>
      <c r="BQP138" s="187"/>
      <c r="BQV138" s="188"/>
      <c r="BQW138" s="187"/>
      <c r="BRC138" s="188"/>
      <c r="BRD138" s="187"/>
      <c r="BRJ138" s="188"/>
      <c r="BRK138" s="190"/>
      <c r="BRL138" s="189"/>
      <c r="BRQ138" s="188"/>
      <c r="BRR138" s="187"/>
      <c r="BRX138" s="188"/>
      <c r="BRY138" s="187"/>
      <c r="BSE138" s="188"/>
      <c r="BSF138" s="187"/>
      <c r="BSL138" s="188"/>
      <c r="BSM138" s="187"/>
      <c r="BSP138" s="168"/>
      <c r="BSQ138" s="189"/>
      <c r="BSS138" s="188"/>
      <c r="BST138" s="187"/>
      <c r="BSZ138" s="188"/>
      <c r="BTA138" s="187"/>
      <c r="BTG138" s="188"/>
      <c r="BTH138" s="187"/>
      <c r="BTN138" s="188"/>
      <c r="BTO138" s="187"/>
      <c r="BTS138" s="168"/>
      <c r="BTT138" s="189"/>
      <c r="BTU138" s="188"/>
      <c r="BTV138" s="187"/>
      <c r="BUB138" s="188"/>
      <c r="BUC138" s="187"/>
      <c r="BUI138" s="188"/>
      <c r="BUJ138" s="187"/>
      <c r="BUP138" s="188"/>
      <c r="BUQ138" s="187"/>
      <c r="BUW138" s="188"/>
      <c r="BUX138" s="190"/>
      <c r="BUY138" s="189"/>
      <c r="BVD138" s="188"/>
      <c r="BVE138" s="187"/>
      <c r="BVK138" s="188"/>
      <c r="BVL138" s="187"/>
      <c r="BVR138" s="188"/>
      <c r="BVS138" s="187"/>
      <c r="BVY138" s="188"/>
      <c r="BVZ138" s="187"/>
      <c r="BWB138" s="168"/>
      <c r="BWC138" s="189"/>
      <c r="BWF138" s="188"/>
      <c r="BWG138" s="187"/>
      <c r="BWM138" s="188"/>
      <c r="BWN138" s="187"/>
      <c r="BWT138" s="188"/>
      <c r="BWU138" s="187"/>
      <c r="BXA138" s="188"/>
      <c r="BXB138" s="187"/>
      <c r="BXG138" s="168"/>
      <c r="BXH138" s="191"/>
      <c r="BXI138" s="187"/>
      <c r="BXO138" s="188"/>
      <c r="BXP138" s="187"/>
      <c r="BXV138" s="188"/>
      <c r="BXW138" s="187"/>
      <c r="BYC138" s="188"/>
      <c r="BYD138" s="187"/>
      <c r="BYJ138" s="188"/>
      <c r="BYK138" s="190"/>
      <c r="BYL138" s="189"/>
      <c r="BYQ138" s="188"/>
      <c r="BYR138" s="187"/>
      <c r="BYX138" s="188"/>
      <c r="BYY138" s="187"/>
      <c r="BZE138" s="188"/>
      <c r="BZF138" s="187"/>
      <c r="BZL138" s="188"/>
      <c r="BZM138" s="187"/>
      <c r="BZP138" s="168"/>
      <c r="BZQ138" s="189"/>
      <c r="BZS138" s="188"/>
      <c r="BZT138" s="187"/>
      <c r="BZZ138" s="188"/>
      <c r="CAA138" s="187"/>
      <c r="CAG138" s="188"/>
      <c r="CAH138" s="187"/>
      <c r="CAN138" s="188"/>
      <c r="CAO138" s="187"/>
      <c r="CAU138" s="168"/>
      <c r="CAV138" s="189"/>
      <c r="CBB138" s="188"/>
      <c r="CBC138" s="187"/>
      <c r="CBI138" s="188"/>
      <c r="CBJ138" s="187"/>
      <c r="CBP138" s="188"/>
      <c r="CBQ138" s="187"/>
      <c r="CBW138" s="188"/>
      <c r="CBX138" s="187"/>
      <c r="CBY138" s="168"/>
      <c r="CBZ138" s="189"/>
      <c r="CCD138" s="188"/>
      <c r="CCE138" s="187"/>
      <c r="CCK138" s="188"/>
      <c r="CCL138" s="187"/>
      <c r="CCR138" s="188"/>
      <c r="CCS138" s="187"/>
      <c r="CCY138" s="188"/>
      <c r="CCZ138" s="187"/>
      <c r="CDD138" s="168"/>
      <c r="CDE138" s="189"/>
      <c r="CDF138" s="188"/>
      <c r="CDG138" s="187"/>
      <c r="CDM138" s="188"/>
      <c r="CDN138" s="187"/>
      <c r="CDT138" s="188"/>
      <c r="CDU138" s="187"/>
      <c r="CEA138" s="188"/>
      <c r="CEB138" s="187"/>
      <c r="CEH138" s="168"/>
      <c r="CEI138" s="189"/>
      <c r="CEO138" s="188"/>
      <c r="CEP138" s="187"/>
      <c r="CEV138" s="188"/>
      <c r="CEW138" s="187"/>
      <c r="CFC138" s="188"/>
      <c r="CFD138" s="187"/>
      <c r="CFJ138" s="188"/>
      <c r="CFK138" s="187"/>
    </row>
    <row r="139" spans="1:1019 1025:2048 2054:2195">
      <c r="D139" s="186"/>
      <c r="E139" s="186"/>
      <c r="K139" s="187"/>
      <c r="Q139" s="188"/>
      <c r="R139" s="187"/>
      <c r="X139" s="188"/>
      <c r="Y139" s="187"/>
      <c r="AE139" s="188"/>
      <c r="AF139" s="187"/>
      <c r="AJ139" s="168"/>
      <c r="AK139" s="189"/>
      <c r="AL139" s="188"/>
      <c r="AM139" s="187"/>
      <c r="AS139" s="188"/>
      <c r="AT139" s="187"/>
      <c r="AZ139" s="188"/>
      <c r="BA139" s="187"/>
      <c r="BG139" s="188"/>
      <c r="BH139" s="187"/>
      <c r="BL139" s="168"/>
      <c r="BM139" s="189"/>
      <c r="BN139" s="188"/>
      <c r="BO139" s="187"/>
      <c r="BU139" s="188"/>
      <c r="BV139" s="187"/>
      <c r="CB139" s="188"/>
      <c r="CC139" s="187"/>
      <c r="CI139" s="188"/>
      <c r="CJ139" s="187"/>
      <c r="CP139" s="188"/>
      <c r="CQ139" s="190"/>
      <c r="CR139" s="189"/>
      <c r="CW139" s="188"/>
      <c r="CX139" s="187"/>
      <c r="DD139" s="188"/>
      <c r="DE139" s="187"/>
      <c r="DK139" s="188"/>
      <c r="DL139" s="187"/>
      <c r="DR139" s="188"/>
      <c r="DS139" s="187"/>
      <c r="DU139" s="168"/>
      <c r="DV139" s="189"/>
      <c r="DY139" s="188"/>
      <c r="DZ139" s="187"/>
      <c r="EF139" s="188"/>
      <c r="EG139" s="187"/>
      <c r="EM139" s="188"/>
      <c r="EN139" s="187"/>
      <c r="ET139" s="188"/>
      <c r="EU139" s="187"/>
      <c r="EZ139" s="168"/>
      <c r="FA139" s="191"/>
      <c r="FB139" s="187"/>
      <c r="FH139" s="188"/>
      <c r="FI139" s="187"/>
      <c r="FO139" s="188"/>
      <c r="FP139" s="187"/>
      <c r="FV139" s="188"/>
      <c r="FW139" s="187"/>
      <c r="GC139" s="188"/>
      <c r="GD139" s="190"/>
      <c r="GE139" s="189"/>
      <c r="GJ139" s="188"/>
      <c r="GK139" s="187"/>
      <c r="GQ139" s="188"/>
      <c r="GR139" s="187"/>
      <c r="GX139" s="188"/>
      <c r="GY139" s="187"/>
      <c r="HE139" s="188"/>
      <c r="HF139" s="187"/>
      <c r="HI139" s="168"/>
      <c r="HJ139" s="189"/>
      <c r="HL139" s="188"/>
      <c r="HM139" s="187"/>
      <c r="HS139" s="188"/>
      <c r="HT139" s="187"/>
      <c r="HZ139" s="188"/>
      <c r="IA139" s="187"/>
      <c r="IG139" s="188"/>
      <c r="IH139" s="187"/>
      <c r="IN139" s="168"/>
      <c r="IO139" s="189"/>
      <c r="IU139" s="188"/>
      <c r="IV139" s="187"/>
      <c r="JB139" s="188"/>
      <c r="JC139" s="187"/>
      <c r="JI139" s="188"/>
      <c r="JJ139" s="187"/>
      <c r="JP139" s="188"/>
      <c r="JQ139" s="187"/>
      <c r="JR139" s="168"/>
      <c r="JS139" s="189"/>
      <c r="JW139" s="188"/>
      <c r="JX139" s="187"/>
      <c r="KD139" s="188"/>
      <c r="KE139" s="187"/>
      <c r="KK139" s="188"/>
      <c r="KL139" s="187"/>
      <c r="KR139" s="188"/>
      <c r="KS139" s="187"/>
      <c r="KW139" s="168"/>
      <c r="KX139" s="189"/>
      <c r="KY139" s="188"/>
      <c r="KZ139" s="187"/>
      <c r="LF139" s="188"/>
      <c r="LG139" s="187"/>
      <c r="LM139" s="188"/>
      <c r="LN139" s="187"/>
      <c r="LT139" s="188"/>
      <c r="LU139" s="187"/>
      <c r="MA139" s="168"/>
      <c r="MB139" s="189"/>
      <c r="MH139" s="188"/>
      <c r="MI139" s="187"/>
      <c r="MO139" s="188"/>
      <c r="MP139" s="187"/>
      <c r="MV139" s="188"/>
      <c r="MW139" s="187"/>
      <c r="NC139" s="188"/>
      <c r="ND139" s="187"/>
      <c r="NF139" s="168"/>
      <c r="NG139" s="189"/>
      <c r="NJ139" s="188"/>
      <c r="NK139" s="187"/>
      <c r="NQ139" s="188"/>
      <c r="NR139" s="187"/>
      <c r="NX139" s="188"/>
      <c r="NY139" s="187"/>
      <c r="OE139" s="188"/>
      <c r="OF139" s="187"/>
      <c r="OK139" s="168"/>
      <c r="OL139" s="191"/>
      <c r="OM139" s="187"/>
      <c r="OS139" s="188"/>
      <c r="OT139" s="187"/>
      <c r="OZ139" s="188"/>
      <c r="PA139" s="187"/>
      <c r="PG139" s="188"/>
      <c r="PH139" s="187"/>
      <c r="PN139" s="168"/>
      <c r="PO139" s="189"/>
      <c r="PU139" s="188"/>
      <c r="PV139" s="187"/>
      <c r="QB139" s="188"/>
      <c r="QC139" s="187"/>
      <c r="QI139" s="188"/>
      <c r="QJ139" s="187"/>
      <c r="QP139" s="188"/>
      <c r="QQ139" s="187"/>
      <c r="QS139" s="168"/>
      <c r="QT139" s="189"/>
      <c r="QW139" s="188"/>
      <c r="QX139" s="187"/>
      <c r="RD139" s="188"/>
      <c r="RE139" s="187"/>
      <c r="RK139" s="188"/>
      <c r="RL139" s="187"/>
      <c r="RR139" s="188"/>
      <c r="RS139" s="187"/>
      <c r="RW139" s="168"/>
      <c r="RX139" s="189"/>
      <c r="RY139" s="188"/>
      <c r="RZ139" s="187"/>
      <c r="SF139" s="188"/>
      <c r="SG139" s="187"/>
      <c r="SM139" s="188"/>
      <c r="SN139" s="187"/>
      <c r="ST139" s="188"/>
      <c r="SU139" s="187"/>
      <c r="TA139" s="188"/>
      <c r="TB139" s="190"/>
      <c r="TC139" s="189"/>
      <c r="TH139" s="188"/>
      <c r="TI139" s="187"/>
      <c r="TO139" s="188"/>
      <c r="TP139" s="187"/>
      <c r="TV139" s="188"/>
      <c r="TW139" s="187"/>
      <c r="UC139" s="188"/>
      <c r="UD139" s="187"/>
      <c r="UF139" s="168"/>
      <c r="UG139" s="189"/>
      <c r="UJ139" s="188"/>
      <c r="UK139" s="187"/>
      <c r="UQ139" s="188"/>
      <c r="UR139" s="187"/>
      <c r="UX139" s="188"/>
      <c r="UY139" s="187"/>
      <c r="VE139" s="188"/>
      <c r="VF139" s="187"/>
      <c r="VK139" s="168"/>
      <c r="VL139" s="191"/>
      <c r="VM139" s="187"/>
      <c r="VS139" s="188"/>
      <c r="VT139" s="187"/>
      <c r="VZ139" s="188"/>
      <c r="WA139" s="187"/>
      <c r="WG139" s="188"/>
      <c r="WH139" s="187"/>
      <c r="WN139" s="188"/>
      <c r="WO139" s="187"/>
      <c r="WP139" s="168"/>
      <c r="WQ139" s="189"/>
      <c r="WU139" s="188"/>
      <c r="WV139" s="187"/>
      <c r="XB139" s="188"/>
      <c r="XC139" s="187"/>
      <c r="XI139" s="188"/>
      <c r="XJ139" s="187"/>
      <c r="XP139" s="188"/>
      <c r="XQ139" s="187"/>
      <c r="XT139" s="168"/>
      <c r="XU139" s="189"/>
      <c r="XW139" s="188"/>
      <c r="XX139" s="187"/>
      <c r="YD139" s="188"/>
      <c r="YE139" s="187"/>
      <c r="YK139" s="188"/>
      <c r="YL139" s="187"/>
      <c r="YR139" s="188"/>
      <c r="YS139" s="187"/>
      <c r="YY139" s="168"/>
      <c r="YZ139" s="189"/>
      <c r="ZF139" s="188"/>
      <c r="ZG139" s="187"/>
      <c r="ZM139" s="188"/>
      <c r="ZN139" s="187"/>
      <c r="ZT139" s="188"/>
      <c r="ZU139" s="187"/>
      <c r="AAA139" s="188"/>
      <c r="AAB139" s="187"/>
      <c r="AAC139" s="168"/>
      <c r="AAD139" s="189"/>
      <c r="AAH139" s="188"/>
      <c r="AAI139" s="187"/>
      <c r="AAO139" s="188"/>
      <c r="AAP139" s="187"/>
      <c r="AAV139" s="188"/>
      <c r="AAW139" s="187"/>
      <c r="ABC139" s="188"/>
      <c r="ABD139" s="187"/>
      <c r="ABH139" s="168"/>
      <c r="ABI139" s="189"/>
      <c r="ABJ139" s="188"/>
      <c r="ABK139" s="187"/>
      <c r="ABQ139" s="188"/>
      <c r="ABR139" s="187"/>
      <c r="ABX139" s="188"/>
      <c r="ABY139" s="187"/>
      <c r="ACE139" s="188"/>
      <c r="ACF139" s="187"/>
      <c r="ACL139" s="188"/>
      <c r="ACM139" s="190"/>
      <c r="ACN139" s="189"/>
      <c r="ACS139" s="188"/>
      <c r="ACT139" s="187"/>
      <c r="ACZ139" s="188"/>
      <c r="ADA139" s="187"/>
      <c r="ADG139" s="188"/>
      <c r="ADH139" s="187"/>
      <c r="ADN139" s="188"/>
      <c r="ADO139" s="190"/>
      <c r="ADP139" s="189"/>
      <c r="ADU139" s="188"/>
      <c r="ADV139" s="187"/>
      <c r="AEB139" s="188"/>
      <c r="AEC139" s="187"/>
      <c r="AEI139" s="188"/>
      <c r="AEJ139" s="187"/>
      <c r="AEP139" s="188"/>
      <c r="AEQ139" s="187"/>
      <c r="AET139" s="168"/>
      <c r="AEU139" s="189"/>
      <c r="AEW139" s="188"/>
      <c r="AEX139" s="187"/>
      <c r="AFD139" s="188"/>
      <c r="AFE139" s="187"/>
      <c r="AFK139" s="188"/>
      <c r="AFL139" s="187"/>
      <c r="AFR139" s="188"/>
      <c r="AFS139" s="187"/>
      <c r="AFX139" s="168"/>
      <c r="AFY139" s="191"/>
      <c r="AFZ139" s="187"/>
      <c r="AGF139" s="188"/>
      <c r="AGG139" s="187"/>
      <c r="AGM139" s="188"/>
      <c r="AGN139" s="187"/>
      <c r="AGT139" s="188"/>
      <c r="AGU139" s="187"/>
      <c r="AHA139" s="188"/>
      <c r="AHB139" s="187"/>
      <c r="AHC139" s="168"/>
      <c r="AHD139" s="189"/>
      <c r="AHH139" s="188"/>
      <c r="AHI139" s="187"/>
      <c r="AHO139" s="188"/>
      <c r="AHP139" s="187"/>
      <c r="AHV139" s="188"/>
      <c r="AHW139" s="187"/>
      <c r="AIC139" s="188"/>
      <c r="AID139" s="187"/>
      <c r="AIG139" s="168"/>
      <c r="AIH139" s="189"/>
      <c r="AIJ139" s="188"/>
      <c r="AIK139" s="187"/>
      <c r="AIQ139" s="188"/>
      <c r="AIR139" s="187"/>
      <c r="AIX139" s="188"/>
      <c r="AIY139" s="187"/>
      <c r="AJE139" s="188"/>
      <c r="AJF139" s="187"/>
      <c r="AJL139" s="168"/>
      <c r="AJM139" s="189"/>
      <c r="AJS139" s="188"/>
      <c r="AJT139" s="187"/>
      <c r="AJZ139" s="188"/>
      <c r="AKA139" s="187"/>
      <c r="AKG139" s="188"/>
      <c r="AKH139" s="187"/>
      <c r="AKN139" s="188"/>
      <c r="AKO139" s="187"/>
      <c r="AKQ139" s="168"/>
      <c r="AKR139" s="189"/>
      <c r="AKU139" s="188"/>
      <c r="AKV139" s="187"/>
      <c r="ALB139" s="188"/>
      <c r="ALC139" s="187"/>
      <c r="ALI139" s="188"/>
      <c r="ALJ139" s="187"/>
      <c r="ALP139" s="188"/>
      <c r="ALQ139" s="187"/>
      <c r="ALU139" s="168"/>
      <c r="ALV139" s="189"/>
      <c r="ALW139" s="188"/>
      <c r="ALX139" s="187"/>
      <c r="AMD139" s="188"/>
      <c r="AME139" s="187"/>
      <c r="AMK139" s="188"/>
      <c r="AML139" s="187"/>
      <c r="AMR139" s="188"/>
      <c r="AMS139" s="187"/>
      <c r="AMY139" s="188"/>
      <c r="AMZ139" s="190"/>
      <c r="ANA139" s="189"/>
      <c r="ANF139" s="188"/>
      <c r="ANG139" s="187"/>
      <c r="ANM139" s="188"/>
      <c r="ANN139" s="187"/>
      <c r="ANT139" s="188"/>
      <c r="ANU139" s="187"/>
      <c r="AOA139" s="188"/>
      <c r="AOB139" s="187"/>
      <c r="AOD139" s="168"/>
      <c r="AOE139" s="189"/>
      <c r="AOH139" s="188"/>
      <c r="AOI139" s="187"/>
      <c r="AOO139" s="188"/>
      <c r="AOP139" s="187"/>
      <c r="AOV139" s="188"/>
      <c r="AOW139" s="187"/>
      <c r="APC139" s="188"/>
      <c r="APD139" s="187"/>
      <c r="API139" s="168"/>
      <c r="APJ139" s="191"/>
      <c r="APK139" s="187"/>
      <c r="APQ139" s="188"/>
      <c r="APR139" s="187"/>
      <c r="APX139" s="188"/>
      <c r="APY139" s="187"/>
      <c r="AQE139" s="188"/>
      <c r="AQF139" s="187"/>
      <c r="AQL139" s="188"/>
      <c r="AQM139" s="187"/>
      <c r="AQN139" s="168"/>
      <c r="AQO139" s="189"/>
      <c r="AQS139" s="188"/>
      <c r="AQT139" s="187"/>
      <c r="AQZ139" s="188"/>
      <c r="ARA139" s="187"/>
      <c r="ARG139" s="188"/>
      <c r="ARH139" s="187"/>
      <c r="ARN139" s="188"/>
      <c r="ARO139" s="187"/>
      <c r="ARP139" s="168"/>
      <c r="ARQ139" s="189"/>
      <c r="ARU139" s="188"/>
      <c r="ARV139" s="187"/>
      <c r="ASB139" s="188"/>
      <c r="ASC139" s="187"/>
      <c r="ASI139" s="188"/>
      <c r="ASJ139" s="187"/>
      <c r="ASP139" s="188"/>
      <c r="ASQ139" s="187"/>
      <c r="ASU139" s="168"/>
      <c r="ASV139" s="189"/>
      <c r="ASW139" s="188"/>
      <c r="ASX139" s="187"/>
      <c r="ATD139" s="188"/>
      <c r="ATE139" s="187"/>
      <c r="ATK139" s="188"/>
      <c r="ATL139" s="187"/>
      <c r="ATR139" s="188"/>
      <c r="ATS139" s="187"/>
      <c r="ATY139" s="168"/>
      <c r="ATZ139" s="189"/>
      <c r="AUF139" s="188"/>
      <c r="AUG139" s="187"/>
      <c r="AUM139" s="188"/>
      <c r="AUN139" s="187"/>
      <c r="AUT139" s="188"/>
      <c r="AUU139" s="187"/>
      <c r="AVA139" s="188"/>
      <c r="AVB139" s="187"/>
      <c r="AVD139" s="168"/>
      <c r="AVE139" s="189"/>
      <c r="AVH139" s="188"/>
      <c r="AVI139" s="187"/>
      <c r="AVO139" s="188"/>
      <c r="AVP139" s="187"/>
      <c r="AVV139" s="188"/>
      <c r="AVW139" s="187"/>
      <c r="AWC139" s="188"/>
      <c r="AWD139" s="187"/>
      <c r="AWH139" s="168"/>
      <c r="AWI139" s="189"/>
      <c r="AWJ139" s="188"/>
      <c r="AWK139" s="187"/>
      <c r="AWQ139" s="188"/>
      <c r="AWR139" s="187"/>
      <c r="AWX139" s="188"/>
      <c r="AWY139" s="187"/>
      <c r="AXE139" s="188"/>
      <c r="AXF139" s="187"/>
      <c r="AXL139" s="188"/>
      <c r="AXM139" s="190"/>
      <c r="AXN139" s="189"/>
      <c r="AXS139" s="188"/>
      <c r="AXT139" s="187"/>
      <c r="AXZ139" s="188"/>
      <c r="AYA139" s="187"/>
      <c r="AYG139" s="188"/>
      <c r="AYH139" s="187"/>
      <c r="AYN139" s="188"/>
      <c r="AYO139" s="187"/>
      <c r="AYR139" s="168"/>
      <c r="AYS139" s="189"/>
      <c r="AYU139" s="188"/>
      <c r="AYV139" s="187"/>
      <c r="AZB139" s="188"/>
      <c r="AZC139" s="187"/>
      <c r="AZI139" s="188"/>
      <c r="AZJ139" s="187"/>
      <c r="AZP139" s="188"/>
      <c r="AZQ139" s="187"/>
      <c r="AZV139" s="168"/>
      <c r="AZW139" s="191"/>
      <c r="AZX139" s="187"/>
      <c r="BAD139" s="188"/>
      <c r="BAE139" s="187"/>
      <c r="BAK139" s="188"/>
      <c r="BAL139" s="187"/>
      <c r="BAR139" s="188"/>
      <c r="BAS139" s="187"/>
      <c r="BAY139" s="188"/>
      <c r="BAZ139" s="187"/>
      <c r="BBA139" s="168"/>
      <c r="BBB139" s="189"/>
      <c r="BBF139" s="188"/>
      <c r="BBG139" s="187"/>
      <c r="BBM139" s="188"/>
      <c r="BBN139" s="187"/>
      <c r="BBT139" s="188"/>
      <c r="BBU139" s="187"/>
      <c r="BCA139" s="188"/>
      <c r="BCB139" s="187"/>
      <c r="BCE139" s="168"/>
      <c r="BCF139" s="189"/>
      <c r="BCH139" s="188"/>
      <c r="BCI139" s="187"/>
      <c r="BCO139" s="188"/>
      <c r="BCP139" s="187"/>
      <c r="BCV139" s="188"/>
      <c r="BCW139" s="187"/>
      <c r="BDC139" s="188"/>
      <c r="BDD139" s="187"/>
      <c r="BDJ139" s="168"/>
      <c r="BDK139" s="189"/>
      <c r="BDQ139" s="188"/>
      <c r="BDR139" s="187"/>
      <c r="BDX139" s="188"/>
      <c r="BDY139" s="187"/>
      <c r="BEE139" s="188"/>
      <c r="BEF139" s="187"/>
      <c r="BEL139" s="188"/>
      <c r="BEM139" s="187"/>
      <c r="BEO139" s="168"/>
      <c r="BEP139" s="189"/>
      <c r="BES139" s="188"/>
      <c r="BET139" s="187"/>
      <c r="BEZ139" s="188"/>
      <c r="BFA139" s="187"/>
      <c r="BFG139" s="188"/>
      <c r="BFH139" s="187"/>
      <c r="BFN139" s="188"/>
      <c r="BFO139" s="187"/>
      <c r="BFQ139" s="168"/>
      <c r="BFR139" s="189"/>
      <c r="BFU139" s="188"/>
      <c r="BFV139" s="187"/>
      <c r="BGB139" s="188"/>
      <c r="BGC139" s="187"/>
      <c r="BGI139" s="188"/>
      <c r="BGJ139" s="187"/>
      <c r="BGP139" s="188"/>
      <c r="BGQ139" s="187"/>
      <c r="BGV139" s="168"/>
      <c r="BGW139" s="191"/>
      <c r="BGX139" s="187"/>
      <c r="BHD139" s="188"/>
      <c r="BHE139" s="187"/>
      <c r="BHK139" s="188"/>
      <c r="BHL139" s="187"/>
      <c r="BHR139" s="188"/>
      <c r="BHS139" s="187"/>
      <c r="BHY139" s="188"/>
      <c r="BHZ139" s="190"/>
      <c r="BIA139" s="189"/>
      <c r="BIF139" s="188"/>
      <c r="BIG139" s="187"/>
      <c r="BIM139" s="188"/>
      <c r="BIN139" s="187"/>
      <c r="BIT139" s="188"/>
      <c r="BIU139" s="187"/>
      <c r="BJA139" s="188"/>
      <c r="BJB139" s="187"/>
      <c r="BJE139" s="168"/>
      <c r="BJF139" s="189"/>
      <c r="BJH139" s="188"/>
      <c r="BJI139" s="187"/>
      <c r="BJO139" s="188"/>
      <c r="BJP139" s="187"/>
      <c r="BJV139" s="188"/>
      <c r="BJW139" s="187"/>
      <c r="BKC139" s="188"/>
      <c r="BKD139" s="187"/>
      <c r="BKI139" s="168"/>
      <c r="BKJ139" s="191"/>
      <c r="BKK139" s="187"/>
      <c r="BKQ139" s="188"/>
      <c r="BKR139" s="187"/>
      <c r="BKX139" s="188"/>
      <c r="BKY139" s="187"/>
      <c r="BLE139" s="188"/>
      <c r="BLF139" s="187"/>
      <c r="BLL139" s="188"/>
      <c r="BLM139" s="187"/>
      <c r="BLN139" s="168"/>
      <c r="BLO139" s="189"/>
      <c r="BLS139" s="188"/>
      <c r="BLT139" s="187"/>
      <c r="BLZ139" s="188"/>
      <c r="BMA139" s="187"/>
      <c r="BMG139" s="188"/>
      <c r="BMH139" s="187"/>
      <c r="BMN139" s="188"/>
      <c r="BMO139" s="187"/>
      <c r="BMS139" s="168"/>
      <c r="BMT139" s="189"/>
      <c r="BMU139" s="188"/>
      <c r="BMV139" s="187"/>
      <c r="BNB139" s="188"/>
      <c r="BNC139" s="187"/>
      <c r="BNI139" s="188"/>
      <c r="BNJ139" s="187"/>
      <c r="BNP139" s="188"/>
      <c r="BNQ139" s="187"/>
      <c r="BNW139" s="168"/>
      <c r="BNX139" s="189"/>
      <c r="BOD139" s="188"/>
      <c r="BOE139" s="187"/>
      <c r="BOK139" s="188"/>
      <c r="BOL139" s="187"/>
      <c r="BOR139" s="188"/>
      <c r="BOS139" s="187"/>
      <c r="BOY139" s="188"/>
      <c r="BOZ139" s="187"/>
      <c r="BPB139" s="168"/>
      <c r="BPC139" s="189"/>
      <c r="BPF139" s="188"/>
      <c r="BPG139" s="187"/>
      <c r="BPM139" s="188"/>
      <c r="BPN139" s="187"/>
      <c r="BPT139" s="188"/>
      <c r="BPU139" s="187"/>
      <c r="BQA139" s="188"/>
      <c r="BQB139" s="187"/>
      <c r="BQF139" s="168"/>
      <c r="BQG139" s="189"/>
      <c r="BQH139" s="188"/>
      <c r="BQI139" s="187"/>
      <c r="BQO139" s="188"/>
      <c r="BQP139" s="187"/>
      <c r="BQV139" s="188"/>
      <c r="BQW139" s="187"/>
      <c r="BRC139" s="188"/>
      <c r="BRD139" s="187"/>
      <c r="BRJ139" s="188"/>
      <c r="BRK139" s="190"/>
      <c r="BRL139" s="189"/>
      <c r="BRQ139" s="188"/>
      <c r="BRR139" s="187"/>
      <c r="BRX139" s="188"/>
      <c r="BRY139" s="187"/>
      <c r="BSE139" s="188"/>
      <c r="BSF139" s="187"/>
      <c r="BSL139" s="188"/>
      <c r="BSM139" s="187"/>
      <c r="BSP139" s="168"/>
      <c r="BSQ139" s="189"/>
      <c r="BSS139" s="188"/>
      <c r="BST139" s="187"/>
      <c r="BSZ139" s="188"/>
      <c r="BTA139" s="187"/>
      <c r="BTG139" s="188"/>
      <c r="BTH139" s="187"/>
      <c r="BTN139" s="188"/>
      <c r="BTO139" s="187"/>
      <c r="BTS139" s="168"/>
      <c r="BTT139" s="189"/>
      <c r="BTU139" s="188"/>
      <c r="BTV139" s="187"/>
      <c r="BUB139" s="188"/>
      <c r="BUC139" s="187"/>
      <c r="BUI139" s="188"/>
      <c r="BUJ139" s="187"/>
      <c r="BUP139" s="188"/>
      <c r="BUQ139" s="187"/>
      <c r="BUW139" s="188"/>
      <c r="BUX139" s="190"/>
      <c r="BUY139" s="189"/>
      <c r="BVD139" s="188"/>
      <c r="BVE139" s="187"/>
      <c r="BVK139" s="188"/>
      <c r="BVL139" s="187"/>
      <c r="BVR139" s="188"/>
      <c r="BVS139" s="187"/>
      <c r="BVY139" s="188"/>
      <c r="BVZ139" s="187"/>
      <c r="BWB139" s="168"/>
      <c r="BWC139" s="189"/>
      <c r="BWF139" s="188"/>
      <c r="BWG139" s="187"/>
      <c r="BWM139" s="188"/>
      <c r="BWN139" s="187"/>
      <c r="BWT139" s="188"/>
      <c r="BWU139" s="187"/>
      <c r="BXA139" s="188"/>
      <c r="BXB139" s="187"/>
      <c r="BXG139" s="168"/>
      <c r="BXH139" s="191"/>
      <c r="BXI139" s="187"/>
      <c r="BXO139" s="188"/>
      <c r="BXP139" s="187"/>
      <c r="BXV139" s="188"/>
      <c r="BXW139" s="187"/>
      <c r="BYC139" s="188"/>
      <c r="BYD139" s="187"/>
      <c r="BYJ139" s="188"/>
      <c r="BYK139" s="190"/>
      <c r="BYL139" s="189"/>
      <c r="BYQ139" s="188"/>
      <c r="BYR139" s="187"/>
      <c r="BYX139" s="188"/>
      <c r="BYY139" s="187"/>
      <c r="BZE139" s="188"/>
      <c r="BZF139" s="187"/>
      <c r="BZL139" s="188"/>
      <c r="BZM139" s="187"/>
      <c r="BZP139" s="168"/>
      <c r="BZQ139" s="189"/>
      <c r="BZS139" s="188"/>
      <c r="BZT139" s="187"/>
      <c r="BZZ139" s="188"/>
      <c r="CAA139" s="187"/>
      <c r="CAG139" s="188"/>
      <c r="CAH139" s="187"/>
      <c r="CAN139" s="188"/>
      <c r="CAO139" s="187"/>
      <c r="CAU139" s="168"/>
      <c r="CAV139" s="189"/>
      <c r="CBB139" s="188"/>
      <c r="CBC139" s="187"/>
      <c r="CBI139" s="188"/>
      <c r="CBJ139" s="187"/>
      <c r="CBP139" s="188"/>
      <c r="CBQ139" s="187"/>
      <c r="CBW139" s="188"/>
      <c r="CBX139" s="187"/>
      <c r="CBY139" s="168"/>
      <c r="CBZ139" s="189"/>
      <c r="CCD139" s="188"/>
      <c r="CCE139" s="187"/>
      <c r="CCK139" s="188"/>
      <c r="CCL139" s="187"/>
      <c r="CCR139" s="188"/>
      <c r="CCS139" s="187"/>
      <c r="CCY139" s="188"/>
      <c r="CCZ139" s="187"/>
      <c r="CDD139" s="168"/>
      <c r="CDE139" s="189"/>
      <c r="CDF139" s="188"/>
      <c r="CDG139" s="187"/>
      <c r="CDM139" s="188"/>
      <c r="CDN139" s="187"/>
      <c r="CDT139" s="188"/>
      <c r="CDU139" s="187"/>
      <c r="CEA139" s="188"/>
      <c r="CEB139" s="187"/>
      <c r="CEH139" s="168"/>
      <c r="CEI139" s="189"/>
      <c r="CEO139" s="188"/>
      <c r="CEP139" s="187"/>
      <c r="CEV139" s="188"/>
      <c r="CEW139" s="187"/>
      <c r="CFC139" s="188"/>
      <c r="CFD139" s="187"/>
      <c r="CFJ139" s="188"/>
      <c r="CFK139" s="187"/>
    </row>
    <row r="140" spans="1:1019 1025:2048 2054:2195">
      <c r="D140" s="186"/>
      <c r="E140" s="186"/>
      <c r="K140" s="187"/>
      <c r="Q140" s="188"/>
      <c r="R140" s="187"/>
      <c r="X140" s="188"/>
      <c r="Y140" s="187"/>
      <c r="AE140" s="188"/>
      <c r="AF140" s="187"/>
      <c r="AJ140" s="168"/>
      <c r="AK140" s="189"/>
      <c r="AL140" s="188"/>
      <c r="AM140" s="187"/>
      <c r="AS140" s="188"/>
      <c r="AT140" s="187"/>
      <c r="AZ140" s="188"/>
      <c r="BA140" s="187"/>
      <c r="BG140" s="188"/>
      <c r="BH140" s="187"/>
      <c r="BL140" s="168"/>
      <c r="BM140" s="189"/>
      <c r="BN140" s="188"/>
      <c r="BO140" s="187"/>
      <c r="BU140" s="188"/>
      <c r="BV140" s="187"/>
      <c r="CB140" s="188"/>
      <c r="CC140" s="187"/>
      <c r="CI140" s="188"/>
      <c r="CJ140" s="187"/>
      <c r="CP140" s="188"/>
      <c r="CQ140" s="190"/>
      <c r="CR140" s="189"/>
      <c r="CW140" s="188"/>
      <c r="CX140" s="187"/>
      <c r="DD140" s="188"/>
      <c r="DE140" s="187"/>
      <c r="DK140" s="188"/>
      <c r="DL140" s="187"/>
      <c r="DR140" s="188"/>
      <c r="DS140" s="187"/>
      <c r="DU140" s="168"/>
      <c r="DV140" s="189"/>
      <c r="DY140" s="188"/>
      <c r="DZ140" s="187"/>
      <c r="EF140" s="188"/>
      <c r="EG140" s="187"/>
      <c r="EM140" s="188"/>
      <c r="EN140" s="187"/>
      <c r="ET140" s="188"/>
      <c r="EU140" s="187"/>
      <c r="EZ140" s="168"/>
      <c r="FA140" s="191"/>
      <c r="FB140" s="187"/>
      <c r="FH140" s="188"/>
      <c r="FI140" s="187"/>
      <c r="FO140" s="188"/>
      <c r="FP140" s="187"/>
      <c r="FV140" s="188"/>
      <c r="FW140" s="187"/>
      <c r="GC140" s="188"/>
      <c r="GD140" s="190"/>
      <c r="GE140" s="189"/>
      <c r="GJ140" s="188"/>
      <c r="GK140" s="187"/>
      <c r="GQ140" s="188"/>
      <c r="GR140" s="187"/>
      <c r="GX140" s="188"/>
      <c r="GY140" s="187"/>
      <c r="HE140" s="188"/>
      <c r="HF140" s="187"/>
      <c r="HI140" s="168"/>
      <c r="HJ140" s="189"/>
      <c r="HL140" s="188"/>
      <c r="HM140" s="187"/>
      <c r="HS140" s="188"/>
      <c r="HT140" s="187"/>
      <c r="HZ140" s="188"/>
      <c r="IA140" s="187"/>
      <c r="IG140" s="188"/>
      <c r="IH140" s="187"/>
      <c r="IN140" s="168"/>
      <c r="IO140" s="189"/>
      <c r="IU140" s="188"/>
      <c r="IV140" s="187"/>
      <c r="JB140" s="188"/>
      <c r="JC140" s="187"/>
      <c r="JI140" s="188"/>
      <c r="JJ140" s="187"/>
      <c r="JP140" s="188"/>
      <c r="JQ140" s="187"/>
      <c r="JR140" s="168"/>
      <c r="JS140" s="189"/>
      <c r="JW140" s="188"/>
      <c r="JX140" s="187"/>
      <c r="KD140" s="188"/>
      <c r="KE140" s="187"/>
      <c r="KK140" s="188"/>
      <c r="KL140" s="187"/>
      <c r="KR140" s="188"/>
      <c r="KS140" s="187"/>
      <c r="KW140" s="168"/>
      <c r="KX140" s="189"/>
      <c r="KY140" s="188"/>
      <c r="KZ140" s="187"/>
      <c r="LF140" s="188"/>
      <c r="LG140" s="187"/>
      <c r="LM140" s="188"/>
      <c r="LN140" s="187"/>
      <c r="LT140" s="188"/>
      <c r="LU140" s="187"/>
      <c r="MA140" s="168"/>
      <c r="MB140" s="189"/>
      <c r="MH140" s="188"/>
      <c r="MI140" s="187"/>
      <c r="MO140" s="188"/>
      <c r="MP140" s="187"/>
      <c r="MV140" s="188"/>
      <c r="MW140" s="187"/>
      <c r="NC140" s="188"/>
      <c r="ND140" s="187"/>
      <c r="NF140" s="168"/>
      <c r="NG140" s="189"/>
      <c r="NJ140" s="188"/>
      <c r="NK140" s="187"/>
      <c r="NQ140" s="188"/>
      <c r="NR140" s="187"/>
      <c r="NX140" s="188"/>
      <c r="NY140" s="187"/>
      <c r="OE140" s="188"/>
      <c r="OF140" s="187"/>
      <c r="OK140" s="168"/>
      <c r="OL140" s="191"/>
      <c r="OM140" s="187"/>
      <c r="OS140" s="188"/>
      <c r="OT140" s="187"/>
      <c r="OZ140" s="188"/>
      <c r="PA140" s="187"/>
      <c r="PG140" s="188"/>
      <c r="PH140" s="187"/>
      <c r="PN140" s="168"/>
      <c r="PO140" s="189"/>
      <c r="PU140" s="188"/>
      <c r="PV140" s="187"/>
      <c r="QB140" s="188"/>
      <c r="QC140" s="187"/>
      <c r="QI140" s="188"/>
      <c r="QJ140" s="187"/>
      <c r="QP140" s="188"/>
      <c r="QQ140" s="187"/>
      <c r="QS140" s="168"/>
      <c r="QT140" s="189"/>
      <c r="QW140" s="188"/>
      <c r="QX140" s="187"/>
      <c r="RD140" s="188"/>
      <c r="RE140" s="187"/>
      <c r="RK140" s="188"/>
      <c r="RL140" s="187"/>
      <c r="RR140" s="188"/>
      <c r="RS140" s="187"/>
      <c r="RW140" s="168"/>
      <c r="RX140" s="189"/>
      <c r="RY140" s="188"/>
      <c r="RZ140" s="187"/>
      <c r="SF140" s="188"/>
      <c r="SG140" s="187"/>
      <c r="SM140" s="188"/>
      <c r="SN140" s="187"/>
      <c r="ST140" s="188"/>
      <c r="SU140" s="187"/>
      <c r="TA140" s="188"/>
      <c r="TB140" s="190"/>
      <c r="TC140" s="189"/>
      <c r="TH140" s="188"/>
      <c r="TI140" s="187"/>
      <c r="TO140" s="188"/>
      <c r="TP140" s="187"/>
      <c r="TV140" s="188"/>
      <c r="TW140" s="187"/>
      <c r="UC140" s="188"/>
      <c r="UD140" s="187"/>
      <c r="UF140" s="168"/>
      <c r="UG140" s="189"/>
      <c r="UJ140" s="188"/>
      <c r="UK140" s="187"/>
      <c r="UQ140" s="188"/>
      <c r="UR140" s="187"/>
      <c r="UX140" s="188"/>
      <c r="UY140" s="187"/>
      <c r="VE140" s="188"/>
      <c r="VF140" s="187"/>
      <c r="VK140" s="168"/>
      <c r="VL140" s="191"/>
      <c r="VM140" s="187"/>
      <c r="VS140" s="188"/>
      <c r="VT140" s="187"/>
      <c r="VZ140" s="188"/>
      <c r="WA140" s="187"/>
      <c r="WG140" s="188"/>
      <c r="WH140" s="187"/>
      <c r="WN140" s="188"/>
      <c r="WO140" s="187"/>
      <c r="WP140" s="168"/>
      <c r="WQ140" s="189"/>
      <c r="WU140" s="188"/>
      <c r="WV140" s="187"/>
      <c r="XB140" s="188"/>
      <c r="XC140" s="187"/>
      <c r="XI140" s="188"/>
      <c r="XJ140" s="187"/>
      <c r="XP140" s="188"/>
      <c r="XQ140" s="187"/>
      <c r="XT140" s="168"/>
      <c r="XU140" s="189"/>
      <c r="XW140" s="188"/>
      <c r="XX140" s="187"/>
      <c r="YD140" s="188"/>
      <c r="YE140" s="187"/>
      <c r="YK140" s="188"/>
      <c r="YL140" s="187"/>
      <c r="YR140" s="188"/>
      <c r="YS140" s="187"/>
      <c r="YY140" s="168"/>
      <c r="YZ140" s="189"/>
      <c r="ZF140" s="188"/>
      <c r="ZG140" s="187"/>
      <c r="ZM140" s="188"/>
      <c r="ZN140" s="187"/>
      <c r="ZT140" s="188"/>
      <c r="ZU140" s="187"/>
      <c r="AAA140" s="188"/>
      <c r="AAB140" s="187"/>
      <c r="AAC140" s="168"/>
      <c r="AAD140" s="189"/>
      <c r="AAH140" s="188"/>
      <c r="AAI140" s="187"/>
      <c r="AAO140" s="188"/>
      <c r="AAP140" s="187"/>
      <c r="AAV140" s="188"/>
      <c r="AAW140" s="187"/>
      <c r="ABC140" s="188"/>
      <c r="ABD140" s="187"/>
      <c r="ABH140" s="168"/>
      <c r="ABI140" s="189"/>
      <c r="ABJ140" s="188"/>
      <c r="ABK140" s="187"/>
      <c r="ABQ140" s="188"/>
      <c r="ABR140" s="187"/>
      <c r="ABX140" s="188"/>
      <c r="ABY140" s="187"/>
      <c r="ACE140" s="188"/>
      <c r="ACF140" s="187"/>
      <c r="ACL140" s="188"/>
      <c r="ACM140" s="190"/>
      <c r="ACN140" s="189"/>
      <c r="ACS140" s="188"/>
      <c r="ACT140" s="187"/>
      <c r="ACZ140" s="188"/>
      <c r="ADA140" s="187"/>
      <c r="ADG140" s="188"/>
      <c r="ADH140" s="187"/>
      <c r="ADN140" s="188"/>
      <c r="ADO140" s="190"/>
      <c r="ADP140" s="189"/>
      <c r="ADU140" s="188"/>
      <c r="ADV140" s="187"/>
      <c r="AEB140" s="188"/>
      <c r="AEC140" s="187"/>
      <c r="AEI140" s="188"/>
      <c r="AEJ140" s="187"/>
      <c r="AEP140" s="188"/>
      <c r="AEQ140" s="187"/>
      <c r="AET140" s="168"/>
      <c r="AEU140" s="189"/>
      <c r="AEW140" s="188"/>
      <c r="AEX140" s="187"/>
      <c r="AFD140" s="188"/>
      <c r="AFE140" s="187"/>
      <c r="AFK140" s="188"/>
      <c r="AFL140" s="187"/>
      <c r="AFR140" s="188"/>
      <c r="AFS140" s="187"/>
      <c r="AFX140" s="168"/>
      <c r="AFY140" s="191"/>
      <c r="AFZ140" s="187"/>
      <c r="AGF140" s="188"/>
      <c r="AGG140" s="187"/>
      <c r="AGM140" s="188"/>
      <c r="AGN140" s="187"/>
      <c r="AGT140" s="188"/>
      <c r="AGU140" s="187"/>
      <c r="AHA140" s="188"/>
      <c r="AHB140" s="187"/>
      <c r="AHC140" s="168"/>
      <c r="AHD140" s="189"/>
      <c r="AHH140" s="188"/>
      <c r="AHI140" s="187"/>
      <c r="AHO140" s="188"/>
      <c r="AHP140" s="187"/>
      <c r="AHV140" s="188"/>
      <c r="AHW140" s="187"/>
      <c r="AIC140" s="188"/>
      <c r="AID140" s="187"/>
      <c r="AIG140" s="168"/>
      <c r="AIH140" s="189"/>
      <c r="AIJ140" s="188"/>
      <c r="AIK140" s="187"/>
      <c r="AIQ140" s="188"/>
      <c r="AIR140" s="187"/>
      <c r="AIX140" s="188"/>
      <c r="AIY140" s="187"/>
      <c r="AJE140" s="188"/>
      <c r="AJF140" s="187"/>
      <c r="AJL140" s="168"/>
      <c r="AJM140" s="189"/>
      <c r="AJS140" s="188"/>
      <c r="AJT140" s="187"/>
      <c r="AJZ140" s="188"/>
      <c r="AKA140" s="187"/>
      <c r="AKG140" s="188"/>
      <c r="AKH140" s="187"/>
      <c r="AKN140" s="188"/>
      <c r="AKO140" s="187"/>
      <c r="AKQ140" s="168"/>
      <c r="AKR140" s="189"/>
      <c r="AKU140" s="188"/>
      <c r="AKV140" s="187"/>
      <c r="ALB140" s="188"/>
      <c r="ALC140" s="187"/>
      <c r="ALI140" s="188"/>
      <c r="ALJ140" s="187"/>
      <c r="ALP140" s="188"/>
      <c r="ALQ140" s="187"/>
      <c r="ALU140" s="168"/>
      <c r="ALV140" s="189"/>
      <c r="ALW140" s="188"/>
      <c r="ALX140" s="187"/>
      <c r="AMD140" s="188"/>
      <c r="AME140" s="187"/>
      <c r="AMK140" s="188"/>
      <c r="AML140" s="187"/>
      <c r="AMR140" s="188"/>
      <c r="AMS140" s="187"/>
      <c r="AMY140" s="188"/>
      <c r="AMZ140" s="190"/>
      <c r="ANA140" s="189"/>
      <c r="ANF140" s="188"/>
      <c r="ANG140" s="187"/>
      <c r="ANM140" s="188"/>
      <c r="ANN140" s="187"/>
      <c r="ANT140" s="188"/>
      <c r="ANU140" s="187"/>
      <c r="AOA140" s="188"/>
      <c r="AOB140" s="187"/>
      <c r="AOD140" s="168"/>
      <c r="AOE140" s="189"/>
      <c r="AOH140" s="188"/>
      <c r="AOI140" s="187"/>
      <c r="AOO140" s="188"/>
      <c r="AOP140" s="187"/>
      <c r="AOV140" s="188"/>
      <c r="AOW140" s="187"/>
      <c r="APC140" s="188"/>
      <c r="APD140" s="187"/>
      <c r="API140" s="168"/>
      <c r="APJ140" s="191"/>
      <c r="APK140" s="187"/>
      <c r="APQ140" s="188"/>
      <c r="APR140" s="187"/>
      <c r="APX140" s="188"/>
      <c r="APY140" s="187"/>
      <c r="AQE140" s="188"/>
      <c r="AQF140" s="187"/>
      <c r="AQL140" s="188"/>
      <c r="AQM140" s="187"/>
      <c r="AQN140" s="168"/>
      <c r="AQO140" s="189"/>
      <c r="AQS140" s="188"/>
      <c r="AQT140" s="187"/>
      <c r="AQZ140" s="188"/>
      <c r="ARA140" s="187"/>
      <c r="ARG140" s="188"/>
      <c r="ARH140" s="187"/>
      <c r="ARN140" s="188"/>
      <c r="ARO140" s="187"/>
      <c r="ARP140" s="168"/>
      <c r="ARQ140" s="189"/>
      <c r="ARU140" s="188"/>
      <c r="ARV140" s="187"/>
      <c r="ASB140" s="188"/>
      <c r="ASC140" s="187"/>
      <c r="ASI140" s="188"/>
      <c r="ASJ140" s="187"/>
      <c r="ASP140" s="188"/>
      <c r="ASQ140" s="187"/>
      <c r="ASU140" s="168"/>
      <c r="ASV140" s="189"/>
      <c r="ASW140" s="188"/>
      <c r="ASX140" s="187"/>
      <c r="ATD140" s="188"/>
      <c r="ATE140" s="187"/>
      <c r="ATK140" s="188"/>
      <c r="ATL140" s="187"/>
      <c r="ATR140" s="188"/>
      <c r="ATS140" s="187"/>
      <c r="ATY140" s="168"/>
      <c r="ATZ140" s="189"/>
      <c r="AUF140" s="188"/>
      <c r="AUG140" s="187"/>
      <c r="AUM140" s="188"/>
      <c r="AUN140" s="187"/>
      <c r="AUT140" s="188"/>
      <c r="AUU140" s="187"/>
      <c r="AVA140" s="188"/>
      <c r="AVB140" s="187"/>
      <c r="AVD140" s="168"/>
      <c r="AVE140" s="189"/>
      <c r="AVH140" s="188"/>
      <c r="AVI140" s="187"/>
      <c r="AVO140" s="188"/>
      <c r="AVP140" s="187"/>
      <c r="AVV140" s="188"/>
      <c r="AVW140" s="187"/>
      <c r="AWC140" s="188"/>
      <c r="AWD140" s="187"/>
      <c r="AWH140" s="168"/>
      <c r="AWI140" s="189"/>
      <c r="AWJ140" s="188"/>
      <c r="AWK140" s="187"/>
      <c r="AWQ140" s="188"/>
      <c r="AWR140" s="187"/>
      <c r="AWX140" s="188"/>
      <c r="AWY140" s="187"/>
      <c r="AXE140" s="188"/>
      <c r="AXF140" s="187"/>
      <c r="AXL140" s="188"/>
      <c r="AXM140" s="190"/>
      <c r="AXN140" s="189"/>
      <c r="AXS140" s="188"/>
      <c r="AXT140" s="187"/>
      <c r="AXZ140" s="188"/>
      <c r="AYA140" s="187"/>
      <c r="AYG140" s="188"/>
      <c r="AYH140" s="187"/>
      <c r="AYN140" s="188"/>
      <c r="AYO140" s="187"/>
      <c r="AYR140" s="168"/>
      <c r="AYS140" s="189"/>
      <c r="AYU140" s="188"/>
      <c r="AYV140" s="187"/>
      <c r="AZB140" s="188"/>
      <c r="AZC140" s="187"/>
      <c r="AZI140" s="188"/>
      <c r="AZJ140" s="187"/>
      <c r="AZP140" s="188"/>
      <c r="AZQ140" s="187"/>
      <c r="AZV140" s="168"/>
      <c r="AZW140" s="191"/>
      <c r="AZX140" s="187"/>
      <c r="BAD140" s="188"/>
      <c r="BAE140" s="187"/>
      <c r="BAK140" s="188"/>
      <c r="BAL140" s="187"/>
      <c r="BAR140" s="188"/>
      <c r="BAS140" s="187"/>
      <c r="BAY140" s="188"/>
      <c r="BAZ140" s="187"/>
      <c r="BBA140" s="168"/>
      <c r="BBB140" s="189"/>
      <c r="BBF140" s="188"/>
      <c r="BBG140" s="187"/>
      <c r="BBM140" s="188"/>
      <c r="BBN140" s="187"/>
      <c r="BBT140" s="188"/>
      <c r="BBU140" s="187"/>
      <c r="BCA140" s="188"/>
      <c r="BCB140" s="187"/>
      <c r="BCE140" s="168"/>
      <c r="BCF140" s="189"/>
      <c r="BCH140" s="188"/>
      <c r="BCI140" s="187"/>
      <c r="BCO140" s="188"/>
      <c r="BCP140" s="187"/>
      <c r="BCV140" s="188"/>
      <c r="BCW140" s="187"/>
      <c r="BDC140" s="188"/>
      <c r="BDD140" s="187"/>
      <c r="BDJ140" s="168"/>
      <c r="BDK140" s="189"/>
      <c r="BDQ140" s="188"/>
      <c r="BDR140" s="187"/>
      <c r="BDX140" s="188"/>
      <c r="BDY140" s="187"/>
      <c r="BEE140" s="188"/>
      <c r="BEF140" s="187"/>
      <c r="BEL140" s="188"/>
      <c r="BEM140" s="187"/>
      <c r="BEO140" s="168"/>
      <c r="BEP140" s="189"/>
      <c r="BES140" s="188"/>
      <c r="BET140" s="187"/>
      <c r="BEZ140" s="188"/>
      <c r="BFA140" s="187"/>
      <c r="BFG140" s="188"/>
      <c r="BFH140" s="187"/>
      <c r="BFN140" s="188"/>
      <c r="BFO140" s="187"/>
      <c r="BFQ140" s="168"/>
      <c r="BFR140" s="189"/>
      <c r="BFU140" s="188"/>
      <c r="BFV140" s="187"/>
      <c r="BGB140" s="188"/>
      <c r="BGC140" s="187"/>
      <c r="BGI140" s="188"/>
      <c r="BGJ140" s="187"/>
      <c r="BGP140" s="188"/>
      <c r="BGQ140" s="187"/>
      <c r="BGV140" s="168"/>
      <c r="BGW140" s="191"/>
      <c r="BGX140" s="187"/>
      <c r="BHD140" s="188"/>
      <c r="BHE140" s="187"/>
      <c r="BHK140" s="188"/>
      <c r="BHL140" s="187"/>
      <c r="BHR140" s="188"/>
      <c r="BHS140" s="187"/>
      <c r="BHY140" s="188"/>
      <c r="BHZ140" s="190"/>
      <c r="BIA140" s="189"/>
      <c r="BIF140" s="188"/>
      <c r="BIG140" s="187"/>
      <c r="BIM140" s="188"/>
      <c r="BIN140" s="187"/>
      <c r="BIT140" s="188"/>
      <c r="BIU140" s="187"/>
      <c r="BJA140" s="188"/>
      <c r="BJB140" s="187"/>
      <c r="BJE140" s="168"/>
      <c r="BJF140" s="189"/>
      <c r="BJH140" s="188"/>
      <c r="BJI140" s="187"/>
      <c r="BJO140" s="188"/>
      <c r="BJP140" s="187"/>
      <c r="BJV140" s="188"/>
      <c r="BJW140" s="187"/>
      <c r="BKC140" s="188"/>
      <c r="BKD140" s="187"/>
      <c r="BKI140" s="168"/>
      <c r="BKJ140" s="191"/>
      <c r="BKK140" s="187"/>
      <c r="BKQ140" s="188"/>
      <c r="BKR140" s="187"/>
      <c r="BKX140" s="188"/>
      <c r="BKY140" s="187"/>
      <c r="BLE140" s="188"/>
      <c r="BLF140" s="187"/>
      <c r="BLL140" s="188"/>
      <c r="BLM140" s="187"/>
      <c r="BLN140" s="168"/>
      <c r="BLO140" s="189"/>
      <c r="BLS140" s="188"/>
      <c r="BLT140" s="187"/>
      <c r="BLZ140" s="188"/>
      <c r="BMA140" s="187"/>
      <c r="BMG140" s="188"/>
      <c r="BMH140" s="187"/>
      <c r="BMN140" s="188"/>
      <c r="BMO140" s="187"/>
      <c r="BMS140" s="168"/>
      <c r="BMT140" s="189"/>
      <c r="BMU140" s="188"/>
      <c r="BMV140" s="187"/>
      <c r="BNB140" s="188"/>
      <c r="BNC140" s="187"/>
      <c r="BNI140" s="188"/>
      <c r="BNJ140" s="187"/>
      <c r="BNP140" s="188"/>
      <c r="BNQ140" s="187"/>
      <c r="BNW140" s="168"/>
      <c r="BNX140" s="189"/>
      <c r="BOD140" s="188"/>
      <c r="BOE140" s="187"/>
      <c r="BOK140" s="188"/>
      <c r="BOL140" s="187"/>
      <c r="BOR140" s="188"/>
      <c r="BOS140" s="187"/>
      <c r="BOY140" s="188"/>
      <c r="BOZ140" s="187"/>
      <c r="BPB140" s="168"/>
      <c r="BPC140" s="189"/>
      <c r="BPF140" s="188"/>
      <c r="BPG140" s="187"/>
      <c r="BPM140" s="188"/>
      <c r="BPN140" s="187"/>
      <c r="BPT140" s="188"/>
      <c r="BPU140" s="187"/>
      <c r="BQA140" s="188"/>
      <c r="BQB140" s="187"/>
      <c r="BQF140" s="168"/>
      <c r="BQG140" s="189"/>
      <c r="BQH140" s="188"/>
      <c r="BQI140" s="187"/>
      <c r="BQO140" s="188"/>
      <c r="BQP140" s="187"/>
      <c r="BQV140" s="188"/>
      <c r="BQW140" s="187"/>
      <c r="BRC140" s="188"/>
      <c r="BRD140" s="187"/>
      <c r="BRJ140" s="188"/>
      <c r="BRK140" s="190"/>
      <c r="BRL140" s="189"/>
      <c r="BRQ140" s="188"/>
      <c r="BRR140" s="187"/>
      <c r="BRX140" s="188"/>
      <c r="BRY140" s="187"/>
      <c r="BSE140" s="188"/>
      <c r="BSF140" s="187"/>
      <c r="BSL140" s="188"/>
      <c r="BSM140" s="187"/>
      <c r="BSP140" s="168"/>
      <c r="BSQ140" s="189"/>
      <c r="BSS140" s="188"/>
      <c r="BST140" s="187"/>
      <c r="BSZ140" s="188"/>
      <c r="BTA140" s="187"/>
      <c r="BTG140" s="188"/>
      <c r="BTH140" s="187"/>
      <c r="BTN140" s="188"/>
      <c r="BTO140" s="187"/>
      <c r="BTS140" s="168"/>
      <c r="BTT140" s="189"/>
      <c r="BTU140" s="188"/>
      <c r="BTV140" s="187"/>
      <c r="BUB140" s="188"/>
      <c r="BUC140" s="187"/>
      <c r="BUI140" s="188"/>
      <c r="BUJ140" s="187"/>
      <c r="BUP140" s="188"/>
      <c r="BUQ140" s="187"/>
      <c r="BUW140" s="188"/>
      <c r="BUX140" s="190"/>
      <c r="BUY140" s="189"/>
      <c r="BVD140" s="188"/>
      <c r="BVE140" s="187"/>
      <c r="BVK140" s="188"/>
      <c r="BVL140" s="187"/>
      <c r="BVR140" s="188"/>
      <c r="BVS140" s="187"/>
      <c r="BVY140" s="188"/>
      <c r="BVZ140" s="187"/>
      <c r="BWB140" s="168"/>
      <c r="BWC140" s="189"/>
      <c r="BWF140" s="188"/>
      <c r="BWG140" s="187"/>
      <c r="BWM140" s="188"/>
      <c r="BWN140" s="187"/>
      <c r="BWT140" s="188"/>
      <c r="BWU140" s="187"/>
      <c r="BXA140" s="188"/>
      <c r="BXB140" s="187"/>
      <c r="BXG140" s="168"/>
      <c r="BXH140" s="191"/>
      <c r="BXI140" s="187"/>
      <c r="BXO140" s="188"/>
      <c r="BXP140" s="187"/>
      <c r="BXV140" s="188"/>
      <c r="BXW140" s="187"/>
      <c r="BYC140" s="188"/>
      <c r="BYD140" s="187"/>
      <c r="BYJ140" s="188"/>
      <c r="BYK140" s="190"/>
      <c r="BYL140" s="189"/>
      <c r="BYQ140" s="188"/>
      <c r="BYR140" s="187"/>
      <c r="BYX140" s="188"/>
      <c r="BYY140" s="187"/>
      <c r="BZE140" s="188"/>
      <c r="BZF140" s="187"/>
      <c r="BZL140" s="188"/>
      <c r="BZM140" s="187"/>
      <c r="BZP140" s="168"/>
      <c r="BZQ140" s="189"/>
      <c r="BZS140" s="188"/>
      <c r="BZT140" s="187"/>
      <c r="BZZ140" s="188"/>
      <c r="CAA140" s="187"/>
      <c r="CAG140" s="188"/>
      <c r="CAH140" s="187"/>
      <c r="CAN140" s="188"/>
      <c r="CAO140" s="187"/>
      <c r="CAU140" s="168"/>
      <c r="CAV140" s="189"/>
      <c r="CBB140" s="188"/>
      <c r="CBC140" s="187"/>
      <c r="CBI140" s="188"/>
      <c r="CBJ140" s="187"/>
      <c r="CBP140" s="188"/>
      <c r="CBQ140" s="187"/>
      <c r="CBW140" s="188"/>
      <c r="CBX140" s="187"/>
      <c r="CBY140" s="168"/>
      <c r="CBZ140" s="189"/>
      <c r="CCD140" s="188"/>
      <c r="CCE140" s="187"/>
      <c r="CCK140" s="188"/>
      <c r="CCL140" s="187"/>
      <c r="CCR140" s="188"/>
      <c r="CCS140" s="187"/>
      <c r="CCY140" s="188"/>
      <c r="CCZ140" s="187"/>
      <c r="CDD140" s="168"/>
      <c r="CDE140" s="189"/>
      <c r="CDF140" s="188"/>
      <c r="CDG140" s="187"/>
      <c r="CDM140" s="188"/>
      <c r="CDN140" s="187"/>
      <c r="CDT140" s="188"/>
      <c r="CDU140" s="187"/>
      <c r="CEA140" s="188"/>
      <c r="CEB140" s="187"/>
      <c r="CEH140" s="168"/>
      <c r="CEI140" s="189"/>
      <c r="CEO140" s="188"/>
      <c r="CEP140" s="187"/>
      <c r="CEV140" s="188"/>
      <c r="CEW140" s="187"/>
      <c r="CFC140" s="188"/>
      <c r="CFD140" s="187"/>
      <c r="CFJ140" s="188"/>
      <c r="CFK140" s="187"/>
    </row>
    <row r="141" spans="1:1019 1025:2048 2054:2195">
      <c r="D141" s="186"/>
      <c r="E141" s="186"/>
      <c r="K141" s="187"/>
      <c r="Q141" s="188"/>
      <c r="R141" s="187"/>
      <c r="X141" s="188"/>
      <c r="Y141" s="187"/>
      <c r="AE141" s="188"/>
      <c r="AF141" s="187"/>
      <c r="AJ141" s="168"/>
      <c r="AK141" s="189"/>
      <c r="AL141" s="188"/>
      <c r="AM141" s="187"/>
      <c r="AS141" s="188"/>
      <c r="AT141" s="187"/>
      <c r="AZ141" s="188"/>
      <c r="BA141" s="187"/>
      <c r="BG141" s="188"/>
      <c r="BH141" s="187"/>
      <c r="BL141" s="168"/>
      <c r="BM141" s="189"/>
      <c r="BN141" s="188"/>
      <c r="BO141" s="187"/>
      <c r="BU141" s="188"/>
      <c r="BV141" s="187"/>
      <c r="CB141" s="188"/>
      <c r="CC141" s="187"/>
      <c r="CI141" s="188"/>
      <c r="CJ141" s="187"/>
      <c r="CP141" s="188"/>
      <c r="CQ141" s="190"/>
      <c r="CR141" s="189"/>
      <c r="CW141" s="188"/>
      <c r="CX141" s="187"/>
      <c r="DD141" s="188"/>
      <c r="DE141" s="187"/>
      <c r="DK141" s="188"/>
      <c r="DL141" s="187"/>
      <c r="DR141" s="188"/>
      <c r="DS141" s="187"/>
      <c r="DU141" s="168"/>
      <c r="DV141" s="189"/>
      <c r="DY141" s="188"/>
      <c r="DZ141" s="187"/>
      <c r="EF141" s="188"/>
      <c r="EG141" s="187"/>
      <c r="EM141" s="188"/>
      <c r="EN141" s="187"/>
      <c r="ET141" s="188"/>
      <c r="EU141" s="187"/>
      <c r="EZ141" s="168"/>
      <c r="FA141" s="191"/>
      <c r="FB141" s="187"/>
      <c r="FH141" s="188"/>
      <c r="FI141" s="187"/>
      <c r="FO141" s="188"/>
      <c r="FP141" s="187"/>
      <c r="FV141" s="188"/>
      <c r="FW141" s="187"/>
      <c r="GC141" s="188"/>
      <c r="GD141" s="190"/>
      <c r="GE141" s="189"/>
      <c r="GJ141" s="188"/>
      <c r="GK141" s="187"/>
      <c r="GQ141" s="188"/>
      <c r="GR141" s="187"/>
      <c r="GX141" s="188"/>
      <c r="GY141" s="187"/>
      <c r="HE141" s="188"/>
      <c r="HF141" s="187"/>
      <c r="HI141" s="168"/>
      <c r="HJ141" s="189"/>
      <c r="HL141" s="188"/>
      <c r="HM141" s="187"/>
      <c r="HS141" s="188"/>
      <c r="HT141" s="187"/>
      <c r="HZ141" s="188"/>
      <c r="IA141" s="187"/>
      <c r="IG141" s="188"/>
      <c r="IH141" s="187"/>
      <c r="IN141" s="168"/>
      <c r="IO141" s="189"/>
      <c r="IU141" s="188"/>
      <c r="IV141" s="187"/>
      <c r="JB141" s="188"/>
      <c r="JC141" s="187"/>
      <c r="JI141" s="188"/>
      <c r="JJ141" s="187"/>
      <c r="JP141" s="188"/>
      <c r="JQ141" s="187"/>
      <c r="JR141" s="168"/>
      <c r="JS141" s="189"/>
      <c r="JW141" s="188"/>
      <c r="JX141" s="187"/>
      <c r="KD141" s="188"/>
      <c r="KE141" s="187"/>
      <c r="KK141" s="188"/>
      <c r="KL141" s="187"/>
      <c r="KR141" s="188"/>
      <c r="KS141" s="187"/>
      <c r="KW141" s="168"/>
      <c r="KX141" s="189"/>
      <c r="KY141" s="188"/>
      <c r="KZ141" s="187"/>
      <c r="LF141" s="188"/>
      <c r="LG141" s="187"/>
      <c r="LM141" s="188"/>
      <c r="LN141" s="187"/>
      <c r="LT141" s="188"/>
      <c r="LU141" s="187"/>
      <c r="MA141" s="168"/>
      <c r="MB141" s="189"/>
      <c r="MH141" s="188"/>
      <c r="MI141" s="187"/>
      <c r="MO141" s="188"/>
      <c r="MP141" s="187"/>
      <c r="MV141" s="188"/>
      <c r="MW141" s="187"/>
      <c r="NC141" s="188"/>
      <c r="ND141" s="187"/>
      <c r="NF141" s="168"/>
      <c r="NG141" s="189"/>
      <c r="NJ141" s="188"/>
      <c r="NK141" s="187"/>
      <c r="NQ141" s="188"/>
      <c r="NR141" s="187"/>
      <c r="NX141" s="188"/>
      <c r="NY141" s="187"/>
      <c r="OE141" s="188"/>
      <c r="OF141" s="187"/>
      <c r="OK141" s="168"/>
      <c r="OL141" s="191"/>
      <c r="OM141" s="187"/>
      <c r="OS141" s="188"/>
      <c r="OT141" s="187"/>
      <c r="OZ141" s="188"/>
      <c r="PA141" s="187"/>
      <c r="PG141" s="188"/>
      <c r="PH141" s="187"/>
      <c r="PN141" s="168"/>
      <c r="PO141" s="189"/>
      <c r="PU141" s="188"/>
      <c r="PV141" s="187"/>
      <c r="QB141" s="188"/>
      <c r="QC141" s="187"/>
      <c r="QI141" s="188"/>
      <c r="QJ141" s="187"/>
      <c r="QP141" s="188"/>
      <c r="QQ141" s="187"/>
      <c r="QS141" s="168"/>
      <c r="QT141" s="189"/>
      <c r="QW141" s="188"/>
      <c r="QX141" s="187"/>
      <c r="RD141" s="188"/>
      <c r="RE141" s="187"/>
      <c r="RK141" s="188"/>
      <c r="RL141" s="187"/>
      <c r="RR141" s="188"/>
      <c r="RS141" s="187"/>
      <c r="RW141" s="168"/>
      <c r="RX141" s="189"/>
      <c r="RY141" s="188"/>
      <c r="RZ141" s="187"/>
      <c r="SF141" s="188"/>
      <c r="SG141" s="187"/>
      <c r="SM141" s="188"/>
      <c r="SN141" s="187"/>
      <c r="ST141" s="188"/>
      <c r="SU141" s="187"/>
      <c r="TA141" s="188"/>
      <c r="TB141" s="190"/>
      <c r="TC141" s="189"/>
      <c r="TH141" s="188"/>
      <c r="TI141" s="187"/>
      <c r="TO141" s="188"/>
      <c r="TP141" s="187"/>
      <c r="TV141" s="188"/>
      <c r="TW141" s="187"/>
      <c r="UC141" s="188"/>
      <c r="UD141" s="187"/>
      <c r="UF141" s="168"/>
      <c r="UG141" s="189"/>
      <c r="UJ141" s="188"/>
      <c r="UK141" s="187"/>
      <c r="UQ141" s="188"/>
      <c r="UR141" s="187"/>
      <c r="UX141" s="188"/>
      <c r="UY141" s="187"/>
      <c r="VE141" s="188"/>
      <c r="VF141" s="187"/>
      <c r="VK141" s="168"/>
      <c r="VL141" s="191"/>
      <c r="VM141" s="187"/>
      <c r="VS141" s="188"/>
      <c r="VT141" s="187"/>
      <c r="VZ141" s="188"/>
      <c r="WA141" s="187"/>
      <c r="WG141" s="188"/>
      <c r="WH141" s="187"/>
      <c r="WN141" s="188"/>
      <c r="WO141" s="187"/>
      <c r="WP141" s="168"/>
      <c r="WQ141" s="189"/>
      <c r="WU141" s="188"/>
      <c r="WV141" s="187"/>
      <c r="XB141" s="188"/>
      <c r="XC141" s="187"/>
      <c r="XI141" s="188"/>
      <c r="XJ141" s="187"/>
      <c r="XP141" s="188"/>
      <c r="XQ141" s="187"/>
      <c r="XT141" s="168"/>
      <c r="XU141" s="189"/>
      <c r="XW141" s="188"/>
      <c r="XX141" s="187"/>
      <c r="YD141" s="188"/>
      <c r="YE141" s="187"/>
      <c r="YK141" s="188"/>
      <c r="YL141" s="187"/>
      <c r="YR141" s="188"/>
      <c r="YS141" s="187"/>
      <c r="YY141" s="168"/>
      <c r="YZ141" s="189"/>
      <c r="ZF141" s="188"/>
      <c r="ZG141" s="187"/>
      <c r="ZM141" s="188"/>
      <c r="ZN141" s="187"/>
      <c r="ZT141" s="188"/>
      <c r="ZU141" s="187"/>
      <c r="AAA141" s="188"/>
      <c r="AAB141" s="187"/>
      <c r="AAC141" s="168"/>
      <c r="AAD141" s="189"/>
      <c r="AAH141" s="188"/>
      <c r="AAI141" s="187"/>
      <c r="AAO141" s="188"/>
      <c r="AAP141" s="187"/>
      <c r="AAV141" s="188"/>
      <c r="AAW141" s="187"/>
      <c r="ABC141" s="188"/>
      <c r="ABD141" s="187"/>
      <c r="ABH141" s="168"/>
      <c r="ABI141" s="189"/>
      <c r="ABJ141" s="188"/>
      <c r="ABK141" s="187"/>
      <c r="ABQ141" s="188"/>
      <c r="ABR141" s="187"/>
      <c r="ABX141" s="188"/>
      <c r="ABY141" s="187"/>
      <c r="ACE141" s="188"/>
      <c r="ACF141" s="187"/>
      <c r="ACL141" s="188"/>
      <c r="ACM141" s="190"/>
      <c r="ACN141" s="189"/>
      <c r="ACS141" s="188"/>
      <c r="ACT141" s="187"/>
      <c r="ACZ141" s="188"/>
      <c r="ADA141" s="187"/>
      <c r="ADG141" s="188"/>
      <c r="ADH141" s="187"/>
      <c r="ADN141" s="188"/>
      <c r="ADO141" s="190"/>
      <c r="ADP141" s="189"/>
      <c r="ADU141" s="188"/>
      <c r="ADV141" s="187"/>
      <c r="AEB141" s="188"/>
      <c r="AEC141" s="187"/>
      <c r="AEI141" s="188"/>
      <c r="AEJ141" s="187"/>
      <c r="AEP141" s="188"/>
      <c r="AEQ141" s="187"/>
      <c r="AET141" s="168"/>
      <c r="AEU141" s="189"/>
      <c r="AEW141" s="188"/>
      <c r="AEX141" s="187"/>
      <c r="AFD141" s="188"/>
      <c r="AFE141" s="187"/>
      <c r="AFK141" s="188"/>
      <c r="AFL141" s="187"/>
      <c r="AFR141" s="188"/>
      <c r="AFS141" s="187"/>
      <c r="AFX141" s="168"/>
      <c r="AFY141" s="191"/>
      <c r="AFZ141" s="187"/>
      <c r="AGF141" s="188"/>
      <c r="AGG141" s="187"/>
      <c r="AGM141" s="188"/>
      <c r="AGN141" s="187"/>
      <c r="AGT141" s="188"/>
      <c r="AGU141" s="187"/>
      <c r="AHA141" s="188"/>
      <c r="AHB141" s="187"/>
      <c r="AHC141" s="168"/>
      <c r="AHD141" s="189"/>
      <c r="AHH141" s="188"/>
      <c r="AHI141" s="187"/>
      <c r="AHO141" s="188"/>
      <c r="AHP141" s="187"/>
      <c r="AHV141" s="188"/>
      <c r="AHW141" s="187"/>
      <c r="AIC141" s="188"/>
      <c r="AID141" s="187"/>
      <c r="AIG141" s="168"/>
      <c r="AIH141" s="189"/>
      <c r="AIJ141" s="188"/>
      <c r="AIK141" s="187"/>
      <c r="AIQ141" s="188"/>
      <c r="AIR141" s="187"/>
      <c r="AIX141" s="188"/>
      <c r="AIY141" s="187"/>
      <c r="AJE141" s="188"/>
      <c r="AJF141" s="187"/>
      <c r="AJL141" s="168"/>
      <c r="AJM141" s="189"/>
      <c r="AJS141" s="188"/>
      <c r="AJT141" s="187"/>
      <c r="AJZ141" s="188"/>
      <c r="AKA141" s="187"/>
      <c r="AKG141" s="188"/>
      <c r="AKH141" s="187"/>
      <c r="AKN141" s="188"/>
      <c r="AKO141" s="187"/>
      <c r="AKQ141" s="168"/>
      <c r="AKR141" s="189"/>
      <c r="AKU141" s="188"/>
      <c r="AKV141" s="187"/>
      <c r="ALB141" s="188"/>
      <c r="ALC141" s="187"/>
      <c r="ALI141" s="188"/>
      <c r="ALJ141" s="187"/>
      <c r="ALP141" s="188"/>
      <c r="ALQ141" s="187"/>
      <c r="ALU141" s="168"/>
      <c r="ALV141" s="189"/>
      <c r="ALW141" s="188"/>
      <c r="ALX141" s="187"/>
      <c r="AMD141" s="188"/>
      <c r="AME141" s="187"/>
      <c r="AMK141" s="188"/>
      <c r="AML141" s="187"/>
      <c r="AMR141" s="188"/>
      <c r="AMS141" s="187"/>
      <c r="AMY141" s="188"/>
      <c r="AMZ141" s="190"/>
      <c r="ANA141" s="189"/>
      <c r="ANF141" s="188"/>
      <c r="ANG141" s="187"/>
      <c r="ANM141" s="188"/>
      <c r="ANN141" s="187"/>
      <c r="ANT141" s="188"/>
      <c r="ANU141" s="187"/>
      <c r="AOA141" s="188"/>
      <c r="AOB141" s="187"/>
      <c r="AOD141" s="168"/>
      <c r="AOE141" s="189"/>
      <c r="AOH141" s="188"/>
      <c r="AOI141" s="187"/>
      <c r="AOO141" s="188"/>
      <c r="AOP141" s="187"/>
      <c r="AOV141" s="188"/>
      <c r="AOW141" s="187"/>
      <c r="APC141" s="188"/>
      <c r="APD141" s="187"/>
      <c r="API141" s="168"/>
      <c r="APJ141" s="191"/>
      <c r="APK141" s="187"/>
      <c r="APQ141" s="188"/>
      <c r="APR141" s="187"/>
      <c r="APX141" s="188"/>
      <c r="APY141" s="187"/>
      <c r="AQE141" s="188"/>
      <c r="AQF141" s="187"/>
      <c r="AQL141" s="188"/>
      <c r="AQM141" s="187"/>
      <c r="AQN141" s="168"/>
      <c r="AQO141" s="189"/>
      <c r="AQS141" s="188"/>
      <c r="AQT141" s="187"/>
      <c r="AQZ141" s="188"/>
      <c r="ARA141" s="187"/>
      <c r="ARG141" s="188"/>
      <c r="ARH141" s="187"/>
      <c r="ARN141" s="188"/>
      <c r="ARO141" s="187"/>
      <c r="ARP141" s="168"/>
      <c r="ARQ141" s="189"/>
      <c r="ARU141" s="188"/>
      <c r="ARV141" s="187"/>
      <c r="ASB141" s="188"/>
      <c r="ASC141" s="187"/>
      <c r="ASI141" s="188"/>
      <c r="ASJ141" s="187"/>
      <c r="ASP141" s="188"/>
      <c r="ASQ141" s="187"/>
      <c r="ASU141" s="168"/>
      <c r="ASV141" s="189"/>
      <c r="ASW141" s="188"/>
      <c r="ASX141" s="187"/>
      <c r="ATD141" s="188"/>
      <c r="ATE141" s="187"/>
      <c r="ATK141" s="188"/>
      <c r="ATL141" s="187"/>
      <c r="ATR141" s="188"/>
      <c r="ATS141" s="187"/>
      <c r="ATY141" s="168"/>
      <c r="ATZ141" s="189"/>
      <c r="AUF141" s="188"/>
      <c r="AUG141" s="187"/>
      <c r="AUM141" s="188"/>
      <c r="AUN141" s="187"/>
      <c r="AUT141" s="188"/>
      <c r="AUU141" s="187"/>
      <c r="AVA141" s="188"/>
      <c r="AVB141" s="187"/>
      <c r="AVD141" s="168"/>
      <c r="AVE141" s="189"/>
      <c r="AVH141" s="188"/>
      <c r="AVI141" s="187"/>
      <c r="AVO141" s="188"/>
      <c r="AVP141" s="187"/>
      <c r="AVV141" s="188"/>
      <c r="AVW141" s="187"/>
      <c r="AWC141" s="188"/>
      <c r="AWD141" s="187"/>
      <c r="AWH141" s="168"/>
      <c r="AWI141" s="189"/>
      <c r="AWJ141" s="188"/>
      <c r="AWK141" s="187"/>
      <c r="AWQ141" s="188"/>
      <c r="AWR141" s="187"/>
      <c r="AWX141" s="188"/>
      <c r="AWY141" s="187"/>
      <c r="AXE141" s="188"/>
      <c r="AXF141" s="187"/>
      <c r="AXL141" s="188"/>
      <c r="AXM141" s="190"/>
      <c r="AXN141" s="189"/>
      <c r="AXS141" s="188"/>
      <c r="AXT141" s="187"/>
      <c r="AXZ141" s="188"/>
      <c r="AYA141" s="187"/>
      <c r="AYG141" s="188"/>
      <c r="AYH141" s="187"/>
      <c r="AYN141" s="188"/>
      <c r="AYO141" s="187"/>
      <c r="AYR141" s="168"/>
      <c r="AYS141" s="189"/>
      <c r="AYU141" s="188"/>
      <c r="AYV141" s="187"/>
      <c r="AZB141" s="188"/>
      <c r="AZC141" s="187"/>
      <c r="AZI141" s="188"/>
      <c r="AZJ141" s="187"/>
      <c r="AZP141" s="188"/>
      <c r="AZQ141" s="187"/>
      <c r="AZV141" s="168"/>
      <c r="AZW141" s="191"/>
      <c r="AZX141" s="187"/>
      <c r="BAD141" s="188"/>
      <c r="BAE141" s="187"/>
      <c r="BAK141" s="188"/>
      <c r="BAL141" s="187"/>
      <c r="BAR141" s="188"/>
      <c r="BAS141" s="187"/>
      <c r="BAY141" s="188"/>
      <c r="BAZ141" s="187"/>
      <c r="BBA141" s="168"/>
      <c r="BBB141" s="189"/>
      <c r="BBF141" s="188"/>
      <c r="BBG141" s="187"/>
      <c r="BBM141" s="188"/>
      <c r="BBN141" s="187"/>
      <c r="BBT141" s="188"/>
      <c r="BBU141" s="187"/>
      <c r="BCA141" s="188"/>
      <c r="BCB141" s="187"/>
      <c r="BCE141" s="168"/>
      <c r="BCF141" s="189"/>
      <c r="BCH141" s="188"/>
      <c r="BCI141" s="187"/>
      <c r="BCO141" s="188"/>
      <c r="BCP141" s="187"/>
      <c r="BCV141" s="188"/>
      <c r="BCW141" s="187"/>
      <c r="BDC141" s="188"/>
      <c r="BDD141" s="187"/>
      <c r="BDJ141" s="168"/>
      <c r="BDK141" s="189"/>
      <c r="BDQ141" s="188"/>
      <c r="BDR141" s="187"/>
      <c r="BDX141" s="188"/>
      <c r="BDY141" s="187"/>
      <c r="BEE141" s="188"/>
      <c r="BEF141" s="187"/>
      <c r="BEL141" s="188"/>
      <c r="BEM141" s="187"/>
      <c r="BEO141" s="168"/>
      <c r="BEP141" s="189"/>
      <c r="BES141" s="188"/>
      <c r="BET141" s="187"/>
      <c r="BEZ141" s="188"/>
      <c r="BFA141" s="187"/>
      <c r="BFG141" s="188"/>
      <c r="BFH141" s="187"/>
      <c r="BFN141" s="188"/>
      <c r="BFO141" s="187"/>
      <c r="BFQ141" s="168"/>
      <c r="BFR141" s="189"/>
      <c r="BFU141" s="188"/>
      <c r="BFV141" s="187"/>
      <c r="BGB141" s="188"/>
      <c r="BGC141" s="187"/>
      <c r="BGI141" s="188"/>
      <c r="BGJ141" s="187"/>
      <c r="BGP141" s="188"/>
      <c r="BGQ141" s="187"/>
      <c r="BGV141" s="168"/>
      <c r="BGW141" s="191"/>
      <c r="BGX141" s="187"/>
      <c r="BHD141" s="188"/>
      <c r="BHE141" s="187"/>
      <c r="BHK141" s="188"/>
      <c r="BHL141" s="187"/>
      <c r="BHR141" s="188"/>
      <c r="BHS141" s="187"/>
      <c r="BHY141" s="188"/>
      <c r="BHZ141" s="190"/>
      <c r="BIA141" s="189"/>
      <c r="BIF141" s="188"/>
      <c r="BIG141" s="187"/>
      <c r="BIM141" s="188"/>
      <c r="BIN141" s="187"/>
      <c r="BIT141" s="188"/>
      <c r="BIU141" s="187"/>
      <c r="BJA141" s="188"/>
      <c r="BJB141" s="187"/>
      <c r="BJE141" s="168"/>
      <c r="BJF141" s="189"/>
      <c r="BJH141" s="188"/>
      <c r="BJI141" s="187"/>
      <c r="BJO141" s="188"/>
      <c r="BJP141" s="187"/>
      <c r="BJV141" s="188"/>
      <c r="BJW141" s="187"/>
      <c r="BKC141" s="188"/>
      <c r="BKD141" s="187"/>
      <c r="BKI141" s="168"/>
      <c r="BKJ141" s="191"/>
      <c r="BKK141" s="187"/>
      <c r="BKQ141" s="188"/>
      <c r="BKR141" s="187"/>
      <c r="BKX141" s="188"/>
      <c r="BKY141" s="187"/>
      <c r="BLE141" s="188"/>
      <c r="BLF141" s="187"/>
      <c r="BLL141" s="188"/>
      <c r="BLM141" s="187"/>
      <c r="BLN141" s="168"/>
      <c r="BLO141" s="189"/>
      <c r="BLS141" s="188"/>
      <c r="BLT141" s="187"/>
      <c r="BLZ141" s="188"/>
      <c r="BMA141" s="187"/>
      <c r="BMG141" s="188"/>
      <c r="BMH141" s="187"/>
      <c r="BMN141" s="188"/>
      <c r="BMO141" s="187"/>
      <c r="BMS141" s="168"/>
      <c r="BMT141" s="189"/>
      <c r="BMU141" s="188"/>
      <c r="BMV141" s="187"/>
      <c r="BNB141" s="188"/>
      <c r="BNC141" s="187"/>
      <c r="BNI141" s="188"/>
      <c r="BNJ141" s="187"/>
      <c r="BNP141" s="188"/>
      <c r="BNQ141" s="187"/>
      <c r="BNW141" s="168"/>
      <c r="BNX141" s="189"/>
      <c r="BOD141" s="188"/>
      <c r="BOE141" s="187"/>
      <c r="BOK141" s="188"/>
      <c r="BOL141" s="187"/>
      <c r="BOR141" s="188"/>
      <c r="BOS141" s="187"/>
      <c r="BOY141" s="188"/>
      <c r="BOZ141" s="187"/>
      <c r="BPB141" s="168"/>
      <c r="BPC141" s="189"/>
      <c r="BPF141" s="188"/>
      <c r="BPG141" s="187"/>
      <c r="BPM141" s="188"/>
      <c r="BPN141" s="187"/>
      <c r="BPT141" s="188"/>
      <c r="BPU141" s="187"/>
      <c r="BQA141" s="188"/>
      <c r="BQB141" s="187"/>
      <c r="BQF141" s="168"/>
      <c r="BQG141" s="189"/>
      <c r="BQH141" s="188"/>
      <c r="BQI141" s="187"/>
      <c r="BQO141" s="188"/>
      <c r="BQP141" s="187"/>
      <c r="BQV141" s="188"/>
      <c r="BQW141" s="187"/>
      <c r="BRC141" s="188"/>
      <c r="BRD141" s="187"/>
      <c r="BRJ141" s="188"/>
      <c r="BRK141" s="190"/>
      <c r="BRL141" s="189"/>
      <c r="BRQ141" s="188"/>
      <c r="BRR141" s="187"/>
      <c r="BRX141" s="188"/>
      <c r="BRY141" s="187"/>
      <c r="BSE141" s="188"/>
      <c r="BSF141" s="187"/>
      <c r="BSL141" s="188"/>
      <c r="BSM141" s="187"/>
      <c r="BSP141" s="168"/>
      <c r="BSQ141" s="189"/>
      <c r="BSS141" s="188"/>
      <c r="BST141" s="187"/>
      <c r="BSZ141" s="188"/>
      <c r="BTA141" s="187"/>
      <c r="BTG141" s="188"/>
      <c r="BTH141" s="187"/>
      <c r="BTN141" s="188"/>
      <c r="BTO141" s="187"/>
      <c r="BTS141" s="168"/>
      <c r="BTT141" s="189"/>
      <c r="BTU141" s="188"/>
      <c r="BTV141" s="187"/>
      <c r="BUB141" s="188"/>
      <c r="BUC141" s="187"/>
      <c r="BUI141" s="188"/>
      <c r="BUJ141" s="187"/>
      <c r="BUP141" s="188"/>
      <c r="BUQ141" s="187"/>
      <c r="BUW141" s="188"/>
      <c r="BUX141" s="190"/>
      <c r="BUY141" s="189"/>
      <c r="BVD141" s="188"/>
      <c r="BVE141" s="187"/>
      <c r="BVK141" s="188"/>
      <c r="BVL141" s="187"/>
      <c r="BVR141" s="188"/>
      <c r="BVS141" s="187"/>
      <c r="BVY141" s="188"/>
      <c r="BVZ141" s="187"/>
      <c r="BWB141" s="168"/>
      <c r="BWC141" s="189"/>
      <c r="BWF141" s="188"/>
      <c r="BWG141" s="187"/>
      <c r="BWM141" s="188"/>
      <c r="BWN141" s="187"/>
      <c r="BWT141" s="188"/>
      <c r="BWU141" s="187"/>
      <c r="BXA141" s="188"/>
      <c r="BXB141" s="187"/>
      <c r="BXG141" s="168"/>
      <c r="BXH141" s="191"/>
      <c r="BXI141" s="187"/>
      <c r="BXO141" s="188"/>
      <c r="BXP141" s="187"/>
      <c r="BXV141" s="188"/>
      <c r="BXW141" s="187"/>
      <c r="BYC141" s="188"/>
      <c r="BYD141" s="187"/>
      <c r="BYJ141" s="188"/>
      <c r="BYK141" s="190"/>
      <c r="BYL141" s="189"/>
      <c r="BYQ141" s="188"/>
      <c r="BYR141" s="187"/>
      <c r="BYX141" s="188"/>
      <c r="BYY141" s="187"/>
      <c r="BZE141" s="188"/>
      <c r="BZF141" s="187"/>
      <c r="BZL141" s="188"/>
      <c r="BZM141" s="187"/>
      <c r="BZP141" s="168"/>
      <c r="BZQ141" s="189"/>
      <c r="BZS141" s="188"/>
      <c r="BZT141" s="187"/>
      <c r="BZZ141" s="188"/>
      <c r="CAA141" s="187"/>
      <c r="CAG141" s="188"/>
      <c r="CAH141" s="187"/>
      <c r="CAN141" s="188"/>
      <c r="CAO141" s="187"/>
      <c r="CAU141" s="168"/>
      <c r="CAV141" s="189"/>
      <c r="CBB141" s="188"/>
      <c r="CBC141" s="187"/>
      <c r="CBI141" s="188"/>
      <c r="CBJ141" s="187"/>
      <c r="CBP141" s="188"/>
      <c r="CBQ141" s="187"/>
      <c r="CBW141" s="188"/>
      <c r="CBX141" s="187"/>
      <c r="CBY141" s="168"/>
      <c r="CBZ141" s="189"/>
      <c r="CCD141" s="188"/>
      <c r="CCE141" s="187"/>
      <c r="CCK141" s="188"/>
      <c r="CCL141" s="187"/>
      <c r="CCR141" s="188"/>
      <c r="CCS141" s="187"/>
      <c r="CCY141" s="188"/>
      <c r="CCZ141" s="187"/>
      <c r="CDD141" s="168"/>
      <c r="CDE141" s="189"/>
      <c r="CDF141" s="188"/>
      <c r="CDG141" s="187"/>
      <c r="CDM141" s="188"/>
      <c r="CDN141" s="187"/>
      <c r="CDT141" s="188"/>
      <c r="CDU141" s="187"/>
      <c r="CEA141" s="188"/>
      <c r="CEB141" s="187"/>
      <c r="CEH141" s="168"/>
      <c r="CEI141" s="189"/>
      <c r="CEO141" s="188"/>
      <c r="CEP141" s="187"/>
      <c r="CEV141" s="188"/>
      <c r="CEW141" s="187"/>
      <c r="CFC141" s="188"/>
      <c r="CFD141" s="187"/>
      <c r="CFJ141" s="188"/>
      <c r="CFK141" s="187"/>
    </row>
    <row r="142" spans="1:1019 1025:2048 2054:2195">
      <c r="D142" s="186"/>
      <c r="E142" s="186"/>
      <c r="K142" s="187"/>
      <c r="Q142" s="188"/>
      <c r="R142" s="187"/>
      <c r="X142" s="188"/>
      <c r="Y142" s="187"/>
      <c r="AE142" s="188"/>
      <c r="AF142" s="187"/>
      <c r="AJ142" s="168"/>
      <c r="AK142" s="189"/>
      <c r="AL142" s="188"/>
      <c r="AM142" s="187"/>
      <c r="AS142" s="188"/>
      <c r="AT142" s="187"/>
      <c r="AZ142" s="188"/>
      <c r="BA142" s="187"/>
      <c r="BG142" s="188"/>
      <c r="BH142" s="187"/>
      <c r="BL142" s="168"/>
      <c r="BM142" s="189"/>
      <c r="BN142" s="188"/>
      <c r="BO142" s="187"/>
      <c r="BU142" s="188"/>
      <c r="BV142" s="187"/>
      <c r="CB142" s="188"/>
      <c r="CC142" s="187"/>
      <c r="CI142" s="188"/>
      <c r="CJ142" s="187"/>
      <c r="CP142" s="188"/>
      <c r="CQ142" s="190"/>
      <c r="CR142" s="189"/>
      <c r="CW142" s="188"/>
      <c r="CX142" s="187"/>
      <c r="DD142" s="188"/>
      <c r="DE142" s="187"/>
      <c r="DK142" s="188"/>
      <c r="DL142" s="187"/>
      <c r="DR142" s="188"/>
      <c r="DS142" s="187"/>
      <c r="DU142" s="168"/>
      <c r="DV142" s="189"/>
      <c r="DY142" s="188"/>
      <c r="DZ142" s="187"/>
      <c r="EF142" s="188"/>
      <c r="EG142" s="187"/>
      <c r="EM142" s="188"/>
      <c r="EN142" s="187"/>
      <c r="ET142" s="188"/>
      <c r="EU142" s="187"/>
      <c r="EZ142" s="168"/>
      <c r="FA142" s="191"/>
      <c r="FB142" s="187"/>
      <c r="FH142" s="188"/>
      <c r="FI142" s="187"/>
      <c r="FO142" s="188"/>
      <c r="FP142" s="187"/>
      <c r="FV142" s="188"/>
      <c r="FW142" s="187"/>
      <c r="GC142" s="188"/>
      <c r="GD142" s="190"/>
      <c r="GE142" s="189"/>
      <c r="GJ142" s="188"/>
      <c r="GK142" s="187"/>
      <c r="GQ142" s="188"/>
      <c r="GR142" s="187"/>
      <c r="GX142" s="188"/>
      <c r="GY142" s="187"/>
      <c r="HE142" s="188"/>
      <c r="HF142" s="187"/>
      <c r="HI142" s="168"/>
      <c r="HJ142" s="189"/>
      <c r="HL142" s="188"/>
      <c r="HM142" s="187"/>
      <c r="HS142" s="188"/>
      <c r="HT142" s="187"/>
      <c r="HZ142" s="188"/>
      <c r="IA142" s="187"/>
      <c r="IG142" s="188"/>
      <c r="IH142" s="187"/>
      <c r="IN142" s="168"/>
      <c r="IO142" s="189"/>
      <c r="IU142" s="188"/>
      <c r="IV142" s="187"/>
      <c r="JB142" s="188"/>
      <c r="JC142" s="187"/>
      <c r="JI142" s="188"/>
      <c r="JJ142" s="187"/>
      <c r="JP142" s="188"/>
      <c r="JQ142" s="187"/>
      <c r="JR142" s="168"/>
      <c r="JS142" s="189"/>
      <c r="JW142" s="188"/>
      <c r="JX142" s="187"/>
      <c r="KD142" s="188"/>
      <c r="KE142" s="187"/>
      <c r="KK142" s="188"/>
      <c r="KL142" s="187"/>
      <c r="KR142" s="188"/>
      <c r="KS142" s="187"/>
      <c r="KW142" s="168"/>
      <c r="KX142" s="189"/>
      <c r="KY142" s="188"/>
      <c r="KZ142" s="187"/>
      <c r="LF142" s="188"/>
      <c r="LG142" s="187"/>
      <c r="LM142" s="188"/>
      <c r="LN142" s="187"/>
      <c r="LT142" s="188"/>
      <c r="LU142" s="187"/>
      <c r="MA142" s="168"/>
      <c r="MB142" s="189"/>
      <c r="MH142" s="188"/>
      <c r="MI142" s="187"/>
      <c r="MO142" s="188"/>
      <c r="MP142" s="187"/>
      <c r="MV142" s="188"/>
      <c r="MW142" s="187"/>
      <c r="NC142" s="188"/>
      <c r="ND142" s="187"/>
      <c r="NF142" s="168"/>
      <c r="NG142" s="189"/>
      <c r="NJ142" s="188"/>
      <c r="NK142" s="187"/>
      <c r="NQ142" s="188"/>
      <c r="NR142" s="187"/>
      <c r="NX142" s="188"/>
      <c r="NY142" s="187"/>
      <c r="OE142" s="188"/>
      <c r="OF142" s="187"/>
      <c r="OK142" s="168"/>
      <c r="OL142" s="191"/>
      <c r="OM142" s="187"/>
      <c r="OS142" s="188"/>
      <c r="OT142" s="187"/>
      <c r="OZ142" s="188"/>
      <c r="PA142" s="187"/>
      <c r="PG142" s="188"/>
      <c r="PH142" s="187"/>
      <c r="PN142" s="168"/>
      <c r="PO142" s="189"/>
      <c r="PU142" s="188"/>
      <c r="PV142" s="187"/>
      <c r="QB142" s="188"/>
      <c r="QC142" s="187"/>
      <c r="QI142" s="188"/>
      <c r="QJ142" s="187"/>
      <c r="QP142" s="188"/>
      <c r="QQ142" s="187"/>
      <c r="QS142" s="168"/>
      <c r="QT142" s="189"/>
      <c r="QW142" s="188"/>
      <c r="QX142" s="187"/>
      <c r="RD142" s="188"/>
      <c r="RE142" s="187"/>
      <c r="RK142" s="188"/>
      <c r="RL142" s="187"/>
      <c r="RR142" s="188"/>
      <c r="RS142" s="187"/>
      <c r="RW142" s="168"/>
      <c r="RX142" s="189"/>
      <c r="RY142" s="188"/>
      <c r="RZ142" s="187"/>
      <c r="SF142" s="188"/>
      <c r="SG142" s="187"/>
      <c r="SM142" s="188"/>
      <c r="SN142" s="187"/>
      <c r="ST142" s="188"/>
      <c r="SU142" s="187"/>
      <c r="TA142" s="188"/>
      <c r="TB142" s="190"/>
      <c r="TC142" s="189"/>
      <c r="TH142" s="188"/>
      <c r="TI142" s="187"/>
      <c r="TO142" s="188"/>
      <c r="TP142" s="187"/>
      <c r="TV142" s="188"/>
      <c r="TW142" s="187"/>
      <c r="UC142" s="188"/>
      <c r="UD142" s="187"/>
      <c r="UF142" s="168"/>
      <c r="UG142" s="189"/>
      <c r="UJ142" s="188"/>
      <c r="UK142" s="187"/>
      <c r="UQ142" s="188"/>
      <c r="UR142" s="187"/>
      <c r="UX142" s="188"/>
      <c r="UY142" s="187"/>
      <c r="VE142" s="188"/>
      <c r="VF142" s="187"/>
      <c r="VK142" s="168"/>
      <c r="VL142" s="191"/>
      <c r="VM142" s="187"/>
      <c r="VS142" s="188"/>
      <c r="VT142" s="187"/>
      <c r="VZ142" s="188"/>
      <c r="WA142" s="187"/>
      <c r="WG142" s="188"/>
      <c r="WH142" s="187"/>
      <c r="WN142" s="188"/>
      <c r="WO142" s="187"/>
      <c r="WP142" s="168"/>
      <c r="WQ142" s="189"/>
      <c r="WU142" s="188"/>
      <c r="WV142" s="187"/>
      <c r="XB142" s="188"/>
      <c r="XC142" s="187"/>
      <c r="XI142" s="188"/>
      <c r="XJ142" s="187"/>
      <c r="XP142" s="188"/>
      <c r="XQ142" s="187"/>
      <c r="XT142" s="168"/>
      <c r="XU142" s="189"/>
      <c r="XW142" s="188"/>
      <c r="XX142" s="187"/>
      <c r="YD142" s="188"/>
      <c r="YE142" s="187"/>
      <c r="YK142" s="188"/>
      <c r="YL142" s="187"/>
      <c r="YR142" s="188"/>
      <c r="YS142" s="187"/>
      <c r="YY142" s="168"/>
      <c r="YZ142" s="189"/>
      <c r="ZF142" s="188"/>
      <c r="ZG142" s="187"/>
      <c r="ZM142" s="188"/>
      <c r="ZN142" s="187"/>
      <c r="ZT142" s="188"/>
      <c r="ZU142" s="187"/>
      <c r="AAA142" s="188"/>
      <c r="AAB142" s="187"/>
      <c r="AAC142" s="168"/>
      <c r="AAD142" s="189"/>
      <c r="AAH142" s="188"/>
      <c r="AAI142" s="187"/>
      <c r="AAO142" s="188"/>
      <c r="AAP142" s="187"/>
      <c r="AAV142" s="188"/>
      <c r="AAW142" s="187"/>
      <c r="ABC142" s="188"/>
      <c r="ABD142" s="187"/>
      <c r="ABH142" s="168"/>
      <c r="ABI142" s="189"/>
      <c r="ABJ142" s="188"/>
      <c r="ABK142" s="187"/>
      <c r="ABQ142" s="188"/>
      <c r="ABR142" s="187"/>
      <c r="ABX142" s="188"/>
      <c r="ABY142" s="187"/>
      <c r="ACE142" s="188"/>
      <c r="ACF142" s="187"/>
      <c r="ACL142" s="188"/>
      <c r="ACM142" s="190"/>
      <c r="ACN142" s="189"/>
      <c r="ACS142" s="188"/>
      <c r="ACT142" s="187"/>
      <c r="ACZ142" s="188"/>
      <c r="ADA142" s="187"/>
      <c r="ADG142" s="188"/>
      <c r="ADH142" s="187"/>
      <c r="ADN142" s="188"/>
      <c r="ADO142" s="190"/>
      <c r="ADP142" s="189"/>
      <c r="ADU142" s="188"/>
      <c r="ADV142" s="187"/>
      <c r="AEB142" s="188"/>
      <c r="AEC142" s="187"/>
      <c r="AEI142" s="188"/>
      <c r="AEJ142" s="187"/>
      <c r="AEP142" s="188"/>
      <c r="AEQ142" s="187"/>
      <c r="AET142" s="168"/>
      <c r="AEU142" s="189"/>
      <c r="AEW142" s="188"/>
      <c r="AEX142" s="187"/>
      <c r="AFD142" s="188"/>
      <c r="AFE142" s="187"/>
      <c r="AFK142" s="188"/>
      <c r="AFL142" s="187"/>
      <c r="AFR142" s="188"/>
      <c r="AFS142" s="187"/>
      <c r="AFX142" s="168"/>
      <c r="AFY142" s="191"/>
      <c r="AFZ142" s="187"/>
      <c r="AGF142" s="188"/>
      <c r="AGG142" s="187"/>
      <c r="AGM142" s="188"/>
      <c r="AGN142" s="187"/>
      <c r="AGT142" s="188"/>
      <c r="AGU142" s="187"/>
      <c r="AHA142" s="188"/>
      <c r="AHB142" s="187"/>
      <c r="AHC142" s="168"/>
      <c r="AHD142" s="189"/>
      <c r="AHH142" s="188"/>
      <c r="AHI142" s="187"/>
      <c r="AHO142" s="188"/>
      <c r="AHP142" s="187"/>
      <c r="AHV142" s="188"/>
      <c r="AHW142" s="187"/>
      <c r="AIC142" s="188"/>
      <c r="AID142" s="187"/>
      <c r="AIG142" s="168"/>
      <c r="AIH142" s="189"/>
      <c r="AIJ142" s="188"/>
      <c r="AIK142" s="187"/>
      <c r="AIQ142" s="188"/>
      <c r="AIR142" s="187"/>
      <c r="AIX142" s="188"/>
      <c r="AIY142" s="187"/>
      <c r="AJE142" s="188"/>
      <c r="AJF142" s="187"/>
      <c r="AJL142" s="168"/>
      <c r="AJM142" s="189"/>
      <c r="AJS142" s="188"/>
      <c r="AJT142" s="187"/>
      <c r="AJZ142" s="188"/>
      <c r="AKA142" s="187"/>
      <c r="AKG142" s="188"/>
      <c r="AKH142" s="187"/>
      <c r="AKN142" s="188"/>
      <c r="AKO142" s="187"/>
      <c r="AKQ142" s="168"/>
      <c r="AKR142" s="189"/>
      <c r="AKU142" s="188"/>
      <c r="AKV142" s="187"/>
      <c r="ALB142" s="188"/>
      <c r="ALC142" s="187"/>
      <c r="ALI142" s="188"/>
      <c r="ALJ142" s="187"/>
      <c r="ALP142" s="188"/>
      <c r="ALQ142" s="187"/>
      <c r="ALU142" s="168"/>
      <c r="ALV142" s="189"/>
      <c r="ALW142" s="188"/>
      <c r="ALX142" s="187"/>
      <c r="AMD142" s="188"/>
      <c r="AME142" s="187"/>
      <c r="AMK142" s="188"/>
      <c r="AML142" s="187"/>
      <c r="AMR142" s="188"/>
      <c r="AMS142" s="187"/>
      <c r="AMY142" s="188"/>
      <c r="AMZ142" s="190"/>
      <c r="ANA142" s="189"/>
      <c r="ANF142" s="188"/>
      <c r="ANG142" s="187"/>
      <c r="ANM142" s="188"/>
      <c r="ANN142" s="187"/>
      <c r="ANT142" s="188"/>
      <c r="ANU142" s="187"/>
      <c r="AOA142" s="188"/>
      <c r="AOB142" s="187"/>
      <c r="AOD142" s="168"/>
      <c r="AOE142" s="189"/>
      <c r="AOH142" s="188"/>
      <c r="AOI142" s="187"/>
      <c r="AOO142" s="188"/>
      <c r="AOP142" s="187"/>
      <c r="AOV142" s="188"/>
      <c r="AOW142" s="187"/>
      <c r="APC142" s="188"/>
      <c r="APD142" s="187"/>
      <c r="API142" s="168"/>
      <c r="APJ142" s="191"/>
      <c r="APK142" s="187"/>
      <c r="APQ142" s="188"/>
      <c r="APR142" s="187"/>
      <c r="APX142" s="188"/>
      <c r="APY142" s="187"/>
      <c r="AQE142" s="188"/>
      <c r="AQF142" s="187"/>
      <c r="AQL142" s="188"/>
      <c r="AQM142" s="187"/>
      <c r="AQN142" s="168"/>
      <c r="AQO142" s="189"/>
      <c r="AQS142" s="188"/>
      <c r="AQT142" s="187"/>
      <c r="AQZ142" s="188"/>
      <c r="ARA142" s="187"/>
      <c r="ARG142" s="188"/>
      <c r="ARH142" s="187"/>
      <c r="ARN142" s="188"/>
      <c r="ARO142" s="187"/>
      <c r="ARP142" s="168"/>
      <c r="ARQ142" s="189"/>
      <c r="ARU142" s="188"/>
      <c r="ARV142" s="187"/>
      <c r="ASB142" s="188"/>
      <c r="ASC142" s="187"/>
      <c r="ASI142" s="188"/>
      <c r="ASJ142" s="187"/>
      <c r="ASP142" s="188"/>
      <c r="ASQ142" s="187"/>
      <c r="ASU142" s="168"/>
      <c r="ASV142" s="189"/>
      <c r="ASW142" s="188"/>
      <c r="ASX142" s="187"/>
      <c r="ATD142" s="188"/>
      <c r="ATE142" s="187"/>
      <c r="ATK142" s="188"/>
      <c r="ATL142" s="187"/>
      <c r="ATR142" s="188"/>
      <c r="ATS142" s="187"/>
      <c r="ATY142" s="168"/>
      <c r="ATZ142" s="189"/>
      <c r="AUF142" s="188"/>
      <c r="AUG142" s="187"/>
      <c r="AUM142" s="188"/>
      <c r="AUN142" s="187"/>
      <c r="AUT142" s="188"/>
      <c r="AUU142" s="187"/>
      <c r="AVA142" s="188"/>
      <c r="AVB142" s="187"/>
      <c r="AVD142" s="168"/>
      <c r="AVE142" s="189"/>
      <c r="AVH142" s="188"/>
      <c r="AVI142" s="187"/>
      <c r="AVO142" s="188"/>
      <c r="AVP142" s="187"/>
      <c r="AVV142" s="188"/>
      <c r="AVW142" s="187"/>
      <c r="AWC142" s="188"/>
      <c r="AWD142" s="187"/>
      <c r="AWH142" s="168"/>
      <c r="AWI142" s="189"/>
      <c r="AWJ142" s="188"/>
      <c r="AWK142" s="187"/>
      <c r="AWQ142" s="188"/>
      <c r="AWR142" s="187"/>
      <c r="AWX142" s="188"/>
      <c r="AWY142" s="187"/>
      <c r="AXE142" s="188"/>
      <c r="AXF142" s="187"/>
      <c r="AXL142" s="188"/>
      <c r="AXM142" s="190"/>
      <c r="AXN142" s="189"/>
      <c r="AXS142" s="188"/>
      <c r="AXT142" s="187"/>
      <c r="AXZ142" s="188"/>
      <c r="AYA142" s="187"/>
      <c r="AYG142" s="188"/>
      <c r="AYH142" s="187"/>
      <c r="AYN142" s="188"/>
      <c r="AYO142" s="187"/>
      <c r="AYR142" s="168"/>
      <c r="AYS142" s="189"/>
      <c r="AYU142" s="188"/>
      <c r="AYV142" s="187"/>
      <c r="AZB142" s="188"/>
      <c r="AZC142" s="187"/>
      <c r="AZI142" s="188"/>
      <c r="AZJ142" s="187"/>
      <c r="AZP142" s="188"/>
      <c r="AZQ142" s="187"/>
      <c r="AZV142" s="168"/>
      <c r="AZW142" s="191"/>
      <c r="AZX142" s="187"/>
      <c r="BAD142" s="188"/>
      <c r="BAE142" s="187"/>
      <c r="BAK142" s="188"/>
      <c r="BAL142" s="187"/>
      <c r="BAR142" s="188"/>
      <c r="BAS142" s="187"/>
      <c r="BAY142" s="188"/>
      <c r="BAZ142" s="187"/>
      <c r="BBA142" s="168"/>
      <c r="BBB142" s="189"/>
      <c r="BBF142" s="188"/>
      <c r="BBG142" s="187"/>
      <c r="BBM142" s="188"/>
      <c r="BBN142" s="187"/>
      <c r="BBT142" s="188"/>
      <c r="BBU142" s="187"/>
      <c r="BCA142" s="188"/>
      <c r="BCB142" s="187"/>
      <c r="BCE142" s="168"/>
      <c r="BCF142" s="189"/>
      <c r="BCH142" s="188"/>
      <c r="BCI142" s="187"/>
      <c r="BCO142" s="188"/>
      <c r="BCP142" s="187"/>
      <c r="BCV142" s="188"/>
      <c r="BCW142" s="187"/>
      <c r="BDC142" s="188"/>
      <c r="BDD142" s="187"/>
      <c r="BDJ142" s="168"/>
      <c r="BDK142" s="189"/>
      <c r="BDQ142" s="188"/>
      <c r="BDR142" s="187"/>
      <c r="BDX142" s="188"/>
      <c r="BDY142" s="187"/>
      <c r="BEE142" s="188"/>
      <c r="BEF142" s="187"/>
      <c r="BEL142" s="188"/>
      <c r="BEM142" s="187"/>
      <c r="BEO142" s="168"/>
      <c r="BEP142" s="189"/>
      <c r="BES142" s="188"/>
      <c r="BET142" s="187"/>
      <c r="BEZ142" s="188"/>
      <c r="BFA142" s="187"/>
      <c r="BFG142" s="188"/>
      <c r="BFH142" s="187"/>
      <c r="BFN142" s="188"/>
      <c r="BFO142" s="187"/>
      <c r="BFQ142" s="168"/>
      <c r="BFR142" s="189"/>
      <c r="BFU142" s="188"/>
      <c r="BFV142" s="187"/>
      <c r="BGB142" s="188"/>
      <c r="BGC142" s="187"/>
      <c r="BGI142" s="188"/>
      <c r="BGJ142" s="187"/>
      <c r="BGP142" s="188"/>
      <c r="BGQ142" s="187"/>
      <c r="BGV142" s="168"/>
      <c r="BGW142" s="191"/>
      <c r="BGX142" s="187"/>
      <c r="BHD142" s="188"/>
      <c r="BHE142" s="187"/>
      <c r="BHK142" s="188"/>
      <c r="BHL142" s="187"/>
      <c r="BHR142" s="188"/>
      <c r="BHS142" s="187"/>
      <c r="BHY142" s="188"/>
      <c r="BHZ142" s="190"/>
      <c r="BIA142" s="189"/>
      <c r="BIF142" s="188"/>
      <c r="BIG142" s="187"/>
      <c r="BIM142" s="188"/>
      <c r="BIN142" s="187"/>
      <c r="BIT142" s="188"/>
      <c r="BIU142" s="187"/>
      <c r="BJA142" s="188"/>
      <c r="BJB142" s="187"/>
      <c r="BJE142" s="168"/>
      <c r="BJF142" s="189"/>
      <c r="BJH142" s="188"/>
      <c r="BJI142" s="187"/>
      <c r="BJO142" s="188"/>
      <c r="BJP142" s="187"/>
      <c r="BJV142" s="188"/>
      <c r="BJW142" s="187"/>
      <c r="BKC142" s="188"/>
      <c r="BKD142" s="187"/>
      <c r="BKI142" s="168"/>
      <c r="BKJ142" s="191"/>
      <c r="BKK142" s="187"/>
      <c r="BKQ142" s="188"/>
      <c r="BKR142" s="187"/>
      <c r="BKX142" s="188"/>
      <c r="BKY142" s="187"/>
      <c r="BLE142" s="188"/>
      <c r="BLF142" s="187"/>
      <c r="BLL142" s="188"/>
      <c r="BLM142" s="187"/>
      <c r="BLN142" s="168"/>
      <c r="BLO142" s="189"/>
      <c r="BLS142" s="188"/>
      <c r="BLT142" s="187"/>
      <c r="BLZ142" s="188"/>
      <c r="BMA142" s="187"/>
      <c r="BMG142" s="188"/>
      <c r="BMH142" s="187"/>
      <c r="BMN142" s="188"/>
      <c r="BMO142" s="187"/>
      <c r="BMS142" s="168"/>
      <c r="BMT142" s="189"/>
      <c r="BMU142" s="188"/>
      <c r="BMV142" s="187"/>
      <c r="BNB142" s="188"/>
      <c r="BNC142" s="187"/>
      <c r="BNI142" s="188"/>
      <c r="BNJ142" s="187"/>
      <c r="BNP142" s="188"/>
      <c r="BNQ142" s="187"/>
      <c r="BNW142" s="168"/>
      <c r="BNX142" s="189"/>
      <c r="BOD142" s="188"/>
      <c r="BOE142" s="187"/>
      <c r="BOK142" s="188"/>
      <c r="BOL142" s="187"/>
      <c r="BOR142" s="188"/>
      <c r="BOS142" s="187"/>
      <c r="BOY142" s="188"/>
      <c r="BOZ142" s="187"/>
      <c r="BPB142" s="168"/>
      <c r="BPC142" s="189"/>
      <c r="BPF142" s="188"/>
      <c r="BPG142" s="187"/>
      <c r="BPM142" s="188"/>
      <c r="BPN142" s="187"/>
      <c r="BPT142" s="188"/>
      <c r="BPU142" s="187"/>
      <c r="BQA142" s="188"/>
      <c r="BQB142" s="187"/>
      <c r="BQF142" s="168"/>
      <c r="BQG142" s="189"/>
      <c r="BQH142" s="188"/>
      <c r="BQI142" s="187"/>
      <c r="BQO142" s="188"/>
      <c r="BQP142" s="187"/>
      <c r="BQV142" s="188"/>
      <c r="BQW142" s="187"/>
      <c r="BRC142" s="188"/>
      <c r="BRD142" s="187"/>
      <c r="BRJ142" s="188"/>
      <c r="BRK142" s="190"/>
      <c r="BRL142" s="189"/>
      <c r="BRQ142" s="188"/>
      <c r="BRR142" s="187"/>
      <c r="BRX142" s="188"/>
      <c r="BRY142" s="187"/>
      <c r="BSE142" s="188"/>
      <c r="BSF142" s="187"/>
      <c r="BSL142" s="188"/>
      <c r="BSM142" s="187"/>
      <c r="BSP142" s="168"/>
      <c r="BSQ142" s="189"/>
      <c r="BSS142" s="188"/>
      <c r="BST142" s="187"/>
      <c r="BSZ142" s="188"/>
      <c r="BTA142" s="187"/>
      <c r="BTG142" s="188"/>
      <c r="BTH142" s="187"/>
      <c r="BTN142" s="188"/>
      <c r="BTO142" s="187"/>
      <c r="BTS142" s="168"/>
      <c r="BTT142" s="189"/>
      <c r="BTU142" s="188"/>
      <c r="BTV142" s="187"/>
      <c r="BUB142" s="188"/>
      <c r="BUC142" s="187"/>
      <c r="BUI142" s="188"/>
      <c r="BUJ142" s="187"/>
      <c r="BUP142" s="188"/>
      <c r="BUQ142" s="187"/>
      <c r="BUW142" s="188"/>
      <c r="BUX142" s="190"/>
      <c r="BUY142" s="189"/>
      <c r="BVD142" s="188"/>
      <c r="BVE142" s="187"/>
      <c r="BVK142" s="188"/>
      <c r="BVL142" s="187"/>
      <c r="BVR142" s="188"/>
      <c r="BVS142" s="187"/>
      <c r="BVY142" s="188"/>
      <c r="BVZ142" s="187"/>
      <c r="BWB142" s="168"/>
      <c r="BWC142" s="189"/>
      <c r="BWF142" s="188"/>
      <c r="BWG142" s="187"/>
      <c r="BWM142" s="188"/>
      <c r="BWN142" s="187"/>
      <c r="BWT142" s="188"/>
      <c r="BWU142" s="187"/>
      <c r="BXA142" s="188"/>
      <c r="BXB142" s="187"/>
      <c r="BXG142" s="168"/>
      <c r="BXH142" s="191"/>
      <c r="BXI142" s="187"/>
      <c r="BXO142" s="188"/>
      <c r="BXP142" s="187"/>
      <c r="BXV142" s="188"/>
      <c r="BXW142" s="187"/>
      <c r="BYC142" s="188"/>
      <c r="BYD142" s="187"/>
      <c r="BYJ142" s="188"/>
      <c r="BYK142" s="190"/>
      <c r="BYL142" s="189"/>
      <c r="BYQ142" s="188"/>
      <c r="BYR142" s="187"/>
      <c r="BYX142" s="188"/>
      <c r="BYY142" s="187"/>
      <c r="BZE142" s="188"/>
      <c r="BZF142" s="187"/>
      <c r="BZL142" s="188"/>
      <c r="BZM142" s="187"/>
      <c r="BZP142" s="168"/>
      <c r="BZQ142" s="189"/>
      <c r="BZS142" s="188"/>
      <c r="BZT142" s="187"/>
      <c r="BZZ142" s="188"/>
      <c r="CAA142" s="187"/>
      <c r="CAG142" s="188"/>
      <c r="CAH142" s="187"/>
      <c r="CAN142" s="188"/>
      <c r="CAO142" s="187"/>
      <c r="CAU142" s="168"/>
      <c r="CAV142" s="189"/>
      <c r="CBB142" s="188"/>
      <c r="CBC142" s="187"/>
      <c r="CBI142" s="188"/>
      <c r="CBJ142" s="187"/>
      <c r="CBP142" s="188"/>
      <c r="CBQ142" s="187"/>
      <c r="CBW142" s="188"/>
      <c r="CBX142" s="187"/>
      <c r="CBY142" s="168"/>
      <c r="CBZ142" s="189"/>
      <c r="CCD142" s="188"/>
      <c r="CCE142" s="187"/>
      <c r="CCK142" s="188"/>
      <c r="CCL142" s="187"/>
      <c r="CCR142" s="188"/>
      <c r="CCS142" s="187"/>
      <c r="CCY142" s="188"/>
      <c r="CCZ142" s="187"/>
      <c r="CDD142" s="168"/>
      <c r="CDE142" s="189"/>
      <c r="CDF142" s="188"/>
      <c r="CDG142" s="187"/>
      <c r="CDM142" s="188"/>
      <c r="CDN142" s="187"/>
      <c r="CDT142" s="188"/>
      <c r="CDU142" s="187"/>
      <c r="CEA142" s="188"/>
      <c r="CEB142" s="187"/>
      <c r="CEH142" s="168"/>
      <c r="CEI142" s="189"/>
      <c r="CEO142" s="188"/>
      <c r="CEP142" s="187"/>
      <c r="CEV142" s="188"/>
      <c r="CEW142" s="187"/>
      <c r="CFC142" s="188"/>
      <c r="CFD142" s="187"/>
      <c r="CFJ142" s="188"/>
      <c r="CFK142" s="187"/>
    </row>
    <row r="143" spans="1:1019 1025:2048 2054:2195">
      <c r="D143" s="186"/>
      <c r="E143" s="186"/>
      <c r="K143" s="187"/>
      <c r="Q143" s="188"/>
      <c r="R143" s="187"/>
      <c r="X143" s="188"/>
      <c r="Y143" s="187"/>
      <c r="AE143" s="188"/>
      <c r="AF143" s="187"/>
      <c r="AJ143" s="168"/>
      <c r="AK143" s="189"/>
      <c r="AL143" s="188"/>
      <c r="AM143" s="187"/>
      <c r="AS143" s="188"/>
      <c r="AT143" s="187"/>
      <c r="AZ143" s="188"/>
      <c r="BA143" s="187"/>
      <c r="BG143" s="188"/>
      <c r="BH143" s="187"/>
      <c r="BL143" s="168"/>
      <c r="BM143" s="189"/>
      <c r="BN143" s="188"/>
      <c r="BO143" s="187"/>
      <c r="BU143" s="188"/>
      <c r="BV143" s="187"/>
      <c r="CB143" s="188"/>
      <c r="CC143" s="187"/>
      <c r="CI143" s="188"/>
      <c r="CJ143" s="187"/>
      <c r="CP143" s="188"/>
      <c r="CQ143" s="190"/>
      <c r="CR143" s="189"/>
      <c r="CW143" s="188"/>
      <c r="CX143" s="187"/>
      <c r="DD143" s="188"/>
      <c r="DE143" s="187"/>
      <c r="DK143" s="188"/>
      <c r="DL143" s="187"/>
      <c r="DR143" s="188"/>
      <c r="DS143" s="187"/>
      <c r="DU143" s="168"/>
      <c r="DV143" s="189"/>
      <c r="DY143" s="188"/>
      <c r="DZ143" s="187"/>
      <c r="EF143" s="188"/>
      <c r="EG143" s="187"/>
      <c r="EM143" s="188"/>
      <c r="EN143" s="187"/>
      <c r="ET143" s="188"/>
      <c r="EU143" s="187"/>
      <c r="EZ143" s="168"/>
      <c r="FA143" s="191"/>
      <c r="FB143" s="187"/>
      <c r="FH143" s="188"/>
      <c r="FI143" s="187"/>
      <c r="FO143" s="188"/>
      <c r="FP143" s="187"/>
      <c r="FV143" s="188"/>
      <c r="FW143" s="187"/>
      <c r="GC143" s="188"/>
      <c r="GD143" s="190"/>
      <c r="GE143" s="189"/>
      <c r="GJ143" s="188"/>
      <c r="GK143" s="187"/>
      <c r="GQ143" s="188"/>
      <c r="GR143" s="187"/>
      <c r="GX143" s="188"/>
      <c r="GY143" s="187"/>
      <c r="HE143" s="188"/>
      <c r="HF143" s="187"/>
      <c r="HI143" s="168"/>
      <c r="HJ143" s="189"/>
      <c r="HL143" s="188"/>
      <c r="HM143" s="187"/>
      <c r="HS143" s="188"/>
      <c r="HT143" s="187"/>
      <c r="HZ143" s="188"/>
      <c r="IA143" s="187"/>
      <c r="IG143" s="188"/>
      <c r="IH143" s="187"/>
      <c r="IN143" s="168"/>
      <c r="IO143" s="189"/>
      <c r="IU143" s="188"/>
      <c r="IV143" s="187"/>
      <c r="JB143" s="188"/>
      <c r="JC143" s="187"/>
      <c r="JI143" s="188"/>
      <c r="JJ143" s="187"/>
      <c r="JP143" s="188"/>
      <c r="JQ143" s="187"/>
      <c r="JR143" s="168"/>
      <c r="JS143" s="189"/>
      <c r="JW143" s="188"/>
      <c r="JX143" s="187"/>
      <c r="KD143" s="188"/>
      <c r="KE143" s="187"/>
      <c r="KK143" s="188"/>
      <c r="KL143" s="187"/>
      <c r="KR143" s="188"/>
      <c r="KS143" s="187"/>
      <c r="KW143" s="168"/>
      <c r="KX143" s="189"/>
      <c r="KY143" s="188"/>
      <c r="KZ143" s="187"/>
      <c r="LF143" s="188"/>
      <c r="LG143" s="187"/>
      <c r="LM143" s="188"/>
      <c r="LN143" s="187"/>
      <c r="LT143" s="188"/>
      <c r="LU143" s="187"/>
      <c r="MA143" s="168"/>
      <c r="MB143" s="189"/>
      <c r="MH143" s="188"/>
      <c r="MI143" s="187"/>
      <c r="MO143" s="188"/>
      <c r="MP143" s="187"/>
      <c r="MV143" s="188"/>
      <c r="MW143" s="187"/>
      <c r="NC143" s="188"/>
      <c r="ND143" s="187"/>
      <c r="NF143" s="168"/>
      <c r="NG143" s="189"/>
      <c r="NJ143" s="188"/>
      <c r="NK143" s="187"/>
      <c r="NQ143" s="188"/>
      <c r="NR143" s="187"/>
      <c r="NX143" s="188"/>
      <c r="NY143" s="187"/>
      <c r="OE143" s="188"/>
      <c r="OF143" s="187"/>
      <c r="OK143" s="168"/>
      <c r="OL143" s="191"/>
      <c r="OM143" s="187"/>
      <c r="OS143" s="188"/>
      <c r="OT143" s="187"/>
      <c r="OZ143" s="188"/>
      <c r="PA143" s="187"/>
      <c r="PG143" s="188"/>
      <c r="PH143" s="187"/>
      <c r="PN143" s="168"/>
      <c r="PO143" s="189"/>
      <c r="PU143" s="188"/>
      <c r="PV143" s="187"/>
      <c r="QB143" s="188"/>
      <c r="QC143" s="187"/>
      <c r="QI143" s="188"/>
      <c r="QJ143" s="187"/>
      <c r="QP143" s="188"/>
      <c r="QQ143" s="187"/>
      <c r="QS143" s="168"/>
      <c r="QT143" s="189"/>
      <c r="QW143" s="188"/>
      <c r="QX143" s="187"/>
      <c r="RD143" s="188"/>
      <c r="RE143" s="187"/>
      <c r="RK143" s="188"/>
      <c r="RL143" s="187"/>
      <c r="RR143" s="188"/>
      <c r="RS143" s="187"/>
      <c r="RW143" s="168"/>
      <c r="RX143" s="189"/>
      <c r="RY143" s="188"/>
      <c r="RZ143" s="187"/>
      <c r="SF143" s="188"/>
      <c r="SG143" s="187"/>
      <c r="SM143" s="188"/>
      <c r="SN143" s="187"/>
      <c r="ST143" s="188"/>
      <c r="SU143" s="187"/>
      <c r="TA143" s="188"/>
      <c r="TB143" s="190"/>
      <c r="TC143" s="189"/>
      <c r="TH143" s="188"/>
      <c r="TI143" s="187"/>
      <c r="TO143" s="188"/>
      <c r="TP143" s="187"/>
      <c r="TV143" s="188"/>
      <c r="TW143" s="187"/>
      <c r="UC143" s="188"/>
      <c r="UD143" s="187"/>
      <c r="UF143" s="168"/>
      <c r="UG143" s="189"/>
      <c r="UJ143" s="188"/>
      <c r="UK143" s="187"/>
      <c r="UQ143" s="188"/>
      <c r="UR143" s="187"/>
      <c r="UX143" s="188"/>
      <c r="UY143" s="187"/>
      <c r="VE143" s="188"/>
      <c r="VF143" s="187"/>
      <c r="VK143" s="168"/>
      <c r="VL143" s="191"/>
      <c r="VM143" s="187"/>
      <c r="VS143" s="188"/>
      <c r="VT143" s="187"/>
      <c r="VZ143" s="188"/>
      <c r="WA143" s="187"/>
      <c r="WG143" s="188"/>
      <c r="WH143" s="187"/>
      <c r="WN143" s="188"/>
      <c r="WO143" s="187"/>
      <c r="WP143" s="168"/>
      <c r="WQ143" s="189"/>
      <c r="WU143" s="188"/>
      <c r="WV143" s="187"/>
      <c r="XB143" s="188"/>
      <c r="XC143" s="187"/>
      <c r="XI143" s="188"/>
      <c r="XJ143" s="187"/>
      <c r="XP143" s="188"/>
      <c r="XQ143" s="187"/>
      <c r="XT143" s="168"/>
      <c r="XU143" s="189"/>
      <c r="XW143" s="188"/>
      <c r="XX143" s="187"/>
      <c r="YD143" s="188"/>
      <c r="YE143" s="187"/>
      <c r="YK143" s="188"/>
      <c r="YL143" s="187"/>
      <c r="YR143" s="188"/>
      <c r="YS143" s="187"/>
      <c r="YY143" s="168"/>
      <c r="YZ143" s="189"/>
      <c r="ZF143" s="188"/>
      <c r="ZG143" s="187"/>
      <c r="ZM143" s="188"/>
      <c r="ZN143" s="187"/>
      <c r="ZT143" s="188"/>
      <c r="ZU143" s="187"/>
      <c r="AAA143" s="188"/>
      <c r="AAB143" s="187"/>
      <c r="AAC143" s="168"/>
      <c r="AAD143" s="189"/>
      <c r="AAH143" s="188"/>
      <c r="AAI143" s="187"/>
      <c r="AAO143" s="188"/>
      <c r="AAP143" s="187"/>
      <c r="AAV143" s="188"/>
      <c r="AAW143" s="187"/>
      <c r="ABC143" s="188"/>
      <c r="ABD143" s="187"/>
      <c r="ABH143" s="168"/>
      <c r="ABI143" s="189"/>
      <c r="ABJ143" s="188"/>
      <c r="ABK143" s="187"/>
      <c r="ABQ143" s="188"/>
      <c r="ABR143" s="187"/>
      <c r="ABX143" s="188"/>
      <c r="ABY143" s="187"/>
      <c r="ACE143" s="188"/>
      <c r="ACF143" s="187"/>
      <c r="ACL143" s="188"/>
      <c r="ACM143" s="190"/>
      <c r="ACN143" s="189"/>
      <c r="ACS143" s="188"/>
      <c r="ACT143" s="187"/>
      <c r="ACZ143" s="188"/>
      <c r="ADA143" s="187"/>
      <c r="ADG143" s="188"/>
      <c r="ADH143" s="187"/>
      <c r="ADN143" s="188"/>
      <c r="ADO143" s="190"/>
      <c r="ADP143" s="189"/>
      <c r="ADU143" s="188"/>
      <c r="ADV143" s="187"/>
      <c r="AEB143" s="188"/>
      <c r="AEC143" s="187"/>
      <c r="AEI143" s="188"/>
      <c r="AEJ143" s="187"/>
      <c r="AEP143" s="188"/>
      <c r="AEQ143" s="187"/>
      <c r="AET143" s="168"/>
      <c r="AEU143" s="189"/>
      <c r="AEW143" s="188"/>
      <c r="AEX143" s="187"/>
      <c r="AFD143" s="188"/>
      <c r="AFE143" s="187"/>
      <c r="AFK143" s="188"/>
      <c r="AFL143" s="187"/>
      <c r="AFR143" s="188"/>
      <c r="AFS143" s="187"/>
      <c r="AFX143" s="168"/>
      <c r="AFY143" s="191"/>
      <c r="AFZ143" s="187"/>
      <c r="AGF143" s="188"/>
      <c r="AGG143" s="187"/>
      <c r="AGM143" s="188"/>
      <c r="AGN143" s="187"/>
      <c r="AGT143" s="188"/>
      <c r="AGU143" s="187"/>
      <c r="AHA143" s="188"/>
      <c r="AHB143" s="187"/>
      <c r="AHC143" s="168"/>
      <c r="AHD143" s="189"/>
      <c r="AHH143" s="188"/>
      <c r="AHI143" s="187"/>
      <c r="AHO143" s="188"/>
      <c r="AHP143" s="187"/>
      <c r="AHV143" s="188"/>
      <c r="AHW143" s="187"/>
      <c r="AIC143" s="188"/>
      <c r="AID143" s="187"/>
      <c r="AIG143" s="168"/>
      <c r="AIH143" s="189"/>
      <c r="AIJ143" s="188"/>
      <c r="AIK143" s="187"/>
      <c r="AIQ143" s="188"/>
      <c r="AIR143" s="187"/>
      <c r="AIX143" s="188"/>
      <c r="AIY143" s="187"/>
      <c r="AJE143" s="188"/>
      <c r="AJF143" s="187"/>
      <c r="AJL143" s="168"/>
      <c r="AJM143" s="189"/>
      <c r="AJS143" s="188"/>
      <c r="AJT143" s="187"/>
      <c r="AJZ143" s="188"/>
      <c r="AKA143" s="187"/>
      <c r="AKG143" s="188"/>
      <c r="AKH143" s="187"/>
      <c r="AKN143" s="188"/>
      <c r="AKO143" s="187"/>
      <c r="AKQ143" s="168"/>
      <c r="AKR143" s="189"/>
      <c r="AKU143" s="188"/>
      <c r="AKV143" s="187"/>
      <c r="ALB143" s="188"/>
      <c r="ALC143" s="187"/>
      <c r="ALI143" s="188"/>
      <c r="ALJ143" s="187"/>
      <c r="ALP143" s="188"/>
      <c r="ALQ143" s="187"/>
      <c r="ALU143" s="168"/>
      <c r="ALV143" s="189"/>
      <c r="ALW143" s="188"/>
      <c r="ALX143" s="187"/>
      <c r="AMD143" s="188"/>
      <c r="AME143" s="187"/>
      <c r="AMK143" s="188"/>
      <c r="AML143" s="187"/>
      <c r="AMR143" s="188"/>
      <c r="AMS143" s="187"/>
      <c r="AMY143" s="188"/>
      <c r="AMZ143" s="190"/>
      <c r="ANA143" s="189"/>
      <c r="ANF143" s="188"/>
      <c r="ANG143" s="187"/>
      <c r="ANM143" s="188"/>
      <c r="ANN143" s="187"/>
      <c r="ANT143" s="188"/>
      <c r="ANU143" s="187"/>
      <c r="AOA143" s="188"/>
      <c r="AOB143" s="187"/>
      <c r="AOD143" s="168"/>
      <c r="AOE143" s="189"/>
      <c r="AOH143" s="188"/>
      <c r="AOI143" s="187"/>
      <c r="AOO143" s="188"/>
      <c r="AOP143" s="187"/>
      <c r="AOV143" s="188"/>
      <c r="AOW143" s="187"/>
      <c r="APC143" s="188"/>
      <c r="APD143" s="187"/>
      <c r="API143" s="168"/>
      <c r="APJ143" s="191"/>
      <c r="APK143" s="187"/>
      <c r="APQ143" s="188"/>
      <c r="APR143" s="187"/>
      <c r="APX143" s="188"/>
      <c r="APY143" s="187"/>
      <c r="AQE143" s="188"/>
      <c r="AQF143" s="187"/>
      <c r="AQL143" s="188"/>
      <c r="AQM143" s="187"/>
      <c r="AQN143" s="168"/>
      <c r="AQO143" s="189"/>
      <c r="AQS143" s="188"/>
      <c r="AQT143" s="187"/>
      <c r="AQZ143" s="188"/>
      <c r="ARA143" s="187"/>
      <c r="ARG143" s="188"/>
      <c r="ARH143" s="187"/>
      <c r="ARN143" s="188"/>
      <c r="ARO143" s="187"/>
      <c r="ARP143" s="168"/>
      <c r="ARQ143" s="189"/>
      <c r="ARU143" s="188"/>
      <c r="ARV143" s="187"/>
      <c r="ASB143" s="188"/>
      <c r="ASC143" s="187"/>
      <c r="ASI143" s="188"/>
      <c r="ASJ143" s="187"/>
      <c r="ASP143" s="188"/>
      <c r="ASQ143" s="187"/>
      <c r="ASU143" s="168"/>
      <c r="ASV143" s="189"/>
      <c r="ASW143" s="188"/>
      <c r="ASX143" s="187"/>
      <c r="ATD143" s="188"/>
      <c r="ATE143" s="187"/>
      <c r="ATK143" s="188"/>
      <c r="ATL143" s="187"/>
      <c r="ATR143" s="188"/>
      <c r="ATS143" s="187"/>
      <c r="ATY143" s="168"/>
      <c r="ATZ143" s="189"/>
      <c r="AUF143" s="188"/>
      <c r="AUG143" s="187"/>
      <c r="AUM143" s="188"/>
      <c r="AUN143" s="187"/>
      <c r="AUT143" s="188"/>
      <c r="AUU143" s="187"/>
      <c r="AVA143" s="188"/>
      <c r="AVB143" s="187"/>
      <c r="AVD143" s="168"/>
      <c r="AVE143" s="189"/>
      <c r="AVH143" s="188"/>
      <c r="AVI143" s="187"/>
      <c r="AVO143" s="188"/>
      <c r="AVP143" s="187"/>
      <c r="AVV143" s="188"/>
      <c r="AVW143" s="187"/>
      <c r="AWC143" s="188"/>
      <c r="AWD143" s="187"/>
      <c r="AWH143" s="168"/>
      <c r="AWI143" s="189"/>
      <c r="AWJ143" s="188"/>
      <c r="AWK143" s="187"/>
      <c r="AWQ143" s="188"/>
      <c r="AWR143" s="187"/>
      <c r="AWX143" s="188"/>
      <c r="AWY143" s="187"/>
      <c r="AXE143" s="188"/>
      <c r="AXF143" s="187"/>
      <c r="AXL143" s="188"/>
      <c r="AXM143" s="190"/>
      <c r="AXN143" s="189"/>
      <c r="AXS143" s="188"/>
      <c r="AXT143" s="187"/>
      <c r="AXZ143" s="188"/>
      <c r="AYA143" s="187"/>
      <c r="AYG143" s="188"/>
      <c r="AYH143" s="187"/>
      <c r="AYN143" s="188"/>
      <c r="AYO143" s="187"/>
      <c r="AYR143" s="168"/>
      <c r="AYS143" s="189"/>
      <c r="AYU143" s="188"/>
      <c r="AYV143" s="187"/>
      <c r="AZB143" s="188"/>
      <c r="AZC143" s="187"/>
      <c r="AZI143" s="188"/>
      <c r="AZJ143" s="187"/>
      <c r="AZP143" s="188"/>
      <c r="AZQ143" s="187"/>
      <c r="AZV143" s="168"/>
      <c r="AZW143" s="191"/>
      <c r="AZX143" s="187"/>
      <c r="BAD143" s="188"/>
      <c r="BAE143" s="187"/>
      <c r="BAK143" s="188"/>
      <c r="BAL143" s="187"/>
      <c r="BAR143" s="188"/>
      <c r="BAS143" s="187"/>
      <c r="BAY143" s="188"/>
      <c r="BAZ143" s="187"/>
      <c r="BBA143" s="168"/>
      <c r="BBB143" s="189"/>
      <c r="BBF143" s="188"/>
      <c r="BBG143" s="187"/>
      <c r="BBM143" s="188"/>
      <c r="BBN143" s="187"/>
      <c r="BBT143" s="188"/>
      <c r="BBU143" s="187"/>
      <c r="BCA143" s="188"/>
      <c r="BCB143" s="187"/>
      <c r="BCE143" s="168"/>
      <c r="BCF143" s="189"/>
      <c r="BCH143" s="188"/>
      <c r="BCI143" s="187"/>
      <c r="BCO143" s="188"/>
      <c r="BCP143" s="187"/>
      <c r="BCV143" s="188"/>
      <c r="BCW143" s="187"/>
      <c r="BDC143" s="188"/>
      <c r="BDD143" s="187"/>
      <c r="BDJ143" s="168"/>
      <c r="BDK143" s="189"/>
      <c r="BDQ143" s="188"/>
      <c r="BDR143" s="187"/>
      <c r="BDX143" s="188"/>
      <c r="BDY143" s="187"/>
      <c r="BEE143" s="188"/>
      <c r="BEF143" s="187"/>
      <c r="BEL143" s="188"/>
      <c r="BEM143" s="187"/>
      <c r="BEO143" s="168"/>
      <c r="BEP143" s="189"/>
      <c r="BES143" s="188"/>
      <c r="BET143" s="187"/>
      <c r="BEZ143" s="188"/>
      <c r="BFA143" s="187"/>
      <c r="BFG143" s="188"/>
      <c r="BFH143" s="187"/>
      <c r="BFN143" s="188"/>
      <c r="BFO143" s="187"/>
      <c r="BFQ143" s="168"/>
      <c r="BFR143" s="189"/>
      <c r="BFU143" s="188"/>
      <c r="BFV143" s="187"/>
      <c r="BGB143" s="188"/>
      <c r="BGC143" s="187"/>
      <c r="BGI143" s="188"/>
      <c r="BGJ143" s="187"/>
      <c r="BGP143" s="188"/>
      <c r="BGQ143" s="187"/>
      <c r="BGV143" s="168"/>
      <c r="BGW143" s="191"/>
      <c r="BGX143" s="187"/>
      <c r="BHD143" s="188"/>
      <c r="BHE143" s="187"/>
      <c r="BHK143" s="188"/>
      <c r="BHL143" s="187"/>
      <c r="BHR143" s="188"/>
      <c r="BHS143" s="187"/>
      <c r="BHY143" s="188"/>
      <c r="BHZ143" s="190"/>
      <c r="BIA143" s="189"/>
      <c r="BIF143" s="188"/>
      <c r="BIG143" s="187"/>
      <c r="BIM143" s="188"/>
      <c r="BIN143" s="187"/>
      <c r="BIT143" s="188"/>
      <c r="BIU143" s="187"/>
      <c r="BJA143" s="188"/>
      <c r="BJB143" s="187"/>
      <c r="BJE143" s="168"/>
      <c r="BJF143" s="189"/>
      <c r="BJH143" s="188"/>
      <c r="BJI143" s="187"/>
      <c r="BJO143" s="188"/>
      <c r="BJP143" s="187"/>
      <c r="BJV143" s="188"/>
      <c r="BJW143" s="187"/>
      <c r="BKC143" s="188"/>
      <c r="BKD143" s="187"/>
      <c r="BKI143" s="168"/>
      <c r="BKJ143" s="191"/>
      <c r="BKK143" s="187"/>
      <c r="BKQ143" s="188"/>
      <c r="BKR143" s="187"/>
      <c r="BKX143" s="188"/>
      <c r="BKY143" s="187"/>
      <c r="BLE143" s="188"/>
      <c r="BLF143" s="187"/>
      <c r="BLL143" s="188"/>
      <c r="BLM143" s="187"/>
      <c r="BLN143" s="168"/>
      <c r="BLO143" s="189"/>
      <c r="BLS143" s="188"/>
      <c r="BLT143" s="187"/>
      <c r="BLZ143" s="188"/>
      <c r="BMA143" s="187"/>
      <c r="BMG143" s="188"/>
      <c r="BMH143" s="187"/>
      <c r="BMN143" s="188"/>
      <c r="BMO143" s="187"/>
      <c r="BMS143" s="168"/>
      <c r="BMT143" s="189"/>
      <c r="BMU143" s="188"/>
      <c r="BMV143" s="187"/>
      <c r="BNB143" s="188"/>
      <c r="BNC143" s="187"/>
      <c r="BNI143" s="188"/>
      <c r="BNJ143" s="187"/>
      <c r="BNP143" s="188"/>
      <c r="BNQ143" s="187"/>
      <c r="BNW143" s="168"/>
      <c r="BNX143" s="189"/>
      <c r="BOD143" s="188"/>
      <c r="BOE143" s="187"/>
      <c r="BOK143" s="188"/>
      <c r="BOL143" s="187"/>
      <c r="BOR143" s="188"/>
      <c r="BOS143" s="187"/>
      <c r="BOY143" s="188"/>
      <c r="BOZ143" s="187"/>
      <c r="BPB143" s="168"/>
      <c r="BPC143" s="189"/>
      <c r="BPF143" s="188"/>
      <c r="BPG143" s="187"/>
      <c r="BPM143" s="188"/>
      <c r="BPN143" s="187"/>
      <c r="BPT143" s="188"/>
      <c r="BPU143" s="187"/>
      <c r="BQA143" s="188"/>
      <c r="BQB143" s="187"/>
      <c r="BQF143" s="168"/>
      <c r="BQG143" s="189"/>
      <c r="BQH143" s="188"/>
      <c r="BQI143" s="187"/>
      <c r="BQO143" s="188"/>
      <c r="BQP143" s="187"/>
      <c r="BQV143" s="188"/>
      <c r="BQW143" s="187"/>
      <c r="BRC143" s="188"/>
      <c r="BRD143" s="187"/>
      <c r="BRJ143" s="188"/>
      <c r="BRK143" s="190"/>
      <c r="BRL143" s="189"/>
      <c r="BRQ143" s="188"/>
      <c r="BRR143" s="187"/>
      <c r="BRX143" s="188"/>
      <c r="BRY143" s="187"/>
      <c r="BSE143" s="188"/>
      <c r="BSF143" s="187"/>
      <c r="BSL143" s="188"/>
      <c r="BSM143" s="187"/>
      <c r="BSP143" s="168"/>
      <c r="BSQ143" s="189"/>
      <c r="BSS143" s="188"/>
      <c r="BST143" s="187"/>
      <c r="BSZ143" s="188"/>
      <c r="BTA143" s="187"/>
      <c r="BTG143" s="188"/>
      <c r="BTH143" s="187"/>
      <c r="BTN143" s="188"/>
      <c r="BTO143" s="187"/>
      <c r="BTS143" s="168"/>
      <c r="BTT143" s="189"/>
      <c r="BTU143" s="188"/>
      <c r="BTV143" s="187"/>
      <c r="BUB143" s="188"/>
      <c r="BUC143" s="187"/>
      <c r="BUI143" s="188"/>
      <c r="BUJ143" s="187"/>
      <c r="BUP143" s="188"/>
      <c r="BUQ143" s="187"/>
      <c r="BUW143" s="188"/>
      <c r="BUX143" s="190"/>
      <c r="BUY143" s="189"/>
      <c r="BVD143" s="188"/>
      <c r="BVE143" s="187"/>
      <c r="BVK143" s="188"/>
      <c r="BVL143" s="187"/>
      <c r="BVR143" s="188"/>
      <c r="BVS143" s="187"/>
      <c r="BVY143" s="188"/>
      <c r="BVZ143" s="187"/>
      <c r="BWB143" s="168"/>
      <c r="BWC143" s="189"/>
      <c r="BWF143" s="188"/>
      <c r="BWG143" s="187"/>
      <c r="BWM143" s="188"/>
      <c r="BWN143" s="187"/>
      <c r="BWT143" s="188"/>
      <c r="BWU143" s="187"/>
      <c r="BXA143" s="188"/>
      <c r="BXB143" s="187"/>
      <c r="BXG143" s="168"/>
      <c r="BXH143" s="191"/>
      <c r="BXI143" s="187"/>
      <c r="BXO143" s="188"/>
      <c r="BXP143" s="187"/>
      <c r="BXV143" s="188"/>
      <c r="BXW143" s="187"/>
      <c r="BYC143" s="188"/>
      <c r="BYD143" s="187"/>
      <c r="BYJ143" s="188"/>
      <c r="BYK143" s="190"/>
      <c r="BYL143" s="189"/>
      <c r="BYQ143" s="188"/>
      <c r="BYR143" s="187"/>
      <c r="BYX143" s="188"/>
      <c r="BYY143" s="187"/>
      <c r="BZE143" s="188"/>
      <c r="BZF143" s="187"/>
      <c r="BZL143" s="188"/>
      <c r="BZM143" s="187"/>
      <c r="BZP143" s="168"/>
      <c r="BZQ143" s="189"/>
      <c r="BZS143" s="188"/>
      <c r="BZT143" s="187"/>
      <c r="BZZ143" s="188"/>
      <c r="CAA143" s="187"/>
      <c r="CAG143" s="188"/>
      <c r="CAH143" s="187"/>
      <c r="CAN143" s="188"/>
      <c r="CAO143" s="187"/>
      <c r="CAU143" s="168"/>
      <c r="CAV143" s="189"/>
      <c r="CBB143" s="188"/>
      <c r="CBC143" s="187"/>
      <c r="CBI143" s="188"/>
      <c r="CBJ143" s="187"/>
      <c r="CBP143" s="188"/>
      <c r="CBQ143" s="187"/>
      <c r="CBW143" s="188"/>
      <c r="CBX143" s="187"/>
      <c r="CBY143" s="168"/>
      <c r="CBZ143" s="189"/>
      <c r="CCD143" s="188"/>
      <c r="CCE143" s="187"/>
      <c r="CCK143" s="188"/>
      <c r="CCL143" s="187"/>
      <c r="CCR143" s="188"/>
      <c r="CCS143" s="187"/>
      <c r="CCY143" s="188"/>
      <c r="CCZ143" s="187"/>
      <c r="CDD143" s="168"/>
      <c r="CDE143" s="189"/>
      <c r="CDF143" s="188"/>
      <c r="CDG143" s="187"/>
      <c r="CDM143" s="188"/>
      <c r="CDN143" s="187"/>
      <c r="CDT143" s="188"/>
      <c r="CDU143" s="187"/>
      <c r="CEA143" s="188"/>
      <c r="CEB143" s="187"/>
      <c r="CEH143" s="168"/>
      <c r="CEI143" s="189"/>
      <c r="CEO143" s="188"/>
      <c r="CEP143" s="187"/>
      <c r="CEV143" s="188"/>
      <c r="CEW143" s="187"/>
      <c r="CFC143" s="188"/>
      <c r="CFD143" s="187"/>
      <c r="CFJ143" s="188"/>
      <c r="CFK143" s="187"/>
    </row>
    <row r="144" spans="1:1019 1025:2048 2054:2195">
      <c r="D144" s="186"/>
      <c r="E144" s="186"/>
      <c r="K144" s="187"/>
      <c r="Q144" s="188"/>
      <c r="R144" s="187"/>
      <c r="X144" s="188"/>
      <c r="Y144" s="187"/>
      <c r="AE144" s="188"/>
      <c r="AF144" s="187"/>
      <c r="AJ144" s="168"/>
      <c r="AK144" s="189"/>
      <c r="AL144" s="188"/>
      <c r="AM144" s="187"/>
      <c r="AS144" s="188"/>
      <c r="AT144" s="187"/>
      <c r="AZ144" s="188"/>
      <c r="BA144" s="187"/>
      <c r="BG144" s="188"/>
      <c r="BH144" s="187"/>
      <c r="BL144" s="168"/>
      <c r="BM144" s="189"/>
      <c r="BN144" s="188"/>
      <c r="BO144" s="187"/>
      <c r="BU144" s="188"/>
      <c r="BV144" s="187"/>
      <c r="CB144" s="188"/>
      <c r="CC144" s="187"/>
      <c r="CI144" s="188"/>
      <c r="CJ144" s="187"/>
      <c r="CP144" s="188"/>
      <c r="CQ144" s="190"/>
      <c r="CR144" s="189"/>
      <c r="CW144" s="188"/>
      <c r="CX144" s="187"/>
      <c r="DD144" s="188"/>
      <c r="DE144" s="187"/>
      <c r="DK144" s="188"/>
      <c r="DL144" s="187"/>
      <c r="DR144" s="188"/>
      <c r="DS144" s="187"/>
      <c r="DU144" s="168"/>
      <c r="DV144" s="189"/>
      <c r="DY144" s="188"/>
      <c r="DZ144" s="187"/>
      <c r="EF144" s="188"/>
      <c r="EG144" s="187"/>
      <c r="EM144" s="188"/>
      <c r="EN144" s="187"/>
      <c r="ET144" s="188"/>
      <c r="EU144" s="187"/>
      <c r="EZ144" s="168"/>
      <c r="FA144" s="191"/>
      <c r="FB144" s="187"/>
      <c r="FH144" s="188"/>
      <c r="FI144" s="187"/>
      <c r="FO144" s="188"/>
      <c r="FP144" s="187"/>
      <c r="FV144" s="188"/>
      <c r="FW144" s="187"/>
      <c r="GC144" s="188"/>
      <c r="GD144" s="190"/>
      <c r="GE144" s="189"/>
      <c r="GJ144" s="188"/>
      <c r="GK144" s="187"/>
      <c r="GQ144" s="188"/>
      <c r="GR144" s="187"/>
      <c r="GX144" s="188"/>
      <c r="GY144" s="187"/>
      <c r="HE144" s="188"/>
      <c r="HF144" s="187"/>
      <c r="HI144" s="168"/>
      <c r="HJ144" s="189"/>
      <c r="HL144" s="188"/>
      <c r="HM144" s="187"/>
      <c r="HS144" s="188"/>
      <c r="HT144" s="187"/>
      <c r="HZ144" s="188"/>
      <c r="IA144" s="187"/>
      <c r="IG144" s="188"/>
      <c r="IH144" s="187"/>
      <c r="IN144" s="168"/>
      <c r="IO144" s="189"/>
      <c r="IU144" s="188"/>
      <c r="IV144" s="187"/>
      <c r="JB144" s="188"/>
      <c r="JC144" s="187"/>
      <c r="JI144" s="188"/>
      <c r="JJ144" s="187"/>
      <c r="JP144" s="188"/>
      <c r="JQ144" s="187"/>
      <c r="JR144" s="168"/>
      <c r="JS144" s="189"/>
      <c r="JW144" s="188"/>
      <c r="JX144" s="187"/>
      <c r="KD144" s="188"/>
      <c r="KE144" s="187"/>
      <c r="KK144" s="188"/>
      <c r="KL144" s="187"/>
      <c r="KR144" s="188"/>
      <c r="KS144" s="187"/>
      <c r="KW144" s="168"/>
      <c r="KX144" s="189"/>
      <c r="KY144" s="188"/>
      <c r="KZ144" s="187"/>
      <c r="LF144" s="188"/>
      <c r="LG144" s="187"/>
      <c r="LM144" s="188"/>
      <c r="LN144" s="187"/>
      <c r="LT144" s="188"/>
      <c r="LU144" s="187"/>
      <c r="MA144" s="168"/>
      <c r="MB144" s="189"/>
      <c r="MH144" s="188"/>
      <c r="MI144" s="187"/>
      <c r="MO144" s="188"/>
      <c r="MP144" s="187"/>
      <c r="MV144" s="188"/>
      <c r="MW144" s="187"/>
      <c r="NC144" s="188"/>
      <c r="ND144" s="187"/>
      <c r="NF144" s="168"/>
      <c r="NG144" s="189"/>
      <c r="NJ144" s="188"/>
      <c r="NK144" s="187"/>
      <c r="NQ144" s="188"/>
      <c r="NR144" s="187"/>
      <c r="NX144" s="188"/>
      <c r="NY144" s="187"/>
      <c r="OE144" s="188"/>
      <c r="OF144" s="187"/>
      <c r="OK144" s="168"/>
      <c r="OL144" s="191"/>
      <c r="OM144" s="187"/>
      <c r="OS144" s="188"/>
      <c r="OT144" s="187"/>
      <c r="OZ144" s="188"/>
      <c r="PA144" s="187"/>
      <c r="PG144" s="188"/>
      <c r="PH144" s="187"/>
      <c r="PN144" s="168"/>
      <c r="PO144" s="189"/>
      <c r="PU144" s="188"/>
      <c r="PV144" s="187"/>
      <c r="QB144" s="188"/>
      <c r="QC144" s="187"/>
      <c r="QI144" s="188"/>
      <c r="QJ144" s="187"/>
      <c r="QP144" s="188"/>
      <c r="QQ144" s="187"/>
      <c r="QS144" s="168"/>
      <c r="QT144" s="189"/>
      <c r="QW144" s="188"/>
      <c r="QX144" s="187"/>
      <c r="RD144" s="188"/>
      <c r="RE144" s="187"/>
      <c r="RK144" s="188"/>
      <c r="RL144" s="187"/>
      <c r="RR144" s="188"/>
      <c r="RS144" s="187"/>
      <c r="RW144" s="168"/>
      <c r="RX144" s="189"/>
      <c r="RY144" s="188"/>
      <c r="RZ144" s="187"/>
      <c r="SF144" s="188"/>
      <c r="SG144" s="187"/>
      <c r="SM144" s="188"/>
      <c r="SN144" s="187"/>
      <c r="ST144" s="188"/>
      <c r="SU144" s="187"/>
      <c r="TA144" s="188"/>
      <c r="TB144" s="190"/>
      <c r="TC144" s="189"/>
      <c r="TH144" s="188"/>
      <c r="TI144" s="187"/>
      <c r="TO144" s="188"/>
      <c r="TP144" s="187"/>
      <c r="TV144" s="188"/>
      <c r="TW144" s="187"/>
      <c r="UC144" s="188"/>
      <c r="UD144" s="187"/>
      <c r="UF144" s="168"/>
      <c r="UG144" s="189"/>
      <c r="UJ144" s="188"/>
      <c r="UK144" s="187"/>
      <c r="UQ144" s="188"/>
      <c r="UR144" s="187"/>
      <c r="UX144" s="188"/>
      <c r="UY144" s="187"/>
      <c r="VE144" s="188"/>
      <c r="VF144" s="187"/>
      <c r="VK144" s="168"/>
      <c r="VL144" s="191"/>
      <c r="VM144" s="187"/>
      <c r="VS144" s="188"/>
      <c r="VT144" s="187"/>
      <c r="VZ144" s="188"/>
      <c r="WA144" s="187"/>
      <c r="WG144" s="188"/>
      <c r="WH144" s="187"/>
      <c r="WN144" s="188"/>
      <c r="WO144" s="187"/>
      <c r="WP144" s="168"/>
      <c r="WQ144" s="189"/>
      <c r="WU144" s="188"/>
      <c r="WV144" s="187"/>
      <c r="XB144" s="188"/>
      <c r="XC144" s="187"/>
      <c r="XI144" s="188"/>
      <c r="XJ144" s="187"/>
      <c r="XP144" s="188"/>
      <c r="XQ144" s="187"/>
      <c r="XT144" s="168"/>
      <c r="XU144" s="189"/>
      <c r="XW144" s="188"/>
      <c r="XX144" s="187"/>
      <c r="YD144" s="188"/>
      <c r="YE144" s="187"/>
      <c r="YK144" s="188"/>
      <c r="YL144" s="187"/>
      <c r="YR144" s="188"/>
      <c r="YS144" s="187"/>
      <c r="YY144" s="168"/>
      <c r="YZ144" s="189"/>
      <c r="ZF144" s="188"/>
      <c r="ZG144" s="187"/>
      <c r="ZM144" s="188"/>
      <c r="ZN144" s="187"/>
      <c r="ZT144" s="188"/>
      <c r="ZU144" s="187"/>
      <c r="AAA144" s="188"/>
      <c r="AAB144" s="187"/>
      <c r="AAC144" s="168"/>
      <c r="AAD144" s="189"/>
      <c r="AAH144" s="188"/>
      <c r="AAI144" s="187"/>
      <c r="AAO144" s="188"/>
      <c r="AAP144" s="187"/>
      <c r="AAV144" s="188"/>
      <c r="AAW144" s="187"/>
      <c r="ABC144" s="188"/>
      <c r="ABD144" s="187"/>
      <c r="ABH144" s="168"/>
      <c r="ABI144" s="189"/>
      <c r="ABJ144" s="188"/>
      <c r="ABK144" s="187"/>
      <c r="ABQ144" s="188"/>
      <c r="ABR144" s="187"/>
      <c r="ABX144" s="188"/>
      <c r="ABY144" s="187"/>
      <c r="ACE144" s="188"/>
      <c r="ACF144" s="187"/>
      <c r="ACL144" s="188"/>
      <c r="ACM144" s="190"/>
      <c r="ACN144" s="189"/>
      <c r="ACS144" s="188"/>
      <c r="ACT144" s="187"/>
      <c r="ACZ144" s="188"/>
      <c r="ADA144" s="187"/>
      <c r="ADG144" s="188"/>
      <c r="ADH144" s="187"/>
      <c r="ADN144" s="188"/>
      <c r="ADO144" s="190"/>
      <c r="ADP144" s="189"/>
      <c r="ADU144" s="188"/>
      <c r="ADV144" s="187"/>
      <c r="AEB144" s="188"/>
      <c r="AEC144" s="187"/>
      <c r="AEI144" s="188"/>
      <c r="AEJ144" s="187"/>
      <c r="AEP144" s="188"/>
      <c r="AEQ144" s="187"/>
      <c r="AET144" s="168"/>
      <c r="AEU144" s="189"/>
      <c r="AEW144" s="188"/>
      <c r="AEX144" s="187"/>
      <c r="AFD144" s="188"/>
      <c r="AFE144" s="187"/>
      <c r="AFK144" s="188"/>
      <c r="AFL144" s="187"/>
      <c r="AFR144" s="188"/>
      <c r="AFS144" s="187"/>
      <c r="AFX144" s="168"/>
      <c r="AFY144" s="191"/>
      <c r="AFZ144" s="187"/>
      <c r="AGF144" s="188"/>
      <c r="AGG144" s="187"/>
      <c r="AGM144" s="188"/>
      <c r="AGN144" s="187"/>
      <c r="AGT144" s="188"/>
      <c r="AGU144" s="187"/>
      <c r="AHA144" s="188"/>
      <c r="AHB144" s="187"/>
      <c r="AHC144" s="168"/>
      <c r="AHD144" s="189"/>
      <c r="AHH144" s="188"/>
      <c r="AHI144" s="187"/>
      <c r="AHO144" s="188"/>
      <c r="AHP144" s="187"/>
      <c r="AHV144" s="188"/>
      <c r="AHW144" s="187"/>
      <c r="AIC144" s="188"/>
      <c r="AID144" s="187"/>
      <c r="AIG144" s="168"/>
      <c r="AIH144" s="189"/>
      <c r="AIJ144" s="188"/>
      <c r="AIK144" s="187"/>
      <c r="AIQ144" s="188"/>
      <c r="AIR144" s="187"/>
      <c r="AIX144" s="188"/>
      <c r="AIY144" s="187"/>
      <c r="AJE144" s="188"/>
      <c r="AJF144" s="187"/>
      <c r="AJL144" s="168"/>
      <c r="AJM144" s="189"/>
      <c r="AJS144" s="188"/>
      <c r="AJT144" s="187"/>
      <c r="AJZ144" s="188"/>
      <c r="AKA144" s="187"/>
      <c r="AKG144" s="188"/>
      <c r="AKH144" s="187"/>
      <c r="AKN144" s="188"/>
      <c r="AKO144" s="187"/>
      <c r="AKQ144" s="168"/>
      <c r="AKR144" s="189"/>
      <c r="AKU144" s="188"/>
      <c r="AKV144" s="187"/>
      <c r="ALB144" s="188"/>
      <c r="ALC144" s="187"/>
      <c r="ALI144" s="188"/>
      <c r="ALJ144" s="187"/>
      <c r="ALP144" s="188"/>
      <c r="ALQ144" s="187"/>
      <c r="ALU144" s="168"/>
      <c r="ALV144" s="189"/>
      <c r="ALW144" s="188"/>
      <c r="ALX144" s="187"/>
      <c r="AMD144" s="188"/>
      <c r="AME144" s="187"/>
      <c r="AMK144" s="188"/>
      <c r="AML144" s="187"/>
      <c r="AMR144" s="188"/>
      <c r="AMS144" s="187"/>
      <c r="AMY144" s="188"/>
      <c r="AMZ144" s="190"/>
      <c r="ANA144" s="189"/>
      <c r="ANF144" s="188"/>
      <c r="ANG144" s="187"/>
      <c r="ANM144" s="188"/>
      <c r="ANN144" s="187"/>
      <c r="ANT144" s="188"/>
      <c r="ANU144" s="187"/>
      <c r="AOA144" s="188"/>
      <c r="AOB144" s="187"/>
      <c r="AOD144" s="168"/>
      <c r="AOE144" s="189"/>
      <c r="AOH144" s="188"/>
      <c r="AOI144" s="187"/>
      <c r="AOO144" s="188"/>
      <c r="AOP144" s="187"/>
      <c r="AOV144" s="188"/>
      <c r="AOW144" s="187"/>
      <c r="APC144" s="188"/>
      <c r="APD144" s="187"/>
      <c r="API144" s="168"/>
      <c r="APJ144" s="191"/>
      <c r="APK144" s="187"/>
      <c r="APQ144" s="188"/>
      <c r="APR144" s="187"/>
      <c r="APX144" s="188"/>
      <c r="APY144" s="187"/>
      <c r="AQE144" s="188"/>
      <c r="AQF144" s="187"/>
      <c r="AQL144" s="188"/>
      <c r="AQM144" s="187"/>
      <c r="AQN144" s="168"/>
      <c r="AQO144" s="189"/>
      <c r="AQS144" s="188"/>
      <c r="AQT144" s="187"/>
      <c r="AQZ144" s="188"/>
      <c r="ARA144" s="187"/>
      <c r="ARG144" s="188"/>
      <c r="ARH144" s="187"/>
      <c r="ARN144" s="188"/>
      <c r="ARO144" s="187"/>
      <c r="ARP144" s="168"/>
      <c r="ARQ144" s="189"/>
      <c r="ARU144" s="188"/>
      <c r="ARV144" s="187"/>
      <c r="ASB144" s="188"/>
      <c r="ASC144" s="187"/>
      <c r="ASI144" s="188"/>
      <c r="ASJ144" s="187"/>
      <c r="ASP144" s="188"/>
      <c r="ASQ144" s="187"/>
      <c r="ASU144" s="168"/>
      <c r="ASV144" s="189"/>
      <c r="ASW144" s="188"/>
      <c r="ASX144" s="187"/>
      <c r="ATD144" s="188"/>
      <c r="ATE144" s="187"/>
      <c r="ATK144" s="188"/>
      <c r="ATL144" s="187"/>
      <c r="ATR144" s="188"/>
      <c r="ATS144" s="187"/>
      <c r="ATY144" s="168"/>
      <c r="ATZ144" s="189"/>
      <c r="AUF144" s="188"/>
      <c r="AUG144" s="187"/>
      <c r="AUM144" s="188"/>
      <c r="AUN144" s="187"/>
      <c r="AUT144" s="188"/>
      <c r="AUU144" s="187"/>
      <c r="AVA144" s="188"/>
      <c r="AVB144" s="187"/>
      <c r="AVD144" s="168"/>
      <c r="AVE144" s="189"/>
      <c r="AVH144" s="188"/>
      <c r="AVI144" s="187"/>
      <c r="AVO144" s="188"/>
      <c r="AVP144" s="187"/>
      <c r="AVV144" s="188"/>
      <c r="AVW144" s="187"/>
      <c r="AWC144" s="188"/>
      <c r="AWD144" s="187"/>
      <c r="AWH144" s="168"/>
      <c r="AWI144" s="189"/>
      <c r="AWJ144" s="188"/>
      <c r="AWK144" s="187"/>
      <c r="AWQ144" s="188"/>
      <c r="AWR144" s="187"/>
      <c r="AWX144" s="188"/>
      <c r="AWY144" s="187"/>
      <c r="AXE144" s="188"/>
      <c r="AXF144" s="187"/>
      <c r="AXL144" s="188"/>
      <c r="AXM144" s="190"/>
      <c r="AXN144" s="189"/>
      <c r="AXS144" s="188"/>
      <c r="AXT144" s="187"/>
      <c r="AXZ144" s="188"/>
      <c r="AYA144" s="187"/>
      <c r="AYG144" s="188"/>
      <c r="AYH144" s="187"/>
      <c r="AYN144" s="188"/>
      <c r="AYO144" s="187"/>
      <c r="AYR144" s="168"/>
      <c r="AYS144" s="189"/>
      <c r="AYU144" s="188"/>
      <c r="AYV144" s="187"/>
      <c r="AZB144" s="188"/>
      <c r="AZC144" s="187"/>
      <c r="AZI144" s="188"/>
      <c r="AZJ144" s="187"/>
      <c r="AZP144" s="188"/>
      <c r="AZQ144" s="187"/>
      <c r="AZV144" s="168"/>
      <c r="AZW144" s="191"/>
      <c r="AZX144" s="187"/>
      <c r="BAD144" s="188"/>
      <c r="BAE144" s="187"/>
      <c r="BAK144" s="188"/>
      <c r="BAL144" s="187"/>
      <c r="BAR144" s="188"/>
      <c r="BAS144" s="187"/>
      <c r="BAY144" s="188"/>
      <c r="BAZ144" s="187"/>
      <c r="BBA144" s="168"/>
      <c r="BBB144" s="189"/>
      <c r="BBF144" s="188"/>
      <c r="BBG144" s="187"/>
      <c r="BBM144" s="188"/>
      <c r="BBN144" s="187"/>
      <c r="BBT144" s="188"/>
      <c r="BBU144" s="187"/>
      <c r="BCA144" s="188"/>
      <c r="BCB144" s="187"/>
      <c r="BCE144" s="168"/>
      <c r="BCF144" s="189"/>
      <c r="BCH144" s="188"/>
      <c r="BCI144" s="187"/>
      <c r="BCO144" s="188"/>
      <c r="BCP144" s="187"/>
      <c r="BCV144" s="188"/>
      <c r="BCW144" s="187"/>
      <c r="BDC144" s="188"/>
      <c r="BDD144" s="187"/>
      <c r="BDJ144" s="168"/>
      <c r="BDK144" s="189"/>
      <c r="BDQ144" s="188"/>
      <c r="BDR144" s="187"/>
      <c r="BDX144" s="188"/>
      <c r="BDY144" s="187"/>
      <c r="BEE144" s="188"/>
      <c r="BEF144" s="187"/>
      <c r="BEL144" s="188"/>
      <c r="BEM144" s="187"/>
      <c r="BEO144" s="168"/>
      <c r="BEP144" s="189"/>
      <c r="BES144" s="188"/>
      <c r="BET144" s="187"/>
      <c r="BEZ144" s="188"/>
      <c r="BFA144" s="187"/>
      <c r="BFG144" s="188"/>
      <c r="BFH144" s="187"/>
      <c r="BFN144" s="188"/>
      <c r="BFO144" s="187"/>
      <c r="BFQ144" s="168"/>
      <c r="BFR144" s="189"/>
      <c r="BFU144" s="188"/>
      <c r="BFV144" s="187"/>
      <c r="BGB144" s="188"/>
      <c r="BGC144" s="187"/>
      <c r="BGI144" s="188"/>
      <c r="BGJ144" s="187"/>
      <c r="BGP144" s="188"/>
      <c r="BGQ144" s="187"/>
      <c r="BGV144" s="168"/>
      <c r="BGW144" s="191"/>
      <c r="BGX144" s="187"/>
      <c r="BHD144" s="188"/>
      <c r="BHE144" s="187"/>
      <c r="BHK144" s="188"/>
      <c r="BHL144" s="187"/>
      <c r="BHR144" s="188"/>
      <c r="BHS144" s="187"/>
      <c r="BHY144" s="188"/>
      <c r="BHZ144" s="190"/>
      <c r="BIA144" s="189"/>
      <c r="BIF144" s="188"/>
      <c r="BIG144" s="187"/>
      <c r="BIM144" s="188"/>
      <c r="BIN144" s="187"/>
      <c r="BIT144" s="188"/>
      <c r="BIU144" s="187"/>
      <c r="BJA144" s="188"/>
      <c r="BJB144" s="187"/>
      <c r="BJE144" s="168"/>
      <c r="BJF144" s="189"/>
      <c r="BJH144" s="188"/>
      <c r="BJI144" s="187"/>
      <c r="BJO144" s="188"/>
      <c r="BJP144" s="187"/>
      <c r="BJV144" s="188"/>
      <c r="BJW144" s="187"/>
      <c r="BKC144" s="188"/>
      <c r="BKD144" s="187"/>
      <c r="BKI144" s="168"/>
      <c r="BKJ144" s="191"/>
      <c r="BKK144" s="187"/>
      <c r="BKQ144" s="188"/>
      <c r="BKR144" s="187"/>
      <c r="BKX144" s="188"/>
      <c r="BKY144" s="187"/>
      <c r="BLE144" s="188"/>
      <c r="BLF144" s="187"/>
      <c r="BLL144" s="188"/>
      <c r="BLM144" s="187"/>
      <c r="BLN144" s="168"/>
      <c r="BLO144" s="189"/>
      <c r="BLS144" s="188"/>
      <c r="BLT144" s="187"/>
      <c r="BLZ144" s="188"/>
      <c r="BMA144" s="187"/>
      <c r="BMG144" s="188"/>
      <c r="BMH144" s="187"/>
      <c r="BMN144" s="188"/>
      <c r="BMO144" s="187"/>
      <c r="BMS144" s="168"/>
      <c r="BMT144" s="189"/>
      <c r="BMU144" s="188"/>
      <c r="BMV144" s="187"/>
      <c r="BNB144" s="188"/>
      <c r="BNC144" s="187"/>
      <c r="BNI144" s="188"/>
      <c r="BNJ144" s="187"/>
      <c r="BNP144" s="188"/>
      <c r="BNQ144" s="187"/>
      <c r="BNW144" s="168"/>
      <c r="BNX144" s="189"/>
      <c r="BOD144" s="188"/>
      <c r="BOE144" s="187"/>
      <c r="BOK144" s="188"/>
      <c r="BOL144" s="187"/>
      <c r="BOR144" s="188"/>
      <c r="BOS144" s="187"/>
      <c r="BOY144" s="188"/>
      <c r="BOZ144" s="187"/>
      <c r="BPB144" s="168"/>
      <c r="BPC144" s="189"/>
      <c r="BPF144" s="188"/>
      <c r="BPG144" s="187"/>
      <c r="BPM144" s="188"/>
      <c r="BPN144" s="187"/>
      <c r="BPT144" s="188"/>
      <c r="BPU144" s="187"/>
      <c r="BQA144" s="188"/>
      <c r="BQB144" s="187"/>
      <c r="BQF144" s="168"/>
      <c r="BQG144" s="189"/>
      <c r="BQH144" s="188"/>
      <c r="BQI144" s="187"/>
      <c r="BQO144" s="188"/>
      <c r="BQP144" s="187"/>
      <c r="BQV144" s="188"/>
      <c r="BQW144" s="187"/>
      <c r="BRC144" s="188"/>
      <c r="BRD144" s="187"/>
      <c r="BRJ144" s="188"/>
      <c r="BRK144" s="190"/>
      <c r="BRL144" s="189"/>
      <c r="BRQ144" s="188"/>
      <c r="BRR144" s="187"/>
      <c r="BRX144" s="188"/>
      <c r="BRY144" s="187"/>
      <c r="BSE144" s="188"/>
      <c r="BSF144" s="187"/>
      <c r="BSL144" s="188"/>
      <c r="BSM144" s="187"/>
      <c r="BSP144" s="168"/>
      <c r="BSQ144" s="189"/>
      <c r="BSS144" s="188"/>
      <c r="BST144" s="187"/>
      <c r="BSZ144" s="188"/>
      <c r="BTA144" s="187"/>
      <c r="BTG144" s="188"/>
      <c r="BTH144" s="187"/>
      <c r="BTN144" s="188"/>
      <c r="BTO144" s="187"/>
      <c r="BTS144" s="168"/>
      <c r="BTT144" s="189"/>
      <c r="BTU144" s="188"/>
      <c r="BTV144" s="187"/>
      <c r="BUB144" s="188"/>
      <c r="BUC144" s="187"/>
      <c r="BUI144" s="188"/>
      <c r="BUJ144" s="187"/>
      <c r="BUP144" s="188"/>
      <c r="BUQ144" s="187"/>
      <c r="BUW144" s="188"/>
      <c r="BUX144" s="190"/>
      <c r="BUY144" s="189"/>
      <c r="BVD144" s="188"/>
      <c r="BVE144" s="187"/>
      <c r="BVK144" s="188"/>
      <c r="BVL144" s="187"/>
      <c r="BVR144" s="188"/>
      <c r="BVS144" s="187"/>
      <c r="BVY144" s="188"/>
      <c r="BVZ144" s="187"/>
      <c r="BWB144" s="168"/>
      <c r="BWC144" s="189"/>
      <c r="BWF144" s="188"/>
      <c r="BWG144" s="187"/>
      <c r="BWM144" s="188"/>
      <c r="BWN144" s="187"/>
      <c r="BWT144" s="188"/>
      <c r="BWU144" s="187"/>
      <c r="BXA144" s="188"/>
      <c r="BXB144" s="187"/>
      <c r="BXG144" s="168"/>
      <c r="BXH144" s="191"/>
      <c r="BXI144" s="187"/>
      <c r="BXO144" s="188"/>
      <c r="BXP144" s="187"/>
      <c r="BXV144" s="188"/>
      <c r="BXW144" s="187"/>
      <c r="BYC144" s="188"/>
      <c r="BYD144" s="187"/>
      <c r="BYJ144" s="188"/>
      <c r="BYK144" s="190"/>
      <c r="BYL144" s="189"/>
      <c r="BYQ144" s="188"/>
      <c r="BYR144" s="187"/>
      <c r="BYX144" s="188"/>
      <c r="BYY144" s="187"/>
      <c r="BZE144" s="188"/>
      <c r="BZF144" s="187"/>
      <c r="BZL144" s="188"/>
      <c r="BZM144" s="187"/>
      <c r="BZP144" s="168"/>
      <c r="BZQ144" s="189"/>
      <c r="BZS144" s="188"/>
      <c r="BZT144" s="187"/>
      <c r="BZZ144" s="188"/>
      <c r="CAA144" s="187"/>
      <c r="CAG144" s="188"/>
      <c r="CAH144" s="187"/>
      <c r="CAN144" s="188"/>
      <c r="CAO144" s="187"/>
      <c r="CAU144" s="168"/>
      <c r="CAV144" s="189"/>
      <c r="CBB144" s="188"/>
      <c r="CBC144" s="187"/>
      <c r="CBI144" s="188"/>
      <c r="CBJ144" s="187"/>
      <c r="CBP144" s="188"/>
      <c r="CBQ144" s="187"/>
      <c r="CBW144" s="188"/>
      <c r="CBX144" s="187"/>
      <c r="CBY144" s="168"/>
      <c r="CBZ144" s="189"/>
      <c r="CCD144" s="188"/>
      <c r="CCE144" s="187"/>
      <c r="CCK144" s="188"/>
      <c r="CCL144" s="187"/>
      <c r="CCR144" s="188"/>
      <c r="CCS144" s="187"/>
      <c r="CCY144" s="188"/>
      <c r="CCZ144" s="187"/>
      <c r="CDD144" s="168"/>
      <c r="CDE144" s="189"/>
      <c r="CDF144" s="188"/>
      <c r="CDG144" s="187"/>
      <c r="CDM144" s="188"/>
      <c r="CDN144" s="187"/>
      <c r="CDT144" s="188"/>
      <c r="CDU144" s="187"/>
      <c r="CEA144" s="188"/>
      <c r="CEB144" s="187"/>
      <c r="CEH144" s="168"/>
      <c r="CEI144" s="189"/>
      <c r="CEO144" s="188"/>
      <c r="CEP144" s="187"/>
      <c r="CEV144" s="188"/>
      <c r="CEW144" s="187"/>
      <c r="CFC144" s="188"/>
      <c r="CFD144" s="187"/>
      <c r="CFJ144" s="188"/>
      <c r="CFK144" s="187"/>
    </row>
    <row r="145" spans="4:1019 1025:2048 2054:2195">
      <c r="D145" s="186"/>
      <c r="E145" s="186"/>
      <c r="K145" s="187"/>
      <c r="Q145" s="188"/>
      <c r="R145" s="187"/>
      <c r="X145" s="188"/>
      <c r="Y145" s="187"/>
      <c r="AE145" s="188"/>
      <c r="AF145" s="187"/>
      <c r="AJ145" s="168"/>
      <c r="AK145" s="189"/>
      <c r="AL145" s="188"/>
      <c r="AM145" s="187"/>
      <c r="AS145" s="188"/>
      <c r="AT145" s="187"/>
      <c r="AZ145" s="188"/>
      <c r="BA145" s="187"/>
      <c r="BG145" s="188"/>
      <c r="BH145" s="187"/>
      <c r="BL145" s="168"/>
      <c r="BM145" s="189"/>
      <c r="BN145" s="188"/>
      <c r="BO145" s="187"/>
      <c r="BU145" s="188"/>
      <c r="BV145" s="187"/>
      <c r="CB145" s="188"/>
      <c r="CC145" s="187"/>
      <c r="CI145" s="188"/>
      <c r="CJ145" s="187"/>
      <c r="CP145" s="188"/>
      <c r="CQ145" s="190"/>
      <c r="CR145" s="189"/>
      <c r="CW145" s="188"/>
      <c r="CX145" s="187"/>
      <c r="DD145" s="188"/>
      <c r="DE145" s="187"/>
      <c r="DK145" s="188"/>
      <c r="DL145" s="187"/>
      <c r="DR145" s="188"/>
      <c r="DS145" s="187"/>
      <c r="DU145" s="168"/>
      <c r="DV145" s="189"/>
      <c r="DY145" s="188"/>
      <c r="DZ145" s="187"/>
      <c r="EF145" s="188"/>
      <c r="EG145" s="187"/>
      <c r="EM145" s="188"/>
      <c r="EN145" s="187"/>
      <c r="ET145" s="188"/>
      <c r="EU145" s="187"/>
      <c r="EZ145" s="168"/>
      <c r="FA145" s="191"/>
      <c r="FB145" s="187"/>
      <c r="FH145" s="188"/>
      <c r="FI145" s="187"/>
      <c r="FO145" s="188"/>
      <c r="FP145" s="187"/>
      <c r="FV145" s="188"/>
      <c r="FW145" s="187"/>
      <c r="GC145" s="188"/>
      <c r="GD145" s="190"/>
      <c r="GE145" s="189"/>
      <c r="GJ145" s="188"/>
      <c r="GK145" s="187"/>
      <c r="GQ145" s="188"/>
      <c r="GR145" s="187"/>
      <c r="GX145" s="188"/>
      <c r="GY145" s="187"/>
      <c r="HE145" s="188"/>
      <c r="HF145" s="187"/>
      <c r="HI145" s="168"/>
      <c r="HJ145" s="189"/>
      <c r="HL145" s="188"/>
      <c r="HM145" s="187"/>
      <c r="HS145" s="188"/>
      <c r="HT145" s="187"/>
      <c r="HZ145" s="188"/>
      <c r="IA145" s="187"/>
      <c r="IG145" s="188"/>
      <c r="IH145" s="187"/>
      <c r="IN145" s="168"/>
      <c r="IO145" s="189"/>
      <c r="IU145" s="188"/>
      <c r="IV145" s="187"/>
      <c r="JB145" s="188"/>
      <c r="JC145" s="187"/>
      <c r="JI145" s="188"/>
      <c r="JJ145" s="187"/>
      <c r="JP145" s="188"/>
      <c r="JQ145" s="187"/>
      <c r="JR145" s="168"/>
      <c r="JS145" s="189"/>
      <c r="JW145" s="188"/>
      <c r="JX145" s="187"/>
      <c r="KD145" s="188"/>
      <c r="KE145" s="187"/>
      <c r="KK145" s="188"/>
      <c r="KL145" s="187"/>
      <c r="KR145" s="188"/>
      <c r="KS145" s="187"/>
      <c r="KW145" s="168"/>
      <c r="KX145" s="189"/>
      <c r="KY145" s="188"/>
      <c r="KZ145" s="187"/>
      <c r="LF145" s="188"/>
      <c r="LG145" s="187"/>
      <c r="LM145" s="188"/>
      <c r="LN145" s="187"/>
      <c r="LT145" s="188"/>
      <c r="LU145" s="187"/>
      <c r="MA145" s="168"/>
      <c r="MB145" s="189"/>
      <c r="MH145" s="188"/>
      <c r="MI145" s="187"/>
      <c r="MO145" s="188"/>
      <c r="MP145" s="187"/>
      <c r="MV145" s="188"/>
      <c r="MW145" s="187"/>
      <c r="NC145" s="188"/>
      <c r="ND145" s="187"/>
      <c r="NF145" s="168"/>
      <c r="NG145" s="189"/>
      <c r="NJ145" s="188"/>
      <c r="NK145" s="187"/>
      <c r="NQ145" s="188"/>
      <c r="NR145" s="187"/>
      <c r="NX145" s="188"/>
      <c r="NY145" s="187"/>
      <c r="OE145" s="188"/>
      <c r="OF145" s="187"/>
      <c r="OK145" s="168"/>
      <c r="OL145" s="191"/>
      <c r="OM145" s="187"/>
      <c r="OS145" s="188"/>
      <c r="OT145" s="187"/>
      <c r="OZ145" s="188"/>
      <c r="PA145" s="187"/>
      <c r="PG145" s="188"/>
      <c r="PH145" s="187"/>
      <c r="PN145" s="168"/>
      <c r="PO145" s="189"/>
      <c r="PU145" s="188"/>
      <c r="PV145" s="187"/>
      <c r="QB145" s="188"/>
      <c r="QC145" s="187"/>
      <c r="QI145" s="188"/>
      <c r="QJ145" s="187"/>
      <c r="QP145" s="188"/>
      <c r="QQ145" s="187"/>
      <c r="QS145" s="168"/>
      <c r="QT145" s="189"/>
      <c r="QW145" s="188"/>
      <c r="QX145" s="187"/>
      <c r="RD145" s="188"/>
      <c r="RE145" s="187"/>
      <c r="RK145" s="188"/>
      <c r="RL145" s="187"/>
      <c r="RR145" s="188"/>
      <c r="RS145" s="187"/>
      <c r="RW145" s="168"/>
      <c r="RX145" s="189"/>
      <c r="RY145" s="188"/>
      <c r="RZ145" s="187"/>
      <c r="SF145" s="188"/>
      <c r="SG145" s="187"/>
      <c r="SM145" s="188"/>
      <c r="SN145" s="187"/>
      <c r="ST145" s="188"/>
      <c r="SU145" s="187"/>
      <c r="TA145" s="188"/>
      <c r="TB145" s="190"/>
      <c r="TC145" s="189"/>
      <c r="TH145" s="188"/>
      <c r="TI145" s="187"/>
      <c r="TO145" s="188"/>
      <c r="TP145" s="187"/>
      <c r="TV145" s="188"/>
      <c r="TW145" s="187"/>
      <c r="UC145" s="188"/>
      <c r="UD145" s="187"/>
      <c r="UF145" s="168"/>
      <c r="UG145" s="189"/>
      <c r="UJ145" s="188"/>
      <c r="UK145" s="187"/>
      <c r="UQ145" s="188"/>
      <c r="UR145" s="187"/>
      <c r="UX145" s="188"/>
      <c r="UY145" s="187"/>
      <c r="VE145" s="188"/>
      <c r="VF145" s="187"/>
      <c r="VK145" s="168"/>
      <c r="VL145" s="191"/>
      <c r="VM145" s="187"/>
      <c r="VS145" s="188"/>
      <c r="VT145" s="187"/>
      <c r="VZ145" s="188"/>
      <c r="WA145" s="187"/>
      <c r="WG145" s="188"/>
      <c r="WH145" s="187"/>
      <c r="WN145" s="188"/>
      <c r="WO145" s="187"/>
      <c r="WP145" s="168"/>
      <c r="WQ145" s="189"/>
      <c r="WU145" s="188"/>
      <c r="WV145" s="187"/>
      <c r="XB145" s="188"/>
      <c r="XC145" s="187"/>
      <c r="XI145" s="188"/>
      <c r="XJ145" s="187"/>
      <c r="XP145" s="188"/>
      <c r="XQ145" s="187"/>
      <c r="XT145" s="168"/>
      <c r="XU145" s="189"/>
      <c r="XW145" s="188"/>
      <c r="XX145" s="187"/>
      <c r="YD145" s="188"/>
      <c r="YE145" s="187"/>
      <c r="YK145" s="188"/>
      <c r="YL145" s="187"/>
      <c r="YR145" s="188"/>
      <c r="YS145" s="187"/>
      <c r="YY145" s="168"/>
      <c r="YZ145" s="189"/>
      <c r="ZF145" s="188"/>
      <c r="ZG145" s="187"/>
      <c r="ZM145" s="188"/>
      <c r="ZN145" s="187"/>
      <c r="ZT145" s="188"/>
      <c r="ZU145" s="187"/>
      <c r="AAA145" s="188"/>
      <c r="AAB145" s="187"/>
      <c r="AAC145" s="168"/>
      <c r="AAD145" s="189"/>
      <c r="AAH145" s="188"/>
      <c r="AAI145" s="187"/>
      <c r="AAO145" s="188"/>
      <c r="AAP145" s="187"/>
      <c r="AAV145" s="188"/>
      <c r="AAW145" s="187"/>
      <c r="ABC145" s="188"/>
      <c r="ABD145" s="187"/>
      <c r="ABH145" s="168"/>
      <c r="ABI145" s="189"/>
      <c r="ABJ145" s="188"/>
      <c r="ABK145" s="187"/>
      <c r="ABQ145" s="188"/>
      <c r="ABR145" s="187"/>
      <c r="ABX145" s="188"/>
      <c r="ABY145" s="187"/>
      <c r="ACE145" s="188"/>
      <c r="ACF145" s="187"/>
      <c r="ACL145" s="188"/>
      <c r="ACM145" s="190"/>
      <c r="ACN145" s="189"/>
      <c r="ACS145" s="188"/>
      <c r="ACT145" s="187"/>
      <c r="ACZ145" s="188"/>
      <c r="ADA145" s="187"/>
      <c r="ADG145" s="188"/>
      <c r="ADH145" s="187"/>
      <c r="ADN145" s="188"/>
      <c r="ADO145" s="190"/>
      <c r="ADP145" s="189"/>
      <c r="ADU145" s="188"/>
      <c r="ADV145" s="187"/>
      <c r="AEB145" s="188"/>
      <c r="AEC145" s="187"/>
      <c r="AEI145" s="188"/>
      <c r="AEJ145" s="187"/>
      <c r="AEP145" s="188"/>
      <c r="AEQ145" s="187"/>
      <c r="AET145" s="168"/>
      <c r="AEU145" s="189"/>
      <c r="AEW145" s="188"/>
      <c r="AEX145" s="187"/>
      <c r="AFD145" s="188"/>
      <c r="AFE145" s="187"/>
      <c r="AFK145" s="188"/>
      <c r="AFL145" s="187"/>
      <c r="AFR145" s="188"/>
      <c r="AFS145" s="187"/>
      <c r="AFX145" s="168"/>
      <c r="AFY145" s="191"/>
      <c r="AFZ145" s="187"/>
      <c r="AGF145" s="188"/>
      <c r="AGG145" s="187"/>
      <c r="AGM145" s="188"/>
      <c r="AGN145" s="187"/>
      <c r="AGT145" s="188"/>
      <c r="AGU145" s="187"/>
      <c r="AHA145" s="188"/>
      <c r="AHB145" s="187"/>
      <c r="AHC145" s="168"/>
      <c r="AHD145" s="189"/>
      <c r="AHH145" s="188"/>
      <c r="AHI145" s="187"/>
      <c r="AHO145" s="188"/>
      <c r="AHP145" s="187"/>
      <c r="AHV145" s="188"/>
      <c r="AHW145" s="187"/>
      <c r="AIC145" s="188"/>
      <c r="AID145" s="187"/>
      <c r="AIG145" s="168"/>
      <c r="AIH145" s="189"/>
      <c r="AIJ145" s="188"/>
      <c r="AIK145" s="187"/>
      <c r="AIQ145" s="188"/>
      <c r="AIR145" s="187"/>
      <c r="AIX145" s="188"/>
      <c r="AIY145" s="187"/>
      <c r="AJE145" s="188"/>
      <c r="AJF145" s="187"/>
      <c r="AJL145" s="168"/>
      <c r="AJM145" s="189"/>
      <c r="AJS145" s="188"/>
      <c r="AJT145" s="187"/>
      <c r="AJZ145" s="188"/>
      <c r="AKA145" s="187"/>
      <c r="AKG145" s="188"/>
      <c r="AKH145" s="187"/>
      <c r="AKN145" s="188"/>
      <c r="AKO145" s="187"/>
      <c r="AKQ145" s="168"/>
      <c r="AKR145" s="189"/>
      <c r="AKU145" s="188"/>
      <c r="AKV145" s="187"/>
      <c r="ALB145" s="188"/>
      <c r="ALC145" s="187"/>
      <c r="ALI145" s="188"/>
      <c r="ALJ145" s="187"/>
      <c r="ALP145" s="188"/>
      <c r="ALQ145" s="187"/>
      <c r="ALU145" s="168"/>
      <c r="ALV145" s="189"/>
      <c r="ALW145" s="188"/>
      <c r="ALX145" s="187"/>
      <c r="AMD145" s="188"/>
      <c r="AME145" s="187"/>
      <c r="AMK145" s="188"/>
      <c r="AML145" s="187"/>
      <c r="AMR145" s="188"/>
      <c r="AMS145" s="187"/>
      <c r="AMY145" s="188"/>
      <c r="AMZ145" s="190"/>
      <c r="ANA145" s="189"/>
      <c r="ANF145" s="188"/>
      <c r="ANG145" s="187"/>
      <c r="ANM145" s="188"/>
      <c r="ANN145" s="187"/>
      <c r="ANT145" s="188"/>
      <c r="ANU145" s="187"/>
      <c r="AOA145" s="188"/>
      <c r="AOB145" s="187"/>
      <c r="AOD145" s="168"/>
      <c r="AOE145" s="189"/>
      <c r="AOH145" s="188"/>
      <c r="AOI145" s="187"/>
      <c r="AOO145" s="188"/>
      <c r="AOP145" s="187"/>
      <c r="AOV145" s="188"/>
      <c r="AOW145" s="187"/>
      <c r="APC145" s="188"/>
      <c r="APD145" s="187"/>
      <c r="API145" s="168"/>
      <c r="APJ145" s="191"/>
      <c r="APK145" s="187"/>
      <c r="APQ145" s="188"/>
      <c r="APR145" s="187"/>
      <c r="APX145" s="188"/>
      <c r="APY145" s="187"/>
      <c r="AQE145" s="188"/>
      <c r="AQF145" s="187"/>
      <c r="AQL145" s="188"/>
      <c r="AQM145" s="187"/>
      <c r="AQN145" s="168"/>
      <c r="AQO145" s="189"/>
      <c r="AQS145" s="188"/>
      <c r="AQT145" s="187"/>
      <c r="AQZ145" s="188"/>
      <c r="ARA145" s="187"/>
      <c r="ARG145" s="188"/>
      <c r="ARH145" s="187"/>
      <c r="ARN145" s="188"/>
      <c r="ARO145" s="187"/>
      <c r="ARP145" s="168"/>
      <c r="ARQ145" s="189"/>
      <c r="ARU145" s="188"/>
      <c r="ARV145" s="187"/>
      <c r="ASB145" s="188"/>
      <c r="ASC145" s="187"/>
      <c r="ASI145" s="188"/>
      <c r="ASJ145" s="187"/>
      <c r="ASP145" s="188"/>
      <c r="ASQ145" s="187"/>
      <c r="ASU145" s="168"/>
      <c r="ASV145" s="189"/>
      <c r="ASW145" s="188"/>
      <c r="ASX145" s="187"/>
      <c r="ATD145" s="188"/>
      <c r="ATE145" s="187"/>
      <c r="ATK145" s="188"/>
      <c r="ATL145" s="187"/>
      <c r="ATR145" s="188"/>
      <c r="ATS145" s="187"/>
      <c r="ATY145" s="168"/>
      <c r="ATZ145" s="189"/>
      <c r="AUF145" s="188"/>
      <c r="AUG145" s="187"/>
      <c r="AUM145" s="188"/>
      <c r="AUN145" s="187"/>
      <c r="AUT145" s="188"/>
      <c r="AUU145" s="187"/>
      <c r="AVA145" s="188"/>
      <c r="AVB145" s="187"/>
      <c r="AVD145" s="168"/>
      <c r="AVE145" s="189"/>
      <c r="AVH145" s="188"/>
      <c r="AVI145" s="187"/>
      <c r="AVO145" s="188"/>
      <c r="AVP145" s="187"/>
      <c r="AVV145" s="188"/>
      <c r="AVW145" s="187"/>
      <c r="AWC145" s="188"/>
      <c r="AWD145" s="187"/>
      <c r="AWH145" s="168"/>
      <c r="AWI145" s="189"/>
      <c r="AWJ145" s="188"/>
      <c r="AWK145" s="187"/>
      <c r="AWQ145" s="188"/>
      <c r="AWR145" s="187"/>
      <c r="AWX145" s="188"/>
      <c r="AWY145" s="187"/>
      <c r="AXE145" s="188"/>
      <c r="AXF145" s="187"/>
      <c r="AXL145" s="188"/>
      <c r="AXM145" s="190"/>
      <c r="AXN145" s="189"/>
      <c r="AXS145" s="188"/>
      <c r="AXT145" s="187"/>
      <c r="AXZ145" s="188"/>
      <c r="AYA145" s="187"/>
      <c r="AYG145" s="188"/>
      <c r="AYH145" s="187"/>
      <c r="AYN145" s="188"/>
      <c r="AYO145" s="187"/>
      <c r="AYR145" s="168"/>
      <c r="AYS145" s="189"/>
      <c r="AYU145" s="188"/>
      <c r="AYV145" s="187"/>
      <c r="AZB145" s="188"/>
      <c r="AZC145" s="187"/>
      <c r="AZI145" s="188"/>
      <c r="AZJ145" s="187"/>
      <c r="AZP145" s="188"/>
      <c r="AZQ145" s="187"/>
      <c r="AZV145" s="168"/>
      <c r="AZW145" s="191"/>
      <c r="AZX145" s="187"/>
      <c r="BAD145" s="188"/>
      <c r="BAE145" s="187"/>
      <c r="BAK145" s="188"/>
      <c r="BAL145" s="187"/>
      <c r="BAR145" s="188"/>
      <c r="BAS145" s="187"/>
      <c r="BAY145" s="188"/>
      <c r="BAZ145" s="187"/>
      <c r="BBA145" s="168"/>
      <c r="BBB145" s="189"/>
      <c r="BBF145" s="188"/>
      <c r="BBG145" s="187"/>
      <c r="BBM145" s="188"/>
      <c r="BBN145" s="187"/>
      <c r="BBT145" s="188"/>
      <c r="BBU145" s="187"/>
      <c r="BCA145" s="188"/>
      <c r="BCB145" s="187"/>
      <c r="BCE145" s="168"/>
      <c r="BCF145" s="189"/>
      <c r="BCH145" s="188"/>
      <c r="BCI145" s="187"/>
      <c r="BCO145" s="188"/>
      <c r="BCP145" s="187"/>
      <c r="BCV145" s="188"/>
      <c r="BCW145" s="187"/>
      <c r="BDC145" s="188"/>
      <c r="BDD145" s="187"/>
      <c r="BDJ145" s="168"/>
      <c r="BDK145" s="189"/>
      <c r="BDQ145" s="188"/>
      <c r="BDR145" s="187"/>
      <c r="BDX145" s="188"/>
      <c r="BDY145" s="187"/>
      <c r="BEE145" s="188"/>
      <c r="BEF145" s="187"/>
      <c r="BEL145" s="188"/>
      <c r="BEM145" s="187"/>
      <c r="BEO145" s="168"/>
      <c r="BEP145" s="189"/>
      <c r="BES145" s="188"/>
      <c r="BET145" s="187"/>
      <c r="BEZ145" s="188"/>
      <c r="BFA145" s="187"/>
      <c r="BFG145" s="188"/>
      <c r="BFH145" s="187"/>
      <c r="BFN145" s="188"/>
      <c r="BFO145" s="187"/>
      <c r="BFQ145" s="168"/>
      <c r="BFR145" s="189"/>
      <c r="BFU145" s="188"/>
      <c r="BFV145" s="187"/>
      <c r="BGB145" s="188"/>
      <c r="BGC145" s="187"/>
      <c r="BGI145" s="188"/>
      <c r="BGJ145" s="187"/>
      <c r="BGP145" s="188"/>
      <c r="BGQ145" s="187"/>
      <c r="BGV145" s="168"/>
      <c r="BGW145" s="191"/>
      <c r="BGX145" s="187"/>
      <c r="BHD145" s="188"/>
      <c r="BHE145" s="187"/>
      <c r="BHK145" s="188"/>
      <c r="BHL145" s="187"/>
      <c r="BHR145" s="188"/>
      <c r="BHS145" s="187"/>
      <c r="BHY145" s="188"/>
      <c r="BHZ145" s="190"/>
      <c r="BIA145" s="189"/>
      <c r="BIF145" s="188"/>
      <c r="BIG145" s="187"/>
      <c r="BIM145" s="188"/>
      <c r="BIN145" s="187"/>
      <c r="BIT145" s="188"/>
      <c r="BIU145" s="187"/>
      <c r="BJA145" s="188"/>
      <c r="BJB145" s="187"/>
      <c r="BJE145" s="168"/>
      <c r="BJF145" s="189"/>
      <c r="BJH145" s="188"/>
      <c r="BJI145" s="187"/>
      <c r="BJO145" s="188"/>
      <c r="BJP145" s="187"/>
      <c r="BJV145" s="188"/>
      <c r="BJW145" s="187"/>
      <c r="BKC145" s="188"/>
      <c r="BKD145" s="187"/>
      <c r="BKI145" s="168"/>
      <c r="BKJ145" s="191"/>
      <c r="BKK145" s="187"/>
      <c r="BKQ145" s="188"/>
      <c r="BKR145" s="187"/>
      <c r="BKX145" s="188"/>
      <c r="BKY145" s="187"/>
      <c r="BLE145" s="188"/>
      <c r="BLF145" s="187"/>
      <c r="BLL145" s="188"/>
      <c r="BLM145" s="187"/>
      <c r="BLN145" s="168"/>
      <c r="BLO145" s="189"/>
      <c r="BLS145" s="188"/>
      <c r="BLT145" s="187"/>
      <c r="BLZ145" s="188"/>
      <c r="BMA145" s="187"/>
      <c r="BMG145" s="188"/>
      <c r="BMH145" s="187"/>
      <c r="BMN145" s="188"/>
      <c r="BMO145" s="187"/>
      <c r="BMS145" s="168"/>
      <c r="BMT145" s="189"/>
      <c r="BMU145" s="188"/>
      <c r="BMV145" s="187"/>
      <c r="BNB145" s="188"/>
      <c r="BNC145" s="187"/>
      <c r="BNI145" s="188"/>
      <c r="BNJ145" s="187"/>
      <c r="BNP145" s="188"/>
      <c r="BNQ145" s="187"/>
      <c r="BNW145" s="168"/>
      <c r="BNX145" s="189"/>
      <c r="BOD145" s="188"/>
      <c r="BOE145" s="187"/>
      <c r="BOK145" s="188"/>
      <c r="BOL145" s="187"/>
      <c r="BOR145" s="188"/>
      <c r="BOS145" s="187"/>
      <c r="BOY145" s="188"/>
      <c r="BOZ145" s="187"/>
      <c r="BPB145" s="168"/>
      <c r="BPC145" s="189"/>
      <c r="BPF145" s="188"/>
      <c r="BPG145" s="187"/>
      <c r="BPM145" s="188"/>
      <c r="BPN145" s="187"/>
      <c r="BPT145" s="188"/>
      <c r="BPU145" s="187"/>
      <c r="BQA145" s="188"/>
      <c r="BQB145" s="187"/>
      <c r="BQF145" s="168"/>
      <c r="BQG145" s="189"/>
      <c r="BQH145" s="188"/>
      <c r="BQI145" s="187"/>
      <c r="BQO145" s="188"/>
      <c r="BQP145" s="187"/>
      <c r="BQV145" s="188"/>
      <c r="BQW145" s="187"/>
      <c r="BRC145" s="188"/>
      <c r="BRD145" s="187"/>
      <c r="BRJ145" s="188"/>
      <c r="BRK145" s="190"/>
      <c r="BRL145" s="189"/>
      <c r="BRQ145" s="188"/>
      <c r="BRR145" s="187"/>
      <c r="BRX145" s="188"/>
      <c r="BRY145" s="187"/>
      <c r="BSE145" s="188"/>
      <c r="BSF145" s="187"/>
      <c r="BSL145" s="188"/>
      <c r="BSM145" s="187"/>
      <c r="BSP145" s="168"/>
      <c r="BSQ145" s="189"/>
      <c r="BSS145" s="188"/>
      <c r="BST145" s="187"/>
      <c r="BSZ145" s="188"/>
      <c r="BTA145" s="187"/>
      <c r="BTG145" s="188"/>
      <c r="BTH145" s="187"/>
      <c r="BTN145" s="188"/>
      <c r="BTO145" s="187"/>
      <c r="BTS145" s="168"/>
      <c r="BTT145" s="189"/>
      <c r="BTU145" s="188"/>
      <c r="BTV145" s="187"/>
      <c r="BUB145" s="188"/>
      <c r="BUC145" s="187"/>
      <c r="BUI145" s="188"/>
      <c r="BUJ145" s="187"/>
      <c r="BUP145" s="188"/>
      <c r="BUQ145" s="187"/>
      <c r="BUW145" s="188"/>
      <c r="BUX145" s="190"/>
      <c r="BUY145" s="189"/>
      <c r="BVD145" s="188"/>
      <c r="BVE145" s="187"/>
      <c r="BVK145" s="188"/>
      <c r="BVL145" s="187"/>
      <c r="BVR145" s="188"/>
      <c r="BVS145" s="187"/>
      <c r="BVY145" s="188"/>
      <c r="BVZ145" s="187"/>
      <c r="BWB145" s="168"/>
      <c r="BWC145" s="189"/>
      <c r="BWF145" s="188"/>
      <c r="BWG145" s="187"/>
      <c r="BWM145" s="188"/>
      <c r="BWN145" s="187"/>
      <c r="BWT145" s="188"/>
      <c r="BWU145" s="187"/>
      <c r="BXA145" s="188"/>
      <c r="BXB145" s="187"/>
      <c r="BXG145" s="168"/>
      <c r="BXH145" s="191"/>
      <c r="BXI145" s="187"/>
      <c r="BXO145" s="188"/>
      <c r="BXP145" s="187"/>
      <c r="BXV145" s="188"/>
      <c r="BXW145" s="187"/>
      <c r="BYC145" s="188"/>
      <c r="BYD145" s="187"/>
      <c r="BYJ145" s="188"/>
      <c r="BYK145" s="190"/>
      <c r="BYL145" s="189"/>
      <c r="BYQ145" s="188"/>
      <c r="BYR145" s="187"/>
      <c r="BYX145" s="188"/>
      <c r="BYY145" s="187"/>
      <c r="BZE145" s="188"/>
      <c r="BZF145" s="187"/>
      <c r="BZL145" s="188"/>
      <c r="BZM145" s="187"/>
      <c r="BZP145" s="168"/>
      <c r="BZQ145" s="189"/>
      <c r="BZS145" s="188"/>
      <c r="BZT145" s="187"/>
      <c r="BZZ145" s="188"/>
      <c r="CAA145" s="187"/>
      <c r="CAG145" s="188"/>
      <c r="CAH145" s="187"/>
      <c r="CAN145" s="188"/>
      <c r="CAO145" s="187"/>
      <c r="CAU145" s="168"/>
      <c r="CAV145" s="189"/>
      <c r="CBB145" s="188"/>
      <c r="CBC145" s="187"/>
      <c r="CBI145" s="188"/>
      <c r="CBJ145" s="187"/>
      <c r="CBP145" s="188"/>
      <c r="CBQ145" s="187"/>
      <c r="CBW145" s="188"/>
      <c r="CBX145" s="187"/>
      <c r="CBY145" s="168"/>
      <c r="CBZ145" s="189"/>
      <c r="CCD145" s="188"/>
      <c r="CCE145" s="187"/>
      <c r="CCK145" s="188"/>
      <c r="CCL145" s="187"/>
      <c r="CCR145" s="188"/>
      <c r="CCS145" s="187"/>
      <c r="CCY145" s="188"/>
      <c r="CCZ145" s="187"/>
      <c r="CDD145" s="168"/>
      <c r="CDE145" s="189"/>
      <c r="CDF145" s="188"/>
      <c r="CDG145" s="187"/>
      <c r="CDM145" s="188"/>
      <c r="CDN145" s="187"/>
      <c r="CDT145" s="188"/>
      <c r="CDU145" s="187"/>
      <c r="CEA145" s="188"/>
      <c r="CEB145" s="187"/>
      <c r="CEH145" s="168"/>
      <c r="CEI145" s="189"/>
      <c r="CEO145" s="188"/>
      <c r="CEP145" s="187"/>
      <c r="CEV145" s="188"/>
      <c r="CEW145" s="187"/>
      <c r="CFC145" s="188"/>
      <c r="CFD145" s="187"/>
      <c r="CFJ145" s="188"/>
      <c r="CFK145" s="187"/>
    </row>
    <row r="146" spans="4:1019 1025:2048 2054:2195">
      <c r="D146" s="186"/>
      <c r="E146" s="186"/>
      <c r="K146" s="187"/>
      <c r="Q146" s="188"/>
      <c r="R146" s="187"/>
      <c r="X146" s="188"/>
      <c r="Y146" s="187"/>
      <c r="AE146" s="188"/>
      <c r="AF146" s="187"/>
      <c r="AJ146" s="168"/>
      <c r="AK146" s="189"/>
      <c r="AL146" s="188"/>
      <c r="AM146" s="187"/>
      <c r="AS146" s="188"/>
      <c r="AT146" s="187"/>
      <c r="AZ146" s="188"/>
      <c r="BA146" s="187"/>
      <c r="BG146" s="188"/>
      <c r="BH146" s="187"/>
      <c r="BL146" s="168"/>
      <c r="BM146" s="189"/>
      <c r="BN146" s="188"/>
      <c r="BO146" s="187"/>
      <c r="BU146" s="188"/>
      <c r="BV146" s="187"/>
      <c r="CB146" s="188"/>
      <c r="CC146" s="187"/>
      <c r="CI146" s="188"/>
      <c r="CJ146" s="187"/>
      <c r="CP146" s="188"/>
      <c r="CQ146" s="190"/>
      <c r="CR146" s="189"/>
      <c r="CW146" s="188"/>
      <c r="CX146" s="187"/>
      <c r="DD146" s="188"/>
      <c r="DE146" s="187"/>
      <c r="DK146" s="188"/>
      <c r="DL146" s="187"/>
      <c r="DR146" s="188"/>
      <c r="DS146" s="187"/>
      <c r="DU146" s="168"/>
      <c r="DV146" s="189"/>
      <c r="DY146" s="188"/>
      <c r="DZ146" s="187"/>
      <c r="EF146" s="188"/>
      <c r="EG146" s="187"/>
      <c r="EM146" s="188"/>
      <c r="EN146" s="187"/>
      <c r="ET146" s="188"/>
      <c r="EU146" s="187"/>
      <c r="EZ146" s="168"/>
      <c r="FA146" s="191"/>
      <c r="FB146" s="187"/>
      <c r="FH146" s="188"/>
      <c r="FI146" s="187"/>
      <c r="FO146" s="188"/>
      <c r="FP146" s="187"/>
      <c r="FV146" s="188"/>
      <c r="FW146" s="187"/>
      <c r="GC146" s="188"/>
      <c r="GD146" s="190"/>
      <c r="GE146" s="189"/>
      <c r="GJ146" s="188"/>
      <c r="GK146" s="187"/>
      <c r="GQ146" s="188"/>
      <c r="GR146" s="187"/>
      <c r="GX146" s="188"/>
      <c r="GY146" s="187"/>
      <c r="HE146" s="188"/>
      <c r="HF146" s="187"/>
      <c r="HI146" s="168"/>
      <c r="HJ146" s="189"/>
      <c r="HL146" s="188"/>
      <c r="HM146" s="187"/>
      <c r="HS146" s="188"/>
      <c r="HT146" s="187"/>
      <c r="HZ146" s="188"/>
      <c r="IA146" s="187"/>
      <c r="IG146" s="188"/>
      <c r="IH146" s="187"/>
      <c r="IN146" s="168"/>
      <c r="IO146" s="189"/>
      <c r="IU146" s="188"/>
      <c r="IV146" s="187"/>
      <c r="JB146" s="188"/>
      <c r="JC146" s="187"/>
      <c r="JI146" s="188"/>
      <c r="JJ146" s="187"/>
      <c r="JP146" s="188"/>
      <c r="JQ146" s="187"/>
      <c r="JR146" s="168"/>
      <c r="JS146" s="189"/>
      <c r="JW146" s="188"/>
      <c r="JX146" s="187"/>
      <c r="KD146" s="188"/>
      <c r="KE146" s="187"/>
      <c r="KK146" s="188"/>
      <c r="KL146" s="187"/>
      <c r="KR146" s="188"/>
      <c r="KS146" s="187"/>
      <c r="KW146" s="168"/>
      <c r="KX146" s="189"/>
      <c r="KY146" s="188"/>
      <c r="KZ146" s="187"/>
      <c r="LF146" s="188"/>
      <c r="LG146" s="187"/>
      <c r="LM146" s="188"/>
      <c r="LN146" s="187"/>
      <c r="LT146" s="188"/>
      <c r="LU146" s="187"/>
      <c r="MA146" s="168"/>
      <c r="MB146" s="189"/>
      <c r="MH146" s="188"/>
      <c r="MI146" s="187"/>
      <c r="MO146" s="188"/>
      <c r="MP146" s="187"/>
      <c r="MV146" s="188"/>
      <c r="MW146" s="187"/>
      <c r="NC146" s="188"/>
      <c r="ND146" s="187"/>
      <c r="NF146" s="168"/>
      <c r="NG146" s="189"/>
      <c r="NJ146" s="188"/>
      <c r="NK146" s="187"/>
      <c r="NQ146" s="188"/>
      <c r="NR146" s="187"/>
      <c r="NX146" s="188"/>
      <c r="NY146" s="187"/>
      <c r="OE146" s="188"/>
      <c r="OF146" s="187"/>
      <c r="OK146" s="168"/>
      <c r="OL146" s="191"/>
      <c r="OM146" s="187"/>
      <c r="OS146" s="188"/>
      <c r="OT146" s="187"/>
      <c r="OZ146" s="188"/>
      <c r="PA146" s="187"/>
      <c r="PG146" s="188"/>
      <c r="PH146" s="187"/>
      <c r="PN146" s="168"/>
      <c r="PO146" s="189"/>
      <c r="PU146" s="188"/>
      <c r="PV146" s="187"/>
      <c r="QB146" s="188"/>
      <c r="QC146" s="187"/>
      <c r="QI146" s="188"/>
      <c r="QJ146" s="187"/>
      <c r="QP146" s="188"/>
      <c r="QQ146" s="187"/>
      <c r="QS146" s="168"/>
      <c r="QT146" s="189"/>
      <c r="QW146" s="188"/>
      <c r="QX146" s="187"/>
      <c r="RD146" s="188"/>
      <c r="RE146" s="187"/>
      <c r="RK146" s="188"/>
      <c r="RL146" s="187"/>
      <c r="RR146" s="188"/>
      <c r="RS146" s="187"/>
      <c r="RW146" s="168"/>
      <c r="RX146" s="189"/>
      <c r="RY146" s="188"/>
      <c r="RZ146" s="187"/>
      <c r="SF146" s="188"/>
      <c r="SG146" s="187"/>
      <c r="SM146" s="188"/>
      <c r="SN146" s="187"/>
      <c r="ST146" s="188"/>
      <c r="SU146" s="187"/>
      <c r="TA146" s="188"/>
      <c r="TB146" s="190"/>
      <c r="TC146" s="189"/>
      <c r="TH146" s="188"/>
      <c r="TI146" s="187"/>
      <c r="TO146" s="188"/>
      <c r="TP146" s="187"/>
      <c r="TV146" s="188"/>
      <c r="TW146" s="187"/>
      <c r="UC146" s="188"/>
      <c r="UD146" s="187"/>
      <c r="UF146" s="168"/>
      <c r="UG146" s="189"/>
      <c r="UJ146" s="188"/>
      <c r="UK146" s="187"/>
      <c r="UQ146" s="188"/>
      <c r="UR146" s="187"/>
      <c r="UX146" s="188"/>
      <c r="UY146" s="187"/>
      <c r="VE146" s="188"/>
      <c r="VF146" s="187"/>
      <c r="VK146" s="168"/>
      <c r="VL146" s="191"/>
      <c r="VM146" s="187"/>
      <c r="VS146" s="188"/>
      <c r="VT146" s="187"/>
      <c r="VZ146" s="188"/>
      <c r="WA146" s="187"/>
      <c r="WG146" s="188"/>
      <c r="WH146" s="187"/>
      <c r="WN146" s="188"/>
      <c r="WO146" s="187"/>
      <c r="WP146" s="168"/>
      <c r="WQ146" s="189"/>
      <c r="WU146" s="188"/>
      <c r="WV146" s="187"/>
      <c r="XB146" s="188"/>
      <c r="XC146" s="187"/>
      <c r="XI146" s="188"/>
      <c r="XJ146" s="187"/>
      <c r="XP146" s="188"/>
      <c r="XQ146" s="187"/>
      <c r="XT146" s="168"/>
      <c r="XU146" s="189"/>
      <c r="XW146" s="188"/>
      <c r="XX146" s="187"/>
      <c r="YD146" s="188"/>
      <c r="YE146" s="187"/>
      <c r="YK146" s="188"/>
      <c r="YL146" s="187"/>
      <c r="YR146" s="188"/>
      <c r="YS146" s="187"/>
      <c r="YY146" s="168"/>
      <c r="YZ146" s="189"/>
      <c r="ZF146" s="188"/>
      <c r="ZG146" s="187"/>
      <c r="ZM146" s="188"/>
      <c r="ZN146" s="187"/>
      <c r="ZT146" s="188"/>
      <c r="ZU146" s="187"/>
      <c r="AAA146" s="188"/>
      <c r="AAB146" s="187"/>
      <c r="AAC146" s="168"/>
      <c r="AAD146" s="189"/>
      <c r="AAH146" s="188"/>
      <c r="AAI146" s="187"/>
      <c r="AAO146" s="188"/>
      <c r="AAP146" s="187"/>
      <c r="AAV146" s="188"/>
      <c r="AAW146" s="187"/>
      <c r="ABC146" s="188"/>
      <c r="ABD146" s="187"/>
      <c r="ABH146" s="168"/>
      <c r="ABI146" s="189"/>
      <c r="ABJ146" s="188"/>
      <c r="ABK146" s="187"/>
      <c r="ABQ146" s="188"/>
      <c r="ABR146" s="187"/>
      <c r="ABX146" s="188"/>
      <c r="ABY146" s="187"/>
      <c r="ACE146" s="188"/>
      <c r="ACF146" s="187"/>
      <c r="ACL146" s="188"/>
      <c r="ACM146" s="190"/>
      <c r="ACN146" s="189"/>
      <c r="ACS146" s="188"/>
      <c r="ACT146" s="187"/>
      <c r="ACZ146" s="188"/>
      <c r="ADA146" s="187"/>
      <c r="ADG146" s="188"/>
      <c r="ADH146" s="187"/>
      <c r="ADN146" s="188"/>
      <c r="ADO146" s="190"/>
      <c r="ADP146" s="189"/>
      <c r="ADU146" s="188"/>
      <c r="ADV146" s="187"/>
      <c r="AEB146" s="188"/>
      <c r="AEC146" s="187"/>
      <c r="AEI146" s="188"/>
      <c r="AEJ146" s="187"/>
      <c r="AEP146" s="188"/>
      <c r="AEQ146" s="187"/>
      <c r="AET146" s="168"/>
      <c r="AEU146" s="189"/>
      <c r="AEW146" s="188"/>
      <c r="AEX146" s="187"/>
      <c r="AFD146" s="188"/>
      <c r="AFE146" s="187"/>
      <c r="AFK146" s="188"/>
      <c r="AFL146" s="187"/>
      <c r="AFR146" s="188"/>
      <c r="AFS146" s="187"/>
      <c r="AFX146" s="168"/>
      <c r="AFY146" s="191"/>
      <c r="AFZ146" s="187"/>
      <c r="AGF146" s="188"/>
      <c r="AGG146" s="187"/>
      <c r="AGM146" s="188"/>
      <c r="AGN146" s="187"/>
      <c r="AGT146" s="188"/>
      <c r="AGU146" s="187"/>
      <c r="AHA146" s="188"/>
      <c r="AHB146" s="187"/>
      <c r="AHC146" s="168"/>
      <c r="AHD146" s="189"/>
      <c r="AHH146" s="188"/>
      <c r="AHI146" s="187"/>
      <c r="AHO146" s="188"/>
      <c r="AHP146" s="187"/>
      <c r="AHV146" s="188"/>
      <c r="AHW146" s="187"/>
      <c r="AIC146" s="188"/>
      <c r="AID146" s="187"/>
      <c r="AIG146" s="168"/>
      <c r="AIH146" s="189"/>
      <c r="AIJ146" s="188"/>
      <c r="AIK146" s="187"/>
      <c r="AIQ146" s="188"/>
      <c r="AIR146" s="187"/>
      <c r="AIX146" s="188"/>
      <c r="AIY146" s="187"/>
      <c r="AJE146" s="188"/>
      <c r="AJF146" s="187"/>
      <c r="AJL146" s="168"/>
      <c r="AJM146" s="189"/>
      <c r="AJS146" s="188"/>
      <c r="AJT146" s="187"/>
      <c r="AJZ146" s="188"/>
      <c r="AKA146" s="187"/>
      <c r="AKG146" s="188"/>
      <c r="AKH146" s="187"/>
      <c r="AKN146" s="188"/>
      <c r="AKO146" s="187"/>
      <c r="AKQ146" s="168"/>
      <c r="AKR146" s="189"/>
      <c r="AKU146" s="188"/>
      <c r="AKV146" s="187"/>
      <c r="ALB146" s="188"/>
      <c r="ALC146" s="187"/>
      <c r="ALI146" s="188"/>
      <c r="ALJ146" s="187"/>
      <c r="ALP146" s="188"/>
      <c r="ALQ146" s="187"/>
      <c r="ALU146" s="168"/>
      <c r="ALV146" s="189"/>
      <c r="ALW146" s="188"/>
      <c r="ALX146" s="187"/>
      <c r="AMD146" s="188"/>
      <c r="AME146" s="187"/>
      <c r="AMK146" s="188"/>
      <c r="AML146" s="187"/>
      <c r="AMR146" s="188"/>
      <c r="AMS146" s="187"/>
      <c r="AMY146" s="188"/>
      <c r="AMZ146" s="190"/>
      <c r="ANA146" s="189"/>
      <c r="ANF146" s="188"/>
      <c r="ANG146" s="187"/>
      <c r="ANM146" s="188"/>
      <c r="ANN146" s="187"/>
      <c r="ANT146" s="188"/>
      <c r="ANU146" s="187"/>
      <c r="AOA146" s="188"/>
      <c r="AOB146" s="187"/>
      <c r="AOD146" s="168"/>
      <c r="AOE146" s="189"/>
      <c r="AOH146" s="188"/>
      <c r="AOI146" s="187"/>
      <c r="AOO146" s="188"/>
      <c r="AOP146" s="187"/>
      <c r="AOV146" s="188"/>
      <c r="AOW146" s="187"/>
      <c r="APC146" s="188"/>
      <c r="APD146" s="187"/>
      <c r="API146" s="168"/>
      <c r="APJ146" s="191"/>
      <c r="APK146" s="187"/>
      <c r="APQ146" s="188"/>
      <c r="APR146" s="187"/>
      <c r="APX146" s="188"/>
      <c r="APY146" s="187"/>
      <c r="AQE146" s="188"/>
      <c r="AQF146" s="187"/>
      <c r="AQL146" s="188"/>
      <c r="AQM146" s="187"/>
      <c r="AQN146" s="168"/>
      <c r="AQO146" s="189"/>
      <c r="AQS146" s="188"/>
      <c r="AQT146" s="187"/>
      <c r="AQZ146" s="188"/>
      <c r="ARA146" s="187"/>
      <c r="ARG146" s="188"/>
      <c r="ARH146" s="187"/>
      <c r="ARN146" s="188"/>
      <c r="ARO146" s="187"/>
      <c r="ARP146" s="168"/>
      <c r="ARQ146" s="189"/>
      <c r="ARU146" s="188"/>
      <c r="ARV146" s="187"/>
      <c r="ASB146" s="188"/>
      <c r="ASC146" s="187"/>
      <c r="ASI146" s="188"/>
      <c r="ASJ146" s="187"/>
      <c r="ASP146" s="188"/>
      <c r="ASQ146" s="187"/>
      <c r="ASU146" s="168"/>
      <c r="ASV146" s="189"/>
      <c r="ASW146" s="188"/>
      <c r="ASX146" s="187"/>
      <c r="ATD146" s="188"/>
      <c r="ATE146" s="187"/>
      <c r="ATK146" s="188"/>
      <c r="ATL146" s="187"/>
      <c r="ATR146" s="188"/>
      <c r="ATS146" s="187"/>
      <c r="ATY146" s="168"/>
      <c r="ATZ146" s="189"/>
      <c r="AUF146" s="188"/>
      <c r="AUG146" s="187"/>
      <c r="AUM146" s="188"/>
      <c r="AUN146" s="187"/>
      <c r="AUT146" s="188"/>
      <c r="AUU146" s="187"/>
      <c r="AVA146" s="188"/>
      <c r="AVB146" s="187"/>
      <c r="AVD146" s="168"/>
      <c r="AVE146" s="189"/>
      <c r="AVH146" s="188"/>
      <c r="AVI146" s="187"/>
      <c r="AVO146" s="188"/>
      <c r="AVP146" s="187"/>
      <c r="AVV146" s="188"/>
      <c r="AVW146" s="187"/>
      <c r="AWC146" s="188"/>
      <c r="AWD146" s="187"/>
      <c r="AWH146" s="168"/>
      <c r="AWI146" s="189"/>
      <c r="AWJ146" s="188"/>
      <c r="AWK146" s="187"/>
      <c r="AWQ146" s="188"/>
      <c r="AWR146" s="187"/>
      <c r="AWX146" s="188"/>
      <c r="AWY146" s="187"/>
      <c r="AXE146" s="188"/>
      <c r="AXF146" s="187"/>
      <c r="AXL146" s="188"/>
      <c r="AXM146" s="190"/>
      <c r="AXN146" s="189"/>
      <c r="AXS146" s="188"/>
      <c r="AXT146" s="187"/>
      <c r="AXZ146" s="188"/>
      <c r="AYA146" s="187"/>
      <c r="AYG146" s="188"/>
      <c r="AYH146" s="187"/>
      <c r="AYN146" s="188"/>
      <c r="AYO146" s="187"/>
      <c r="AYR146" s="168"/>
      <c r="AYS146" s="189"/>
      <c r="AYU146" s="188"/>
      <c r="AYV146" s="187"/>
      <c r="AZB146" s="188"/>
      <c r="AZC146" s="187"/>
      <c r="AZI146" s="188"/>
      <c r="AZJ146" s="187"/>
      <c r="AZP146" s="188"/>
      <c r="AZQ146" s="187"/>
      <c r="AZV146" s="168"/>
      <c r="AZW146" s="191"/>
      <c r="AZX146" s="187"/>
      <c r="BAD146" s="188"/>
      <c r="BAE146" s="187"/>
      <c r="BAK146" s="188"/>
      <c r="BAL146" s="187"/>
      <c r="BAR146" s="188"/>
      <c r="BAS146" s="187"/>
      <c r="BAY146" s="188"/>
      <c r="BAZ146" s="187"/>
      <c r="BBA146" s="168"/>
      <c r="BBB146" s="189"/>
      <c r="BBF146" s="188"/>
      <c r="BBG146" s="187"/>
      <c r="BBM146" s="188"/>
      <c r="BBN146" s="187"/>
      <c r="BBT146" s="188"/>
      <c r="BBU146" s="187"/>
      <c r="BCA146" s="188"/>
      <c r="BCB146" s="187"/>
      <c r="BCE146" s="168"/>
      <c r="BCF146" s="189"/>
      <c r="BCH146" s="188"/>
      <c r="BCI146" s="187"/>
      <c r="BCO146" s="188"/>
      <c r="BCP146" s="187"/>
      <c r="BCV146" s="188"/>
      <c r="BCW146" s="187"/>
      <c r="BDC146" s="188"/>
      <c r="BDD146" s="187"/>
      <c r="BDJ146" s="168"/>
      <c r="BDK146" s="189"/>
      <c r="BDQ146" s="188"/>
      <c r="BDR146" s="187"/>
      <c r="BDX146" s="188"/>
      <c r="BDY146" s="187"/>
      <c r="BEE146" s="188"/>
      <c r="BEF146" s="187"/>
      <c r="BEL146" s="188"/>
      <c r="BEM146" s="187"/>
      <c r="BEO146" s="168"/>
      <c r="BEP146" s="189"/>
      <c r="BES146" s="188"/>
      <c r="BET146" s="187"/>
      <c r="BEZ146" s="188"/>
      <c r="BFA146" s="187"/>
      <c r="BFG146" s="188"/>
      <c r="BFH146" s="187"/>
      <c r="BFN146" s="188"/>
      <c r="BFO146" s="187"/>
      <c r="BFQ146" s="168"/>
      <c r="BFR146" s="189"/>
      <c r="BFU146" s="188"/>
      <c r="BFV146" s="187"/>
      <c r="BGB146" s="188"/>
      <c r="BGC146" s="187"/>
      <c r="BGI146" s="188"/>
      <c r="BGJ146" s="187"/>
      <c r="BGP146" s="188"/>
      <c r="BGQ146" s="187"/>
      <c r="BGV146" s="168"/>
      <c r="BGW146" s="191"/>
      <c r="BGX146" s="187"/>
      <c r="BHD146" s="188"/>
      <c r="BHE146" s="187"/>
      <c r="BHK146" s="188"/>
      <c r="BHL146" s="187"/>
      <c r="BHR146" s="188"/>
      <c r="BHS146" s="187"/>
      <c r="BHY146" s="188"/>
      <c r="BHZ146" s="190"/>
      <c r="BIA146" s="189"/>
      <c r="BIF146" s="188"/>
      <c r="BIG146" s="187"/>
      <c r="BIM146" s="188"/>
      <c r="BIN146" s="187"/>
      <c r="BIT146" s="188"/>
      <c r="BIU146" s="187"/>
      <c r="BJA146" s="188"/>
      <c r="BJB146" s="187"/>
      <c r="BJE146" s="168"/>
      <c r="BJF146" s="189"/>
      <c r="BJH146" s="188"/>
      <c r="BJI146" s="187"/>
      <c r="BJO146" s="188"/>
      <c r="BJP146" s="187"/>
      <c r="BJV146" s="188"/>
      <c r="BJW146" s="187"/>
      <c r="BKC146" s="188"/>
      <c r="BKD146" s="187"/>
      <c r="BKI146" s="168"/>
      <c r="BKJ146" s="191"/>
      <c r="BKK146" s="187"/>
      <c r="BKQ146" s="188"/>
      <c r="BKR146" s="187"/>
      <c r="BKX146" s="188"/>
      <c r="BKY146" s="187"/>
      <c r="BLE146" s="188"/>
      <c r="BLF146" s="187"/>
      <c r="BLL146" s="188"/>
      <c r="BLM146" s="187"/>
      <c r="BLN146" s="168"/>
      <c r="BLO146" s="189"/>
      <c r="BLS146" s="188"/>
      <c r="BLT146" s="187"/>
      <c r="BLZ146" s="188"/>
      <c r="BMA146" s="187"/>
      <c r="BMG146" s="188"/>
      <c r="BMH146" s="187"/>
      <c r="BMN146" s="188"/>
      <c r="BMO146" s="187"/>
      <c r="BMS146" s="168"/>
      <c r="BMT146" s="189"/>
      <c r="BMU146" s="188"/>
      <c r="BMV146" s="187"/>
      <c r="BNB146" s="188"/>
      <c r="BNC146" s="187"/>
      <c r="BNI146" s="188"/>
      <c r="BNJ146" s="187"/>
      <c r="BNP146" s="188"/>
      <c r="BNQ146" s="187"/>
      <c r="BNW146" s="168"/>
      <c r="BNX146" s="189"/>
      <c r="BOD146" s="188"/>
      <c r="BOE146" s="187"/>
      <c r="BOK146" s="188"/>
      <c r="BOL146" s="187"/>
      <c r="BOR146" s="188"/>
      <c r="BOS146" s="187"/>
      <c r="BOY146" s="188"/>
      <c r="BOZ146" s="187"/>
      <c r="BPB146" s="168"/>
      <c r="BPC146" s="189"/>
      <c r="BPF146" s="188"/>
      <c r="BPG146" s="187"/>
      <c r="BPM146" s="188"/>
      <c r="BPN146" s="187"/>
      <c r="BPT146" s="188"/>
      <c r="BPU146" s="187"/>
      <c r="BQA146" s="188"/>
      <c r="BQB146" s="187"/>
      <c r="BQF146" s="168"/>
      <c r="BQG146" s="189"/>
      <c r="BQH146" s="188"/>
      <c r="BQI146" s="187"/>
      <c r="BQO146" s="188"/>
      <c r="BQP146" s="187"/>
      <c r="BQV146" s="188"/>
      <c r="BQW146" s="187"/>
      <c r="BRC146" s="188"/>
      <c r="BRD146" s="187"/>
      <c r="BRJ146" s="188"/>
      <c r="BRK146" s="190"/>
      <c r="BRL146" s="189"/>
      <c r="BRQ146" s="188"/>
      <c r="BRR146" s="187"/>
      <c r="BRX146" s="188"/>
      <c r="BRY146" s="187"/>
      <c r="BSE146" s="188"/>
      <c r="BSF146" s="187"/>
      <c r="BSL146" s="188"/>
      <c r="BSM146" s="187"/>
      <c r="BSP146" s="168"/>
      <c r="BSQ146" s="189"/>
      <c r="BSS146" s="188"/>
      <c r="BST146" s="187"/>
      <c r="BSZ146" s="188"/>
      <c r="BTA146" s="187"/>
      <c r="BTG146" s="188"/>
      <c r="BTH146" s="187"/>
      <c r="BTN146" s="188"/>
      <c r="BTO146" s="187"/>
      <c r="BTS146" s="168"/>
      <c r="BTT146" s="189"/>
      <c r="BTU146" s="188"/>
      <c r="BTV146" s="187"/>
      <c r="BUB146" s="188"/>
      <c r="BUC146" s="187"/>
      <c r="BUI146" s="188"/>
      <c r="BUJ146" s="187"/>
      <c r="BUP146" s="188"/>
      <c r="BUQ146" s="187"/>
      <c r="BUW146" s="188"/>
      <c r="BUX146" s="190"/>
      <c r="BUY146" s="189"/>
      <c r="BVD146" s="188"/>
      <c r="BVE146" s="187"/>
      <c r="BVK146" s="188"/>
      <c r="BVL146" s="187"/>
      <c r="BVR146" s="188"/>
      <c r="BVS146" s="187"/>
      <c r="BVY146" s="188"/>
      <c r="BVZ146" s="187"/>
      <c r="BWB146" s="168"/>
      <c r="BWC146" s="189"/>
      <c r="BWF146" s="188"/>
      <c r="BWG146" s="187"/>
      <c r="BWM146" s="188"/>
      <c r="BWN146" s="187"/>
      <c r="BWT146" s="188"/>
      <c r="BWU146" s="187"/>
      <c r="BXA146" s="188"/>
      <c r="BXB146" s="187"/>
      <c r="BXG146" s="168"/>
      <c r="BXH146" s="191"/>
      <c r="BXI146" s="187"/>
      <c r="BXO146" s="188"/>
      <c r="BXP146" s="187"/>
      <c r="BXV146" s="188"/>
      <c r="BXW146" s="187"/>
      <c r="BYC146" s="188"/>
      <c r="BYD146" s="187"/>
      <c r="BYJ146" s="188"/>
      <c r="BYK146" s="190"/>
      <c r="BYL146" s="189"/>
      <c r="BYQ146" s="188"/>
      <c r="BYR146" s="187"/>
      <c r="BYX146" s="188"/>
      <c r="BYY146" s="187"/>
      <c r="BZE146" s="188"/>
      <c r="BZF146" s="187"/>
      <c r="BZL146" s="188"/>
      <c r="BZM146" s="187"/>
      <c r="BZP146" s="168"/>
      <c r="BZQ146" s="189"/>
      <c r="BZS146" s="188"/>
      <c r="BZT146" s="187"/>
      <c r="BZZ146" s="188"/>
      <c r="CAA146" s="187"/>
      <c r="CAG146" s="188"/>
      <c r="CAH146" s="187"/>
      <c r="CAN146" s="188"/>
      <c r="CAO146" s="187"/>
      <c r="CAU146" s="168"/>
      <c r="CAV146" s="189"/>
      <c r="CBB146" s="188"/>
      <c r="CBC146" s="187"/>
      <c r="CBI146" s="188"/>
      <c r="CBJ146" s="187"/>
      <c r="CBP146" s="188"/>
      <c r="CBQ146" s="187"/>
      <c r="CBW146" s="188"/>
      <c r="CBX146" s="187"/>
      <c r="CBY146" s="168"/>
      <c r="CBZ146" s="189"/>
      <c r="CCD146" s="188"/>
      <c r="CCE146" s="187"/>
      <c r="CCK146" s="188"/>
      <c r="CCL146" s="187"/>
      <c r="CCR146" s="188"/>
      <c r="CCS146" s="187"/>
      <c r="CCY146" s="188"/>
      <c r="CCZ146" s="187"/>
      <c r="CDD146" s="168"/>
      <c r="CDE146" s="189"/>
      <c r="CDF146" s="188"/>
      <c r="CDG146" s="187"/>
      <c r="CDM146" s="188"/>
      <c r="CDN146" s="187"/>
      <c r="CDT146" s="188"/>
      <c r="CDU146" s="187"/>
      <c r="CEA146" s="188"/>
      <c r="CEB146" s="187"/>
      <c r="CEH146" s="168"/>
      <c r="CEI146" s="189"/>
      <c r="CEO146" s="188"/>
      <c r="CEP146" s="187"/>
      <c r="CEV146" s="188"/>
      <c r="CEW146" s="187"/>
      <c r="CFC146" s="188"/>
      <c r="CFD146" s="187"/>
      <c r="CFJ146" s="188"/>
      <c r="CFK146" s="187"/>
    </row>
    <row r="147" spans="4:1019 1025:2048 2054:2195">
      <c r="D147" s="186"/>
      <c r="E147" s="186"/>
      <c r="K147" s="187"/>
      <c r="Q147" s="188"/>
      <c r="R147" s="187"/>
      <c r="X147" s="188"/>
      <c r="Y147" s="187"/>
      <c r="AE147" s="188"/>
      <c r="AF147" s="187"/>
      <c r="AJ147" s="168"/>
      <c r="AK147" s="189"/>
      <c r="AL147" s="188"/>
      <c r="AM147" s="187"/>
      <c r="AS147" s="188"/>
      <c r="AT147" s="187"/>
      <c r="AZ147" s="188"/>
      <c r="BA147" s="187"/>
      <c r="BG147" s="188"/>
      <c r="BH147" s="187"/>
      <c r="BL147" s="168"/>
      <c r="BM147" s="189"/>
      <c r="BN147" s="188"/>
      <c r="BO147" s="187"/>
      <c r="BU147" s="188"/>
      <c r="BV147" s="187"/>
      <c r="CB147" s="188"/>
      <c r="CC147" s="187"/>
      <c r="CI147" s="188"/>
      <c r="CJ147" s="187"/>
      <c r="CP147" s="188"/>
      <c r="CQ147" s="190"/>
      <c r="CR147" s="189"/>
      <c r="CW147" s="188"/>
      <c r="CX147" s="187"/>
      <c r="DD147" s="188"/>
      <c r="DE147" s="187"/>
      <c r="DK147" s="188"/>
      <c r="DL147" s="187"/>
      <c r="DR147" s="188"/>
      <c r="DS147" s="187"/>
      <c r="DU147" s="168"/>
      <c r="DV147" s="189"/>
      <c r="DY147" s="188"/>
      <c r="DZ147" s="187"/>
      <c r="EF147" s="188"/>
      <c r="EG147" s="187"/>
      <c r="EM147" s="188"/>
      <c r="EN147" s="187"/>
      <c r="ET147" s="188"/>
      <c r="EU147" s="187"/>
      <c r="EZ147" s="168"/>
      <c r="FA147" s="191"/>
      <c r="FB147" s="187"/>
      <c r="FH147" s="188"/>
      <c r="FI147" s="187"/>
      <c r="FO147" s="188"/>
      <c r="FP147" s="187"/>
      <c r="FV147" s="188"/>
      <c r="FW147" s="187"/>
      <c r="GC147" s="188"/>
      <c r="GD147" s="190"/>
      <c r="GE147" s="189"/>
      <c r="GJ147" s="188"/>
      <c r="GK147" s="187"/>
      <c r="GQ147" s="188"/>
      <c r="GR147" s="187"/>
      <c r="GX147" s="188"/>
      <c r="GY147" s="187"/>
      <c r="HE147" s="188"/>
      <c r="HF147" s="187"/>
      <c r="HI147" s="168"/>
      <c r="HJ147" s="189"/>
      <c r="HL147" s="188"/>
      <c r="HM147" s="187"/>
      <c r="HS147" s="188"/>
      <c r="HT147" s="187"/>
      <c r="HZ147" s="188"/>
      <c r="IA147" s="187"/>
      <c r="IG147" s="188"/>
      <c r="IH147" s="187"/>
      <c r="IN147" s="168"/>
      <c r="IO147" s="189"/>
      <c r="IU147" s="188"/>
      <c r="IV147" s="187"/>
      <c r="JB147" s="188"/>
      <c r="JC147" s="187"/>
      <c r="JI147" s="188"/>
      <c r="JJ147" s="187"/>
      <c r="JP147" s="188"/>
      <c r="JQ147" s="187"/>
      <c r="JR147" s="168"/>
      <c r="JS147" s="189"/>
      <c r="JW147" s="188"/>
      <c r="JX147" s="187"/>
      <c r="KD147" s="188"/>
      <c r="KE147" s="187"/>
      <c r="KK147" s="188"/>
      <c r="KL147" s="187"/>
      <c r="KR147" s="188"/>
      <c r="KS147" s="187"/>
      <c r="KW147" s="168"/>
      <c r="KX147" s="189"/>
      <c r="KY147" s="188"/>
      <c r="KZ147" s="187"/>
      <c r="LF147" s="188"/>
      <c r="LG147" s="187"/>
      <c r="LM147" s="188"/>
      <c r="LN147" s="187"/>
      <c r="LT147" s="188"/>
      <c r="LU147" s="187"/>
      <c r="MA147" s="168"/>
      <c r="MB147" s="189"/>
      <c r="MH147" s="188"/>
      <c r="MI147" s="187"/>
      <c r="MO147" s="188"/>
      <c r="MP147" s="187"/>
      <c r="MV147" s="188"/>
      <c r="MW147" s="187"/>
      <c r="NC147" s="188"/>
      <c r="ND147" s="187"/>
      <c r="NF147" s="168"/>
      <c r="NG147" s="189"/>
      <c r="NJ147" s="188"/>
      <c r="NK147" s="187"/>
      <c r="NQ147" s="188"/>
      <c r="NR147" s="187"/>
      <c r="NX147" s="188"/>
      <c r="NY147" s="187"/>
      <c r="OE147" s="188"/>
      <c r="OF147" s="187"/>
      <c r="OK147" s="168"/>
      <c r="OL147" s="191"/>
      <c r="OM147" s="187"/>
      <c r="OS147" s="188"/>
      <c r="OT147" s="187"/>
      <c r="OZ147" s="188"/>
      <c r="PA147" s="187"/>
      <c r="PG147" s="188"/>
      <c r="PH147" s="187"/>
      <c r="PN147" s="168"/>
      <c r="PO147" s="189"/>
      <c r="PU147" s="188"/>
      <c r="PV147" s="187"/>
      <c r="QB147" s="188"/>
      <c r="QC147" s="187"/>
      <c r="QI147" s="188"/>
      <c r="QJ147" s="187"/>
      <c r="QP147" s="188"/>
      <c r="QQ147" s="187"/>
      <c r="QS147" s="168"/>
      <c r="QT147" s="189"/>
      <c r="QW147" s="188"/>
      <c r="QX147" s="187"/>
      <c r="RD147" s="188"/>
      <c r="RE147" s="187"/>
      <c r="RK147" s="188"/>
      <c r="RL147" s="187"/>
      <c r="RR147" s="188"/>
      <c r="RS147" s="187"/>
      <c r="RW147" s="168"/>
      <c r="RX147" s="189"/>
      <c r="RY147" s="188"/>
      <c r="RZ147" s="187"/>
      <c r="SF147" s="188"/>
      <c r="SG147" s="187"/>
      <c r="SM147" s="188"/>
      <c r="SN147" s="187"/>
      <c r="ST147" s="188"/>
      <c r="SU147" s="187"/>
      <c r="TA147" s="188"/>
      <c r="TB147" s="190"/>
      <c r="TC147" s="189"/>
      <c r="TH147" s="188"/>
      <c r="TI147" s="187"/>
      <c r="TO147" s="188"/>
      <c r="TP147" s="187"/>
      <c r="TV147" s="188"/>
      <c r="TW147" s="187"/>
      <c r="UC147" s="188"/>
      <c r="UD147" s="187"/>
      <c r="UF147" s="168"/>
      <c r="UG147" s="189"/>
      <c r="UJ147" s="188"/>
      <c r="UK147" s="187"/>
      <c r="UQ147" s="188"/>
      <c r="UR147" s="187"/>
      <c r="UX147" s="188"/>
      <c r="UY147" s="187"/>
      <c r="VE147" s="188"/>
      <c r="VF147" s="187"/>
      <c r="VK147" s="168"/>
      <c r="VL147" s="191"/>
      <c r="VM147" s="187"/>
      <c r="VS147" s="188"/>
      <c r="VT147" s="187"/>
      <c r="VZ147" s="188"/>
      <c r="WA147" s="187"/>
      <c r="WG147" s="188"/>
      <c r="WH147" s="187"/>
      <c r="WN147" s="188"/>
      <c r="WO147" s="187"/>
      <c r="WP147" s="168"/>
      <c r="WQ147" s="189"/>
      <c r="WU147" s="188"/>
      <c r="WV147" s="187"/>
      <c r="XB147" s="188"/>
      <c r="XC147" s="187"/>
      <c r="XI147" s="188"/>
      <c r="XJ147" s="187"/>
      <c r="XP147" s="188"/>
      <c r="XQ147" s="187"/>
      <c r="XT147" s="168"/>
      <c r="XU147" s="189"/>
      <c r="XW147" s="188"/>
      <c r="XX147" s="187"/>
      <c r="YD147" s="188"/>
      <c r="YE147" s="187"/>
      <c r="YK147" s="188"/>
      <c r="YL147" s="187"/>
      <c r="YR147" s="188"/>
      <c r="YS147" s="187"/>
      <c r="YY147" s="168"/>
      <c r="YZ147" s="189"/>
      <c r="ZF147" s="188"/>
      <c r="ZG147" s="187"/>
      <c r="ZM147" s="188"/>
      <c r="ZN147" s="187"/>
      <c r="ZT147" s="188"/>
      <c r="ZU147" s="187"/>
      <c r="AAA147" s="188"/>
      <c r="AAB147" s="187"/>
      <c r="AAC147" s="168"/>
      <c r="AAD147" s="189"/>
      <c r="AAH147" s="188"/>
      <c r="AAI147" s="187"/>
      <c r="AAO147" s="188"/>
      <c r="AAP147" s="187"/>
      <c r="AAV147" s="188"/>
      <c r="AAW147" s="187"/>
      <c r="ABC147" s="188"/>
      <c r="ABD147" s="187"/>
      <c r="ABH147" s="168"/>
      <c r="ABI147" s="189"/>
      <c r="ABJ147" s="188"/>
      <c r="ABK147" s="187"/>
      <c r="ABQ147" s="188"/>
      <c r="ABR147" s="187"/>
      <c r="ABX147" s="188"/>
      <c r="ABY147" s="187"/>
      <c r="ACE147" s="188"/>
      <c r="ACF147" s="187"/>
      <c r="ACL147" s="188"/>
      <c r="ACM147" s="190"/>
      <c r="ACN147" s="189"/>
      <c r="ACS147" s="188"/>
      <c r="ACT147" s="187"/>
      <c r="ACZ147" s="188"/>
      <c r="ADA147" s="187"/>
      <c r="ADG147" s="188"/>
      <c r="ADH147" s="187"/>
      <c r="ADN147" s="188"/>
      <c r="ADO147" s="190"/>
      <c r="ADP147" s="189"/>
      <c r="ADU147" s="188"/>
      <c r="ADV147" s="187"/>
      <c r="AEB147" s="188"/>
      <c r="AEC147" s="187"/>
      <c r="AEI147" s="188"/>
      <c r="AEJ147" s="187"/>
      <c r="AEP147" s="188"/>
      <c r="AEQ147" s="187"/>
      <c r="AET147" s="168"/>
      <c r="AEU147" s="189"/>
      <c r="AEW147" s="188"/>
      <c r="AEX147" s="187"/>
      <c r="AFD147" s="188"/>
      <c r="AFE147" s="187"/>
      <c r="AFK147" s="188"/>
      <c r="AFL147" s="187"/>
      <c r="AFR147" s="188"/>
      <c r="AFS147" s="187"/>
      <c r="AFX147" s="168"/>
      <c r="AFY147" s="191"/>
      <c r="AFZ147" s="187"/>
      <c r="AGF147" s="188"/>
      <c r="AGG147" s="187"/>
      <c r="AGM147" s="188"/>
      <c r="AGN147" s="187"/>
      <c r="AGT147" s="188"/>
      <c r="AGU147" s="187"/>
      <c r="AHA147" s="188"/>
      <c r="AHB147" s="187"/>
      <c r="AHC147" s="168"/>
      <c r="AHD147" s="189"/>
      <c r="AHH147" s="188"/>
      <c r="AHI147" s="187"/>
      <c r="AHO147" s="188"/>
      <c r="AHP147" s="187"/>
      <c r="AHV147" s="188"/>
      <c r="AHW147" s="187"/>
      <c r="AIC147" s="188"/>
      <c r="AID147" s="187"/>
      <c r="AIG147" s="168"/>
      <c r="AIH147" s="189"/>
      <c r="AIJ147" s="188"/>
      <c r="AIK147" s="187"/>
      <c r="AIQ147" s="188"/>
      <c r="AIR147" s="187"/>
      <c r="AIX147" s="188"/>
      <c r="AIY147" s="187"/>
      <c r="AJE147" s="188"/>
      <c r="AJF147" s="187"/>
      <c r="AJL147" s="168"/>
      <c r="AJM147" s="189"/>
      <c r="AJS147" s="188"/>
      <c r="AJT147" s="187"/>
      <c r="AJZ147" s="188"/>
      <c r="AKA147" s="187"/>
      <c r="AKG147" s="188"/>
      <c r="AKH147" s="187"/>
      <c r="AKN147" s="188"/>
      <c r="AKO147" s="187"/>
      <c r="AKQ147" s="168"/>
      <c r="AKR147" s="189"/>
      <c r="AKU147" s="188"/>
      <c r="AKV147" s="187"/>
      <c r="ALB147" s="188"/>
      <c r="ALC147" s="187"/>
      <c r="ALI147" s="188"/>
      <c r="ALJ147" s="187"/>
      <c r="ALP147" s="188"/>
      <c r="ALQ147" s="187"/>
      <c r="ALU147" s="168"/>
      <c r="ALV147" s="189"/>
      <c r="ALW147" s="188"/>
      <c r="ALX147" s="187"/>
      <c r="AMD147" s="188"/>
      <c r="AME147" s="187"/>
      <c r="AMK147" s="188"/>
      <c r="AML147" s="187"/>
      <c r="AMR147" s="188"/>
      <c r="AMS147" s="187"/>
      <c r="AMY147" s="188"/>
      <c r="AMZ147" s="190"/>
      <c r="ANA147" s="189"/>
      <c r="ANF147" s="188"/>
      <c r="ANG147" s="187"/>
      <c r="ANM147" s="188"/>
      <c r="ANN147" s="187"/>
      <c r="ANT147" s="188"/>
      <c r="ANU147" s="187"/>
      <c r="AOA147" s="188"/>
      <c r="AOB147" s="187"/>
      <c r="AOD147" s="168"/>
      <c r="AOE147" s="189"/>
      <c r="AOH147" s="188"/>
      <c r="AOI147" s="187"/>
      <c r="AOO147" s="188"/>
      <c r="AOP147" s="187"/>
      <c r="AOV147" s="188"/>
      <c r="AOW147" s="187"/>
      <c r="APC147" s="188"/>
      <c r="APD147" s="187"/>
      <c r="API147" s="168"/>
      <c r="APJ147" s="191"/>
      <c r="APK147" s="187"/>
      <c r="APQ147" s="188"/>
      <c r="APR147" s="187"/>
      <c r="APX147" s="188"/>
      <c r="APY147" s="187"/>
      <c r="AQE147" s="188"/>
      <c r="AQF147" s="187"/>
      <c r="AQL147" s="188"/>
      <c r="AQM147" s="187"/>
      <c r="AQN147" s="168"/>
      <c r="AQO147" s="189"/>
      <c r="AQS147" s="188"/>
      <c r="AQT147" s="187"/>
      <c r="AQZ147" s="188"/>
      <c r="ARA147" s="187"/>
      <c r="ARG147" s="188"/>
      <c r="ARH147" s="187"/>
      <c r="ARN147" s="188"/>
      <c r="ARO147" s="187"/>
      <c r="ARP147" s="168"/>
      <c r="ARQ147" s="189"/>
      <c r="ARU147" s="188"/>
      <c r="ARV147" s="187"/>
      <c r="ASB147" s="188"/>
      <c r="ASC147" s="187"/>
      <c r="ASI147" s="188"/>
      <c r="ASJ147" s="187"/>
      <c r="ASP147" s="188"/>
      <c r="ASQ147" s="187"/>
      <c r="ASU147" s="168"/>
      <c r="ASV147" s="189"/>
      <c r="ASW147" s="188"/>
      <c r="ASX147" s="187"/>
      <c r="ATD147" s="188"/>
      <c r="ATE147" s="187"/>
      <c r="ATK147" s="188"/>
      <c r="ATL147" s="187"/>
      <c r="ATR147" s="188"/>
      <c r="ATS147" s="187"/>
      <c r="ATY147" s="168"/>
      <c r="ATZ147" s="189"/>
      <c r="AUF147" s="188"/>
      <c r="AUG147" s="187"/>
      <c r="AUM147" s="188"/>
      <c r="AUN147" s="187"/>
      <c r="AUT147" s="188"/>
      <c r="AUU147" s="187"/>
      <c r="AVA147" s="188"/>
      <c r="AVB147" s="187"/>
      <c r="AVD147" s="168"/>
      <c r="AVE147" s="189"/>
      <c r="AVH147" s="188"/>
      <c r="AVI147" s="187"/>
      <c r="AVO147" s="188"/>
      <c r="AVP147" s="187"/>
      <c r="AVV147" s="188"/>
      <c r="AVW147" s="187"/>
      <c r="AWC147" s="188"/>
      <c r="AWD147" s="187"/>
      <c r="AWH147" s="168"/>
      <c r="AWI147" s="189"/>
      <c r="AWJ147" s="188"/>
      <c r="AWK147" s="187"/>
      <c r="AWQ147" s="188"/>
      <c r="AWR147" s="187"/>
      <c r="AWX147" s="188"/>
      <c r="AWY147" s="187"/>
      <c r="AXE147" s="188"/>
      <c r="AXF147" s="187"/>
      <c r="AXL147" s="188"/>
      <c r="AXM147" s="190"/>
      <c r="AXN147" s="189"/>
      <c r="AXS147" s="188"/>
      <c r="AXT147" s="187"/>
      <c r="AXZ147" s="188"/>
      <c r="AYA147" s="187"/>
      <c r="AYG147" s="188"/>
      <c r="AYH147" s="187"/>
      <c r="AYN147" s="188"/>
      <c r="AYO147" s="187"/>
      <c r="AYR147" s="168"/>
      <c r="AYS147" s="189"/>
      <c r="AYU147" s="188"/>
      <c r="AYV147" s="187"/>
      <c r="AZB147" s="188"/>
      <c r="AZC147" s="187"/>
      <c r="AZI147" s="188"/>
      <c r="AZJ147" s="187"/>
      <c r="AZP147" s="188"/>
      <c r="AZQ147" s="187"/>
      <c r="AZV147" s="168"/>
      <c r="AZW147" s="191"/>
      <c r="AZX147" s="187"/>
      <c r="BAD147" s="188"/>
      <c r="BAE147" s="187"/>
      <c r="BAK147" s="188"/>
      <c r="BAL147" s="187"/>
      <c r="BAR147" s="188"/>
      <c r="BAS147" s="187"/>
      <c r="BAY147" s="188"/>
      <c r="BAZ147" s="187"/>
      <c r="BBA147" s="168"/>
      <c r="BBB147" s="189"/>
      <c r="BBF147" s="188"/>
      <c r="BBG147" s="187"/>
      <c r="BBM147" s="188"/>
      <c r="BBN147" s="187"/>
      <c r="BBT147" s="188"/>
      <c r="BBU147" s="187"/>
      <c r="BCA147" s="188"/>
      <c r="BCB147" s="187"/>
      <c r="BCE147" s="168"/>
      <c r="BCF147" s="189"/>
      <c r="BCH147" s="188"/>
      <c r="BCI147" s="187"/>
      <c r="BCO147" s="188"/>
      <c r="BCP147" s="187"/>
      <c r="BCV147" s="188"/>
      <c r="BCW147" s="187"/>
      <c r="BDC147" s="188"/>
      <c r="BDD147" s="187"/>
      <c r="BDJ147" s="168"/>
      <c r="BDK147" s="189"/>
      <c r="BDQ147" s="188"/>
      <c r="BDR147" s="187"/>
      <c r="BDX147" s="188"/>
      <c r="BDY147" s="187"/>
      <c r="BEE147" s="188"/>
      <c r="BEF147" s="187"/>
      <c r="BEL147" s="188"/>
      <c r="BEM147" s="187"/>
      <c r="BEO147" s="168"/>
      <c r="BEP147" s="189"/>
      <c r="BES147" s="188"/>
      <c r="BET147" s="187"/>
      <c r="BEZ147" s="188"/>
      <c r="BFA147" s="187"/>
      <c r="BFG147" s="188"/>
      <c r="BFH147" s="187"/>
      <c r="BFN147" s="188"/>
      <c r="BFO147" s="187"/>
      <c r="BFQ147" s="168"/>
      <c r="BFR147" s="189"/>
      <c r="BFU147" s="188"/>
      <c r="BFV147" s="187"/>
      <c r="BGB147" s="188"/>
      <c r="BGC147" s="187"/>
      <c r="BGI147" s="188"/>
      <c r="BGJ147" s="187"/>
      <c r="BGP147" s="188"/>
      <c r="BGQ147" s="187"/>
      <c r="BGV147" s="168"/>
      <c r="BGW147" s="191"/>
      <c r="BGX147" s="187"/>
      <c r="BHD147" s="188"/>
      <c r="BHE147" s="187"/>
      <c r="BHK147" s="188"/>
      <c r="BHL147" s="187"/>
      <c r="BHR147" s="188"/>
      <c r="BHS147" s="187"/>
      <c r="BHY147" s="188"/>
      <c r="BHZ147" s="190"/>
      <c r="BIA147" s="189"/>
      <c r="BIF147" s="188"/>
      <c r="BIG147" s="187"/>
      <c r="BIM147" s="188"/>
      <c r="BIN147" s="187"/>
      <c r="BIT147" s="188"/>
      <c r="BIU147" s="187"/>
      <c r="BJA147" s="188"/>
      <c r="BJB147" s="187"/>
      <c r="BJE147" s="168"/>
      <c r="BJF147" s="189"/>
      <c r="BJH147" s="188"/>
      <c r="BJI147" s="187"/>
      <c r="BJO147" s="188"/>
      <c r="BJP147" s="187"/>
      <c r="BJV147" s="188"/>
      <c r="BJW147" s="187"/>
      <c r="BKC147" s="188"/>
      <c r="BKD147" s="187"/>
      <c r="BKI147" s="168"/>
      <c r="BKJ147" s="191"/>
      <c r="BKK147" s="187"/>
      <c r="BKQ147" s="188"/>
      <c r="BKR147" s="187"/>
      <c r="BKX147" s="188"/>
      <c r="BKY147" s="187"/>
      <c r="BLE147" s="188"/>
      <c r="BLF147" s="187"/>
      <c r="BLL147" s="188"/>
      <c r="BLM147" s="187"/>
      <c r="BLN147" s="168"/>
      <c r="BLO147" s="189"/>
      <c r="BLS147" s="188"/>
      <c r="BLT147" s="187"/>
      <c r="BLZ147" s="188"/>
      <c r="BMA147" s="187"/>
      <c r="BMG147" s="188"/>
      <c r="BMH147" s="187"/>
      <c r="BMN147" s="188"/>
      <c r="BMO147" s="187"/>
      <c r="BMS147" s="168"/>
      <c r="BMT147" s="189"/>
      <c r="BMU147" s="188"/>
      <c r="BMV147" s="187"/>
      <c r="BNB147" s="188"/>
      <c r="BNC147" s="187"/>
      <c r="BNI147" s="188"/>
      <c r="BNJ147" s="187"/>
      <c r="BNP147" s="188"/>
      <c r="BNQ147" s="187"/>
      <c r="BNW147" s="168"/>
      <c r="BNX147" s="189"/>
      <c r="BOD147" s="188"/>
      <c r="BOE147" s="187"/>
      <c r="BOK147" s="188"/>
      <c r="BOL147" s="187"/>
      <c r="BOR147" s="188"/>
      <c r="BOS147" s="187"/>
      <c r="BOY147" s="188"/>
      <c r="BOZ147" s="187"/>
      <c r="BPB147" s="168"/>
      <c r="BPC147" s="189"/>
      <c r="BPF147" s="188"/>
      <c r="BPG147" s="187"/>
      <c r="BPM147" s="188"/>
      <c r="BPN147" s="187"/>
      <c r="BPT147" s="188"/>
      <c r="BPU147" s="187"/>
      <c r="BQA147" s="188"/>
      <c r="BQB147" s="187"/>
      <c r="BQF147" s="168"/>
      <c r="BQG147" s="189"/>
      <c r="BQH147" s="188"/>
      <c r="BQI147" s="187"/>
      <c r="BQO147" s="188"/>
      <c r="BQP147" s="187"/>
      <c r="BQV147" s="188"/>
      <c r="BQW147" s="187"/>
      <c r="BRC147" s="188"/>
      <c r="BRD147" s="187"/>
      <c r="BRJ147" s="188"/>
      <c r="BRK147" s="190"/>
      <c r="BRL147" s="189"/>
      <c r="BRQ147" s="188"/>
      <c r="BRR147" s="187"/>
      <c r="BRX147" s="188"/>
      <c r="BRY147" s="187"/>
      <c r="BSE147" s="188"/>
      <c r="BSF147" s="187"/>
      <c r="BSL147" s="188"/>
      <c r="BSM147" s="187"/>
      <c r="BSP147" s="168"/>
      <c r="BSQ147" s="189"/>
      <c r="BSS147" s="188"/>
      <c r="BST147" s="187"/>
      <c r="BSZ147" s="188"/>
      <c r="BTA147" s="187"/>
      <c r="BTG147" s="188"/>
      <c r="BTH147" s="187"/>
      <c r="BTN147" s="188"/>
      <c r="BTO147" s="187"/>
      <c r="BTS147" s="168"/>
      <c r="BTT147" s="189"/>
      <c r="BTU147" s="188"/>
      <c r="BTV147" s="187"/>
      <c r="BUB147" s="188"/>
      <c r="BUC147" s="187"/>
      <c r="BUI147" s="188"/>
      <c r="BUJ147" s="187"/>
      <c r="BUP147" s="188"/>
      <c r="BUQ147" s="187"/>
      <c r="BUW147" s="188"/>
      <c r="BUX147" s="190"/>
      <c r="BUY147" s="189"/>
      <c r="BVD147" s="188"/>
      <c r="BVE147" s="187"/>
      <c r="BVK147" s="188"/>
      <c r="BVL147" s="187"/>
      <c r="BVR147" s="188"/>
      <c r="BVS147" s="187"/>
      <c r="BVY147" s="188"/>
      <c r="BVZ147" s="187"/>
      <c r="BWB147" s="168"/>
      <c r="BWC147" s="189"/>
      <c r="BWF147" s="188"/>
      <c r="BWG147" s="187"/>
      <c r="BWM147" s="188"/>
      <c r="BWN147" s="187"/>
      <c r="BWT147" s="188"/>
      <c r="BWU147" s="187"/>
      <c r="BXA147" s="188"/>
      <c r="BXB147" s="187"/>
      <c r="BXG147" s="168"/>
      <c r="BXH147" s="191"/>
      <c r="BXI147" s="187"/>
      <c r="BXO147" s="188"/>
      <c r="BXP147" s="187"/>
      <c r="BXV147" s="188"/>
      <c r="BXW147" s="187"/>
      <c r="BYC147" s="188"/>
      <c r="BYD147" s="187"/>
      <c r="BYJ147" s="188"/>
      <c r="BYK147" s="190"/>
      <c r="BYL147" s="189"/>
      <c r="BYQ147" s="188"/>
      <c r="BYR147" s="187"/>
      <c r="BYX147" s="188"/>
      <c r="BYY147" s="187"/>
      <c r="BZE147" s="188"/>
      <c r="BZF147" s="187"/>
      <c r="BZL147" s="188"/>
      <c r="BZM147" s="187"/>
      <c r="BZP147" s="168"/>
      <c r="BZQ147" s="189"/>
      <c r="BZS147" s="188"/>
      <c r="BZT147" s="187"/>
      <c r="BZZ147" s="188"/>
      <c r="CAA147" s="187"/>
      <c r="CAG147" s="188"/>
      <c r="CAH147" s="187"/>
      <c r="CAN147" s="188"/>
      <c r="CAO147" s="187"/>
      <c r="CAU147" s="168"/>
      <c r="CAV147" s="189"/>
      <c r="CBB147" s="188"/>
      <c r="CBC147" s="187"/>
      <c r="CBI147" s="188"/>
      <c r="CBJ147" s="187"/>
      <c r="CBP147" s="188"/>
      <c r="CBQ147" s="187"/>
      <c r="CBW147" s="188"/>
      <c r="CBX147" s="187"/>
      <c r="CBY147" s="168"/>
      <c r="CBZ147" s="189"/>
      <c r="CCD147" s="188"/>
      <c r="CCE147" s="187"/>
      <c r="CCK147" s="188"/>
      <c r="CCL147" s="187"/>
      <c r="CCR147" s="188"/>
      <c r="CCS147" s="187"/>
      <c r="CCY147" s="188"/>
      <c r="CCZ147" s="187"/>
      <c r="CDD147" s="168"/>
      <c r="CDE147" s="189"/>
      <c r="CDF147" s="188"/>
      <c r="CDG147" s="187"/>
      <c r="CDM147" s="188"/>
      <c r="CDN147" s="187"/>
      <c r="CDT147" s="188"/>
      <c r="CDU147" s="187"/>
      <c r="CEA147" s="188"/>
      <c r="CEB147" s="187"/>
      <c r="CEH147" s="168"/>
      <c r="CEI147" s="189"/>
      <c r="CEO147" s="188"/>
      <c r="CEP147" s="187"/>
      <c r="CEV147" s="188"/>
      <c r="CEW147" s="187"/>
      <c r="CFC147" s="188"/>
      <c r="CFD147" s="187"/>
      <c r="CFJ147" s="188"/>
      <c r="CFK147" s="187"/>
    </row>
    <row r="148" spans="4:1019 1025:2048 2054:2195">
      <c r="D148" s="186"/>
      <c r="E148" s="186"/>
      <c r="K148" s="187"/>
      <c r="Q148" s="188"/>
      <c r="R148" s="187"/>
      <c r="X148" s="188"/>
      <c r="Y148" s="187"/>
      <c r="AE148" s="188"/>
      <c r="AF148" s="187"/>
      <c r="AJ148" s="168"/>
      <c r="AK148" s="189"/>
      <c r="AL148" s="188"/>
      <c r="AM148" s="187"/>
      <c r="AS148" s="188"/>
      <c r="AT148" s="187"/>
      <c r="AZ148" s="188"/>
      <c r="BA148" s="187"/>
      <c r="BG148" s="188"/>
      <c r="BH148" s="187"/>
      <c r="BL148" s="168"/>
      <c r="BM148" s="189"/>
      <c r="BN148" s="188"/>
      <c r="BO148" s="187"/>
      <c r="BU148" s="188"/>
      <c r="BV148" s="187"/>
      <c r="CB148" s="188"/>
      <c r="CC148" s="187"/>
      <c r="CI148" s="188"/>
      <c r="CJ148" s="187"/>
      <c r="CP148" s="188"/>
      <c r="CQ148" s="190"/>
      <c r="CR148" s="189"/>
      <c r="CW148" s="188"/>
      <c r="CX148" s="187"/>
      <c r="DD148" s="188"/>
      <c r="DE148" s="187"/>
      <c r="DK148" s="188"/>
      <c r="DL148" s="187"/>
      <c r="DR148" s="188"/>
      <c r="DS148" s="187"/>
      <c r="DU148" s="168"/>
      <c r="DV148" s="189"/>
      <c r="DY148" s="188"/>
      <c r="DZ148" s="187"/>
      <c r="EF148" s="188"/>
      <c r="EG148" s="187"/>
      <c r="EM148" s="188"/>
      <c r="EN148" s="187"/>
      <c r="ET148" s="188"/>
      <c r="EU148" s="187"/>
      <c r="EZ148" s="168"/>
      <c r="FA148" s="191"/>
      <c r="FB148" s="187"/>
      <c r="FH148" s="188"/>
      <c r="FI148" s="187"/>
      <c r="FO148" s="188"/>
      <c r="FP148" s="187"/>
      <c r="FV148" s="188"/>
      <c r="FW148" s="187"/>
      <c r="GC148" s="188"/>
      <c r="GD148" s="190"/>
      <c r="GE148" s="189"/>
      <c r="GJ148" s="188"/>
      <c r="GK148" s="187"/>
      <c r="GQ148" s="188"/>
      <c r="GR148" s="187"/>
      <c r="GX148" s="188"/>
      <c r="GY148" s="187"/>
      <c r="HE148" s="188"/>
      <c r="HF148" s="187"/>
      <c r="HI148" s="168"/>
      <c r="HJ148" s="189"/>
      <c r="HL148" s="188"/>
      <c r="HM148" s="187"/>
      <c r="HS148" s="188"/>
      <c r="HT148" s="187"/>
      <c r="HZ148" s="188"/>
      <c r="IA148" s="187"/>
      <c r="IG148" s="188"/>
      <c r="IH148" s="187"/>
      <c r="IN148" s="168"/>
      <c r="IO148" s="189"/>
      <c r="IU148" s="188"/>
      <c r="IV148" s="187"/>
      <c r="JB148" s="188"/>
      <c r="JC148" s="187"/>
      <c r="JI148" s="188"/>
      <c r="JJ148" s="187"/>
      <c r="JP148" s="188"/>
      <c r="JQ148" s="187"/>
      <c r="JR148" s="168"/>
      <c r="JS148" s="189"/>
      <c r="JW148" s="188"/>
      <c r="JX148" s="187"/>
      <c r="KD148" s="188"/>
      <c r="KE148" s="187"/>
      <c r="KK148" s="188"/>
      <c r="KL148" s="187"/>
      <c r="KR148" s="188"/>
      <c r="KS148" s="187"/>
      <c r="KW148" s="168"/>
      <c r="KX148" s="189"/>
      <c r="KY148" s="188"/>
      <c r="KZ148" s="187"/>
      <c r="LF148" s="188"/>
      <c r="LG148" s="187"/>
      <c r="LM148" s="188"/>
      <c r="LN148" s="187"/>
      <c r="LT148" s="188"/>
      <c r="LU148" s="187"/>
      <c r="MA148" s="168"/>
      <c r="MB148" s="189"/>
      <c r="MH148" s="188"/>
      <c r="MI148" s="187"/>
      <c r="MO148" s="188"/>
      <c r="MP148" s="187"/>
      <c r="MV148" s="188"/>
      <c r="MW148" s="187"/>
      <c r="NC148" s="188"/>
      <c r="ND148" s="187"/>
      <c r="NF148" s="168"/>
      <c r="NG148" s="189"/>
      <c r="NJ148" s="188"/>
      <c r="NK148" s="187"/>
      <c r="NQ148" s="188"/>
      <c r="NR148" s="187"/>
      <c r="NX148" s="188"/>
      <c r="NY148" s="187"/>
      <c r="OE148" s="188"/>
      <c r="OF148" s="187"/>
      <c r="OK148" s="168"/>
      <c r="OL148" s="191"/>
      <c r="OM148" s="187"/>
      <c r="OS148" s="188"/>
      <c r="OT148" s="187"/>
      <c r="OZ148" s="188"/>
      <c r="PA148" s="187"/>
      <c r="PG148" s="188"/>
      <c r="PH148" s="187"/>
      <c r="PN148" s="168"/>
      <c r="PO148" s="189"/>
      <c r="PU148" s="188"/>
      <c r="PV148" s="187"/>
      <c r="QB148" s="188"/>
      <c r="QC148" s="187"/>
      <c r="QI148" s="188"/>
      <c r="QJ148" s="187"/>
      <c r="QP148" s="188"/>
      <c r="QQ148" s="187"/>
      <c r="QS148" s="168"/>
      <c r="QT148" s="189"/>
      <c r="QW148" s="188"/>
      <c r="QX148" s="187"/>
      <c r="RD148" s="188"/>
      <c r="RE148" s="187"/>
      <c r="RK148" s="188"/>
      <c r="RL148" s="187"/>
      <c r="RR148" s="188"/>
      <c r="RS148" s="187"/>
      <c r="RW148" s="168"/>
      <c r="RX148" s="189"/>
      <c r="RY148" s="188"/>
      <c r="RZ148" s="187"/>
      <c r="SF148" s="188"/>
      <c r="SG148" s="187"/>
      <c r="SM148" s="188"/>
      <c r="SN148" s="187"/>
      <c r="ST148" s="188"/>
      <c r="SU148" s="187"/>
      <c r="TA148" s="188"/>
      <c r="TB148" s="190"/>
      <c r="TC148" s="189"/>
      <c r="TH148" s="188"/>
      <c r="TI148" s="187"/>
      <c r="TO148" s="188"/>
      <c r="TP148" s="187"/>
      <c r="TV148" s="188"/>
      <c r="TW148" s="187"/>
      <c r="UC148" s="188"/>
      <c r="UD148" s="187"/>
      <c r="UF148" s="168"/>
      <c r="UG148" s="189"/>
      <c r="UJ148" s="188"/>
      <c r="UK148" s="187"/>
      <c r="UQ148" s="188"/>
      <c r="UR148" s="187"/>
      <c r="UX148" s="188"/>
      <c r="UY148" s="187"/>
      <c r="VE148" s="188"/>
      <c r="VF148" s="187"/>
      <c r="VK148" s="168"/>
      <c r="VL148" s="191"/>
      <c r="VM148" s="187"/>
      <c r="VS148" s="188"/>
      <c r="VT148" s="187"/>
      <c r="VZ148" s="188"/>
      <c r="WA148" s="187"/>
      <c r="WG148" s="188"/>
      <c r="WH148" s="187"/>
      <c r="WN148" s="188"/>
      <c r="WO148" s="187"/>
      <c r="WP148" s="168"/>
      <c r="WQ148" s="189"/>
      <c r="WU148" s="188"/>
      <c r="WV148" s="187"/>
      <c r="XB148" s="188"/>
      <c r="XC148" s="187"/>
      <c r="XI148" s="188"/>
      <c r="XJ148" s="187"/>
      <c r="XP148" s="188"/>
      <c r="XQ148" s="187"/>
      <c r="XT148" s="168"/>
      <c r="XU148" s="189"/>
      <c r="XW148" s="188"/>
      <c r="XX148" s="187"/>
      <c r="YD148" s="188"/>
      <c r="YE148" s="187"/>
      <c r="YK148" s="188"/>
      <c r="YL148" s="187"/>
      <c r="YR148" s="188"/>
      <c r="YS148" s="187"/>
      <c r="YY148" s="168"/>
      <c r="YZ148" s="189"/>
      <c r="ZF148" s="188"/>
      <c r="ZG148" s="187"/>
      <c r="ZM148" s="188"/>
      <c r="ZN148" s="187"/>
      <c r="ZT148" s="188"/>
      <c r="ZU148" s="187"/>
      <c r="AAA148" s="188"/>
      <c r="AAB148" s="187"/>
      <c r="AAC148" s="168"/>
      <c r="AAD148" s="189"/>
      <c r="AAH148" s="188"/>
      <c r="AAI148" s="187"/>
      <c r="AAO148" s="188"/>
      <c r="AAP148" s="187"/>
      <c r="AAV148" s="188"/>
      <c r="AAW148" s="187"/>
      <c r="ABC148" s="188"/>
      <c r="ABD148" s="187"/>
      <c r="ABH148" s="168"/>
      <c r="ABI148" s="189"/>
      <c r="ABJ148" s="188"/>
      <c r="ABK148" s="187"/>
      <c r="ABQ148" s="188"/>
      <c r="ABR148" s="187"/>
      <c r="ABX148" s="188"/>
      <c r="ABY148" s="187"/>
      <c r="ACE148" s="188"/>
      <c r="ACF148" s="187"/>
      <c r="ACL148" s="188"/>
      <c r="ACM148" s="190"/>
      <c r="ACN148" s="189"/>
      <c r="ACS148" s="188"/>
      <c r="ACT148" s="187"/>
      <c r="ACZ148" s="188"/>
      <c r="ADA148" s="187"/>
      <c r="ADG148" s="188"/>
      <c r="ADH148" s="187"/>
      <c r="ADN148" s="188"/>
      <c r="ADO148" s="190"/>
      <c r="ADP148" s="189"/>
      <c r="ADU148" s="188"/>
      <c r="ADV148" s="187"/>
      <c r="AEB148" s="188"/>
      <c r="AEC148" s="187"/>
      <c r="AEI148" s="188"/>
      <c r="AEJ148" s="187"/>
      <c r="AEP148" s="188"/>
      <c r="AEQ148" s="187"/>
      <c r="AET148" s="168"/>
      <c r="AEU148" s="189"/>
      <c r="AEW148" s="188"/>
      <c r="AEX148" s="187"/>
      <c r="AFD148" s="188"/>
      <c r="AFE148" s="187"/>
      <c r="AFK148" s="188"/>
      <c r="AFL148" s="187"/>
      <c r="AFR148" s="188"/>
      <c r="AFS148" s="187"/>
      <c r="AFX148" s="168"/>
      <c r="AFY148" s="191"/>
      <c r="AFZ148" s="187"/>
      <c r="AGF148" s="188"/>
      <c r="AGG148" s="187"/>
      <c r="AGM148" s="188"/>
      <c r="AGN148" s="187"/>
      <c r="AGT148" s="188"/>
      <c r="AGU148" s="187"/>
      <c r="AHA148" s="188"/>
      <c r="AHB148" s="187"/>
      <c r="AHC148" s="168"/>
      <c r="AHD148" s="189"/>
      <c r="AHH148" s="188"/>
      <c r="AHI148" s="187"/>
      <c r="AHO148" s="188"/>
      <c r="AHP148" s="187"/>
      <c r="AHV148" s="188"/>
      <c r="AHW148" s="187"/>
      <c r="AIC148" s="188"/>
      <c r="AID148" s="187"/>
      <c r="AIG148" s="168"/>
      <c r="AIH148" s="189"/>
      <c r="AIJ148" s="188"/>
      <c r="AIK148" s="187"/>
      <c r="AIQ148" s="188"/>
      <c r="AIR148" s="187"/>
      <c r="AIX148" s="188"/>
      <c r="AIY148" s="187"/>
      <c r="AJE148" s="188"/>
      <c r="AJF148" s="187"/>
      <c r="AJL148" s="168"/>
      <c r="AJM148" s="189"/>
      <c r="AJS148" s="188"/>
      <c r="AJT148" s="187"/>
      <c r="AJZ148" s="188"/>
      <c r="AKA148" s="187"/>
      <c r="AKG148" s="188"/>
      <c r="AKH148" s="187"/>
      <c r="AKN148" s="188"/>
      <c r="AKO148" s="187"/>
      <c r="AKQ148" s="168"/>
      <c r="AKR148" s="189"/>
      <c r="AKU148" s="188"/>
      <c r="AKV148" s="187"/>
      <c r="ALB148" s="188"/>
      <c r="ALC148" s="187"/>
      <c r="ALI148" s="188"/>
      <c r="ALJ148" s="187"/>
      <c r="ALP148" s="188"/>
      <c r="ALQ148" s="187"/>
      <c r="ALU148" s="168"/>
      <c r="ALV148" s="189"/>
      <c r="ALW148" s="188"/>
      <c r="ALX148" s="187"/>
      <c r="AMD148" s="188"/>
      <c r="AME148" s="187"/>
      <c r="AMK148" s="188"/>
      <c r="AML148" s="187"/>
      <c r="AMR148" s="188"/>
      <c r="AMS148" s="187"/>
      <c r="AMY148" s="188"/>
      <c r="AMZ148" s="190"/>
      <c r="ANA148" s="189"/>
      <c r="ANF148" s="188"/>
      <c r="ANG148" s="187"/>
      <c r="ANM148" s="188"/>
      <c r="ANN148" s="187"/>
      <c r="ANT148" s="188"/>
      <c r="ANU148" s="187"/>
      <c r="AOA148" s="188"/>
      <c r="AOB148" s="187"/>
      <c r="AOD148" s="168"/>
      <c r="AOE148" s="189"/>
      <c r="AOH148" s="188"/>
      <c r="AOI148" s="187"/>
      <c r="AOO148" s="188"/>
      <c r="AOP148" s="187"/>
      <c r="AOV148" s="188"/>
      <c r="AOW148" s="187"/>
      <c r="APC148" s="188"/>
      <c r="APD148" s="187"/>
      <c r="API148" s="168"/>
      <c r="APJ148" s="191"/>
      <c r="APK148" s="187"/>
      <c r="APQ148" s="188"/>
      <c r="APR148" s="187"/>
      <c r="APX148" s="188"/>
      <c r="APY148" s="187"/>
      <c r="AQE148" s="188"/>
      <c r="AQF148" s="187"/>
      <c r="AQL148" s="188"/>
      <c r="AQM148" s="187"/>
      <c r="AQN148" s="168"/>
      <c r="AQO148" s="189"/>
      <c r="AQS148" s="188"/>
      <c r="AQT148" s="187"/>
      <c r="AQZ148" s="188"/>
      <c r="ARA148" s="187"/>
      <c r="ARG148" s="188"/>
      <c r="ARH148" s="187"/>
      <c r="ARN148" s="188"/>
      <c r="ARO148" s="187"/>
      <c r="ARP148" s="168"/>
      <c r="ARQ148" s="189"/>
      <c r="ARU148" s="188"/>
      <c r="ARV148" s="187"/>
      <c r="ASB148" s="188"/>
      <c r="ASC148" s="187"/>
      <c r="ASI148" s="188"/>
      <c r="ASJ148" s="187"/>
      <c r="ASP148" s="188"/>
      <c r="ASQ148" s="187"/>
      <c r="ASU148" s="168"/>
      <c r="ASV148" s="189"/>
      <c r="ASW148" s="188"/>
      <c r="ASX148" s="187"/>
      <c r="ATD148" s="188"/>
      <c r="ATE148" s="187"/>
      <c r="ATK148" s="188"/>
      <c r="ATL148" s="187"/>
      <c r="ATR148" s="188"/>
      <c r="ATS148" s="187"/>
      <c r="ATY148" s="168"/>
      <c r="ATZ148" s="189"/>
      <c r="AUF148" s="188"/>
      <c r="AUG148" s="187"/>
      <c r="AUM148" s="188"/>
      <c r="AUN148" s="187"/>
      <c r="AUT148" s="188"/>
      <c r="AUU148" s="187"/>
      <c r="AVA148" s="188"/>
      <c r="AVB148" s="187"/>
      <c r="AVD148" s="168"/>
      <c r="AVE148" s="189"/>
      <c r="AVH148" s="188"/>
      <c r="AVI148" s="187"/>
      <c r="AVO148" s="188"/>
      <c r="AVP148" s="187"/>
      <c r="AVV148" s="188"/>
      <c r="AVW148" s="187"/>
      <c r="AWC148" s="188"/>
      <c r="AWD148" s="187"/>
      <c r="AWH148" s="168"/>
      <c r="AWI148" s="189"/>
      <c r="AWJ148" s="188"/>
      <c r="AWK148" s="187"/>
      <c r="AWQ148" s="188"/>
      <c r="AWR148" s="187"/>
      <c r="AWX148" s="188"/>
      <c r="AWY148" s="187"/>
      <c r="AXE148" s="188"/>
      <c r="AXF148" s="187"/>
      <c r="AXL148" s="188"/>
      <c r="AXM148" s="190"/>
      <c r="AXN148" s="189"/>
      <c r="AXS148" s="188"/>
      <c r="AXT148" s="187"/>
      <c r="AXZ148" s="188"/>
      <c r="AYA148" s="187"/>
      <c r="AYG148" s="188"/>
      <c r="AYH148" s="187"/>
      <c r="AYN148" s="188"/>
      <c r="AYO148" s="187"/>
      <c r="AYR148" s="168"/>
      <c r="AYS148" s="189"/>
      <c r="AYU148" s="188"/>
      <c r="AYV148" s="187"/>
      <c r="AZB148" s="188"/>
      <c r="AZC148" s="187"/>
      <c r="AZI148" s="188"/>
      <c r="AZJ148" s="187"/>
      <c r="AZP148" s="188"/>
      <c r="AZQ148" s="187"/>
      <c r="AZV148" s="168"/>
      <c r="AZW148" s="191"/>
      <c r="AZX148" s="187"/>
      <c r="BAD148" s="188"/>
      <c r="BAE148" s="187"/>
      <c r="BAK148" s="188"/>
      <c r="BAL148" s="187"/>
      <c r="BAR148" s="188"/>
      <c r="BAS148" s="187"/>
      <c r="BAY148" s="188"/>
      <c r="BAZ148" s="187"/>
      <c r="BBA148" s="168"/>
      <c r="BBB148" s="189"/>
      <c r="BBF148" s="188"/>
      <c r="BBG148" s="187"/>
      <c r="BBM148" s="188"/>
      <c r="BBN148" s="187"/>
      <c r="BBT148" s="188"/>
      <c r="BBU148" s="187"/>
      <c r="BCA148" s="188"/>
      <c r="BCB148" s="187"/>
      <c r="BCE148" s="168"/>
      <c r="BCF148" s="189"/>
      <c r="BCH148" s="188"/>
      <c r="BCI148" s="187"/>
      <c r="BCO148" s="188"/>
      <c r="BCP148" s="187"/>
      <c r="BCV148" s="188"/>
      <c r="BCW148" s="187"/>
      <c r="BDC148" s="188"/>
      <c r="BDD148" s="187"/>
      <c r="BDJ148" s="168"/>
      <c r="BDK148" s="189"/>
      <c r="BDQ148" s="188"/>
      <c r="BDR148" s="187"/>
      <c r="BDX148" s="188"/>
      <c r="BDY148" s="187"/>
      <c r="BEE148" s="188"/>
      <c r="BEF148" s="187"/>
      <c r="BEL148" s="188"/>
      <c r="BEM148" s="187"/>
      <c r="BEO148" s="168"/>
      <c r="BEP148" s="189"/>
      <c r="BES148" s="188"/>
      <c r="BET148" s="187"/>
      <c r="BEZ148" s="188"/>
      <c r="BFA148" s="187"/>
      <c r="BFG148" s="188"/>
      <c r="BFH148" s="187"/>
      <c r="BFN148" s="188"/>
      <c r="BFO148" s="187"/>
      <c r="BFQ148" s="168"/>
      <c r="BFR148" s="189"/>
      <c r="BFU148" s="188"/>
      <c r="BFV148" s="187"/>
      <c r="BGB148" s="188"/>
      <c r="BGC148" s="187"/>
      <c r="BGI148" s="188"/>
      <c r="BGJ148" s="187"/>
      <c r="BGP148" s="188"/>
      <c r="BGQ148" s="187"/>
      <c r="BGV148" s="168"/>
      <c r="BGW148" s="191"/>
      <c r="BGX148" s="187"/>
      <c r="BHD148" s="188"/>
      <c r="BHE148" s="187"/>
      <c r="BHK148" s="188"/>
      <c r="BHL148" s="187"/>
      <c r="BHR148" s="188"/>
      <c r="BHS148" s="187"/>
      <c r="BHY148" s="188"/>
      <c r="BHZ148" s="190"/>
      <c r="BIA148" s="189"/>
      <c r="BIF148" s="188"/>
      <c r="BIG148" s="187"/>
      <c r="BIM148" s="188"/>
      <c r="BIN148" s="187"/>
      <c r="BIT148" s="188"/>
      <c r="BIU148" s="187"/>
      <c r="BJA148" s="188"/>
      <c r="BJB148" s="187"/>
      <c r="BJE148" s="168"/>
      <c r="BJF148" s="189"/>
      <c r="BJH148" s="188"/>
      <c r="BJI148" s="187"/>
      <c r="BJO148" s="188"/>
      <c r="BJP148" s="187"/>
      <c r="BJV148" s="188"/>
      <c r="BJW148" s="187"/>
      <c r="BKC148" s="188"/>
      <c r="BKD148" s="187"/>
      <c r="BKI148" s="168"/>
      <c r="BKJ148" s="191"/>
      <c r="BKK148" s="187"/>
      <c r="BKQ148" s="188"/>
      <c r="BKR148" s="187"/>
      <c r="BKX148" s="188"/>
      <c r="BKY148" s="187"/>
      <c r="BLE148" s="188"/>
      <c r="BLF148" s="187"/>
      <c r="BLL148" s="188"/>
      <c r="BLM148" s="187"/>
      <c r="BLN148" s="168"/>
      <c r="BLO148" s="189"/>
      <c r="BLS148" s="188"/>
      <c r="BLT148" s="187"/>
      <c r="BLZ148" s="188"/>
      <c r="BMA148" s="187"/>
      <c r="BMG148" s="188"/>
      <c r="BMH148" s="187"/>
      <c r="BMN148" s="188"/>
      <c r="BMO148" s="187"/>
      <c r="BMS148" s="168"/>
      <c r="BMT148" s="189"/>
      <c r="BMU148" s="188"/>
      <c r="BMV148" s="187"/>
      <c r="BNB148" s="188"/>
      <c r="BNC148" s="187"/>
      <c r="BNI148" s="188"/>
      <c r="BNJ148" s="187"/>
      <c r="BNP148" s="188"/>
      <c r="BNQ148" s="187"/>
      <c r="BNW148" s="168"/>
      <c r="BNX148" s="189"/>
      <c r="BOD148" s="188"/>
      <c r="BOE148" s="187"/>
      <c r="BOK148" s="188"/>
      <c r="BOL148" s="187"/>
      <c r="BOR148" s="188"/>
      <c r="BOS148" s="187"/>
      <c r="BOY148" s="188"/>
      <c r="BOZ148" s="187"/>
      <c r="BPB148" s="168"/>
      <c r="BPC148" s="189"/>
      <c r="BPF148" s="188"/>
      <c r="BPG148" s="187"/>
      <c r="BPM148" s="188"/>
      <c r="BPN148" s="187"/>
      <c r="BPT148" s="188"/>
      <c r="BPU148" s="187"/>
      <c r="BQA148" s="188"/>
      <c r="BQB148" s="187"/>
      <c r="BQF148" s="168"/>
      <c r="BQG148" s="189"/>
      <c r="BQH148" s="188"/>
      <c r="BQI148" s="187"/>
      <c r="BQO148" s="188"/>
      <c r="BQP148" s="187"/>
      <c r="BQV148" s="188"/>
      <c r="BQW148" s="187"/>
      <c r="BRC148" s="188"/>
      <c r="BRD148" s="187"/>
      <c r="BRJ148" s="188"/>
      <c r="BRK148" s="190"/>
      <c r="BRL148" s="189"/>
      <c r="BRQ148" s="188"/>
      <c r="BRR148" s="187"/>
      <c r="BRX148" s="188"/>
      <c r="BRY148" s="187"/>
      <c r="BSE148" s="188"/>
      <c r="BSF148" s="187"/>
      <c r="BSL148" s="188"/>
      <c r="BSM148" s="187"/>
      <c r="BSP148" s="168"/>
      <c r="BSQ148" s="189"/>
      <c r="BSS148" s="188"/>
      <c r="BST148" s="187"/>
      <c r="BSZ148" s="188"/>
      <c r="BTA148" s="187"/>
      <c r="BTG148" s="188"/>
      <c r="BTH148" s="187"/>
      <c r="BTN148" s="188"/>
      <c r="BTO148" s="187"/>
      <c r="BTS148" s="168"/>
      <c r="BTT148" s="189"/>
      <c r="BTU148" s="188"/>
      <c r="BTV148" s="187"/>
      <c r="BUB148" s="188"/>
      <c r="BUC148" s="187"/>
      <c r="BUI148" s="188"/>
      <c r="BUJ148" s="187"/>
      <c r="BUP148" s="188"/>
      <c r="BUQ148" s="187"/>
      <c r="BUW148" s="188"/>
      <c r="BUX148" s="190"/>
      <c r="BUY148" s="189"/>
      <c r="BVD148" s="188"/>
      <c r="BVE148" s="187"/>
      <c r="BVK148" s="188"/>
      <c r="BVL148" s="187"/>
      <c r="BVR148" s="188"/>
      <c r="BVS148" s="187"/>
      <c r="BVY148" s="188"/>
      <c r="BVZ148" s="187"/>
      <c r="BWB148" s="168"/>
      <c r="BWC148" s="189"/>
      <c r="BWF148" s="188"/>
      <c r="BWG148" s="187"/>
      <c r="BWM148" s="188"/>
      <c r="BWN148" s="187"/>
      <c r="BWT148" s="188"/>
      <c r="BWU148" s="187"/>
      <c r="BXA148" s="188"/>
      <c r="BXB148" s="187"/>
      <c r="BXG148" s="168"/>
      <c r="BXH148" s="191"/>
      <c r="BXI148" s="187"/>
      <c r="BXO148" s="188"/>
      <c r="BXP148" s="187"/>
      <c r="BXV148" s="188"/>
      <c r="BXW148" s="187"/>
      <c r="BYC148" s="188"/>
      <c r="BYD148" s="187"/>
      <c r="BYJ148" s="188"/>
      <c r="BYK148" s="190"/>
      <c r="BYL148" s="189"/>
      <c r="BYQ148" s="188"/>
      <c r="BYR148" s="187"/>
      <c r="BYX148" s="188"/>
      <c r="BYY148" s="187"/>
      <c r="BZE148" s="188"/>
      <c r="BZF148" s="187"/>
      <c r="BZL148" s="188"/>
      <c r="BZM148" s="187"/>
      <c r="BZP148" s="168"/>
      <c r="BZQ148" s="189"/>
      <c r="BZS148" s="188"/>
      <c r="BZT148" s="187"/>
      <c r="BZZ148" s="188"/>
      <c r="CAA148" s="187"/>
      <c r="CAG148" s="188"/>
      <c r="CAH148" s="187"/>
      <c r="CAN148" s="188"/>
      <c r="CAO148" s="187"/>
      <c r="CAU148" s="168"/>
      <c r="CAV148" s="189"/>
      <c r="CBB148" s="188"/>
      <c r="CBC148" s="187"/>
      <c r="CBI148" s="188"/>
      <c r="CBJ148" s="187"/>
      <c r="CBP148" s="188"/>
      <c r="CBQ148" s="187"/>
      <c r="CBW148" s="188"/>
      <c r="CBX148" s="187"/>
      <c r="CBY148" s="168"/>
      <c r="CBZ148" s="189"/>
      <c r="CCD148" s="188"/>
      <c r="CCE148" s="187"/>
      <c r="CCK148" s="188"/>
      <c r="CCL148" s="187"/>
      <c r="CCR148" s="188"/>
      <c r="CCS148" s="187"/>
      <c r="CCY148" s="188"/>
      <c r="CCZ148" s="187"/>
      <c r="CDD148" s="168"/>
      <c r="CDE148" s="189"/>
      <c r="CDF148" s="188"/>
      <c r="CDG148" s="187"/>
      <c r="CDM148" s="188"/>
      <c r="CDN148" s="187"/>
      <c r="CDT148" s="188"/>
      <c r="CDU148" s="187"/>
      <c r="CEA148" s="188"/>
      <c r="CEB148" s="187"/>
      <c r="CEH148" s="168"/>
      <c r="CEI148" s="189"/>
      <c r="CEO148" s="188"/>
      <c r="CEP148" s="187"/>
      <c r="CEV148" s="188"/>
      <c r="CEW148" s="187"/>
      <c r="CFC148" s="188"/>
      <c r="CFD148" s="187"/>
      <c r="CFJ148" s="188"/>
      <c r="CFK148" s="187"/>
    </row>
    <row r="149" spans="4:1019 1025:2048 2054:2195">
      <c r="D149" s="186"/>
      <c r="E149" s="186"/>
      <c r="K149" s="187"/>
      <c r="Q149" s="188"/>
      <c r="R149" s="187"/>
      <c r="X149" s="188"/>
      <c r="Y149" s="187"/>
      <c r="AE149" s="188"/>
      <c r="AF149" s="187"/>
      <c r="AJ149" s="168"/>
      <c r="AK149" s="189"/>
      <c r="AL149" s="188"/>
      <c r="AM149" s="187"/>
      <c r="AS149" s="188"/>
      <c r="AT149" s="187"/>
      <c r="AZ149" s="188"/>
      <c r="BA149" s="187"/>
      <c r="BG149" s="188"/>
      <c r="BH149" s="187"/>
      <c r="BL149" s="168"/>
      <c r="BM149" s="189"/>
      <c r="BN149" s="188"/>
      <c r="BO149" s="187"/>
      <c r="BU149" s="188"/>
      <c r="BV149" s="187"/>
      <c r="CB149" s="188"/>
      <c r="CC149" s="187"/>
      <c r="CI149" s="188"/>
      <c r="CJ149" s="187"/>
      <c r="CP149" s="188"/>
      <c r="CQ149" s="190"/>
      <c r="CR149" s="189"/>
      <c r="CW149" s="188"/>
      <c r="CX149" s="187"/>
      <c r="DD149" s="188"/>
      <c r="DE149" s="187"/>
      <c r="DK149" s="188"/>
      <c r="DL149" s="187"/>
      <c r="DR149" s="188"/>
      <c r="DS149" s="187"/>
      <c r="DU149" s="168"/>
      <c r="DV149" s="189"/>
      <c r="DY149" s="188"/>
      <c r="DZ149" s="187"/>
      <c r="EF149" s="188"/>
      <c r="EG149" s="187"/>
      <c r="EM149" s="188"/>
      <c r="EN149" s="187"/>
      <c r="ET149" s="188"/>
      <c r="EU149" s="187"/>
      <c r="EZ149" s="168"/>
      <c r="FA149" s="191"/>
      <c r="FB149" s="187"/>
      <c r="FH149" s="188"/>
      <c r="FI149" s="187"/>
      <c r="FO149" s="188"/>
      <c r="FP149" s="187"/>
      <c r="FV149" s="188"/>
      <c r="FW149" s="187"/>
      <c r="GC149" s="188"/>
      <c r="GD149" s="190"/>
      <c r="GE149" s="189"/>
      <c r="GJ149" s="188"/>
      <c r="GK149" s="187"/>
      <c r="GQ149" s="188"/>
      <c r="GR149" s="187"/>
      <c r="GX149" s="188"/>
      <c r="GY149" s="187"/>
      <c r="HE149" s="188"/>
      <c r="HF149" s="187"/>
      <c r="HI149" s="168"/>
      <c r="HJ149" s="189"/>
      <c r="HL149" s="188"/>
      <c r="HM149" s="187"/>
      <c r="HS149" s="188"/>
      <c r="HT149" s="187"/>
      <c r="HZ149" s="188"/>
      <c r="IA149" s="187"/>
      <c r="IG149" s="188"/>
      <c r="IH149" s="187"/>
      <c r="IN149" s="168"/>
      <c r="IO149" s="189"/>
      <c r="IU149" s="188"/>
      <c r="IV149" s="187"/>
      <c r="JB149" s="188"/>
      <c r="JC149" s="187"/>
      <c r="JI149" s="188"/>
      <c r="JJ149" s="187"/>
      <c r="JP149" s="188"/>
      <c r="JQ149" s="187"/>
      <c r="JR149" s="168"/>
      <c r="JS149" s="189"/>
      <c r="JW149" s="188"/>
      <c r="JX149" s="187"/>
      <c r="KD149" s="188"/>
      <c r="KE149" s="187"/>
      <c r="KK149" s="188"/>
      <c r="KL149" s="187"/>
      <c r="KR149" s="188"/>
      <c r="KS149" s="187"/>
      <c r="KW149" s="168"/>
      <c r="KX149" s="189"/>
      <c r="KY149" s="188"/>
      <c r="KZ149" s="187"/>
      <c r="LF149" s="188"/>
      <c r="LG149" s="187"/>
      <c r="LM149" s="188"/>
      <c r="LN149" s="187"/>
      <c r="LT149" s="188"/>
      <c r="LU149" s="187"/>
      <c r="MA149" s="168"/>
      <c r="MB149" s="189"/>
      <c r="MH149" s="188"/>
      <c r="MI149" s="187"/>
      <c r="MO149" s="188"/>
      <c r="MP149" s="187"/>
      <c r="MV149" s="188"/>
      <c r="MW149" s="187"/>
      <c r="NC149" s="188"/>
      <c r="ND149" s="187"/>
      <c r="NF149" s="168"/>
      <c r="NG149" s="189"/>
      <c r="NJ149" s="188"/>
      <c r="NK149" s="187"/>
      <c r="NQ149" s="188"/>
      <c r="NR149" s="187"/>
      <c r="NX149" s="188"/>
      <c r="NY149" s="187"/>
      <c r="OE149" s="188"/>
      <c r="OF149" s="187"/>
      <c r="OK149" s="168"/>
      <c r="OL149" s="191"/>
      <c r="OM149" s="187"/>
      <c r="OS149" s="188"/>
      <c r="OT149" s="187"/>
      <c r="OZ149" s="188"/>
      <c r="PA149" s="187"/>
      <c r="PG149" s="188"/>
      <c r="PH149" s="187"/>
      <c r="PN149" s="168"/>
      <c r="PO149" s="189"/>
      <c r="PU149" s="188"/>
      <c r="PV149" s="187"/>
      <c r="QB149" s="188"/>
      <c r="QC149" s="187"/>
      <c r="QI149" s="188"/>
      <c r="QJ149" s="187"/>
      <c r="QP149" s="188"/>
      <c r="QQ149" s="187"/>
      <c r="QS149" s="168"/>
      <c r="QT149" s="189"/>
      <c r="QW149" s="188"/>
      <c r="QX149" s="187"/>
      <c r="RD149" s="188"/>
      <c r="RE149" s="187"/>
      <c r="RK149" s="188"/>
      <c r="RL149" s="187"/>
      <c r="RR149" s="188"/>
      <c r="RS149" s="187"/>
      <c r="RW149" s="168"/>
      <c r="RX149" s="189"/>
      <c r="RY149" s="188"/>
      <c r="RZ149" s="187"/>
      <c r="SF149" s="188"/>
      <c r="SG149" s="187"/>
      <c r="SM149" s="188"/>
      <c r="SN149" s="187"/>
      <c r="ST149" s="188"/>
      <c r="SU149" s="187"/>
      <c r="TA149" s="188"/>
      <c r="TB149" s="190"/>
      <c r="TC149" s="189"/>
      <c r="TH149" s="188"/>
      <c r="TI149" s="187"/>
      <c r="TO149" s="188"/>
      <c r="TP149" s="187"/>
      <c r="TV149" s="188"/>
      <c r="TW149" s="187"/>
      <c r="UC149" s="188"/>
      <c r="UD149" s="187"/>
      <c r="UF149" s="168"/>
      <c r="UG149" s="189"/>
      <c r="UJ149" s="188"/>
      <c r="UK149" s="187"/>
      <c r="UQ149" s="188"/>
      <c r="UR149" s="187"/>
      <c r="UX149" s="188"/>
      <c r="UY149" s="187"/>
      <c r="VE149" s="188"/>
      <c r="VF149" s="187"/>
      <c r="VK149" s="168"/>
      <c r="VL149" s="191"/>
      <c r="VM149" s="187"/>
      <c r="VS149" s="188"/>
      <c r="VT149" s="187"/>
      <c r="VZ149" s="188"/>
      <c r="WA149" s="187"/>
      <c r="WG149" s="188"/>
      <c r="WH149" s="187"/>
      <c r="WN149" s="188"/>
      <c r="WO149" s="187"/>
      <c r="WP149" s="168"/>
      <c r="WQ149" s="189"/>
      <c r="WU149" s="188"/>
      <c r="WV149" s="187"/>
      <c r="XB149" s="188"/>
      <c r="XC149" s="187"/>
      <c r="XI149" s="188"/>
      <c r="XJ149" s="187"/>
      <c r="XP149" s="188"/>
      <c r="XQ149" s="187"/>
      <c r="XT149" s="168"/>
      <c r="XU149" s="189"/>
      <c r="XW149" s="188"/>
      <c r="XX149" s="187"/>
      <c r="YD149" s="188"/>
      <c r="YE149" s="187"/>
      <c r="YK149" s="188"/>
      <c r="YL149" s="187"/>
      <c r="YR149" s="188"/>
      <c r="YS149" s="187"/>
      <c r="YY149" s="168"/>
      <c r="YZ149" s="189"/>
      <c r="ZF149" s="188"/>
      <c r="ZG149" s="187"/>
      <c r="ZM149" s="188"/>
      <c r="ZN149" s="187"/>
      <c r="ZT149" s="188"/>
      <c r="ZU149" s="187"/>
      <c r="AAA149" s="188"/>
      <c r="AAB149" s="187"/>
      <c r="AAC149" s="168"/>
      <c r="AAD149" s="189"/>
      <c r="AAH149" s="188"/>
      <c r="AAI149" s="187"/>
      <c r="AAO149" s="188"/>
      <c r="AAP149" s="187"/>
      <c r="AAV149" s="188"/>
      <c r="AAW149" s="187"/>
      <c r="ABC149" s="188"/>
      <c r="ABD149" s="187"/>
      <c r="ABH149" s="168"/>
      <c r="ABI149" s="189"/>
      <c r="ABJ149" s="188"/>
      <c r="ABK149" s="187"/>
      <c r="ABQ149" s="188"/>
      <c r="ABR149" s="187"/>
      <c r="ABX149" s="188"/>
      <c r="ABY149" s="187"/>
      <c r="ACE149" s="188"/>
      <c r="ACF149" s="187"/>
      <c r="ACL149" s="188"/>
      <c r="ACM149" s="190"/>
      <c r="ACN149" s="189"/>
      <c r="ACS149" s="188"/>
      <c r="ACT149" s="187"/>
      <c r="ACZ149" s="188"/>
      <c r="ADA149" s="187"/>
      <c r="ADG149" s="188"/>
      <c r="ADH149" s="187"/>
      <c r="ADN149" s="188"/>
      <c r="ADO149" s="190"/>
      <c r="ADP149" s="189"/>
      <c r="ADU149" s="188"/>
      <c r="ADV149" s="187"/>
      <c r="AEB149" s="188"/>
      <c r="AEC149" s="187"/>
      <c r="AEI149" s="188"/>
      <c r="AEJ149" s="187"/>
      <c r="AEP149" s="188"/>
      <c r="AEQ149" s="187"/>
      <c r="AET149" s="168"/>
      <c r="AEU149" s="189"/>
      <c r="AEW149" s="188"/>
      <c r="AEX149" s="187"/>
      <c r="AFD149" s="188"/>
      <c r="AFE149" s="187"/>
      <c r="AFK149" s="188"/>
      <c r="AFL149" s="187"/>
      <c r="AFR149" s="188"/>
      <c r="AFS149" s="187"/>
      <c r="AFX149" s="168"/>
      <c r="AFY149" s="191"/>
      <c r="AFZ149" s="187"/>
      <c r="AGF149" s="188"/>
      <c r="AGG149" s="187"/>
      <c r="AGM149" s="188"/>
      <c r="AGN149" s="187"/>
      <c r="AGT149" s="188"/>
      <c r="AGU149" s="187"/>
      <c r="AHA149" s="188"/>
      <c r="AHB149" s="187"/>
      <c r="AHC149" s="168"/>
      <c r="AHD149" s="189"/>
      <c r="AHH149" s="188"/>
      <c r="AHI149" s="187"/>
      <c r="AHO149" s="188"/>
      <c r="AHP149" s="187"/>
      <c r="AHV149" s="188"/>
      <c r="AHW149" s="187"/>
      <c r="AIC149" s="188"/>
      <c r="AID149" s="187"/>
      <c r="AIG149" s="168"/>
      <c r="AIH149" s="189"/>
      <c r="AIJ149" s="188"/>
      <c r="AIK149" s="187"/>
      <c r="AIQ149" s="188"/>
      <c r="AIR149" s="187"/>
      <c r="AIX149" s="188"/>
      <c r="AIY149" s="187"/>
      <c r="AJE149" s="188"/>
      <c r="AJF149" s="187"/>
      <c r="AJL149" s="168"/>
      <c r="AJM149" s="189"/>
      <c r="AJS149" s="188"/>
      <c r="AJT149" s="187"/>
      <c r="AJZ149" s="188"/>
      <c r="AKA149" s="187"/>
      <c r="AKG149" s="188"/>
      <c r="AKH149" s="187"/>
      <c r="AKN149" s="188"/>
      <c r="AKO149" s="187"/>
      <c r="AKQ149" s="168"/>
      <c r="AKR149" s="189"/>
      <c r="AKU149" s="188"/>
      <c r="AKV149" s="187"/>
      <c r="ALB149" s="188"/>
      <c r="ALC149" s="187"/>
      <c r="ALI149" s="188"/>
      <c r="ALJ149" s="187"/>
      <c r="ALP149" s="188"/>
      <c r="ALQ149" s="187"/>
      <c r="ALU149" s="168"/>
      <c r="ALV149" s="189"/>
      <c r="ALW149" s="188"/>
      <c r="ALX149" s="187"/>
      <c r="AMD149" s="188"/>
      <c r="AME149" s="187"/>
      <c r="AMK149" s="188"/>
      <c r="AML149" s="187"/>
      <c r="AMR149" s="188"/>
      <c r="AMS149" s="187"/>
      <c r="AMY149" s="188"/>
      <c r="AMZ149" s="190"/>
      <c r="ANA149" s="189"/>
      <c r="ANF149" s="188"/>
      <c r="ANG149" s="187"/>
      <c r="ANM149" s="188"/>
      <c r="ANN149" s="187"/>
      <c r="ANT149" s="188"/>
      <c r="ANU149" s="187"/>
      <c r="AOA149" s="188"/>
      <c r="AOB149" s="187"/>
      <c r="AOD149" s="168"/>
      <c r="AOE149" s="189"/>
      <c r="AOH149" s="188"/>
      <c r="AOI149" s="187"/>
      <c r="AOO149" s="188"/>
      <c r="AOP149" s="187"/>
      <c r="AOV149" s="188"/>
      <c r="AOW149" s="187"/>
      <c r="APC149" s="188"/>
      <c r="APD149" s="187"/>
      <c r="API149" s="168"/>
      <c r="APJ149" s="191"/>
      <c r="APK149" s="187"/>
      <c r="APQ149" s="188"/>
      <c r="APR149" s="187"/>
      <c r="APX149" s="188"/>
      <c r="APY149" s="187"/>
      <c r="AQE149" s="188"/>
      <c r="AQF149" s="187"/>
      <c r="AQL149" s="188"/>
      <c r="AQM149" s="187"/>
      <c r="AQN149" s="168"/>
      <c r="AQO149" s="189"/>
      <c r="AQS149" s="188"/>
      <c r="AQT149" s="187"/>
      <c r="AQZ149" s="188"/>
      <c r="ARA149" s="187"/>
      <c r="ARG149" s="188"/>
      <c r="ARH149" s="187"/>
      <c r="ARN149" s="188"/>
      <c r="ARO149" s="187"/>
      <c r="ARP149" s="168"/>
      <c r="ARQ149" s="189"/>
      <c r="ARU149" s="188"/>
      <c r="ARV149" s="187"/>
      <c r="ASB149" s="188"/>
      <c r="ASC149" s="187"/>
      <c r="ASI149" s="188"/>
      <c r="ASJ149" s="187"/>
      <c r="ASP149" s="188"/>
      <c r="ASQ149" s="187"/>
      <c r="ASU149" s="168"/>
      <c r="ASV149" s="189"/>
      <c r="ASW149" s="188"/>
      <c r="ASX149" s="187"/>
      <c r="ATD149" s="188"/>
      <c r="ATE149" s="187"/>
      <c r="ATK149" s="188"/>
      <c r="ATL149" s="187"/>
      <c r="ATR149" s="188"/>
      <c r="ATS149" s="187"/>
      <c r="ATY149" s="168"/>
      <c r="ATZ149" s="189"/>
      <c r="AUF149" s="188"/>
      <c r="AUG149" s="187"/>
      <c r="AUM149" s="188"/>
      <c r="AUN149" s="187"/>
      <c r="AUT149" s="188"/>
      <c r="AUU149" s="187"/>
      <c r="AVA149" s="188"/>
      <c r="AVB149" s="187"/>
      <c r="AVD149" s="168"/>
      <c r="AVE149" s="189"/>
      <c r="AVH149" s="188"/>
      <c r="AVI149" s="187"/>
      <c r="AVO149" s="188"/>
      <c r="AVP149" s="187"/>
      <c r="AVV149" s="188"/>
      <c r="AVW149" s="187"/>
      <c r="AWC149" s="188"/>
      <c r="AWD149" s="187"/>
      <c r="AWH149" s="168"/>
      <c r="AWI149" s="189"/>
      <c r="AWJ149" s="188"/>
      <c r="AWK149" s="187"/>
      <c r="AWQ149" s="188"/>
      <c r="AWR149" s="187"/>
      <c r="AWX149" s="188"/>
      <c r="AWY149" s="187"/>
      <c r="AXE149" s="188"/>
      <c r="AXF149" s="187"/>
      <c r="AXL149" s="188"/>
      <c r="AXM149" s="190"/>
      <c r="AXN149" s="189"/>
      <c r="AXS149" s="188"/>
      <c r="AXT149" s="187"/>
      <c r="AXZ149" s="188"/>
      <c r="AYA149" s="187"/>
      <c r="AYG149" s="188"/>
      <c r="AYH149" s="187"/>
      <c r="AYN149" s="188"/>
      <c r="AYO149" s="187"/>
      <c r="AYR149" s="168"/>
      <c r="AYS149" s="189"/>
      <c r="AYU149" s="188"/>
      <c r="AYV149" s="187"/>
      <c r="AZB149" s="188"/>
      <c r="AZC149" s="187"/>
      <c r="AZI149" s="188"/>
      <c r="AZJ149" s="187"/>
      <c r="AZP149" s="188"/>
      <c r="AZQ149" s="187"/>
      <c r="AZV149" s="168"/>
      <c r="AZW149" s="191"/>
      <c r="AZX149" s="187"/>
      <c r="BAD149" s="188"/>
      <c r="BAE149" s="187"/>
      <c r="BAK149" s="188"/>
      <c r="BAL149" s="187"/>
      <c r="BAR149" s="188"/>
      <c r="BAS149" s="187"/>
      <c r="BAY149" s="188"/>
      <c r="BAZ149" s="187"/>
      <c r="BBA149" s="168"/>
      <c r="BBB149" s="189"/>
      <c r="BBF149" s="188"/>
      <c r="BBG149" s="187"/>
      <c r="BBM149" s="188"/>
      <c r="BBN149" s="187"/>
      <c r="BBT149" s="188"/>
      <c r="BBU149" s="187"/>
      <c r="BCA149" s="188"/>
      <c r="BCB149" s="187"/>
      <c r="BCE149" s="168"/>
      <c r="BCF149" s="189"/>
      <c r="BCH149" s="188"/>
      <c r="BCI149" s="187"/>
      <c r="BCO149" s="188"/>
      <c r="BCP149" s="187"/>
      <c r="BCV149" s="188"/>
      <c r="BCW149" s="187"/>
      <c r="BDC149" s="188"/>
      <c r="BDD149" s="187"/>
      <c r="BDJ149" s="168"/>
      <c r="BDK149" s="189"/>
      <c r="BDQ149" s="188"/>
      <c r="BDR149" s="187"/>
      <c r="BDX149" s="188"/>
      <c r="BDY149" s="187"/>
      <c r="BEE149" s="188"/>
      <c r="BEF149" s="187"/>
      <c r="BEL149" s="188"/>
      <c r="BEM149" s="187"/>
      <c r="BEO149" s="168"/>
      <c r="BEP149" s="189"/>
      <c r="BES149" s="188"/>
      <c r="BET149" s="187"/>
      <c r="BEZ149" s="188"/>
      <c r="BFA149" s="187"/>
      <c r="BFG149" s="188"/>
      <c r="BFH149" s="187"/>
      <c r="BFN149" s="188"/>
      <c r="BFO149" s="187"/>
      <c r="BFQ149" s="168"/>
      <c r="BFR149" s="189"/>
      <c r="BFU149" s="188"/>
      <c r="BFV149" s="187"/>
      <c r="BGB149" s="188"/>
      <c r="BGC149" s="187"/>
      <c r="BGI149" s="188"/>
      <c r="BGJ149" s="187"/>
      <c r="BGP149" s="188"/>
      <c r="BGQ149" s="187"/>
      <c r="BGV149" s="168"/>
      <c r="BGW149" s="191"/>
      <c r="BGX149" s="187"/>
      <c r="BHD149" s="188"/>
      <c r="BHE149" s="187"/>
      <c r="BHK149" s="188"/>
      <c r="BHL149" s="187"/>
      <c r="BHR149" s="188"/>
      <c r="BHS149" s="187"/>
      <c r="BHY149" s="188"/>
      <c r="BHZ149" s="190"/>
      <c r="BIA149" s="189"/>
      <c r="BIF149" s="188"/>
      <c r="BIG149" s="187"/>
      <c r="BIM149" s="188"/>
      <c r="BIN149" s="187"/>
      <c r="BIT149" s="188"/>
      <c r="BIU149" s="187"/>
      <c r="BJA149" s="188"/>
      <c r="BJB149" s="187"/>
      <c r="BJE149" s="168"/>
      <c r="BJF149" s="189"/>
      <c r="BJH149" s="188"/>
      <c r="BJI149" s="187"/>
      <c r="BJO149" s="188"/>
      <c r="BJP149" s="187"/>
      <c r="BJV149" s="188"/>
      <c r="BJW149" s="187"/>
      <c r="BKC149" s="188"/>
      <c r="BKD149" s="187"/>
      <c r="BKI149" s="168"/>
      <c r="BKJ149" s="191"/>
      <c r="BKK149" s="187"/>
      <c r="BKQ149" s="188"/>
      <c r="BKR149" s="187"/>
      <c r="BKX149" s="188"/>
      <c r="BKY149" s="187"/>
      <c r="BLE149" s="188"/>
      <c r="BLF149" s="187"/>
      <c r="BLL149" s="188"/>
      <c r="BLM149" s="187"/>
      <c r="BLN149" s="168"/>
      <c r="BLO149" s="189"/>
      <c r="BLS149" s="188"/>
      <c r="BLT149" s="187"/>
      <c r="BLZ149" s="188"/>
      <c r="BMA149" s="187"/>
      <c r="BMG149" s="188"/>
      <c r="BMH149" s="187"/>
      <c r="BMN149" s="188"/>
      <c r="BMO149" s="187"/>
      <c r="BMS149" s="168"/>
      <c r="BMT149" s="189"/>
      <c r="BMU149" s="188"/>
      <c r="BMV149" s="187"/>
      <c r="BNB149" s="188"/>
      <c r="BNC149" s="187"/>
      <c r="BNI149" s="188"/>
      <c r="BNJ149" s="187"/>
      <c r="BNP149" s="188"/>
      <c r="BNQ149" s="187"/>
      <c r="BNW149" s="168"/>
      <c r="BNX149" s="189"/>
      <c r="BOD149" s="188"/>
      <c r="BOE149" s="187"/>
      <c r="BOK149" s="188"/>
      <c r="BOL149" s="187"/>
      <c r="BOR149" s="188"/>
      <c r="BOS149" s="187"/>
      <c r="BOY149" s="188"/>
      <c r="BOZ149" s="187"/>
      <c r="BPB149" s="168"/>
      <c r="BPC149" s="189"/>
      <c r="BPF149" s="188"/>
      <c r="BPG149" s="187"/>
      <c r="BPM149" s="188"/>
      <c r="BPN149" s="187"/>
      <c r="BPT149" s="188"/>
      <c r="BPU149" s="187"/>
      <c r="BQA149" s="188"/>
      <c r="BQB149" s="187"/>
      <c r="BQF149" s="168"/>
      <c r="BQG149" s="189"/>
      <c r="BQH149" s="188"/>
      <c r="BQI149" s="187"/>
      <c r="BQO149" s="188"/>
      <c r="BQP149" s="187"/>
      <c r="BQV149" s="188"/>
      <c r="BQW149" s="187"/>
      <c r="BRC149" s="188"/>
      <c r="BRD149" s="187"/>
      <c r="BRJ149" s="188"/>
      <c r="BRK149" s="190"/>
      <c r="BRL149" s="189"/>
      <c r="BRQ149" s="188"/>
      <c r="BRR149" s="187"/>
      <c r="BRX149" s="188"/>
      <c r="BRY149" s="187"/>
      <c r="BSE149" s="188"/>
      <c r="BSF149" s="187"/>
      <c r="BSL149" s="188"/>
      <c r="BSM149" s="187"/>
      <c r="BSP149" s="168"/>
      <c r="BSQ149" s="189"/>
      <c r="BSS149" s="188"/>
      <c r="BST149" s="187"/>
      <c r="BSZ149" s="188"/>
      <c r="BTA149" s="187"/>
      <c r="BTG149" s="188"/>
      <c r="BTH149" s="187"/>
      <c r="BTN149" s="188"/>
      <c r="BTO149" s="187"/>
      <c r="BTS149" s="168"/>
      <c r="BTT149" s="189"/>
      <c r="BTU149" s="188"/>
      <c r="BTV149" s="187"/>
      <c r="BUB149" s="188"/>
      <c r="BUC149" s="187"/>
      <c r="BUI149" s="188"/>
      <c r="BUJ149" s="187"/>
      <c r="BUP149" s="188"/>
      <c r="BUQ149" s="187"/>
      <c r="BUW149" s="188"/>
      <c r="BUX149" s="190"/>
      <c r="BUY149" s="189"/>
      <c r="BVD149" s="188"/>
      <c r="BVE149" s="187"/>
      <c r="BVK149" s="188"/>
      <c r="BVL149" s="187"/>
      <c r="BVR149" s="188"/>
      <c r="BVS149" s="187"/>
      <c r="BVY149" s="188"/>
      <c r="BVZ149" s="187"/>
      <c r="BWB149" s="168"/>
      <c r="BWC149" s="189"/>
      <c r="BWF149" s="188"/>
      <c r="BWG149" s="187"/>
      <c r="BWM149" s="188"/>
      <c r="BWN149" s="187"/>
      <c r="BWT149" s="188"/>
      <c r="BWU149" s="187"/>
      <c r="BXA149" s="188"/>
      <c r="BXB149" s="187"/>
      <c r="BXG149" s="168"/>
      <c r="BXH149" s="191"/>
      <c r="BXI149" s="187"/>
      <c r="BXO149" s="188"/>
      <c r="BXP149" s="187"/>
      <c r="BXV149" s="188"/>
      <c r="BXW149" s="187"/>
      <c r="BYC149" s="188"/>
      <c r="BYD149" s="187"/>
      <c r="BYJ149" s="188"/>
      <c r="BYK149" s="190"/>
      <c r="BYL149" s="189"/>
      <c r="BYQ149" s="188"/>
      <c r="BYR149" s="187"/>
      <c r="BYX149" s="188"/>
      <c r="BYY149" s="187"/>
      <c r="BZE149" s="188"/>
      <c r="BZF149" s="187"/>
      <c r="BZL149" s="188"/>
      <c r="BZM149" s="187"/>
      <c r="BZP149" s="168"/>
      <c r="BZQ149" s="189"/>
      <c r="BZS149" s="188"/>
      <c r="BZT149" s="187"/>
      <c r="BZZ149" s="188"/>
      <c r="CAA149" s="187"/>
      <c r="CAG149" s="188"/>
      <c r="CAH149" s="187"/>
      <c r="CAN149" s="188"/>
      <c r="CAO149" s="187"/>
      <c r="CAU149" s="168"/>
      <c r="CAV149" s="189"/>
      <c r="CBB149" s="188"/>
      <c r="CBC149" s="187"/>
      <c r="CBI149" s="188"/>
      <c r="CBJ149" s="187"/>
      <c r="CBP149" s="188"/>
      <c r="CBQ149" s="187"/>
      <c r="CBW149" s="188"/>
      <c r="CBX149" s="187"/>
      <c r="CBY149" s="168"/>
      <c r="CBZ149" s="189"/>
      <c r="CCD149" s="188"/>
      <c r="CCE149" s="187"/>
      <c r="CCK149" s="188"/>
      <c r="CCL149" s="187"/>
      <c r="CCR149" s="188"/>
      <c r="CCS149" s="187"/>
      <c r="CCY149" s="188"/>
      <c r="CCZ149" s="187"/>
      <c r="CDD149" s="168"/>
      <c r="CDE149" s="189"/>
      <c r="CDF149" s="188"/>
      <c r="CDG149" s="187"/>
      <c r="CDM149" s="188"/>
      <c r="CDN149" s="187"/>
      <c r="CDT149" s="188"/>
      <c r="CDU149" s="187"/>
      <c r="CEA149" s="188"/>
      <c r="CEB149" s="187"/>
      <c r="CEH149" s="168"/>
      <c r="CEI149" s="189"/>
      <c r="CEO149" s="188"/>
      <c r="CEP149" s="187"/>
      <c r="CEV149" s="188"/>
      <c r="CEW149" s="187"/>
      <c r="CFC149" s="188"/>
      <c r="CFD149" s="187"/>
      <c r="CFJ149" s="188"/>
      <c r="CFK149" s="187"/>
    </row>
    <row r="150" spans="4:1019 1025:2048 2054:2195">
      <c r="D150" s="186"/>
      <c r="E150" s="186"/>
      <c r="K150" s="187"/>
      <c r="Q150" s="188"/>
      <c r="R150" s="187"/>
      <c r="X150" s="188"/>
      <c r="Y150" s="187"/>
      <c r="AE150" s="188"/>
      <c r="AF150" s="187"/>
      <c r="AJ150" s="168"/>
      <c r="AK150" s="189"/>
      <c r="AL150" s="188"/>
      <c r="AM150" s="187"/>
      <c r="AS150" s="188"/>
      <c r="AT150" s="187"/>
      <c r="AZ150" s="188"/>
      <c r="BA150" s="187"/>
      <c r="BG150" s="188"/>
      <c r="BH150" s="187"/>
      <c r="BL150" s="168"/>
      <c r="BM150" s="189"/>
      <c r="BN150" s="188"/>
      <c r="BO150" s="187"/>
      <c r="BU150" s="188"/>
      <c r="BV150" s="187"/>
      <c r="CB150" s="188"/>
      <c r="CC150" s="187"/>
      <c r="CI150" s="188"/>
      <c r="CJ150" s="187"/>
      <c r="CP150" s="188"/>
      <c r="CQ150" s="190"/>
      <c r="CR150" s="189"/>
      <c r="CW150" s="188"/>
      <c r="CX150" s="187"/>
      <c r="DD150" s="188"/>
      <c r="DE150" s="187"/>
      <c r="DK150" s="188"/>
      <c r="DL150" s="187"/>
      <c r="DR150" s="188"/>
      <c r="DS150" s="187"/>
      <c r="DU150" s="168"/>
      <c r="DV150" s="189"/>
      <c r="DY150" s="188"/>
      <c r="DZ150" s="187"/>
      <c r="EF150" s="188"/>
      <c r="EG150" s="187"/>
      <c r="EM150" s="188"/>
      <c r="EN150" s="187"/>
      <c r="ET150" s="188"/>
      <c r="EU150" s="187"/>
      <c r="EZ150" s="168"/>
      <c r="FA150" s="191"/>
      <c r="FB150" s="187"/>
      <c r="FH150" s="188"/>
      <c r="FI150" s="187"/>
      <c r="FO150" s="188"/>
      <c r="FP150" s="187"/>
      <c r="FV150" s="188"/>
      <c r="FW150" s="187"/>
      <c r="GC150" s="188"/>
      <c r="GD150" s="190"/>
      <c r="GE150" s="189"/>
      <c r="GJ150" s="188"/>
      <c r="GK150" s="187"/>
      <c r="GQ150" s="188"/>
      <c r="GR150" s="187"/>
      <c r="GX150" s="188"/>
      <c r="GY150" s="187"/>
      <c r="HE150" s="188"/>
      <c r="HF150" s="187"/>
      <c r="HI150" s="168"/>
      <c r="HJ150" s="189"/>
      <c r="HL150" s="188"/>
      <c r="HM150" s="187"/>
      <c r="HS150" s="188"/>
      <c r="HT150" s="187"/>
      <c r="HZ150" s="188"/>
      <c r="IA150" s="187"/>
      <c r="IG150" s="188"/>
      <c r="IH150" s="187"/>
      <c r="IN150" s="168"/>
      <c r="IO150" s="189"/>
      <c r="IU150" s="188"/>
      <c r="IV150" s="187"/>
      <c r="JB150" s="188"/>
      <c r="JC150" s="187"/>
      <c r="JI150" s="188"/>
      <c r="JJ150" s="187"/>
      <c r="JP150" s="188"/>
      <c r="JQ150" s="187"/>
      <c r="JR150" s="168"/>
      <c r="JS150" s="189"/>
      <c r="JW150" s="188"/>
      <c r="JX150" s="187"/>
      <c r="KD150" s="188"/>
      <c r="KE150" s="187"/>
      <c r="KK150" s="188"/>
      <c r="KL150" s="187"/>
      <c r="KR150" s="188"/>
      <c r="KS150" s="187"/>
      <c r="KW150" s="168"/>
      <c r="KX150" s="189"/>
      <c r="KY150" s="188"/>
      <c r="KZ150" s="187"/>
      <c r="LF150" s="188"/>
      <c r="LG150" s="187"/>
      <c r="LM150" s="188"/>
      <c r="LN150" s="187"/>
      <c r="LT150" s="188"/>
      <c r="LU150" s="187"/>
      <c r="MA150" s="168"/>
      <c r="MB150" s="189"/>
      <c r="MH150" s="188"/>
      <c r="MI150" s="187"/>
      <c r="MO150" s="188"/>
      <c r="MP150" s="187"/>
      <c r="MV150" s="188"/>
      <c r="MW150" s="187"/>
      <c r="NC150" s="188"/>
      <c r="ND150" s="187"/>
      <c r="NF150" s="168"/>
      <c r="NG150" s="189"/>
      <c r="NJ150" s="188"/>
      <c r="NK150" s="187"/>
      <c r="NQ150" s="188"/>
      <c r="NR150" s="187"/>
      <c r="NX150" s="188"/>
      <c r="NY150" s="187"/>
      <c r="OE150" s="188"/>
      <c r="OF150" s="187"/>
      <c r="OK150" s="168"/>
      <c r="OL150" s="191"/>
      <c r="OM150" s="187"/>
      <c r="OS150" s="188"/>
      <c r="OT150" s="187"/>
      <c r="OZ150" s="188"/>
      <c r="PA150" s="187"/>
      <c r="PG150" s="188"/>
      <c r="PH150" s="187"/>
      <c r="PN150" s="168"/>
      <c r="PO150" s="189"/>
      <c r="PU150" s="188"/>
      <c r="PV150" s="187"/>
      <c r="QB150" s="188"/>
      <c r="QC150" s="187"/>
      <c r="QI150" s="188"/>
      <c r="QJ150" s="187"/>
      <c r="QP150" s="188"/>
      <c r="QQ150" s="187"/>
      <c r="QS150" s="168"/>
      <c r="QT150" s="189"/>
      <c r="QW150" s="188"/>
      <c r="QX150" s="187"/>
      <c r="RD150" s="188"/>
      <c r="RE150" s="187"/>
      <c r="RK150" s="188"/>
      <c r="RL150" s="187"/>
      <c r="RR150" s="188"/>
      <c r="RS150" s="187"/>
      <c r="RW150" s="168"/>
      <c r="RX150" s="189"/>
      <c r="RY150" s="188"/>
      <c r="RZ150" s="187"/>
      <c r="SF150" s="188"/>
      <c r="SG150" s="187"/>
      <c r="SM150" s="188"/>
      <c r="SN150" s="187"/>
      <c r="ST150" s="188"/>
      <c r="SU150" s="187"/>
      <c r="TA150" s="188"/>
      <c r="TB150" s="190"/>
      <c r="TC150" s="189"/>
      <c r="TH150" s="188"/>
      <c r="TI150" s="187"/>
      <c r="TO150" s="188"/>
      <c r="TP150" s="187"/>
      <c r="TV150" s="188"/>
      <c r="TW150" s="187"/>
      <c r="UC150" s="188"/>
      <c r="UD150" s="187"/>
      <c r="UF150" s="168"/>
      <c r="UG150" s="189"/>
      <c r="UJ150" s="188"/>
      <c r="UK150" s="187"/>
      <c r="UQ150" s="188"/>
      <c r="UR150" s="187"/>
      <c r="UX150" s="188"/>
      <c r="UY150" s="187"/>
      <c r="VE150" s="188"/>
      <c r="VF150" s="187"/>
      <c r="VK150" s="168"/>
      <c r="VL150" s="191"/>
      <c r="VM150" s="187"/>
      <c r="VS150" s="188"/>
      <c r="VT150" s="187"/>
      <c r="VZ150" s="188"/>
      <c r="WA150" s="187"/>
      <c r="WG150" s="188"/>
      <c r="WH150" s="187"/>
      <c r="WN150" s="188"/>
      <c r="WO150" s="187"/>
      <c r="WP150" s="168"/>
      <c r="WQ150" s="189"/>
      <c r="WU150" s="188"/>
      <c r="WV150" s="187"/>
      <c r="XB150" s="188"/>
      <c r="XC150" s="187"/>
      <c r="XI150" s="188"/>
      <c r="XJ150" s="187"/>
      <c r="XP150" s="188"/>
      <c r="XQ150" s="187"/>
      <c r="XT150" s="168"/>
      <c r="XU150" s="189"/>
      <c r="XW150" s="188"/>
      <c r="XX150" s="187"/>
      <c r="YD150" s="188"/>
      <c r="YE150" s="187"/>
      <c r="YK150" s="188"/>
      <c r="YL150" s="187"/>
      <c r="YR150" s="188"/>
      <c r="YS150" s="187"/>
      <c r="YY150" s="168"/>
      <c r="YZ150" s="189"/>
      <c r="ZF150" s="188"/>
      <c r="ZG150" s="187"/>
      <c r="ZM150" s="188"/>
      <c r="ZN150" s="187"/>
      <c r="ZT150" s="188"/>
      <c r="ZU150" s="187"/>
      <c r="AAA150" s="188"/>
      <c r="AAB150" s="187"/>
      <c r="AAC150" s="168"/>
      <c r="AAD150" s="189"/>
      <c r="AAH150" s="188"/>
      <c r="AAI150" s="187"/>
      <c r="AAO150" s="188"/>
      <c r="AAP150" s="187"/>
      <c r="AAV150" s="188"/>
      <c r="AAW150" s="187"/>
      <c r="ABC150" s="188"/>
      <c r="ABD150" s="187"/>
      <c r="ABH150" s="168"/>
      <c r="ABI150" s="189"/>
      <c r="ABJ150" s="188"/>
      <c r="ABK150" s="187"/>
      <c r="ABQ150" s="188"/>
      <c r="ABR150" s="187"/>
      <c r="ABX150" s="188"/>
      <c r="ABY150" s="187"/>
      <c r="ACE150" s="188"/>
      <c r="ACF150" s="187"/>
      <c r="ACL150" s="188"/>
      <c r="ACM150" s="190"/>
      <c r="ACN150" s="189"/>
      <c r="ACS150" s="188"/>
      <c r="ACT150" s="187"/>
      <c r="ACZ150" s="188"/>
      <c r="ADA150" s="187"/>
      <c r="ADG150" s="188"/>
      <c r="ADH150" s="187"/>
      <c r="ADN150" s="188"/>
      <c r="ADO150" s="190"/>
      <c r="ADP150" s="189"/>
      <c r="ADU150" s="188"/>
      <c r="ADV150" s="187"/>
      <c r="AEB150" s="188"/>
      <c r="AEC150" s="187"/>
      <c r="AEI150" s="188"/>
      <c r="AEJ150" s="187"/>
      <c r="AEP150" s="188"/>
      <c r="AEQ150" s="187"/>
      <c r="AET150" s="168"/>
      <c r="AEU150" s="189"/>
      <c r="AEW150" s="188"/>
      <c r="AEX150" s="187"/>
      <c r="AFD150" s="188"/>
      <c r="AFE150" s="187"/>
      <c r="AFK150" s="188"/>
      <c r="AFL150" s="187"/>
      <c r="AFR150" s="188"/>
      <c r="AFS150" s="187"/>
      <c r="AFX150" s="168"/>
      <c r="AFY150" s="191"/>
      <c r="AFZ150" s="187"/>
      <c r="AGF150" s="188"/>
      <c r="AGG150" s="187"/>
      <c r="AGM150" s="188"/>
      <c r="AGN150" s="187"/>
      <c r="AGT150" s="188"/>
      <c r="AGU150" s="187"/>
      <c r="AHA150" s="188"/>
      <c r="AHB150" s="187"/>
      <c r="AHC150" s="168"/>
      <c r="AHD150" s="189"/>
      <c r="AHH150" s="188"/>
      <c r="AHI150" s="187"/>
      <c r="AHO150" s="188"/>
      <c r="AHP150" s="187"/>
      <c r="AHV150" s="188"/>
      <c r="AHW150" s="187"/>
      <c r="AIC150" s="188"/>
      <c r="AID150" s="187"/>
      <c r="AIG150" s="168"/>
      <c r="AIH150" s="189"/>
      <c r="AIJ150" s="188"/>
      <c r="AIK150" s="187"/>
      <c r="AIQ150" s="188"/>
      <c r="AIR150" s="187"/>
      <c r="AIX150" s="188"/>
      <c r="AIY150" s="187"/>
      <c r="AJE150" s="188"/>
      <c r="AJF150" s="187"/>
      <c r="AJL150" s="168"/>
      <c r="AJM150" s="189"/>
      <c r="AJS150" s="188"/>
      <c r="AJT150" s="187"/>
      <c r="AJZ150" s="188"/>
      <c r="AKA150" s="187"/>
      <c r="AKG150" s="188"/>
      <c r="AKH150" s="187"/>
      <c r="AKN150" s="188"/>
      <c r="AKO150" s="187"/>
      <c r="AKQ150" s="168"/>
      <c r="AKR150" s="189"/>
      <c r="AKU150" s="188"/>
      <c r="AKV150" s="187"/>
      <c r="ALB150" s="188"/>
      <c r="ALC150" s="187"/>
      <c r="ALI150" s="188"/>
      <c r="ALJ150" s="187"/>
      <c r="ALP150" s="188"/>
      <c r="ALQ150" s="187"/>
      <c r="ALU150" s="168"/>
      <c r="ALV150" s="189"/>
      <c r="ALW150" s="188"/>
      <c r="ALX150" s="187"/>
      <c r="AMD150" s="188"/>
      <c r="AME150" s="187"/>
      <c r="AMK150" s="188"/>
      <c r="AML150" s="187"/>
      <c r="AMR150" s="188"/>
      <c r="AMS150" s="187"/>
      <c r="AMY150" s="188"/>
      <c r="AMZ150" s="190"/>
      <c r="ANA150" s="189"/>
      <c r="ANF150" s="188"/>
      <c r="ANG150" s="187"/>
      <c r="ANM150" s="188"/>
      <c r="ANN150" s="187"/>
      <c r="ANT150" s="188"/>
      <c r="ANU150" s="187"/>
      <c r="AOA150" s="188"/>
      <c r="AOB150" s="187"/>
      <c r="AOD150" s="168"/>
      <c r="AOE150" s="189"/>
      <c r="AOH150" s="188"/>
      <c r="AOI150" s="187"/>
      <c r="AOO150" s="188"/>
      <c r="AOP150" s="187"/>
      <c r="AOV150" s="188"/>
      <c r="AOW150" s="187"/>
      <c r="APC150" s="188"/>
      <c r="APD150" s="187"/>
      <c r="API150" s="168"/>
      <c r="APJ150" s="191"/>
      <c r="APK150" s="187"/>
      <c r="APQ150" s="188"/>
      <c r="APR150" s="187"/>
      <c r="APX150" s="188"/>
      <c r="APY150" s="187"/>
      <c r="AQE150" s="188"/>
      <c r="AQF150" s="187"/>
      <c r="AQL150" s="188"/>
      <c r="AQM150" s="187"/>
      <c r="AQN150" s="168"/>
      <c r="AQO150" s="189"/>
      <c r="AQS150" s="188"/>
      <c r="AQT150" s="187"/>
      <c r="AQZ150" s="188"/>
      <c r="ARA150" s="187"/>
      <c r="ARG150" s="188"/>
      <c r="ARH150" s="187"/>
      <c r="ARN150" s="188"/>
      <c r="ARO150" s="187"/>
      <c r="ARP150" s="168"/>
      <c r="ARQ150" s="189"/>
      <c r="ARU150" s="188"/>
      <c r="ARV150" s="187"/>
      <c r="ASB150" s="188"/>
      <c r="ASC150" s="187"/>
      <c r="ASI150" s="188"/>
      <c r="ASJ150" s="187"/>
      <c r="ASP150" s="188"/>
      <c r="ASQ150" s="187"/>
      <c r="ASU150" s="168"/>
      <c r="ASV150" s="189"/>
      <c r="ASW150" s="188"/>
      <c r="ASX150" s="187"/>
      <c r="ATD150" s="188"/>
      <c r="ATE150" s="187"/>
      <c r="ATK150" s="188"/>
      <c r="ATL150" s="187"/>
      <c r="ATR150" s="188"/>
      <c r="ATS150" s="187"/>
      <c r="ATY150" s="168"/>
      <c r="ATZ150" s="189"/>
      <c r="AUF150" s="188"/>
      <c r="AUG150" s="187"/>
      <c r="AUM150" s="188"/>
      <c r="AUN150" s="187"/>
      <c r="AUT150" s="188"/>
      <c r="AUU150" s="187"/>
      <c r="AVA150" s="188"/>
      <c r="AVB150" s="187"/>
      <c r="AVD150" s="168"/>
      <c r="AVE150" s="189"/>
      <c r="AVH150" s="188"/>
      <c r="AVI150" s="187"/>
      <c r="AVO150" s="188"/>
      <c r="AVP150" s="187"/>
      <c r="AVV150" s="188"/>
      <c r="AVW150" s="187"/>
      <c r="AWC150" s="188"/>
      <c r="AWD150" s="187"/>
      <c r="AWH150" s="168"/>
      <c r="AWI150" s="189"/>
      <c r="AWJ150" s="188"/>
      <c r="AWK150" s="187"/>
      <c r="AWQ150" s="188"/>
      <c r="AWR150" s="187"/>
      <c r="AWX150" s="188"/>
      <c r="AWY150" s="187"/>
      <c r="AXE150" s="188"/>
      <c r="AXF150" s="187"/>
      <c r="AXL150" s="188"/>
      <c r="AXM150" s="190"/>
      <c r="AXN150" s="189"/>
      <c r="AXS150" s="188"/>
      <c r="AXT150" s="187"/>
      <c r="AXZ150" s="188"/>
      <c r="AYA150" s="187"/>
      <c r="AYG150" s="188"/>
      <c r="AYH150" s="187"/>
      <c r="AYN150" s="188"/>
      <c r="AYO150" s="187"/>
      <c r="AYR150" s="168"/>
      <c r="AYS150" s="189"/>
      <c r="AYU150" s="188"/>
      <c r="AYV150" s="187"/>
      <c r="AZB150" s="188"/>
      <c r="AZC150" s="187"/>
      <c r="AZI150" s="188"/>
      <c r="AZJ150" s="187"/>
      <c r="AZP150" s="188"/>
      <c r="AZQ150" s="187"/>
      <c r="AZV150" s="168"/>
      <c r="AZW150" s="191"/>
      <c r="AZX150" s="187"/>
      <c r="BAD150" s="188"/>
      <c r="BAE150" s="187"/>
      <c r="BAK150" s="188"/>
      <c r="BAL150" s="187"/>
      <c r="BAR150" s="188"/>
      <c r="BAS150" s="187"/>
      <c r="BAY150" s="188"/>
      <c r="BAZ150" s="187"/>
      <c r="BBA150" s="168"/>
      <c r="BBB150" s="189"/>
      <c r="BBF150" s="188"/>
      <c r="BBG150" s="187"/>
      <c r="BBM150" s="188"/>
      <c r="BBN150" s="187"/>
      <c r="BBT150" s="188"/>
      <c r="BBU150" s="187"/>
      <c r="BCA150" s="188"/>
      <c r="BCB150" s="187"/>
      <c r="BCE150" s="168"/>
      <c r="BCF150" s="189"/>
      <c r="BCH150" s="188"/>
      <c r="BCI150" s="187"/>
      <c r="BCO150" s="188"/>
      <c r="BCP150" s="187"/>
      <c r="BCV150" s="188"/>
      <c r="BCW150" s="187"/>
      <c r="BDC150" s="188"/>
      <c r="BDD150" s="187"/>
      <c r="BDJ150" s="168"/>
      <c r="BDK150" s="189"/>
      <c r="BDQ150" s="188"/>
      <c r="BDR150" s="187"/>
      <c r="BDX150" s="188"/>
      <c r="BDY150" s="187"/>
      <c r="BEE150" s="188"/>
      <c r="BEF150" s="187"/>
      <c r="BEL150" s="188"/>
      <c r="BEM150" s="187"/>
      <c r="BEO150" s="168"/>
      <c r="BEP150" s="189"/>
      <c r="BES150" s="188"/>
      <c r="BET150" s="187"/>
      <c r="BEZ150" s="188"/>
      <c r="BFA150" s="187"/>
      <c r="BFG150" s="188"/>
      <c r="BFH150" s="187"/>
      <c r="BFN150" s="188"/>
      <c r="BFO150" s="187"/>
      <c r="BFQ150" s="168"/>
      <c r="BFR150" s="189"/>
      <c r="BFU150" s="188"/>
      <c r="BFV150" s="187"/>
      <c r="BGB150" s="188"/>
      <c r="BGC150" s="187"/>
      <c r="BGI150" s="188"/>
      <c r="BGJ150" s="187"/>
      <c r="BGP150" s="188"/>
      <c r="BGQ150" s="187"/>
      <c r="BGV150" s="168"/>
      <c r="BGW150" s="191"/>
      <c r="BGX150" s="187"/>
      <c r="BHD150" s="188"/>
      <c r="BHE150" s="187"/>
      <c r="BHK150" s="188"/>
      <c r="BHL150" s="187"/>
      <c r="BHR150" s="188"/>
      <c r="BHS150" s="187"/>
      <c r="BHY150" s="188"/>
      <c r="BHZ150" s="190"/>
      <c r="BIA150" s="189"/>
      <c r="BIF150" s="188"/>
      <c r="BIG150" s="187"/>
      <c r="BIM150" s="188"/>
      <c r="BIN150" s="187"/>
      <c r="BIT150" s="188"/>
      <c r="BIU150" s="187"/>
      <c r="BJA150" s="188"/>
      <c r="BJB150" s="187"/>
      <c r="BJE150" s="168"/>
      <c r="BJF150" s="189"/>
      <c r="BJH150" s="188"/>
      <c r="BJI150" s="187"/>
      <c r="BJO150" s="188"/>
      <c r="BJP150" s="187"/>
      <c r="BJV150" s="188"/>
      <c r="BJW150" s="187"/>
      <c r="BKC150" s="188"/>
      <c r="BKD150" s="187"/>
      <c r="BKI150" s="168"/>
      <c r="BKJ150" s="191"/>
      <c r="BKK150" s="187"/>
      <c r="BKQ150" s="188"/>
      <c r="BKR150" s="187"/>
      <c r="BKX150" s="188"/>
      <c r="BKY150" s="187"/>
      <c r="BLE150" s="188"/>
      <c r="BLF150" s="187"/>
      <c r="BLL150" s="188"/>
      <c r="BLM150" s="187"/>
      <c r="BLN150" s="168"/>
      <c r="BLO150" s="189"/>
      <c r="BLS150" s="188"/>
      <c r="BLT150" s="187"/>
      <c r="BLZ150" s="188"/>
      <c r="BMA150" s="187"/>
      <c r="BMG150" s="188"/>
      <c r="BMH150" s="187"/>
      <c r="BMN150" s="188"/>
      <c r="BMO150" s="187"/>
      <c r="BMS150" s="168"/>
      <c r="BMT150" s="189"/>
      <c r="BMU150" s="188"/>
      <c r="BMV150" s="187"/>
      <c r="BNB150" s="188"/>
      <c r="BNC150" s="187"/>
      <c r="BNI150" s="188"/>
      <c r="BNJ150" s="187"/>
      <c r="BNP150" s="188"/>
      <c r="BNQ150" s="187"/>
      <c r="BNW150" s="168"/>
      <c r="BNX150" s="189"/>
      <c r="BOD150" s="188"/>
      <c r="BOE150" s="187"/>
      <c r="BOK150" s="188"/>
      <c r="BOL150" s="187"/>
      <c r="BOR150" s="188"/>
      <c r="BOS150" s="187"/>
      <c r="BOY150" s="188"/>
      <c r="BOZ150" s="187"/>
      <c r="BPB150" s="168"/>
      <c r="BPC150" s="189"/>
      <c r="BPF150" s="188"/>
      <c r="BPG150" s="187"/>
      <c r="BPM150" s="188"/>
      <c r="BPN150" s="187"/>
      <c r="BPT150" s="188"/>
      <c r="BPU150" s="187"/>
      <c r="BQA150" s="188"/>
      <c r="BQB150" s="187"/>
      <c r="BQF150" s="168"/>
      <c r="BQG150" s="189"/>
      <c r="BQH150" s="188"/>
      <c r="BQI150" s="187"/>
      <c r="BQO150" s="188"/>
      <c r="BQP150" s="187"/>
      <c r="BQV150" s="188"/>
      <c r="BQW150" s="187"/>
      <c r="BRC150" s="188"/>
      <c r="BRD150" s="187"/>
      <c r="BRJ150" s="188"/>
      <c r="BRK150" s="190"/>
      <c r="BRL150" s="189"/>
      <c r="BRQ150" s="188"/>
      <c r="BRR150" s="187"/>
      <c r="BRX150" s="188"/>
      <c r="BRY150" s="187"/>
      <c r="BSE150" s="188"/>
      <c r="BSF150" s="187"/>
      <c r="BSL150" s="188"/>
      <c r="BSM150" s="187"/>
      <c r="BSP150" s="168"/>
      <c r="BSQ150" s="189"/>
      <c r="BSS150" s="188"/>
      <c r="BST150" s="187"/>
      <c r="BSZ150" s="188"/>
      <c r="BTA150" s="187"/>
      <c r="BTG150" s="188"/>
      <c r="BTH150" s="187"/>
      <c r="BTN150" s="188"/>
      <c r="BTO150" s="187"/>
      <c r="BTS150" s="168"/>
      <c r="BTT150" s="189"/>
      <c r="BTU150" s="188"/>
      <c r="BTV150" s="187"/>
      <c r="BUB150" s="188"/>
      <c r="BUC150" s="187"/>
      <c r="BUI150" s="188"/>
      <c r="BUJ150" s="187"/>
      <c r="BUP150" s="188"/>
      <c r="BUQ150" s="187"/>
      <c r="BUW150" s="188"/>
      <c r="BUX150" s="190"/>
      <c r="BUY150" s="189"/>
      <c r="BVD150" s="188"/>
      <c r="BVE150" s="187"/>
      <c r="BVK150" s="188"/>
      <c r="BVL150" s="187"/>
      <c r="BVR150" s="188"/>
      <c r="BVS150" s="187"/>
      <c r="BVY150" s="188"/>
      <c r="BVZ150" s="187"/>
      <c r="BWB150" s="168"/>
      <c r="BWC150" s="189"/>
      <c r="BWF150" s="188"/>
      <c r="BWG150" s="187"/>
      <c r="BWM150" s="188"/>
      <c r="BWN150" s="187"/>
      <c r="BWT150" s="188"/>
      <c r="BWU150" s="187"/>
      <c r="BXA150" s="188"/>
      <c r="BXB150" s="187"/>
      <c r="BXG150" s="168"/>
      <c r="BXH150" s="191"/>
      <c r="BXI150" s="187"/>
      <c r="BXO150" s="188"/>
      <c r="BXP150" s="187"/>
      <c r="BXV150" s="188"/>
      <c r="BXW150" s="187"/>
      <c r="BYC150" s="188"/>
      <c r="BYD150" s="187"/>
      <c r="BYJ150" s="188"/>
      <c r="BYK150" s="190"/>
      <c r="BYL150" s="189"/>
      <c r="BYQ150" s="188"/>
      <c r="BYR150" s="187"/>
      <c r="BYX150" s="188"/>
      <c r="BYY150" s="187"/>
      <c r="BZE150" s="188"/>
      <c r="BZF150" s="187"/>
      <c r="BZL150" s="188"/>
      <c r="BZM150" s="187"/>
      <c r="BZP150" s="168"/>
      <c r="BZQ150" s="189"/>
      <c r="BZS150" s="188"/>
      <c r="BZT150" s="187"/>
      <c r="BZZ150" s="188"/>
      <c r="CAA150" s="187"/>
      <c r="CAG150" s="188"/>
      <c r="CAH150" s="187"/>
      <c r="CAN150" s="188"/>
      <c r="CAO150" s="187"/>
      <c r="CAU150" s="168"/>
      <c r="CAV150" s="189"/>
      <c r="CBB150" s="188"/>
      <c r="CBC150" s="187"/>
      <c r="CBI150" s="188"/>
      <c r="CBJ150" s="187"/>
      <c r="CBP150" s="188"/>
      <c r="CBQ150" s="187"/>
      <c r="CBW150" s="188"/>
      <c r="CBX150" s="187"/>
      <c r="CBY150" s="168"/>
      <c r="CBZ150" s="189"/>
      <c r="CCD150" s="188"/>
      <c r="CCE150" s="187"/>
      <c r="CCK150" s="188"/>
      <c r="CCL150" s="187"/>
      <c r="CCR150" s="188"/>
      <c r="CCS150" s="187"/>
      <c r="CCY150" s="188"/>
      <c r="CCZ150" s="187"/>
      <c r="CDD150" s="168"/>
      <c r="CDE150" s="189"/>
      <c r="CDF150" s="188"/>
      <c r="CDG150" s="187"/>
      <c r="CDM150" s="188"/>
      <c r="CDN150" s="187"/>
      <c r="CDT150" s="188"/>
      <c r="CDU150" s="187"/>
      <c r="CEA150" s="188"/>
      <c r="CEB150" s="187"/>
      <c r="CEH150" s="168"/>
      <c r="CEI150" s="189"/>
      <c r="CEO150" s="188"/>
      <c r="CEP150" s="187"/>
      <c r="CEV150" s="188"/>
      <c r="CEW150" s="187"/>
      <c r="CFC150" s="188"/>
      <c r="CFD150" s="187"/>
      <c r="CFJ150" s="188"/>
      <c r="CFK150" s="187"/>
    </row>
    <row r="151" spans="4:1019 1025:2048 2054:2195">
      <c r="D151" s="186"/>
      <c r="E151" s="186"/>
      <c r="K151" s="187"/>
      <c r="Q151" s="188"/>
      <c r="R151" s="187"/>
      <c r="X151" s="188"/>
      <c r="Y151" s="187"/>
      <c r="AE151" s="188"/>
      <c r="AF151" s="187"/>
      <c r="AJ151" s="168"/>
      <c r="AK151" s="189"/>
      <c r="AL151" s="188"/>
      <c r="AM151" s="187"/>
      <c r="AS151" s="188"/>
      <c r="AT151" s="187"/>
      <c r="AZ151" s="188"/>
      <c r="BA151" s="187"/>
      <c r="BG151" s="188"/>
      <c r="BH151" s="187"/>
      <c r="BL151" s="168"/>
      <c r="BM151" s="189"/>
      <c r="BN151" s="188"/>
      <c r="BO151" s="187"/>
      <c r="BU151" s="188"/>
      <c r="BV151" s="187"/>
      <c r="CB151" s="188"/>
      <c r="CC151" s="187"/>
      <c r="CI151" s="188"/>
      <c r="CJ151" s="187"/>
      <c r="CP151" s="188"/>
      <c r="CQ151" s="190"/>
      <c r="CR151" s="189"/>
      <c r="CW151" s="188"/>
      <c r="CX151" s="187"/>
      <c r="DD151" s="188"/>
      <c r="DE151" s="187"/>
      <c r="DK151" s="188"/>
      <c r="DL151" s="187"/>
      <c r="DR151" s="188"/>
      <c r="DS151" s="187"/>
      <c r="DU151" s="168"/>
      <c r="DV151" s="189"/>
      <c r="DY151" s="188"/>
      <c r="DZ151" s="187"/>
      <c r="EF151" s="188"/>
      <c r="EG151" s="187"/>
      <c r="EM151" s="188"/>
      <c r="EN151" s="187"/>
      <c r="ET151" s="188"/>
      <c r="EU151" s="187"/>
      <c r="EZ151" s="168"/>
      <c r="FA151" s="191"/>
      <c r="FB151" s="187"/>
      <c r="FH151" s="188"/>
      <c r="FI151" s="187"/>
      <c r="FO151" s="188"/>
      <c r="FP151" s="187"/>
      <c r="FV151" s="188"/>
      <c r="FW151" s="187"/>
      <c r="GC151" s="188"/>
      <c r="GD151" s="190"/>
      <c r="GE151" s="189"/>
      <c r="GJ151" s="188"/>
      <c r="GK151" s="187"/>
      <c r="GQ151" s="188"/>
      <c r="GR151" s="187"/>
      <c r="GX151" s="188"/>
      <c r="GY151" s="187"/>
      <c r="HE151" s="188"/>
      <c r="HF151" s="187"/>
      <c r="HI151" s="168"/>
      <c r="HJ151" s="189"/>
      <c r="HL151" s="188"/>
      <c r="HM151" s="187"/>
      <c r="HS151" s="188"/>
      <c r="HT151" s="187"/>
      <c r="HZ151" s="188"/>
      <c r="IA151" s="187"/>
      <c r="IG151" s="188"/>
      <c r="IH151" s="187"/>
      <c r="IN151" s="168"/>
      <c r="IO151" s="189"/>
      <c r="IU151" s="188"/>
      <c r="IV151" s="187"/>
      <c r="JB151" s="188"/>
      <c r="JC151" s="187"/>
      <c r="JI151" s="188"/>
      <c r="JJ151" s="187"/>
      <c r="JP151" s="188"/>
      <c r="JQ151" s="187"/>
      <c r="JR151" s="168"/>
      <c r="JS151" s="189"/>
      <c r="JW151" s="188"/>
      <c r="JX151" s="187"/>
      <c r="KD151" s="188"/>
      <c r="KE151" s="187"/>
      <c r="KK151" s="188"/>
      <c r="KL151" s="187"/>
      <c r="KR151" s="188"/>
      <c r="KS151" s="187"/>
      <c r="KW151" s="168"/>
      <c r="KX151" s="189"/>
      <c r="KY151" s="188"/>
      <c r="KZ151" s="187"/>
      <c r="LF151" s="188"/>
      <c r="LG151" s="187"/>
      <c r="LM151" s="188"/>
      <c r="LN151" s="187"/>
      <c r="LT151" s="188"/>
      <c r="LU151" s="187"/>
      <c r="MA151" s="168"/>
      <c r="MB151" s="189"/>
      <c r="MH151" s="188"/>
      <c r="MI151" s="187"/>
      <c r="MO151" s="188"/>
      <c r="MP151" s="187"/>
      <c r="MV151" s="188"/>
      <c r="MW151" s="187"/>
      <c r="NC151" s="188"/>
      <c r="ND151" s="187"/>
      <c r="NF151" s="168"/>
      <c r="NG151" s="189"/>
      <c r="NJ151" s="188"/>
      <c r="NK151" s="187"/>
      <c r="NQ151" s="188"/>
      <c r="NR151" s="187"/>
      <c r="NX151" s="188"/>
      <c r="NY151" s="187"/>
      <c r="OE151" s="188"/>
      <c r="OF151" s="187"/>
      <c r="OK151" s="168"/>
      <c r="OL151" s="191"/>
      <c r="OM151" s="187"/>
      <c r="OS151" s="188"/>
      <c r="OT151" s="187"/>
      <c r="OZ151" s="188"/>
      <c r="PA151" s="187"/>
      <c r="PG151" s="188"/>
      <c r="PH151" s="187"/>
      <c r="PN151" s="168"/>
      <c r="PO151" s="189"/>
      <c r="PU151" s="188"/>
      <c r="PV151" s="187"/>
      <c r="QB151" s="188"/>
      <c r="QC151" s="187"/>
      <c r="QI151" s="188"/>
      <c r="QJ151" s="187"/>
      <c r="QP151" s="188"/>
      <c r="QQ151" s="187"/>
      <c r="QS151" s="168"/>
      <c r="QT151" s="189"/>
      <c r="QW151" s="188"/>
      <c r="QX151" s="187"/>
      <c r="RD151" s="188"/>
      <c r="RE151" s="187"/>
      <c r="RK151" s="188"/>
      <c r="RL151" s="187"/>
      <c r="RR151" s="188"/>
      <c r="RS151" s="187"/>
      <c r="RW151" s="168"/>
      <c r="RX151" s="189"/>
      <c r="RY151" s="188"/>
      <c r="RZ151" s="187"/>
      <c r="SF151" s="188"/>
      <c r="SG151" s="187"/>
      <c r="SM151" s="188"/>
      <c r="SN151" s="187"/>
      <c r="ST151" s="188"/>
      <c r="SU151" s="187"/>
      <c r="TA151" s="188"/>
      <c r="TB151" s="190"/>
      <c r="TC151" s="189"/>
      <c r="TH151" s="188"/>
      <c r="TI151" s="187"/>
      <c r="TO151" s="188"/>
      <c r="TP151" s="187"/>
      <c r="TV151" s="188"/>
      <c r="TW151" s="187"/>
      <c r="UC151" s="188"/>
      <c r="UD151" s="187"/>
      <c r="UF151" s="168"/>
      <c r="UG151" s="189"/>
      <c r="UJ151" s="188"/>
      <c r="UK151" s="187"/>
      <c r="UQ151" s="188"/>
      <c r="UR151" s="187"/>
      <c r="UX151" s="188"/>
      <c r="UY151" s="187"/>
      <c r="VE151" s="188"/>
      <c r="VF151" s="187"/>
      <c r="VK151" s="168"/>
      <c r="VL151" s="191"/>
      <c r="VM151" s="187"/>
      <c r="VS151" s="188"/>
      <c r="VT151" s="187"/>
      <c r="VZ151" s="188"/>
      <c r="WA151" s="187"/>
      <c r="WG151" s="188"/>
      <c r="WH151" s="187"/>
      <c r="WN151" s="188"/>
      <c r="WO151" s="187"/>
      <c r="WP151" s="168"/>
      <c r="WQ151" s="189"/>
      <c r="WU151" s="188"/>
      <c r="WV151" s="187"/>
      <c r="XB151" s="188"/>
      <c r="XC151" s="187"/>
      <c r="XI151" s="188"/>
      <c r="XJ151" s="187"/>
      <c r="XP151" s="188"/>
      <c r="XQ151" s="187"/>
      <c r="XT151" s="168"/>
      <c r="XU151" s="189"/>
      <c r="XW151" s="188"/>
      <c r="XX151" s="187"/>
      <c r="YD151" s="188"/>
      <c r="YE151" s="187"/>
      <c r="YK151" s="188"/>
      <c r="YL151" s="187"/>
      <c r="YR151" s="188"/>
      <c r="YS151" s="187"/>
      <c r="YY151" s="168"/>
      <c r="YZ151" s="189"/>
      <c r="ZF151" s="188"/>
      <c r="ZG151" s="187"/>
      <c r="ZM151" s="188"/>
      <c r="ZN151" s="187"/>
      <c r="ZT151" s="188"/>
      <c r="ZU151" s="187"/>
      <c r="AAA151" s="188"/>
      <c r="AAB151" s="187"/>
      <c r="AAC151" s="168"/>
      <c r="AAD151" s="189"/>
      <c r="AAH151" s="188"/>
      <c r="AAI151" s="187"/>
      <c r="AAO151" s="188"/>
      <c r="AAP151" s="187"/>
      <c r="AAV151" s="188"/>
      <c r="AAW151" s="187"/>
      <c r="ABC151" s="188"/>
      <c r="ABD151" s="187"/>
      <c r="ABH151" s="168"/>
      <c r="ABI151" s="189"/>
      <c r="ABJ151" s="188"/>
      <c r="ABK151" s="187"/>
      <c r="ABQ151" s="188"/>
      <c r="ABR151" s="187"/>
      <c r="ABX151" s="188"/>
      <c r="ABY151" s="187"/>
      <c r="ACE151" s="188"/>
      <c r="ACF151" s="187"/>
      <c r="ACL151" s="188"/>
      <c r="ACM151" s="190"/>
      <c r="ACN151" s="189"/>
      <c r="ACS151" s="188"/>
      <c r="ACT151" s="187"/>
      <c r="ACZ151" s="188"/>
      <c r="ADA151" s="187"/>
      <c r="ADG151" s="188"/>
      <c r="ADH151" s="187"/>
      <c r="ADN151" s="188"/>
      <c r="ADO151" s="190"/>
      <c r="ADP151" s="189"/>
      <c r="ADU151" s="188"/>
      <c r="ADV151" s="187"/>
      <c r="AEB151" s="188"/>
      <c r="AEC151" s="187"/>
      <c r="AEI151" s="188"/>
      <c r="AEJ151" s="187"/>
      <c r="AEP151" s="188"/>
      <c r="AEQ151" s="187"/>
      <c r="AET151" s="168"/>
      <c r="AEU151" s="189"/>
      <c r="AEW151" s="188"/>
      <c r="AEX151" s="187"/>
      <c r="AFD151" s="188"/>
      <c r="AFE151" s="187"/>
      <c r="AFK151" s="188"/>
      <c r="AFL151" s="187"/>
      <c r="AFR151" s="188"/>
      <c r="AFS151" s="187"/>
      <c r="AFX151" s="168"/>
      <c r="AFY151" s="191"/>
      <c r="AFZ151" s="187"/>
      <c r="AGF151" s="188"/>
      <c r="AGG151" s="187"/>
      <c r="AGM151" s="188"/>
      <c r="AGN151" s="187"/>
      <c r="AGT151" s="188"/>
      <c r="AGU151" s="187"/>
      <c r="AHA151" s="188"/>
      <c r="AHB151" s="187"/>
      <c r="AHC151" s="168"/>
      <c r="AHD151" s="189"/>
      <c r="AHH151" s="188"/>
      <c r="AHI151" s="187"/>
      <c r="AHO151" s="188"/>
      <c r="AHP151" s="187"/>
      <c r="AHV151" s="188"/>
      <c r="AHW151" s="187"/>
      <c r="AIC151" s="188"/>
      <c r="AID151" s="187"/>
      <c r="AIG151" s="168"/>
      <c r="AIH151" s="189"/>
      <c r="AIJ151" s="188"/>
      <c r="AIK151" s="187"/>
      <c r="AIQ151" s="188"/>
      <c r="AIR151" s="187"/>
      <c r="AIX151" s="188"/>
      <c r="AIY151" s="187"/>
      <c r="AJE151" s="188"/>
      <c r="AJF151" s="187"/>
      <c r="AJL151" s="168"/>
      <c r="AJM151" s="189"/>
      <c r="AJS151" s="188"/>
      <c r="AJT151" s="187"/>
      <c r="AJZ151" s="188"/>
      <c r="AKA151" s="187"/>
      <c r="AKG151" s="188"/>
      <c r="AKH151" s="187"/>
      <c r="AKN151" s="188"/>
      <c r="AKO151" s="187"/>
      <c r="AKQ151" s="168"/>
      <c r="AKR151" s="189"/>
      <c r="AKU151" s="188"/>
      <c r="AKV151" s="187"/>
      <c r="ALB151" s="188"/>
      <c r="ALC151" s="187"/>
      <c r="ALI151" s="188"/>
      <c r="ALJ151" s="187"/>
      <c r="ALP151" s="188"/>
      <c r="ALQ151" s="187"/>
      <c r="ALU151" s="168"/>
      <c r="ALV151" s="189"/>
      <c r="ALW151" s="188"/>
      <c r="ALX151" s="187"/>
      <c r="AMD151" s="188"/>
      <c r="AME151" s="187"/>
      <c r="AMK151" s="188"/>
      <c r="AML151" s="187"/>
      <c r="AMR151" s="188"/>
      <c r="AMS151" s="187"/>
      <c r="AMY151" s="188"/>
      <c r="AMZ151" s="190"/>
      <c r="ANA151" s="189"/>
      <c r="ANF151" s="188"/>
      <c r="ANG151" s="187"/>
      <c r="ANM151" s="188"/>
      <c r="ANN151" s="187"/>
      <c r="ANT151" s="188"/>
      <c r="ANU151" s="187"/>
      <c r="AOA151" s="188"/>
      <c r="AOB151" s="187"/>
      <c r="AOD151" s="168"/>
      <c r="AOE151" s="189"/>
      <c r="AOH151" s="188"/>
      <c r="AOI151" s="187"/>
      <c r="AOO151" s="188"/>
      <c r="AOP151" s="187"/>
      <c r="AOV151" s="188"/>
      <c r="AOW151" s="187"/>
      <c r="APC151" s="188"/>
      <c r="APD151" s="187"/>
      <c r="API151" s="168"/>
      <c r="APJ151" s="191"/>
      <c r="APK151" s="187"/>
      <c r="APQ151" s="188"/>
      <c r="APR151" s="187"/>
      <c r="APX151" s="188"/>
      <c r="APY151" s="187"/>
      <c r="AQE151" s="188"/>
      <c r="AQF151" s="187"/>
      <c r="AQL151" s="188"/>
      <c r="AQM151" s="187"/>
      <c r="AQN151" s="168"/>
      <c r="AQO151" s="189"/>
      <c r="AQS151" s="188"/>
      <c r="AQT151" s="187"/>
      <c r="AQZ151" s="188"/>
      <c r="ARA151" s="187"/>
      <c r="ARG151" s="188"/>
      <c r="ARH151" s="187"/>
      <c r="ARN151" s="188"/>
      <c r="ARO151" s="187"/>
      <c r="ARP151" s="168"/>
      <c r="ARQ151" s="189"/>
      <c r="ARU151" s="188"/>
      <c r="ARV151" s="187"/>
      <c r="ASB151" s="188"/>
      <c r="ASC151" s="187"/>
      <c r="ASI151" s="188"/>
      <c r="ASJ151" s="187"/>
      <c r="ASP151" s="188"/>
      <c r="ASQ151" s="187"/>
      <c r="ASU151" s="168"/>
      <c r="ASV151" s="189"/>
      <c r="ASW151" s="188"/>
      <c r="ASX151" s="187"/>
      <c r="ATD151" s="188"/>
      <c r="ATE151" s="187"/>
      <c r="ATK151" s="188"/>
      <c r="ATL151" s="187"/>
      <c r="ATR151" s="188"/>
      <c r="ATS151" s="187"/>
      <c r="ATY151" s="168"/>
      <c r="ATZ151" s="189"/>
      <c r="AUF151" s="188"/>
      <c r="AUG151" s="187"/>
      <c r="AUM151" s="188"/>
      <c r="AUN151" s="187"/>
      <c r="AUT151" s="188"/>
      <c r="AUU151" s="187"/>
      <c r="AVA151" s="188"/>
      <c r="AVB151" s="187"/>
      <c r="AVD151" s="168"/>
      <c r="AVE151" s="189"/>
      <c r="AVH151" s="188"/>
      <c r="AVI151" s="187"/>
      <c r="AVO151" s="188"/>
      <c r="AVP151" s="187"/>
      <c r="AVV151" s="188"/>
      <c r="AVW151" s="187"/>
      <c r="AWC151" s="188"/>
      <c r="AWD151" s="187"/>
      <c r="AWH151" s="168"/>
      <c r="AWI151" s="189"/>
      <c r="AWJ151" s="188"/>
      <c r="AWK151" s="187"/>
      <c r="AWQ151" s="188"/>
      <c r="AWR151" s="187"/>
      <c r="AWX151" s="188"/>
      <c r="AWY151" s="187"/>
      <c r="AXE151" s="188"/>
      <c r="AXF151" s="187"/>
      <c r="AXL151" s="188"/>
      <c r="AXM151" s="190"/>
      <c r="AXN151" s="189"/>
      <c r="AXS151" s="188"/>
      <c r="AXT151" s="187"/>
      <c r="AXZ151" s="188"/>
      <c r="AYA151" s="187"/>
      <c r="AYG151" s="188"/>
      <c r="AYH151" s="187"/>
      <c r="AYN151" s="188"/>
      <c r="AYO151" s="187"/>
      <c r="AYR151" s="168"/>
      <c r="AYS151" s="189"/>
      <c r="AYU151" s="188"/>
      <c r="AYV151" s="187"/>
      <c r="AZB151" s="188"/>
      <c r="AZC151" s="187"/>
      <c r="AZI151" s="188"/>
      <c r="AZJ151" s="187"/>
      <c r="AZP151" s="188"/>
      <c r="AZQ151" s="187"/>
      <c r="AZV151" s="168"/>
      <c r="AZW151" s="191"/>
      <c r="AZX151" s="187"/>
      <c r="BAD151" s="188"/>
      <c r="BAE151" s="187"/>
      <c r="BAK151" s="188"/>
      <c r="BAL151" s="187"/>
      <c r="BAR151" s="188"/>
      <c r="BAS151" s="187"/>
      <c r="BAY151" s="188"/>
      <c r="BAZ151" s="187"/>
      <c r="BBA151" s="168"/>
      <c r="BBB151" s="189"/>
      <c r="BBF151" s="188"/>
      <c r="BBG151" s="187"/>
      <c r="BBM151" s="188"/>
      <c r="BBN151" s="187"/>
      <c r="BBT151" s="188"/>
      <c r="BBU151" s="187"/>
      <c r="BCA151" s="188"/>
      <c r="BCB151" s="187"/>
      <c r="BCE151" s="168"/>
      <c r="BCF151" s="189"/>
      <c r="BCH151" s="188"/>
      <c r="BCI151" s="187"/>
      <c r="BCO151" s="188"/>
      <c r="BCP151" s="187"/>
      <c r="BCV151" s="188"/>
      <c r="BCW151" s="187"/>
      <c r="BDC151" s="188"/>
      <c r="BDD151" s="187"/>
      <c r="BDJ151" s="168"/>
      <c r="BDK151" s="189"/>
      <c r="BDQ151" s="188"/>
      <c r="BDR151" s="187"/>
      <c r="BDX151" s="188"/>
      <c r="BDY151" s="187"/>
      <c r="BEE151" s="188"/>
      <c r="BEF151" s="187"/>
      <c r="BEL151" s="188"/>
      <c r="BEM151" s="187"/>
      <c r="BEO151" s="168"/>
      <c r="BEP151" s="189"/>
      <c r="BES151" s="188"/>
      <c r="BET151" s="187"/>
      <c r="BEZ151" s="188"/>
      <c r="BFA151" s="187"/>
      <c r="BFG151" s="188"/>
      <c r="BFH151" s="187"/>
      <c r="BFN151" s="188"/>
      <c r="BFO151" s="187"/>
      <c r="BFQ151" s="168"/>
      <c r="BFR151" s="189"/>
      <c r="BFU151" s="188"/>
      <c r="BFV151" s="187"/>
      <c r="BGB151" s="188"/>
      <c r="BGC151" s="187"/>
      <c r="BGI151" s="188"/>
      <c r="BGJ151" s="187"/>
      <c r="BGP151" s="188"/>
      <c r="BGQ151" s="187"/>
      <c r="BGV151" s="168"/>
      <c r="BGW151" s="191"/>
      <c r="BGX151" s="187"/>
      <c r="BHD151" s="188"/>
      <c r="BHE151" s="187"/>
      <c r="BHK151" s="188"/>
      <c r="BHL151" s="187"/>
      <c r="BHR151" s="188"/>
      <c r="BHS151" s="187"/>
      <c r="BHY151" s="188"/>
      <c r="BHZ151" s="190"/>
      <c r="BIA151" s="189"/>
      <c r="BIF151" s="188"/>
      <c r="BIG151" s="187"/>
      <c r="BIM151" s="188"/>
      <c r="BIN151" s="187"/>
      <c r="BIT151" s="188"/>
      <c r="BIU151" s="187"/>
      <c r="BJA151" s="188"/>
      <c r="BJB151" s="187"/>
      <c r="BJE151" s="168"/>
      <c r="BJF151" s="189"/>
      <c r="BJH151" s="188"/>
      <c r="BJI151" s="187"/>
      <c r="BJO151" s="188"/>
      <c r="BJP151" s="187"/>
      <c r="BJV151" s="188"/>
      <c r="BJW151" s="187"/>
      <c r="BKC151" s="188"/>
      <c r="BKD151" s="187"/>
      <c r="BKI151" s="168"/>
      <c r="BKJ151" s="191"/>
      <c r="BKK151" s="187"/>
      <c r="BKQ151" s="188"/>
      <c r="BKR151" s="187"/>
      <c r="BKX151" s="188"/>
      <c r="BKY151" s="187"/>
      <c r="BLE151" s="188"/>
      <c r="BLF151" s="187"/>
      <c r="BLL151" s="188"/>
      <c r="BLM151" s="187"/>
      <c r="BLN151" s="168"/>
      <c r="BLO151" s="189"/>
      <c r="BLS151" s="188"/>
      <c r="BLT151" s="187"/>
      <c r="BLZ151" s="188"/>
      <c r="BMA151" s="187"/>
      <c r="BMG151" s="188"/>
      <c r="BMH151" s="187"/>
      <c r="BMN151" s="188"/>
      <c r="BMO151" s="187"/>
      <c r="BMS151" s="168"/>
      <c r="BMT151" s="189"/>
      <c r="BMU151" s="188"/>
      <c r="BMV151" s="187"/>
      <c r="BNB151" s="188"/>
      <c r="BNC151" s="187"/>
      <c r="BNI151" s="188"/>
      <c r="BNJ151" s="187"/>
      <c r="BNP151" s="188"/>
      <c r="BNQ151" s="187"/>
      <c r="BNW151" s="168"/>
      <c r="BNX151" s="189"/>
      <c r="BOD151" s="188"/>
      <c r="BOE151" s="187"/>
      <c r="BOK151" s="188"/>
      <c r="BOL151" s="187"/>
      <c r="BOR151" s="188"/>
      <c r="BOS151" s="187"/>
      <c r="BOY151" s="188"/>
      <c r="BOZ151" s="187"/>
      <c r="BPB151" s="168"/>
      <c r="BPC151" s="189"/>
      <c r="BPF151" s="188"/>
      <c r="BPG151" s="187"/>
      <c r="BPM151" s="188"/>
      <c r="BPN151" s="187"/>
      <c r="BPT151" s="188"/>
      <c r="BPU151" s="187"/>
      <c r="BQA151" s="188"/>
      <c r="BQB151" s="187"/>
      <c r="BQF151" s="168"/>
      <c r="BQG151" s="189"/>
      <c r="BQH151" s="188"/>
      <c r="BQI151" s="187"/>
      <c r="BQO151" s="188"/>
      <c r="BQP151" s="187"/>
      <c r="BQV151" s="188"/>
      <c r="BQW151" s="187"/>
      <c r="BRC151" s="188"/>
      <c r="BRD151" s="187"/>
      <c r="BRJ151" s="188"/>
      <c r="BRK151" s="190"/>
      <c r="BRL151" s="189"/>
      <c r="BRQ151" s="188"/>
      <c r="BRR151" s="187"/>
      <c r="BRX151" s="188"/>
      <c r="BRY151" s="187"/>
      <c r="BSE151" s="188"/>
      <c r="BSF151" s="187"/>
      <c r="BSL151" s="188"/>
      <c r="BSM151" s="187"/>
      <c r="BSP151" s="168"/>
      <c r="BSQ151" s="189"/>
      <c r="BSS151" s="188"/>
      <c r="BST151" s="187"/>
      <c r="BSZ151" s="188"/>
      <c r="BTA151" s="187"/>
      <c r="BTG151" s="188"/>
      <c r="BTH151" s="187"/>
      <c r="BTN151" s="188"/>
      <c r="BTO151" s="187"/>
      <c r="BTS151" s="168"/>
      <c r="BTT151" s="189"/>
      <c r="BTU151" s="188"/>
      <c r="BTV151" s="187"/>
      <c r="BUB151" s="188"/>
      <c r="BUC151" s="187"/>
      <c r="BUI151" s="188"/>
      <c r="BUJ151" s="187"/>
      <c r="BUP151" s="188"/>
      <c r="BUQ151" s="187"/>
      <c r="BUW151" s="188"/>
      <c r="BUX151" s="190"/>
      <c r="BUY151" s="189"/>
      <c r="BVD151" s="188"/>
      <c r="BVE151" s="187"/>
      <c r="BVK151" s="188"/>
      <c r="BVL151" s="187"/>
      <c r="BVR151" s="188"/>
      <c r="BVS151" s="187"/>
      <c r="BVY151" s="188"/>
      <c r="BVZ151" s="187"/>
      <c r="BWB151" s="168"/>
      <c r="BWC151" s="189"/>
      <c r="BWF151" s="188"/>
      <c r="BWG151" s="187"/>
      <c r="BWM151" s="188"/>
      <c r="BWN151" s="187"/>
      <c r="BWT151" s="188"/>
      <c r="BWU151" s="187"/>
      <c r="BXA151" s="188"/>
      <c r="BXB151" s="187"/>
      <c r="BXG151" s="168"/>
      <c r="BXH151" s="191"/>
      <c r="BXI151" s="187"/>
      <c r="BXO151" s="188"/>
      <c r="BXP151" s="187"/>
      <c r="BXV151" s="188"/>
      <c r="BXW151" s="187"/>
      <c r="BYC151" s="188"/>
      <c r="BYD151" s="187"/>
      <c r="BYJ151" s="188"/>
      <c r="BYK151" s="190"/>
      <c r="BYL151" s="189"/>
      <c r="BYQ151" s="188"/>
      <c r="BYR151" s="187"/>
      <c r="BYX151" s="188"/>
      <c r="BYY151" s="187"/>
      <c r="BZE151" s="188"/>
      <c r="BZF151" s="187"/>
      <c r="BZL151" s="188"/>
      <c r="BZM151" s="187"/>
      <c r="BZP151" s="168"/>
      <c r="BZQ151" s="189"/>
      <c r="BZS151" s="188"/>
      <c r="BZT151" s="187"/>
      <c r="BZZ151" s="188"/>
      <c r="CAA151" s="187"/>
      <c r="CAG151" s="188"/>
      <c r="CAH151" s="187"/>
      <c r="CAN151" s="188"/>
      <c r="CAO151" s="187"/>
      <c r="CAU151" s="168"/>
      <c r="CAV151" s="189"/>
      <c r="CBB151" s="188"/>
      <c r="CBC151" s="187"/>
      <c r="CBI151" s="188"/>
      <c r="CBJ151" s="187"/>
      <c r="CBP151" s="188"/>
      <c r="CBQ151" s="187"/>
      <c r="CBW151" s="188"/>
      <c r="CBX151" s="187"/>
      <c r="CBY151" s="168"/>
      <c r="CBZ151" s="189"/>
      <c r="CCD151" s="188"/>
      <c r="CCE151" s="187"/>
      <c r="CCK151" s="188"/>
      <c r="CCL151" s="187"/>
      <c r="CCR151" s="188"/>
      <c r="CCS151" s="187"/>
      <c r="CCY151" s="188"/>
      <c r="CCZ151" s="187"/>
      <c r="CDD151" s="168"/>
      <c r="CDE151" s="189"/>
      <c r="CDF151" s="188"/>
      <c r="CDG151" s="187"/>
      <c r="CDM151" s="188"/>
      <c r="CDN151" s="187"/>
      <c r="CDT151" s="188"/>
      <c r="CDU151" s="187"/>
      <c r="CEA151" s="188"/>
      <c r="CEB151" s="187"/>
      <c r="CEH151" s="168"/>
      <c r="CEI151" s="189"/>
      <c r="CEO151" s="188"/>
      <c r="CEP151" s="187"/>
      <c r="CEV151" s="188"/>
      <c r="CEW151" s="187"/>
      <c r="CFC151" s="188"/>
      <c r="CFD151" s="187"/>
      <c r="CFJ151" s="188"/>
      <c r="CFK151" s="187"/>
    </row>
    <row r="152" spans="4:1019 1025:2048 2054:2195">
      <c r="D152" s="186"/>
      <c r="E152" s="186"/>
      <c r="K152" s="187"/>
      <c r="Q152" s="188"/>
      <c r="R152" s="187"/>
      <c r="X152" s="188"/>
      <c r="Y152" s="187"/>
      <c r="AE152" s="188"/>
      <c r="AF152" s="187"/>
      <c r="AJ152" s="168"/>
      <c r="AK152" s="189"/>
      <c r="AL152" s="188"/>
      <c r="AM152" s="187"/>
      <c r="AS152" s="188"/>
      <c r="AT152" s="187"/>
      <c r="AZ152" s="188"/>
      <c r="BA152" s="187"/>
      <c r="BG152" s="188"/>
      <c r="BH152" s="187"/>
      <c r="BL152" s="168"/>
      <c r="BM152" s="189"/>
      <c r="BN152" s="188"/>
      <c r="BO152" s="187"/>
      <c r="BU152" s="188"/>
      <c r="BV152" s="187"/>
      <c r="CB152" s="188"/>
      <c r="CC152" s="187"/>
      <c r="CI152" s="188"/>
      <c r="CJ152" s="187"/>
      <c r="CP152" s="188"/>
      <c r="CQ152" s="190"/>
      <c r="CR152" s="189"/>
      <c r="CW152" s="188"/>
      <c r="CX152" s="187"/>
      <c r="DD152" s="188"/>
      <c r="DE152" s="187"/>
      <c r="DK152" s="188"/>
      <c r="DL152" s="187"/>
      <c r="DR152" s="188"/>
      <c r="DS152" s="187"/>
      <c r="DU152" s="168"/>
      <c r="DV152" s="189"/>
      <c r="DY152" s="188"/>
      <c r="DZ152" s="187"/>
      <c r="EF152" s="188"/>
      <c r="EG152" s="187"/>
      <c r="EM152" s="188"/>
      <c r="EN152" s="187"/>
      <c r="ET152" s="188"/>
      <c r="EU152" s="187"/>
      <c r="EZ152" s="168"/>
      <c r="FA152" s="191"/>
      <c r="FB152" s="187"/>
      <c r="FH152" s="188"/>
      <c r="FI152" s="187"/>
      <c r="FO152" s="188"/>
      <c r="FP152" s="187"/>
      <c r="FV152" s="188"/>
      <c r="FW152" s="187"/>
      <c r="GC152" s="188"/>
      <c r="GD152" s="190"/>
      <c r="GE152" s="189"/>
      <c r="GJ152" s="188"/>
      <c r="GK152" s="187"/>
      <c r="GQ152" s="188"/>
      <c r="GR152" s="187"/>
      <c r="GX152" s="188"/>
      <c r="GY152" s="187"/>
      <c r="HE152" s="188"/>
      <c r="HF152" s="187"/>
      <c r="HI152" s="168"/>
      <c r="HJ152" s="189"/>
      <c r="HL152" s="188"/>
      <c r="HM152" s="187"/>
      <c r="HS152" s="188"/>
      <c r="HT152" s="187"/>
      <c r="HZ152" s="188"/>
      <c r="IA152" s="187"/>
      <c r="IG152" s="188"/>
      <c r="IH152" s="187"/>
      <c r="IN152" s="168"/>
      <c r="IO152" s="189"/>
      <c r="IU152" s="188"/>
      <c r="IV152" s="187"/>
      <c r="JB152" s="188"/>
      <c r="JC152" s="187"/>
      <c r="JI152" s="188"/>
      <c r="JJ152" s="187"/>
      <c r="JP152" s="188"/>
      <c r="JQ152" s="187"/>
      <c r="JR152" s="168"/>
      <c r="JS152" s="189"/>
      <c r="JW152" s="188"/>
      <c r="JX152" s="187"/>
      <c r="KD152" s="188"/>
      <c r="KE152" s="187"/>
      <c r="KK152" s="188"/>
      <c r="KL152" s="187"/>
      <c r="KR152" s="188"/>
      <c r="KS152" s="187"/>
      <c r="KW152" s="168"/>
      <c r="KX152" s="189"/>
      <c r="KY152" s="188"/>
      <c r="KZ152" s="187"/>
      <c r="LF152" s="188"/>
      <c r="LG152" s="187"/>
      <c r="LM152" s="188"/>
      <c r="LN152" s="187"/>
      <c r="LT152" s="188"/>
      <c r="LU152" s="187"/>
      <c r="MA152" s="168"/>
      <c r="MB152" s="189"/>
      <c r="MH152" s="188"/>
      <c r="MI152" s="187"/>
      <c r="MO152" s="188"/>
      <c r="MP152" s="187"/>
      <c r="MV152" s="188"/>
      <c r="MW152" s="187"/>
      <c r="NC152" s="188"/>
      <c r="ND152" s="187"/>
      <c r="NF152" s="168"/>
      <c r="NG152" s="189"/>
      <c r="NJ152" s="188"/>
      <c r="NK152" s="187"/>
      <c r="NQ152" s="188"/>
      <c r="NR152" s="187"/>
      <c r="NX152" s="188"/>
      <c r="NY152" s="187"/>
      <c r="OE152" s="188"/>
      <c r="OF152" s="187"/>
      <c r="OK152" s="168"/>
      <c r="OL152" s="191"/>
      <c r="OM152" s="187"/>
      <c r="OS152" s="188"/>
      <c r="OT152" s="187"/>
      <c r="OZ152" s="188"/>
      <c r="PA152" s="187"/>
      <c r="PG152" s="188"/>
      <c r="PH152" s="187"/>
      <c r="PN152" s="168"/>
      <c r="PO152" s="189"/>
      <c r="PU152" s="188"/>
      <c r="PV152" s="187"/>
      <c r="QB152" s="188"/>
      <c r="QC152" s="187"/>
      <c r="QI152" s="188"/>
      <c r="QJ152" s="187"/>
      <c r="QP152" s="188"/>
      <c r="QQ152" s="187"/>
      <c r="QS152" s="168"/>
      <c r="QT152" s="189"/>
      <c r="QW152" s="188"/>
      <c r="QX152" s="187"/>
      <c r="RD152" s="188"/>
      <c r="RE152" s="187"/>
      <c r="RK152" s="188"/>
      <c r="RL152" s="187"/>
      <c r="RR152" s="188"/>
      <c r="RS152" s="187"/>
      <c r="RW152" s="168"/>
      <c r="RX152" s="189"/>
      <c r="RY152" s="188"/>
      <c r="RZ152" s="187"/>
      <c r="SF152" s="188"/>
      <c r="SG152" s="187"/>
      <c r="SM152" s="188"/>
      <c r="SN152" s="187"/>
      <c r="ST152" s="188"/>
      <c r="SU152" s="187"/>
      <c r="TA152" s="188"/>
      <c r="TB152" s="190"/>
      <c r="TC152" s="189"/>
      <c r="TH152" s="188"/>
      <c r="TI152" s="187"/>
      <c r="TO152" s="188"/>
      <c r="TP152" s="187"/>
      <c r="TV152" s="188"/>
      <c r="TW152" s="187"/>
      <c r="UC152" s="188"/>
      <c r="UD152" s="187"/>
      <c r="UF152" s="168"/>
      <c r="UG152" s="189"/>
      <c r="UJ152" s="188"/>
      <c r="UK152" s="187"/>
      <c r="UQ152" s="188"/>
      <c r="UR152" s="187"/>
      <c r="UX152" s="188"/>
      <c r="UY152" s="187"/>
      <c r="VE152" s="188"/>
      <c r="VF152" s="187"/>
      <c r="VK152" s="168"/>
      <c r="VL152" s="191"/>
      <c r="VM152" s="187"/>
      <c r="VS152" s="188"/>
      <c r="VT152" s="187"/>
      <c r="VZ152" s="188"/>
      <c r="WA152" s="187"/>
      <c r="WG152" s="188"/>
      <c r="WH152" s="187"/>
      <c r="WN152" s="188"/>
      <c r="WO152" s="187"/>
      <c r="WP152" s="168"/>
      <c r="WQ152" s="189"/>
      <c r="WU152" s="188"/>
      <c r="WV152" s="187"/>
      <c r="XB152" s="188"/>
      <c r="XC152" s="187"/>
      <c r="XI152" s="188"/>
      <c r="XJ152" s="187"/>
      <c r="XP152" s="188"/>
      <c r="XQ152" s="187"/>
      <c r="XT152" s="168"/>
      <c r="XU152" s="189"/>
      <c r="XW152" s="188"/>
      <c r="XX152" s="187"/>
      <c r="YD152" s="188"/>
      <c r="YE152" s="187"/>
      <c r="YK152" s="188"/>
      <c r="YL152" s="187"/>
      <c r="YR152" s="188"/>
      <c r="YS152" s="187"/>
      <c r="YY152" s="168"/>
      <c r="YZ152" s="189"/>
      <c r="ZF152" s="188"/>
      <c r="ZG152" s="187"/>
      <c r="ZM152" s="188"/>
      <c r="ZN152" s="187"/>
      <c r="ZT152" s="188"/>
      <c r="ZU152" s="187"/>
      <c r="AAA152" s="188"/>
      <c r="AAB152" s="187"/>
      <c r="AAC152" s="168"/>
      <c r="AAD152" s="189"/>
      <c r="AAH152" s="188"/>
      <c r="AAI152" s="187"/>
      <c r="AAO152" s="188"/>
      <c r="AAP152" s="187"/>
      <c r="AAV152" s="188"/>
      <c r="AAW152" s="187"/>
      <c r="ABC152" s="188"/>
      <c r="ABD152" s="187"/>
      <c r="ABH152" s="168"/>
      <c r="ABI152" s="189"/>
      <c r="ABJ152" s="188"/>
      <c r="ABK152" s="187"/>
      <c r="ABQ152" s="188"/>
      <c r="ABR152" s="187"/>
      <c r="ABX152" s="188"/>
      <c r="ABY152" s="187"/>
      <c r="ACE152" s="188"/>
      <c r="ACF152" s="187"/>
      <c r="ACL152" s="188"/>
      <c r="ACM152" s="190"/>
      <c r="ACN152" s="189"/>
      <c r="ACS152" s="188"/>
      <c r="ACT152" s="187"/>
      <c r="ACZ152" s="188"/>
      <c r="ADA152" s="187"/>
      <c r="ADG152" s="188"/>
      <c r="ADH152" s="187"/>
      <c r="ADN152" s="188"/>
      <c r="ADO152" s="190"/>
      <c r="ADP152" s="189"/>
      <c r="ADU152" s="188"/>
      <c r="ADV152" s="187"/>
      <c r="AEB152" s="188"/>
      <c r="AEC152" s="187"/>
      <c r="AEI152" s="188"/>
      <c r="AEJ152" s="187"/>
      <c r="AEP152" s="188"/>
      <c r="AEQ152" s="187"/>
      <c r="AET152" s="168"/>
      <c r="AEU152" s="189"/>
      <c r="AEW152" s="188"/>
      <c r="AEX152" s="187"/>
      <c r="AFD152" s="188"/>
      <c r="AFE152" s="187"/>
      <c r="AFK152" s="188"/>
      <c r="AFL152" s="187"/>
      <c r="AFR152" s="188"/>
      <c r="AFS152" s="187"/>
      <c r="AFX152" s="168"/>
      <c r="AFY152" s="191"/>
      <c r="AFZ152" s="187"/>
      <c r="AGF152" s="188"/>
      <c r="AGG152" s="187"/>
      <c r="AGM152" s="188"/>
      <c r="AGN152" s="187"/>
      <c r="AGT152" s="188"/>
      <c r="AGU152" s="187"/>
      <c r="AHA152" s="188"/>
      <c r="AHB152" s="187"/>
      <c r="AHC152" s="168"/>
      <c r="AHD152" s="189"/>
      <c r="AHH152" s="188"/>
      <c r="AHI152" s="187"/>
      <c r="AHO152" s="188"/>
      <c r="AHP152" s="187"/>
      <c r="AHV152" s="188"/>
      <c r="AHW152" s="187"/>
      <c r="AIC152" s="188"/>
      <c r="AID152" s="187"/>
      <c r="AIG152" s="168"/>
      <c r="AIH152" s="189"/>
      <c r="AIJ152" s="188"/>
      <c r="AIK152" s="187"/>
      <c r="AIQ152" s="188"/>
      <c r="AIR152" s="187"/>
      <c r="AIX152" s="188"/>
      <c r="AIY152" s="187"/>
      <c r="AJE152" s="188"/>
      <c r="AJF152" s="187"/>
      <c r="AJL152" s="168"/>
      <c r="AJM152" s="189"/>
      <c r="AJS152" s="188"/>
      <c r="AJT152" s="187"/>
      <c r="AJZ152" s="188"/>
      <c r="AKA152" s="187"/>
      <c r="AKG152" s="188"/>
      <c r="AKH152" s="187"/>
      <c r="AKN152" s="188"/>
      <c r="AKO152" s="187"/>
      <c r="AKQ152" s="168"/>
      <c r="AKR152" s="189"/>
      <c r="AKU152" s="188"/>
      <c r="AKV152" s="187"/>
      <c r="ALB152" s="188"/>
      <c r="ALC152" s="187"/>
      <c r="ALI152" s="188"/>
      <c r="ALJ152" s="187"/>
      <c r="ALP152" s="188"/>
      <c r="ALQ152" s="187"/>
      <c r="ALU152" s="168"/>
      <c r="ALV152" s="189"/>
      <c r="ALW152" s="188"/>
      <c r="ALX152" s="187"/>
      <c r="AMD152" s="188"/>
      <c r="AME152" s="187"/>
      <c r="AMK152" s="188"/>
      <c r="AML152" s="187"/>
      <c r="AMR152" s="188"/>
      <c r="AMS152" s="187"/>
      <c r="AMY152" s="188"/>
      <c r="AMZ152" s="190"/>
      <c r="ANA152" s="189"/>
      <c r="ANF152" s="188"/>
      <c r="ANG152" s="187"/>
      <c r="ANM152" s="188"/>
      <c r="ANN152" s="187"/>
      <c r="ANT152" s="188"/>
      <c r="ANU152" s="187"/>
      <c r="AOA152" s="188"/>
      <c r="AOB152" s="187"/>
      <c r="AOD152" s="168"/>
      <c r="AOE152" s="189"/>
      <c r="AOH152" s="188"/>
      <c r="AOI152" s="187"/>
      <c r="AOO152" s="188"/>
      <c r="AOP152" s="187"/>
      <c r="AOV152" s="188"/>
      <c r="AOW152" s="187"/>
      <c r="APC152" s="188"/>
      <c r="APD152" s="187"/>
      <c r="API152" s="168"/>
      <c r="APJ152" s="191"/>
      <c r="APK152" s="187"/>
      <c r="APQ152" s="188"/>
      <c r="APR152" s="187"/>
      <c r="APX152" s="188"/>
      <c r="APY152" s="187"/>
      <c r="AQE152" s="188"/>
      <c r="AQF152" s="187"/>
      <c r="AQL152" s="188"/>
      <c r="AQM152" s="187"/>
      <c r="AQN152" s="168"/>
      <c r="AQO152" s="189"/>
      <c r="AQS152" s="188"/>
      <c r="AQT152" s="187"/>
      <c r="AQZ152" s="188"/>
      <c r="ARA152" s="187"/>
      <c r="ARG152" s="188"/>
      <c r="ARH152" s="187"/>
      <c r="ARN152" s="188"/>
      <c r="ARO152" s="187"/>
      <c r="ARP152" s="168"/>
      <c r="ARQ152" s="189"/>
      <c r="ARU152" s="188"/>
      <c r="ARV152" s="187"/>
      <c r="ASB152" s="188"/>
      <c r="ASC152" s="187"/>
      <c r="ASI152" s="188"/>
      <c r="ASJ152" s="187"/>
      <c r="ASP152" s="188"/>
      <c r="ASQ152" s="187"/>
      <c r="ASU152" s="168"/>
      <c r="ASV152" s="189"/>
      <c r="ASW152" s="188"/>
      <c r="ASX152" s="187"/>
      <c r="ATD152" s="188"/>
      <c r="ATE152" s="187"/>
      <c r="ATK152" s="188"/>
      <c r="ATL152" s="187"/>
      <c r="ATR152" s="188"/>
      <c r="ATS152" s="187"/>
      <c r="ATY152" s="168"/>
      <c r="ATZ152" s="189"/>
      <c r="AUF152" s="188"/>
      <c r="AUG152" s="187"/>
      <c r="AUM152" s="188"/>
      <c r="AUN152" s="187"/>
      <c r="AUT152" s="188"/>
      <c r="AUU152" s="187"/>
      <c r="AVA152" s="188"/>
      <c r="AVB152" s="187"/>
      <c r="AVD152" s="168"/>
      <c r="AVE152" s="189"/>
      <c r="AVH152" s="188"/>
      <c r="AVI152" s="187"/>
      <c r="AVO152" s="188"/>
      <c r="AVP152" s="187"/>
      <c r="AVV152" s="188"/>
      <c r="AVW152" s="187"/>
      <c r="AWC152" s="188"/>
      <c r="AWD152" s="187"/>
      <c r="AWH152" s="168"/>
      <c r="AWI152" s="189"/>
      <c r="AWJ152" s="188"/>
      <c r="AWK152" s="187"/>
      <c r="AWQ152" s="188"/>
      <c r="AWR152" s="187"/>
      <c r="AWX152" s="188"/>
      <c r="AWY152" s="187"/>
      <c r="AXE152" s="188"/>
      <c r="AXF152" s="187"/>
      <c r="AXL152" s="188"/>
      <c r="AXM152" s="190"/>
      <c r="AXN152" s="189"/>
      <c r="AXS152" s="188"/>
      <c r="AXT152" s="187"/>
      <c r="AXZ152" s="188"/>
      <c r="AYA152" s="187"/>
      <c r="AYG152" s="188"/>
      <c r="AYH152" s="187"/>
      <c r="AYN152" s="188"/>
      <c r="AYO152" s="187"/>
      <c r="AYR152" s="168"/>
      <c r="AYS152" s="189"/>
      <c r="AYU152" s="188"/>
      <c r="AYV152" s="187"/>
      <c r="AZB152" s="188"/>
      <c r="AZC152" s="187"/>
      <c r="AZI152" s="188"/>
      <c r="AZJ152" s="187"/>
      <c r="AZP152" s="188"/>
      <c r="AZQ152" s="187"/>
      <c r="AZV152" s="168"/>
      <c r="AZW152" s="191"/>
      <c r="AZX152" s="187"/>
      <c r="BAD152" s="188"/>
      <c r="BAE152" s="187"/>
      <c r="BAK152" s="188"/>
      <c r="BAL152" s="187"/>
      <c r="BAR152" s="188"/>
      <c r="BAS152" s="187"/>
      <c r="BAY152" s="188"/>
      <c r="BAZ152" s="187"/>
      <c r="BBA152" s="168"/>
      <c r="BBB152" s="189"/>
      <c r="BBF152" s="188"/>
      <c r="BBG152" s="187"/>
      <c r="BBM152" s="188"/>
      <c r="BBN152" s="187"/>
      <c r="BBT152" s="188"/>
      <c r="BBU152" s="187"/>
      <c r="BCA152" s="188"/>
      <c r="BCB152" s="187"/>
      <c r="BCE152" s="168"/>
      <c r="BCF152" s="189"/>
      <c r="BCH152" s="188"/>
      <c r="BCI152" s="187"/>
      <c r="BCO152" s="188"/>
      <c r="BCP152" s="187"/>
      <c r="BCV152" s="188"/>
      <c r="BCW152" s="187"/>
      <c r="BDC152" s="188"/>
      <c r="BDD152" s="187"/>
      <c r="BDJ152" s="168"/>
      <c r="BDK152" s="189"/>
      <c r="BDQ152" s="188"/>
      <c r="BDR152" s="187"/>
      <c r="BDX152" s="188"/>
      <c r="BDY152" s="187"/>
      <c r="BEE152" s="188"/>
      <c r="BEF152" s="187"/>
      <c r="BEL152" s="188"/>
      <c r="BEM152" s="187"/>
      <c r="BEO152" s="168"/>
      <c r="BEP152" s="189"/>
      <c r="BES152" s="188"/>
      <c r="BET152" s="187"/>
      <c r="BEZ152" s="188"/>
      <c r="BFA152" s="187"/>
      <c r="BFG152" s="188"/>
      <c r="BFH152" s="187"/>
      <c r="BFN152" s="188"/>
      <c r="BFO152" s="187"/>
      <c r="BFQ152" s="168"/>
      <c r="BFR152" s="189"/>
      <c r="BFU152" s="188"/>
      <c r="BFV152" s="187"/>
      <c r="BGB152" s="188"/>
      <c r="BGC152" s="187"/>
      <c r="BGI152" s="188"/>
      <c r="BGJ152" s="187"/>
      <c r="BGP152" s="188"/>
      <c r="BGQ152" s="187"/>
      <c r="BGV152" s="168"/>
      <c r="BGW152" s="191"/>
      <c r="BGX152" s="187"/>
      <c r="BHD152" s="188"/>
      <c r="BHE152" s="187"/>
      <c r="BHK152" s="188"/>
      <c r="BHL152" s="187"/>
      <c r="BHR152" s="188"/>
      <c r="BHS152" s="187"/>
      <c r="BHY152" s="188"/>
      <c r="BHZ152" s="190"/>
      <c r="BIA152" s="189"/>
      <c r="BIF152" s="188"/>
      <c r="BIG152" s="187"/>
      <c r="BIM152" s="188"/>
      <c r="BIN152" s="187"/>
      <c r="BIT152" s="188"/>
      <c r="BIU152" s="187"/>
      <c r="BJA152" s="188"/>
      <c r="BJB152" s="187"/>
      <c r="BJE152" s="168"/>
      <c r="BJF152" s="189"/>
      <c r="BJH152" s="188"/>
      <c r="BJI152" s="187"/>
      <c r="BJO152" s="188"/>
      <c r="BJP152" s="187"/>
      <c r="BJV152" s="188"/>
      <c r="BJW152" s="187"/>
      <c r="BKC152" s="188"/>
      <c r="BKD152" s="187"/>
      <c r="BKI152" s="168"/>
      <c r="BKJ152" s="191"/>
      <c r="BKK152" s="187"/>
      <c r="BKQ152" s="188"/>
      <c r="BKR152" s="187"/>
      <c r="BKX152" s="188"/>
      <c r="BKY152" s="187"/>
      <c r="BLE152" s="188"/>
      <c r="BLF152" s="187"/>
      <c r="BLL152" s="188"/>
      <c r="BLM152" s="187"/>
      <c r="BLN152" s="168"/>
      <c r="BLO152" s="189"/>
      <c r="BLS152" s="188"/>
      <c r="BLT152" s="187"/>
      <c r="BLZ152" s="188"/>
      <c r="BMA152" s="187"/>
      <c r="BMG152" s="188"/>
      <c r="BMH152" s="187"/>
      <c r="BMN152" s="188"/>
      <c r="BMO152" s="187"/>
      <c r="BMS152" s="168"/>
      <c r="BMT152" s="189"/>
      <c r="BMU152" s="188"/>
      <c r="BMV152" s="187"/>
      <c r="BNB152" s="188"/>
      <c r="BNC152" s="187"/>
      <c r="BNI152" s="188"/>
      <c r="BNJ152" s="187"/>
      <c r="BNP152" s="188"/>
      <c r="BNQ152" s="187"/>
      <c r="BNW152" s="168"/>
      <c r="BNX152" s="189"/>
      <c r="BOD152" s="188"/>
      <c r="BOE152" s="187"/>
      <c r="BOK152" s="188"/>
      <c r="BOL152" s="187"/>
      <c r="BOR152" s="188"/>
      <c r="BOS152" s="187"/>
      <c r="BOY152" s="188"/>
      <c r="BOZ152" s="187"/>
      <c r="BPB152" s="168"/>
      <c r="BPC152" s="189"/>
      <c r="BPF152" s="188"/>
      <c r="BPG152" s="187"/>
      <c r="BPM152" s="188"/>
      <c r="BPN152" s="187"/>
      <c r="BPT152" s="188"/>
      <c r="BPU152" s="187"/>
      <c r="BQA152" s="188"/>
      <c r="BQB152" s="187"/>
      <c r="BQF152" s="168"/>
      <c r="BQG152" s="189"/>
      <c r="BQH152" s="188"/>
      <c r="BQI152" s="187"/>
      <c r="BQO152" s="188"/>
      <c r="BQP152" s="187"/>
      <c r="BQV152" s="188"/>
      <c r="BQW152" s="187"/>
      <c r="BRC152" s="188"/>
      <c r="BRD152" s="187"/>
      <c r="BRJ152" s="188"/>
      <c r="BRK152" s="190"/>
      <c r="BRL152" s="189"/>
      <c r="BRQ152" s="188"/>
      <c r="BRR152" s="187"/>
      <c r="BRX152" s="188"/>
      <c r="BRY152" s="187"/>
      <c r="BSE152" s="188"/>
      <c r="BSF152" s="187"/>
      <c r="BSL152" s="188"/>
      <c r="BSM152" s="187"/>
      <c r="BSP152" s="168"/>
      <c r="BSQ152" s="189"/>
      <c r="BSS152" s="188"/>
      <c r="BST152" s="187"/>
      <c r="BSZ152" s="188"/>
      <c r="BTA152" s="187"/>
      <c r="BTG152" s="188"/>
      <c r="BTH152" s="187"/>
      <c r="BTN152" s="188"/>
      <c r="BTO152" s="187"/>
      <c r="BTS152" s="168"/>
      <c r="BTT152" s="189"/>
      <c r="BTU152" s="188"/>
      <c r="BTV152" s="187"/>
      <c r="BUB152" s="188"/>
      <c r="BUC152" s="187"/>
      <c r="BUI152" s="188"/>
      <c r="BUJ152" s="187"/>
      <c r="BUP152" s="188"/>
      <c r="BUQ152" s="187"/>
      <c r="BUW152" s="188"/>
      <c r="BUX152" s="190"/>
      <c r="BUY152" s="189"/>
      <c r="BVD152" s="188"/>
      <c r="BVE152" s="187"/>
      <c r="BVK152" s="188"/>
      <c r="BVL152" s="187"/>
      <c r="BVR152" s="188"/>
      <c r="BVS152" s="187"/>
      <c r="BVY152" s="188"/>
      <c r="BVZ152" s="187"/>
      <c r="BWB152" s="168"/>
      <c r="BWC152" s="189"/>
      <c r="BWF152" s="188"/>
      <c r="BWG152" s="187"/>
      <c r="BWM152" s="188"/>
      <c r="BWN152" s="187"/>
      <c r="BWT152" s="188"/>
      <c r="BWU152" s="187"/>
      <c r="BXA152" s="188"/>
      <c r="BXB152" s="187"/>
      <c r="BXG152" s="168"/>
      <c r="BXH152" s="191"/>
      <c r="BXI152" s="187"/>
      <c r="BXO152" s="188"/>
      <c r="BXP152" s="187"/>
      <c r="BXV152" s="188"/>
      <c r="BXW152" s="187"/>
      <c r="BYC152" s="188"/>
      <c r="BYD152" s="187"/>
      <c r="BYJ152" s="188"/>
      <c r="BYK152" s="190"/>
      <c r="BYL152" s="189"/>
      <c r="BYQ152" s="188"/>
      <c r="BYR152" s="187"/>
      <c r="BYX152" s="188"/>
      <c r="BYY152" s="187"/>
      <c r="BZE152" s="188"/>
      <c r="BZF152" s="187"/>
      <c r="BZL152" s="188"/>
      <c r="BZM152" s="187"/>
      <c r="BZP152" s="168"/>
      <c r="BZQ152" s="189"/>
      <c r="BZS152" s="188"/>
      <c r="BZT152" s="187"/>
      <c r="BZZ152" s="188"/>
      <c r="CAA152" s="187"/>
      <c r="CAG152" s="188"/>
      <c r="CAH152" s="187"/>
      <c r="CAN152" s="188"/>
      <c r="CAO152" s="187"/>
      <c r="CAU152" s="168"/>
      <c r="CAV152" s="189"/>
      <c r="CBB152" s="188"/>
      <c r="CBC152" s="187"/>
      <c r="CBI152" s="188"/>
      <c r="CBJ152" s="187"/>
      <c r="CBP152" s="188"/>
      <c r="CBQ152" s="187"/>
      <c r="CBW152" s="188"/>
      <c r="CBX152" s="187"/>
      <c r="CBY152" s="168"/>
      <c r="CBZ152" s="189"/>
      <c r="CCD152" s="188"/>
      <c r="CCE152" s="187"/>
      <c r="CCK152" s="188"/>
      <c r="CCL152" s="187"/>
      <c r="CCR152" s="188"/>
      <c r="CCS152" s="187"/>
      <c r="CCY152" s="188"/>
      <c r="CCZ152" s="187"/>
      <c r="CDD152" s="168"/>
      <c r="CDE152" s="189"/>
      <c r="CDF152" s="188"/>
      <c r="CDG152" s="187"/>
      <c r="CDM152" s="188"/>
      <c r="CDN152" s="187"/>
      <c r="CDT152" s="188"/>
      <c r="CDU152" s="187"/>
      <c r="CEA152" s="188"/>
      <c r="CEB152" s="187"/>
      <c r="CEH152" s="168"/>
      <c r="CEI152" s="189"/>
      <c r="CEO152" s="188"/>
      <c r="CEP152" s="187"/>
      <c r="CEV152" s="188"/>
      <c r="CEW152" s="187"/>
      <c r="CFC152" s="188"/>
      <c r="CFD152" s="187"/>
      <c r="CFJ152" s="188"/>
      <c r="CFK152" s="187"/>
    </row>
  </sheetData>
  <sheetProtection algorithmName="SHA-512" hashValue="4kzR/T36K8tlASCuBen4rDm9SAglqcARiy+zFSJTuoBlV3bpTUdH7b3qSusk2XyAwb/jzhAPFPard5j9+p+QkA==" saltValue="Yj2aplgb7wBj6v0Kh6P4gA==" spinCount="100000" sheet="1" objects="1" scenarios="1" selectLockedCells="1"/>
  <mergeCells count="314">
    <mergeCell ref="CFK3:CFQ3"/>
    <mergeCell ref="F3:J3"/>
    <mergeCell ref="CDU3:CEA3"/>
    <mergeCell ref="CEB3:CEH3"/>
    <mergeCell ref="CEI3:CEO3"/>
    <mergeCell ref="CEP3:CEV3"/>
    <mergeCell ref="CEW3:CFC3"/>
    <mergeCell ref="CFD3:CFJ3"/>
    <mergeCell ref="CCE3:CCK3"/>
    <mergeCell ref="CCL3:CCR3"/>
    <mergeCell ref="CCS3:CCY3"/>
    <mergeCell ref="CCZ3:CDF3"/>
    <mergeCell ref="CDG3:CDM3"/>
    <mergeCell ref="CDN3:CDT3"/>
    <mergeCell ref="CAO3:CAU3"/>
    <mergeCell ref="CAV3:CBB3"/>
    <mergeCell ref="CBC3:CBI3"/>
    <mergeCell ref="CBJ3:CBP3"/>
    <mergeCell ref="CBQ3:CBW3"/>
    <mergeCell ref="CBX3:CCD3"/>
    <mergeCell ref="BYY3:BZE3"/>
    <mergeCell ref="BZF3:BZL3"/>
    <mergeCell ref="BZM3:BZS3"/>
    <mergeCell ref="BZT3:BZZ3"/>
    <mergeCell ref="CAA3:CAG3"/>
    <mergeCell ref="CAH3:CAN3"/>
    <mergeCell ref="BXI3:BXO3"/>
    <mergeCell ref="BXP3:BXV3"/>
    <mergeCell ref="BXW3:BYC3"/>
    <mergeCell ref="BYD3:BYJ3"/>
    <mergeCell ref="BYK3:BYQ3"/>
    <mergeCell ref="BYR3:BYX3"/>
    <mergeCell ref="BVS3:BVY3"/>
    <mergeCell ref="BVZ3:BWF3"/>
    <mergeCell ref="BWG3:BWM3"/>
    <mergeCell ref="BWN3:BWT3"/>
    <mergeCell ref="BWU3:BXA3"/>
    <mergeCell ref="BXB3:BXH3"/>
    <mergeCell ref="BUC3:BUI3"/>
    <mergeCell ref="BUJ3:BUP3"/>
    <mergeCell ref="BUQ3:BUW3"/>
    <mergeCell ref="BUX3:BVD3"/>
    <mergeCell ref="BVE3:BVK3"/>
    <mergeCell ref="BVL3:BVR3"/>
    <mergeCell ref="BSM3:BSS3"/>
    <mergeCell ref="BST3:BSZ3"/>
    <mergeCell ref="BTA3:BTG3"/>
    <mergeCell ref="BTH3:BTN3"/>
    <mergeCell ref="BTO3:BTU3"/>
    <mergeCell ref="BTV3:BUB3"/>
    <mergeCell ref="BQW3:BRC3"/>
    <mergeCell ref="BRD3:BRJ3"/>
    <mergeCell ref="BRK3:BRQ3"/>
    <mergeCell ref="BRR3:BRX3"/>
    <mergeCell ref="BRY3:BSE3"/>
    <mergeCell ref="BSF3:BSL3"/>
    <mergeCell ref="BPG3:BPM3"/>
    <mergeCell ref="BPN3:BPT3"/>
    <mergeCell ref="BPU3:BQA3"/>
    <mergeCell ref="BQB3:BQH3"/>
    <mergeCell ref="BQI3:BQO3"/>
    <mergeCell ref="BQP3:BQV3"/>
    <mergeCell ref="BNQ3:BNW3"/>
    <mergeCell ref="BNX3:BOD3"/>
    <mergeCell ref="BOE3:BOK3"/>
    <mergeCell ref="BOL3:BOR3"/>
    <mergeCell ref="BOS3:BOY3"/>
    <mergeCell ref="BOZ3:BPF3"/>
    <mergeCell ref="BMA3:BMG3"/>
    <mergeCell ref="BMH3:BMN3"/>
    <mergeCell ref="BMO3:BMU3"/>
    <mergeCell ref="BMV3:BNB3"/>
    <mergeCell ref="BNC3:BNI3"/>
    <mergeCell ref="BNJ3:BNP3"/>
    <mergeCell ref="BKK3:BKQ3"/>
    <mergeCell ref="BKR3:BKX3"/>
    <mergeCell ref="BKY3:BLE3"/>
    <mergeCell ref="BLF3:BLL3"/>
    <mergeCell ref="BLM3:BLS3"/>
    <mergeCell ref="BLT3:BLZ3"/>
    <mergeCell ref="BIU3:BJA3"/>
    <mergeCell ref="BJB3:BJH3"/>
    <mergeCell ref="BJI3:BJO3"/>
    <mergeCell ref="BJP3:BJV3"/>
    <mergeCell ref="BJW3:BKC3"/>
    <mergeCell ref="BKD3:BKJ3"/>
    <mergeCell ref="BHE3:BHK3"/>
    <mergeCell ref="BHL3:BHR3"/>
    <mergeCell ref="BHS3:BHY3"/>
    <mergeCell ref="BHZ3:BIF3"/>
    <mergeCell ref="BIG3:BIM3"/>
    <mergeCell ref="BIN3:BIT3"/>
    <mergeCell ref="BFO3:BFU3"/>
    <mergeCell ref="BFV3:BGB3"/>
    <mergeCell ref="BGC3:BGI3"/>
    <mergeCell ref="BGJ3:BGP3"/>
    <mergeCell ref="BGQ3:BGW3"/>
    <mergeCell ref="BGX3:BHD3"/>
    <mergeCell ref="BDY3:BEE3"/>
    <mergeCell ref="BEF3:BEL3"/>
    <mergeCell ref="BEM3:BES3"/>
    <mergeCell ref="BET3:BEZ3"/>
    <mergeCell ref="BFA3:BFG3"/>
    <mergeCell ref="BFH3:BFN3"/>
    <mergeCell ref="BCI3:BCO3"/>
    <mergeCell ref="BCP3:BCV3"/>
    <mergeCell ref="BCW3:BDC3"/>
    <mergeCell ref="BDD3:BDJ3"/>
    <mergeCell ref="BDK3:BDQ3"/>
    <mergeCell ref="BDR3:BDX3"/>
    <mergeCell ref="BAS3:BAY3"/>
    <mergeCell ref="BAZ3:BBF3"/>
    <mergeCell ref="BBG3:BBM3"/>
    <mergeCell ref="BBN3:BBT3"/>
    <mergeCell ref="BBU3:BCA3"/>
    <mergeCell ref="BCB3:BCH3"/>
    <mergeCell ref="AZC3:AZI3"/>
    <mergeCell ref="AZJ3:AZP3"/>
    <mergeCell ref="AZQ3:AZW3"/>
    <mergeCell ref="AZX3:BAD3"/>
    <mergeCell ref="BAE3:BAK3"/>
    <mergeCell ref="BAL3:BAR3"/>
    <mergeCell ref="AXM3:AXS3"/>
    <mergeCell ref="AXT3:AXZ3"/>
    <mergeCell ref="AYA3:AYG3"/>
    <mergeCell ref="AYH3:AYN3"/>
    <mergeCell ref="AYO3:AYU3"/>
    <mergeCell ref="AYV3:AZB3"/>
    <mergeCell ref="AVW3:AWC3"/>
    <mergeCell ref="AWD3:AWJ3"/>
    <mergeCell ref="AWK3:AWQ3"/>
    <mergeCell ref="AWR3:AWX3"/>
    <mergeCell ref="AWY3:AXE3"/>
    <mergeCell ref="AXF3:AXL3"/>
    <mergeCell ref="AUG3:AUM3"/>
    <mergeCell ref="AUN3:AUT3"/>
    <mergeCell ref="AUU3:AVA3"/>
    <mergeCell ref="AVB3:AVH3"/>
    <mergeCell ref="AVI3:AVO3"/>
    <mergeCell ref="AVP3:AVV3"/>
    <mergeCell ref="ASQ3:ASW3"/>
    <mergeCell ref="ASX3:ATD3"/>
    <mergeCell ref="ATE3:ATK3"/>
    <mergeCell ref="ATL3:ATR3"/>
    <mergeCell ref="ATS3:ATY3"/>
    <mergeCell ref="ATZ3:AUF3"/>
    <mergeCell ref="ARA3:ARG3"/>
    <mergeCell ref="ARH3:ARN3"/>
    <mergeCell ref="ARO3:ARU3"/>
    <mergeCell ref="ARV3:ASB3"/>
    <mergeCell ref="ASC3:ASI3"/>
    <mergeCell ref="ASJ3:ASP3"/>
    <mergeCell ref="APK3:APQ3"/>
    <mergeCell ref="APR3:APX3"/>
    <mergeCell ref="APY3:AQE3"/>
    <mergeCell ref="AQF3:AQL3"/>
    <mergeCell ref="AQM3:AQS3"/>
    <mergeCell ref="AQT3:AQZ3"/>
    <mergeCell ref="ANU3:AOA3"/>
    <mergeCell ref="AOB3:AOH3"/>
    <mergeCell ref="AOI3:AOO3"/>
    <mergeCell ref="AOP3:AOV3"/>
    <mergeCell ref="AOW3:APC3"/>
    <mergeCell ref="APD3:APJ3"/>
    <mergeCell ref="AME3:AMK3"/>
    <mergeCell ref="AML3:AMR3"/>
    <mergeCell ref="AMS3:AMY3"/>
    <mergeCell ref="AMZ3:ANF3"/>
    <mergeCell ref="ANG3:ANM3"/>
    <mergeCell ref="ANN3:ANT3"/>
    <mergeCell ref="AKO3:AKU3"/>
    <mergeCell ref="AKV3:ALB3"/>
    <mergeCell ref="ALC3:ALI3"/>
    <mergeCell ref="ALJ3:ALP3"/>
    <mergeCell ref="ALQ3:ALW3"/>
    <mergeCell ref="ALX3:AMD3"/>
    <mergeCell ref="AIY3:AJE3"/>
    <mergeCell ref="AJF3:AJL3"/>
    <mergeCell ref="AJM3:AJS3"/>
    <mergeCell ref="AJT3:AJZ3"/>
    <mergeCell ref="AKA3:AKG3"/>
    <mergeCell ref="AKH3:AKN3"/>
    <mergeCell ref="AHI3:AHO3"/>
    <mergeCell ref="AHP3:AHV3"/>
    <mergeCell ref="AHW3:AIC3"/>
    <mergeCell ref="AID3:AIJ3"/>
    <mergeCell ref="AIK3:AIQ3"/>
    <mergeCell ref="AIR3:AIX3"/>
    <mergeCell ref="AFS3:AFY3"/>
    <mergeCell ref="AFZ3:AGF3"/>
    <mergeCell ref="AGG3:AGM3"/>
    <mergeCell ref="AGN3:AGT3"/>
    <mergeCell ref="AGU3:AHA3"/>
    <mergeCell ref="AHB3:AHH3"/>
    <mergeCell ref="AEC3:AEI3"/>
    <mergeCell ref="AEJ3:AEP3"/>
    <mergeCell ref="AEQ3:AEW3"/>
    <mergeCell ref="AEX3:AFD3"/>
    <mergeCell ref="AFE3:AFK3"/>
    <mergeCell ref="AFL3:AFR3"/>
    <mergeCell ref="ACM3:ACS3"/>
    <mergeCell ref="ACT3:ACZ3"/>
    <mergeCell ref="ADA3:ADG3"/>
    <mergeCell ref="ADH3:ADN3"/>
    <mergeCell ref="ADO3:ADU3"/>
    <mergeCell ref="ADV3:AEB3"/>
    <mergeCell ref="AAW3:ABC3"/>
    <mergeCell ref="ABD3:ABJ3"/>
    <mergeCell ref="ABK3:ABQ3"/>
    <mergeCell ref="ABR3:ABX3"/>
    <mergeCell ref="ABY3:ACE3"/>
    <mergeCell ref="ACF3:ACL3"/>
    <mergeCell ref="ZG3:ZM3"/>
    <mergeCell ref="ZN3:ZT3"/>
    <mergeCell ref="ZU3:AAA3"/>
    <mergeCell ref="AAB3:AAH3"/>
    <mergeCell ref="AAI3:AAO3"/>
    <mergeCell ref="AAP3:AAV3"/>
    <mergeCell ref="XQ3:XW3"/>
    <mergeCell ref="XX3:YD3"/>
    <mergeCell ref="YE3:YK3"/>
    <mergeCell ref="YL3:YR3"/>
    <mergeCell ref="YS3:YY3"/>
    <mergeCell ref="YZ3:ZF3"/>
    <mergeCell ref="WA3:WG3"/>
    <mergeCell ref="WH3:WN3"/>
    <mergeCell ref="WO3:WU3"/>
    <mergeCell ref="WV3:XB3"/>
    <mergeCell ref="XC3:XI3"/>
    <mergeCell ref="XJ3:XP3"/>
    <mergeCell ref="UK3:UQ3"/>
    <mergeCell ref="UR3:UX3"/>
    <mergeCell ref="UY3:VE3"/>
    <mergeCell ref="VF3:VL3"/>
    <mergeCell ref="VM3:VS3"/>
    <mergeCell ref="VT3:VZ3"/>
    <mergeCell ref="SU3:TA3"/>
    <mergeCell ref="TB3:TH3"/>
    <mergeCell ref="TI3:TO3"/>
    <mergeCell ref="TP3:TV3"/>
    <mergeCell ref="TW3:UC3"/>
    <mergeCell ref="UD3:UJ3"/>
    <mergeCell ref="RE3:RK3"/>
    <mergeCell ref="RL3:RR3"/>
    <mergeCell ref="RS3:RY3"/>
    <mergeCell ref="RZ3:SF3"/>
    <mergeCell ref="SG3:SM3"/>
    <mergeCell ref="SN3:ST3"/>
    <mergeCell ref="PO3:PU3"/>
    <mergeCell ref="PV3:QB3"/>
    <mergeCell ref="QC3:QI3"/>
    <mergeCell ref="QJ3:QP3"/>
    <mergeCell ref="QQ3:QW3"/>
    <mergeCell ref="QX3:RD3"/>
    <mergeCell ref="NY3:OE3"/>
    <mergeCell ref="OF3:OL3"/>
    <mergeCell ref="OM3:OS3"/>
    <mergeCell ref="OT3:OZ3"/>
    <mergeCell ref="PA3:PG3"/>
    <mergeCell ref="PH3:PN3"/>
    <mergeCell ref="MI3:MO3"/>
    <mergeCell ref="MP3:MV3"/>
    <mergeCell ref="MW3:NC3"/>
    <mergeCell ref="ND3:NJ3"/>
    <mergeCell ref="NK3:NQ3"/>
    <mergeCell ref="NR3:NX3"/>
    <mergeCell ref="KS3:KY3"/>
    <mergeCell ref="KZ3:LF3"/>
    <mergeCell ref="LG3:LM3"/>
    <mergeCell ref="LN3:LT3"/>
    <mergeCell ref="LU3:MA3"/>
    <mergeCell ref="MB3:MH3"/>
    <mergeCell ref="JC3:JI3"/>
    <mergeCell ref="JJ3:JP3"/>
    <mergeCell ref="JQ3:JW3"/>
    <mergeCell ref="JX3:KD3"/>
    <mergeCell ref="KE3:KK3"/>
    <mergeCell ref="KL3:KR3"/>
    <mergeCell ref="HM3:HS3"/>
    <mergeCell ref="HT3:HZ3"/>
    <mergeCell ref="IA3:IG3"/>
    <mergeCell ref="IH3:IN3"/>
    <mergeCell ref="IO3:IU3"/>
    <mergeCell ref="IV3:JB3"/>
    <mergeCell ref="FW3:GC3"/>
    <mergeCell ref="GD3:GJ3"/>
    <mergeCell ref="GK3:GQ3"/>
    <mergeCell ref="GR3:GX3"/>
    <mergeCell ref="GY3:HE3"/>
    <mergeCell ref="HF3:HL3"/>
    <mergeCell ref="EG3:EM3"/>
    <mergeCell ref="EN3:ET3"/>
    <mergeCell ref="EU3:FA3"/>
    <mergeCell ref="FB3:FH3"/>
    <mergeCell ref="FI3:FO3"/>
    <mergeCell ref="FP3:FV3"/>
    <mergeCell ref="CQ3:CW3"/>
    <mergeCell ref="CX3:DD3"/>
    <mergeCell ref="DE3:DK3"/>
    <mergeCell ref="DL3:DR3"/>
    <mergeCell ref="DS3:DY3"/>
    <mergeCell ref="DZ3:EF3"/>
    <mergeCell ref="BA3:BG3"/>
    <mergeCell ref="BH3:BN3"/>
    <mergeCell ref="BO3:BU3"/>
    <mergeCell ref="BV3:CB3"/>
    <mergeCell ref="CC3:CI3"/>
    <mergeCell ref="CJ3:CP3"/>
    <mergeCell ref="K3:Q3"/>
    <mergeCell ref="R3:X3"/>
    <mergeCell ref="Y3:AE3"/>
    <mergeCell ref="AF3:AL3"/>
    <mergeCell ref="AM3:AS3"/>
    <mergeCell ref="AT3:AZ3"/>
  </mergeCells>
  <conditionalFormatting sqref="F7:CFM152">
    <cfRule type="expression" dxfId="7" priority="2">
      <formula>AND($B7="INSPECTIONS",F7=1)</formula>
    </cfRule>
    <cfRule type="cellIs" dxfId="6" priority="5" operator="equal">
      <formula>1</formula>
    </cfRule>
  </conditionalFormatting>
  <conditionalFormatting sqref="F4:CFM5">
    <cfRule type="cellIs" dxfId="5" priority="4" operator="equal">
      <formula>0</formula>
    </cfRule>
  </conditionalFormatting>
  <conditionalFormatting sqref="A7:E152">
    <cfRule type="expression" dxfId="4" priority="1">
      <formula>$B7="INSPECTIONS"</formula>
    </cfRule>
    <cfRule type="expression" dxfId="3" priority="3">
      <formula>RIGHT($A7,2)="00"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6" r:id="rId3" name="scrDateMove">
              <controlPr defaultSize="0" autoPict="0" macro="[0]!ManualScroll">
                <anchor>
                  <from>
                    <xdr:col>2</xdr:col>
                    <xdr:colOff>152400</xdr:colOff>
                    <xdr:row>0</xdr:row>
                    <xdr:rowOff>142875</xdr:rowOff>
                  </from>
                  <to>
                    <xdr:col>2</xdr:col>
                    <xdr:colOff>1704975</xdr:colOff>
                    <xdr:row>1</xdr:row>
                    <xdr:rowOff>180975</xdr:rowOff>
                  </to>
                </anchor>
              </controlPr>
            </control>
          </mc:Choice>
        </mc:AlternateContent>
        <mc:AlternateContent xmlns:mc="http://schemas.openxmlformats.org/markup-compatibility/2006">
          <mc:Choice Requires="x14">
            <control shapeId="7180" r:id="rId4" name="cmbYear">
              <controlPr defaultSize="0" autoLine="0" autoPict="0" macro="[0]!JumpToYear">
                <anchor>
                  <from>
                    <xdr:col>2</xdr:col>
                    <xdr:colOff>2162175</xdr:colOff>
                    <xdr:row>0</xdr:row>
                    <xdr:rowOff>152400</xdr:rowOff>
                  </from>
                  <to>
                    <xdr:col>2</xdr:col>
                    <xdr:colOff>2705100</xdr:colOff>
                    <xdr:row>1</xdr:row>
                    <xdr:rowOff>180975</xdr:rowOff>
                  </to>
                </anchor>
              </controlPr>
            </control>
          </mc:Choice>
        </mc:AlternateContent>
        <mc:AlternateContent xmlns:mc="http://schemas.openxmlformats.org/markup-compatibility/2006">
          <mc:Choice Requires="x14">
            <control shapeId="7182" r:id="rId5" name="chkCompactView">
              <controlPr defaultSize="0" autoFill="0" autoLine="0" autoPict="0" macro="[0]!Toggle_Compact_View">
                <anchor moveWithCells="1">
                  <from>
                    <xdr:col>2</xdr:col>
                    <xdr:colOff>2162175</xdr:colOff>
                    <xdr:row>3</xdr:row>
                    <xdr:rowOff>9525</xdr:rowOff>
                  </from>
                  <to>
                    <xdr:col>2</xdr:col>
                    <xdr:colOff>3162300</xdr:colOff>
                    <xdr:row>4</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L43"/>
  <sheetViews>
    <sheetView zoomScaleNormal="100" workbookViewId="0">
      <pane ySplit="3" topLeftCell="B4" activePane="bottomLeft" state="frozen"/>
      <selection pane="bottomLeft" activeCell="I26" sqref="I26"/>
    </sheetView>
  </sheetViews>
  <sheetFormatPr defaultColWidth="9.140625" defaultRowHeight="15"/>
  <cols>
    <col min="1" max="1" width="7.140625" style="49" customWidth="1"/>
    <col min="2" max="2" width="47" style="90" customWidth="1"/>
    <col min="3" max="3" width="26.42578125" style="48" customWidth="1"/>
    <col min="4" max="4" width="13.7109375" style="48" customWidth="1"/>
    <col min="5" max="5" width="16.42578125" style="49" hidden="1" customWidth="1"/>
    <col min="6" max="7" width="31.140625" style="49" hidden="1" customWidth="1"/>
    <col min="8" max="8" width="10.7109375" style="49" customWidth="1"/>
    <col min="9" max="38" width="10.7109375" style="48" customWidth="1"/>
    <col min="39" max="16384" width="9.140625" style="49"/>
  </cols>
  <sheetData>
    <row r="1" spans="1:38" ht="30" customHeight="1" thickBot="1">
      <c r="A1" s="452"/>
      <c r="B1" s="262" t="s">
        <v>77</v>
      </c>
      <c r="C1" s="245"/>
      <c r="D1" s="246"/>
      <c r="E1" s="111"/>
      <c r="F1" s="111"/>
      <c r="G1" s="111"/>
      <c r="H1" s="111"/>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3"/>
    </row>
    <row r="2" spans="1:38" ht="22.5" customHeight="1" thickBot="1">
      <c r="A2" s="452"/>
      <c r="B2" s="234" t="str">
        <f>'01 Project Details'!B2</f>
        <v xml:space="preserve">PT#    </v>
      </c>
      <c r="C2" s="207"/>
      <c r="D2" s="208"/>
      <c r="E2" s="242"/>
      <c r="F2" s="242"/>
      <c r="G2" s="242"/>
      <c r="H2" s="242"/>
      <c r="I2" s="242"/>
      <c r="J2" s="242"/>
      <c r="K2" s="242"/>
      <c r="L2" s="242"/>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4"/>
    </row>
    <row r="3" spans="1:38" ht="30" customHeight="1" thickBot="1">
      <c r="A3" s="114" t="s">
        <v>78</v>
      </c>
      <c r="B3" s="28" t="s">
        <v>59</v>
      </c>
      <c r="C3" s="29" t="s">
        <v>60</v>
      </c>
      <c r="D3" s="29" t="s">
        <v>61</v>
      </c>
      <c r="E3" s="29" t="s">
        <v>62</v>
      </c>
      <c r="F3" s="29" t="s">
        <v>79</v>
      </c>
      <c r="G3" s="29" t="s">
        <v>64</v>
      </c>
      <c r="H3" s="312"/>
      <c r="I3" s="602" t="s">
        <v>545</v>
      </c>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3"/>
      <c r="AI3" s="603"/>
      <c r="AJ3" s="603"/>
      <c r="AK3" s="603"/>
      <c r="AL3" s="604"/>
    </row>
    <row r="4" spans="1:38" ht="15" customHeight="1" thickBot="1">
      <c r="A4" s="452"/>
      <c r="B4" s="452"/>
      <c r="C4" s="453"/>
      <c r="D4" s="453"/>
      <c r="E4" s="453"/>
      <c r="F4" s="453"/>
      <c r="G4" s="453"/>
      <c r="H4" s="453"/>
      <c r="I4" s="453"/>
      <c r="J4" s="453"/>
      <c r="K4" s="453"/>
      <c r="L4" s="453"/>
      <c r="M4" s="453"/>
      <c r="N4" s="453"/>
      <c r="O4" s="453"/>
      <c r="P4" s="453"/>
      <c r="Q4" s="453"/>
      <c r="R4" s="453"/>
      <c r="S4" s="453"/>
      <c r="T4" s="453"/>
      <c r="U4" s="453"/>
      <c r="V4" s="453"/>
      <c r="W4" s="453"/>
      <c r="X4" s="453"/>
      <c r="Y4" s="453"/>
      <c r="Z4" s="453"/>
      <c r="AA4" s="453"/>
      <c r="AB4" s="453"/>
      <c r="AC4" s="453"/>
      <c r="AD4" s="453"/>
      <c r="AE4" s="453"/>
      <c r="AF4" s="453"/>
      <c r="AG4" s="453"/>
      <c r="AH4" s="453"/>
      <c r="AI4" s="453"/>
      <c r="AJ4" s="453"/>
      <c r="AK4" s="453"/>
      <c r="AL4" s="453"/>
    </row>
    <row r="5" spans="1:38" ht="15.75" thickBot="1">
      <c r="A5" s="452"/>
      <c r="B5" s="85" t="s">
        <v>73</v>
      </c>
      <c r="C5" s="453" t="str">
        <f t="array" ref="C5">IFERROR(INDEX(tblTradeProspects[],MATCH("CG APPROVED"&amp;$B5,tblTradeProspects[_Status]&amp;tblTradeProspects[Project TO''s],0),COLUMN()+2),"")</f>
        <v/>
      </c>
      <c r="D5" s="453"/>
      <c r="E5" s="453"/>
      <c r="F5" s="453"/>
      <c r="G5" s="453"/>
      <c r="H5" s="311">
        <f>I5-7</f>
        <v>-24</v>
      </c>
      <c r="I5" s="311">
        <f>J5-7</f>
        <v>-17</v>
      </c>
      <c r="J5" s="311">
        <f>K5-7</f>
        <v>-10</v>
      </c>
      <c r="K5" s="311">
        <f>L5-7</f>
        <v>-3</v>
      </c>
      <c r="L5" s="311">
        <f>'01 Project Details'!C14+4</f>
        <v>4</v>
      </c>
      <c r="M5" s="311">
        <f>L5+7</f>
        <v>11</v>
      </c>
      <c r="N5" s="311">
        <f>M5+7</f>
        <v>18</v>
      </c>
      <c r="O5" s="311">
        <f t="shared" ref="O5:AL5" si="0">N5+7</f>
        <v>25</v>
      </c>
      <c r="P5" s="311">
        <f t="shared" si="0"/>
        <v>32</v>
      </c>
      <c r="Q5" s="311">
        <f t="shared" si="0"/>
        <v>39</v>
      </c>
      <c r="R5" s="311">
        <f t="shared" si="0"/>
        <v>46</v>
      </c>
      <c r="S5" s="311">
        <f t="shared" si="0"/>
        <v>53</v>
      </c>
      <c r="T5" s="311">
        <f t="shared" si="0"/>
        <v>60</v>
      </c>
      <c r="U5" s="311">
        <f t="shared" si="0"/>
        <v>67</v>
      </c>
      <c r="V5" s="311">
        <f t="shared" si="0"/>
        <v>74</v>
      </c>
      <c r="W5" s="311">
        <f t="shared" si="0"/>
        <v>81</v>
      </c>
      <c r="X5" s="311">
        <f t="shared" si="0"/>
        <v>88</v>
      </c>
      <c r="Y5" s="311">
        <f t="shared" si="0"/>
        <v>95</v>
      </c>
      <c r="Z5" s="311">
        <f t="shared" si="0"/>
        <v>102</v>
      </c>
      <c r="AA5" s="311">
        <f t="shared" si="0"/>
        <v>109</v>
      </c>
      <c r="AB5" s="311">
        <f t="shared" si="0"/>
        <v>116</v>
      </c>
      <c r="AC5" s="311">
        <f t="shared" si="0"/>
        <v>123</v>
      </c>
      <c r="AD5" s="311">
        <f t="shared" si="0"/>
        <v>130</v>
      </c>
      <c r="AE5" s="311">
        <f t="shared" si="0"/>
        <v>137</v>
      </c>
      <c r="AF5" s="311">
        <f t="shared" si="0"/>
        <v>144</v>
      </c>
      <c r="AG5" s="311">
        <f t="shared" si="0"/>
        <v>151</v>
      </c>
      <c r="AH5" s="311">
        <f t="shared" si="0"/>
        <v>158</v>
      </c>
      <c r="AI5" s="311">
        <f t="shared" si="0"/>
        <v>165</v>
      </c>
      <c r="AJ5" s="311">
        <f t="shared" si="0"/>
        <v>172</v>
      </c>
      <c r="AK5" s="311">
        <f t="shared" si="0"/>
        <v>179</v>
      </c>
      <c r="AL5" s="311">
        <f t="shared" si="0"/>
        <v>186</v>
      </c>
    </row>
    <row r="6" spans="1:38">
      <c r="A6" s="452" t="str">
        <f>'01 Project Details'!C19</f>
        <v>NO</v>
      </c>
      <c r="B6" s="59" t="str">
        <f>'01 Project Details'!B19</f>
        <v>Asphalt</v>
      </c>
      <c r="C6" s="92" t="str">
        <f t="array" ref="C6">IFERROR(INDEX(tblTradeProspects[],MATCH("CG APPROVED"&amp;$B6,tblTradeProspects[_Status]&amp;tblTradeProspects[Project TO''s],0),COLUMN()+2),"")</f>
        <v/>
      </c>
      <c r="D6" s="222" t="str">
        <f t="array" ref="D6">IFERROR(INDEX(tblTradeProspects[],MATCH("CG APPROVED"&amp;$B6,tblTradeProspects[_Status]&amp;tblTradeProspects[Project TO''s],0),COLUMN()+2),"")</f>
        <v/>
      </c>
      <c r="E6" s="223" t="str">
        <f t="array" ref="E6">IFERROR(INDEX(tblTradeProspects[],MATCH("CG APPROVED"&amp;$B6,tblTradeProspects[_Status]&amp;tblTradeProspects[Project TO''s],0),COLUMN()+2),"")</f>
        <v/>
      </c>
      <c r="F6" s="127" t="str">
        <f t="array" ref="F6">IFERROR(INDEX(tblTradeProspects[],MATCH("CG APPROVED"&amp;$B6,tblTradeProspects[_Status]&amp;tblTradeProspects[Project TO''s],0),COLUMN()+2),"")</f>
        <v/>
      </c>
      <c r="G6" s="313"/>
      <c r="H6" s="316"/>
      <c r="I6" s="195"/>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row>
    <row r="7" spans="1:38" ht="15" customHeight="1">
      <c r="A7" s="452">
        <f>'01 Project Details'!C20</f>
        <v>0</v>
      </c>
      <c r="B7" s="93" t="str">
        <f>'01 Project Details'!B20</f>
        <v xml:space="preserve">A/V </v>
      </c>
      <c r="C7" s="128">
        <f t="array" ref="C7">IFERROR(INDEX(tblTradeProspects[],MATCH("CG APPROVED"&amp;$B7,tblTradeProspects[_Status]&amp;tblTradeProspects[Project TO''s],0),COLUMN()+2),"")</f>
        <v>0</v>
      </c>
      <c r="D7" s="222">
        <f t="array" ref="D7">IFERROR(INDEX(tblTradeProspects[],MATCH("CG APPROVED"&amp;$B7,tblTradeProspects[_Status]&amp;tblTradeProspects[Project TO''s],0),COLUMN()+2),"")</f>
        <v>0</v>
      </c>
      <c r="E7" s="224">
        <f t="array" ref="E7">IFERROR(INDEX(tblTradeProspects[],MATCH("CG APPROVED"&amp;$B7,tblTradeProspects[_Status]&amp;tblTradeProspects[Project TO''s],0),COLUMN()+2),"")</f>
        <v>0</v>
      </c>
      <c r="F7" s="129">
        <f t="array" ref="F7">IFERROR(INDEX(tblTradeProspects[],MATCH("CG APPROVED"&amp;$B7,tblTradeProspects[_Status]&amp;tblTradeProspects[Project TO''s],0),COLUMN()+2),"")</f>
        <v>0</v>
      </c>
      <c r="G7" s="314"/>
      <c r="H7" s="79"/>
      <c r="I7" s="78"/>
      <c r="J7" s="78"/>
      <c r="K7" s="78"/>
      <c r="L7" s="78"/>
      <c r="M7" s="78"/>
      <c r="N7" s="78"/>
      <c r="O7" s="78"/>
      <c r="P7" s="78"/>
      <c r="Q7" s="78"/>
      <c r="R7" s="78"/>
      <c r="S7" s="78"/>
      <c r="T7" s="78"/>
      <c r="U7" s="78"/>
      <c r="V7" s="78"/>
      <c r="W7" s="78"/>
      <c r="X7" s="78"/>
      <c r="Y7" s="78"/>
      <c r="Z7" s="78"/>
      <c r="AA7" s="78"/>
      <c r="AB7" s="78"/>
      <c r="AC7" s="78"/>
      <c r="AD7" s="78"/>
      <c r="AE7" s="78"/>
      <c r="AF7" s="78"/>
      <c r="AG7" s="78"/>
      <c r="AH7" s="78"/>
      <c r="AI7" s="78"/>
      <c r="AJ7" s="78"/>
      <c r="AK7" s="78"/>
      <c r="AL7" s="79"/>
    </row>
    <row r="8" spans="1:38" ht="15" customHeight="1">
      <c r="A8" s="452">
        <f>'01 Project Details'!C21</f>
        <v>0</v>
      </c>
      <c r="B8" s="93" t="str">
        <f>'01 Project Details'!B21</f>
        <v>Caseworks </v>
      </c>
      <c r="C8" s="128">
        <f t="array" ref="C8">IFERROR(INDEX(tblTradeProspects[],MATCH("CG APPROVED"&amp;$B8,tblTradeProspects[_Status]&amp;tblTradeProspects[Project TO''s],0),COLUMN()+2),"")</f>
        <v>0</v>
      </c>
      <c r="D8" s="222">
        <f t="array" ref="D8">IFERROR(INDEX(tblTradeProspects[],MATCH("CG APPROVED"&amp;$B8,tblTradeProspects[_Status]&amp;tblTradeProspects[Project TO''s],0),COLUMN()+2),"")</f>
        <v>0</v>
      </c>
      <c r="E8" s="225">
        <f t="array" ref="E8">IFERROR(INDEX(tblTradeProspects[],MATCH("CG APPROVED"&amp;$B8,tblTradeProspects[_Status]&amp;tblTradeProspects[Project TO''s],0),COLUMN()+2),"")</f>
        <v>0</v>
      </c>
      <c r="F8" s="130">
        <f t="array" ref="F8">IFERROR(INDEX(tblTradeProspects[],MATCH("CG APPROVED"&amp;$B8,tblTradeProspects[_Status]&amp;tblTradeProspects[Project TO''s],0),COLUMN()+2),"")</f>
        <v>0</v>
      </c>
      <c r="G8" s="315"/>
      <c r="H8" s="79"/>
      <c r="I8" s="78"/>
      <c r="J8" s="78"/>
      <c r="K8" s="78"/>
      <c r="L8" s="78"/>
      <c r="M8" s="78"/>
      <c r="N8" s="78"/>
      <c r="O8" s="78"/>
      <c r="P8" s="78"/>
      <c r="Q8" s="78"/>
      <c r="R8" s="78"/>
      <c r="S8" s="78"/>
      <c r="T8" s="78"/>
      <c r="U8" s="78"/>
      <c r="V8" s="78"/>
      <c r="W8" s="78"/>
      <c r="X8" s="78"/>
      <c r="Y8" s="78"/>
      <c r="Z8" s="78"/>
      <c r="AA8" s="78"/>
      <c r="AB8" s="78"/>
      <c r="AC8" s="78"/>
      <c r="AD8" s="78"/>
      <c r="AE8" s="78"/>
      <c r="AF8" s="78"/>
      <c r="AG8" s="78"/>
      <c r="AH8" s="78"/>
      <c r="AI8" s="78"/>
      <c r="AJ8" s="78"/>
      <c r="AK8" s="78"/>
      <c r="AL8" s="131"/>
    </row>
    <row r="9" spans="1:38">
      <c r="A9" s="452">
        <f>'01 Project Details'!C22</f>
        <v>0</v>
      </c>
      <c r="B9" s="93" t="str">
        <f>'01 Project Details'!B22</f>
        <v>Carpentry - Rough Framing </v>
      </c>
      <c r="C9" s="128">
        <f t="array" ref="C9">IFERROR(INDEX(tblTradeProspects[],MATCH("CG APPROVED"&amp;$B9,tblTradeProspects[_Status]&amp;tblTradeProspects[Project TO''s],0),COLUMN()+2),"")</f>
        <v>0</v>
      </c>
      <c r="D9" s="222">
        <f t="array" ref="D9">IFERROR(INDEX(tblTradeProspects[],MATCH("CG APPROVED"&amp;$B9,tblTradeProspects[_Status]&amp;tblTradeProspects[Project TO''s],0),COLUMN()+2),"")</f>
        <v>0</v>
      </c>
      <c r="E9" s="223">
        <f t="array" ref="E9">IFERROR(INDEX(tblTradeProspects[],MATCH("CG APPROVED"&amp;$B9,tblTradeProspects[_Status]&amp;tblTradeProspects[Project TO''s],0),COLUMN()+2),"")</f>
        <v>0</v>
      </c>
      <c r="F9" s="133">
        <f t="array" ref="F9">IFERROR(INDEX(tblTradeProspects[],MATCH("CG APPROVED"&amp;$B9,tblTradeProspects[_Status]&amp;tblTradeProspects[Project TO''s],0),COLUMN()+2),"")</f>
        <v>0</v>
      </c>
      <c r="G9" s="309"/>
      <c r="H9" s="110"/>
      <c r="I9" s="78"/>
      <c r="J9" s="78"/>
      <c r="K9" s="78"/>
      <c r="L9" s="78"/>
      <c r="M9" s="78"/>
      <c r="N9" s="78"/>
      <c r="O9" s="78"/>
      <c r="P9" s="78"/>
      <c r="Q9" s="78"/>
      <c r="R9" s="78"/>
      <c r="S9" s="78"/>
      <c r="T9" s="78"/>
      <c r="U9" s="78"/>
      <c r="V9" s="78"/>
      <c r="W9" s="78"/>
      <c r="X9" s="78"/>
      <c r="Y9" s="78"/>
      <c r="Z9" s="78"/>
      <c r="AA9" s="78"/>
      <c r="AB9" s="78"/>
      <c r="AC9" s="78"/>
      <c r="AD9" s="78"/>
      <c r="AE9" s="78"/>
      <c r="AF9" s="78"/>
      <c r="AG9" s="78"/>
      <c r="AH9" s="78"/>
      <c r="AI9" s="78"/>
      <c r="AJ9" s="78"/>
      <c r="AK9" s="78"/>
      <c r="AL9" s="79"/>
    </row>
    <row r="10" spans="1:38">
      <c r="A10" s="452">
        <f>'01 Project Details'!C23</f>
        <v>0</v>
      </c>
      <c r="B10" s="93" t="str">
        <f>'01 Project Details'!B23</f>
        <v>Ceilings - ACT  </v>
      </c>
      <c r="C10" s="128">
        <f t="array" ref="C10">IFERROR(INDEX(tblTradeProspects[],MATCH("CG APPROVED"&amp;$B10,tblTradeProspects[_Status]&amp;tblTradeProspects[Project TO''s],0),COLUMN()+2),"")</f>
        <v>0</v>
      </c>
      <c r="D10" s="222">
        <f t="array" ref="D10">IFERROR(INDEX(tblTradeProspects[],MATCH("CG APPROVED"&amp;$B10,tblTradeProspects[_Status]&amp;tblTradeProspects[Project TO''s],0),COLUMN()+2),"")</f>
        <v>0</v>
      </c>
      <c r="E10" s="223">
        <f t="array" ref="E10">IFERROR(INDEX(tblTradeProspects[],MATCH("CG APPROVED"&amp;$B10,tblTradeProspects[_Status]&amp;tblTradeProspects[Project TO''s],0),COLUMN()+2),"")</f>
        <v>0</v>
      </c>
      <c r="F10" s="134">
        <f t="array" ref="F10">IFERROR(INDEX(tblTradeProspects[],MATCH("CG APPROVED"&amp;$B10,tblTradeProspects[_Status]&amp;tblTradeProspects[Project TO''s],0),COLUMN()+2),"")</f>
        <v>0</v>
      </c>
      <c r="G10" s="307"/>
      <c r="H10" s="106"/>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9"/>
    </row>
    <row r="11" spans="1:38">
      <c r="A11" s="452">
        <f>'01 Project Details'!C24</f>
        <v>0</v>
      </c>
      <c r="B11" s="93" t="str">
        <f>'01 Project Details'!B24</f>
        <v>Concrete </v>
      </c>
      <c r="C11" s="128">
        <f t="array" ref="C11">IFERROR(INDEX(tblTradeProspects[],MATCH("CG APPROVED"&amp;$B11,tblTradeProspects[_Status]&amp;tblTradeProspects[Project TO''s],0),COLUMN()+2),"")</f>
        <v>0</v>
      </c>
      <c r="D11" s="222">
        <f t="array" ref="D11">IFERROR(INDEX(tblTradeProspects[],MATCH("CG APPROVED"&amp;$B11,tblTradeProspects[_Status]&amp;tblTradeProspects[Project TO''s],0),COLUMN()+2),"")</f>
        <v>0</v>
      </c>
      <c r="E11" s="223">
        <f t="array" ref="E11">IFERROR(INDEX(tblTradeProspects[],MATCH("CG APPROVED"&amp;$B11,tblTradeProspects[_Status]&amp;tblTradeProspects[Project TO''s],0),COLUMN()+2),"")</f>
        <v>0</v>
      </c>
      <c r="F11" s="134">
        <f t="array" ref="F11">IFERROR(INDEX(tblTradeProspects[],MATCH("CG APPROVED"&amp;$B11,tblTradeProspects[_Status]&amp;tblTradeProspects[Project TO''s],0),COLUMN()+2),"")</f>
        <v>0</v>
      </c>
      <c r="G11" s="307"/>
      <c r="H11" s="106"/>
      <c r="I11" s="78"/>
      <c r="J11" s="78"/>
      <c r="K11" s="78"/>
      <c r="L11" s="78"/>
      <c r="M11" s="78"/>
      <c r="N11" s="78"/>
      <c r="O11" s="78"/>
      <c r="P11" s="78"/>
      <c r="Q11" s="78"/>
      <c r="R11" s="78"/>
      <c r="S11" s="78"/>
      <c r="T11" s="78"/>
      <c r="U11" s="78"/>
      <c r="V11" s="78"/>
      <c r="W11" s="78"/>
      <c r="X11" s="78"/>
      <c r="Y11" s="78"/>
      <c r="Z11" s="78"/>
      <c r="AA11" s="78"/>
      <c r="AB11" s="78"/>
      <c r="AC11" s="78"/>
      <c r="AD11" s="78"/>
      <c r="AE11" s="78"/>
      <c r="AF11" s="78"/>
      <c r="AG11" s="78"/>
      <c r="AH11" s="78"/>
      <c r="AI11" s="78"/>
      <c r="AJ11" s="78"/>
      <c r="AK11" s="78"/>
      <c r="AL11" s="79"/>
    </row>
    <row r="12" spans="1:38" ht="15" customHeight="1">
      <c r="A12" s="452">
        <f>'01 Project Details'!C25</f>
        <v>0</v>
      </c>
      <c r="B12" s="93" t="str">
        <f>'01 Project Details'!B25</f>
        <v>Demolition</v>
      </c>
      <c r="C12" s="128">
        <f t="array" ref="C12">IFERROR(INDEX(tblTradeProspects[],MATCH("CG APPROVED"&amp;$B12,tblTradeProspects[_Status]&amp;tblTradeProspects[Project TO''s],0),COLUMN()+2),"")</f>
        <v>0</v>
      </c>
      <c r="D12" s="222">
        <f t="array" ref="D12">IFERROR(INDEX(tblTradeProspects[],MATCH("CG APPROVED"&amp;$B12,tblTradeProspects[_Status]&amp;tblTradeProspects[Project TO''s],0),COLUMN()+2),"")</f>
        <v>0</v>
      </c>
      <c r="E12" s="223">
        <f t="array" ref="E12">IFERROR(INDEX(tblTradeProspects[],MATCH("CG APPROVED"&amp;$B12,tblTradeProspects[_Status]&amp;tblTradeProspects[Project TO''s],0),COLUMN()+2),"")</f>
        <v>0</v>
      </c>
      <c r="F12" s="133">
        <f t="array" ref="F12">IFERROR(INDEX(tblTradeProspects[],MATCH("CG APPROVED"&amp;$B12,tblTradeProspects[_Status]&amp;tblTradeProspects[Project TO''s],0),COLUMN()+2),"")</f>
        <v>0</v>
      </c>
      <c r="G12" s="306"/>
      <c r="H12" s="110"/>
      <c r="I12" s="78"/>
      <c r="J12" s="78"/>
      <c r="K12" s="78"/>
      <c r="L12" s="78"/>
      <c r="M12" s="78"/>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9"/>
    </row>
    <row r="13" spans="1:38">
      <c r="A13" s="452">
        <f>'01 Project Details'!C26</f>
        <v>0</v>
      </c>
      <c r="B13" s="93" t="str">
        <f>'01 Project Details'!B26</f>
        <v>Doors and Windows</v>
      </c>
      <c r="C13" s="128">
        <f t="array" ref="C13">IFERROR(INDEX(tblTradeProspects[],MATCH("CG APPROVED"&amp;$B13,tblTradeProspects[_Status]&amp;tblTradeProspects[Project TO''s],0),COLUMN()+2),"")</f>
        <v>0</v>
      </c>
      <c r="D13" s="222">
        <f t="array" ref="D13">IFERROR(INDEX(tblTradeProspects[],MATCH("CG APPROVED"&amp;$B13,tblTradeProspects[_Status]&amp;tblTradeProspects[Project TO''s],0),COLUMN()+2),"")</f>
        <v>0</v>
      </c>
      <c r="E13" s="223">
        <f t="array" ref="E13">IFERROR(INDEX(tblTradeProspects[],MATCH("CG APPROVED"&amp;$B13,tblTradeProspects[_Status]&amp;tblTradeProspects[Project TO''s],0),COLUMN()+2),"")</f>
        <v>0</v>
      </c>
      <c r="F13" s="133">
        <f t="array" ref="F13">IFERROR(INDEX(tblTradeProspects[],MATCH("CG APPROVED"&amp;$B13,tblTradeProspects[_Status]&amp;tblTradeProspects[Project TO''s],0),COLUMN()+2),"")</f>
        <v>0</v>
      </c>
      <c r="G13" s="306"/>
      <c r="H13" s="110"/>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9"/>
    </row>
    <row r="14" spans="1:38">
      <c r="A14" s="452">
        <f>'01 Project Details'!C27</f>
        <v>0</v>
      </c>
      <c r="B14" s="93" t="str">
        <f>'01 Project Details'!B27</f>
        <v>Drywall - Hanging</v>
      </c>
      <c r="C14" s="128">
        <f t="array" ref="C14">IFERROR(INDEX(tblTradeProspects[],MATCH("CG APPROVED"&amp;$B14,tblTradeProspects[_Status]&amp;tblTradeProspects[Project TO''s],0),COLUMN()+2),"")</f>
        <v>0</v>
      </c>
      <c r="D14" s="222">
        <f t="array" ref="D14">IFERROR(INDEX(tblTradeProspects[],MATCH("CG APPROVED"&amp;$B14,tblTradeProspects[_Status]&amp;tblTradeProspects[Project TO''s],0),COLUMN()+2),"")</f>
        <v>0</v>
      </c>
      <c r="E14" s="223">
        <f t="array" ref="E14">IFERROR(INDEX(tblTradeProspects[],MATCH("CG APPROVED"&amp;$B14,tblTradeProspects[_Status]&amp;tblTradeProspects[Project TO''s],0),COLUMN()+2),"")</f>
        <v>0</v>
      </c>
      <c r="F14" s="133">
        <f t="array" ref="F14">IFERROR(INDEX(tblTradeProspects[],MATCH("CG APPROVED"&amp;$B14,tblTradeProspects[_Status]&amp;tblTradeProspects[Project TO''s],0),COLUMN()+2),"")</f>
        <v>0</v>
      </c>
      <c r="G14" s="306"/>
      <c r="H14" s="110"/>
      <c r="I14" s="78"/>
      <c r="J14" s="78"/>
      <c r="K14" s="78"/>
      <c r="L14" s="78"/>
      <c r="M14" s="78"/>
      <c r="N14" s="78"/>
      <c r="O14" s="78"/>
      <c r="P14" s="78"/>
      <c r="Q14" s="78"/>
      <c r="R14" s="78"/>
      <c r="S14" s="78"/>
      <c r="T14" s="78"/>
      <c r="U14" s="78"/>
      <c r="V14" s="78"/>
      <c r="W14" s="78"/>
      <c r="X14" s="78"/>
      <c r="Y14" s="78"/>
      <c r="Z14" s="78"/>
      <c r="AA14" s="78"/>
      <c r="AB14" s="78"/>
      <c r="AC14" s="78"/>
      <c r="AD14" s="78"/>
      <c r="AE14" s="78"/>
      <c r="AF14" s="78"/>
      <c r="AG14" s="78"/>
      <c r="AH14" s="78"/>
      <c r="AI14" s="78"/>
      <c r="AJ14" s="78"/>
      <c r="AK14" s="78"/>
      <c r="AL14" s="79"/>
    </row>
    <row r="15" spans="1:38">
      <c r="A15" s="452">
        <f>'01 Project Details'!C28</f>
        <v>0</v>
      </c>
      <c r="B15" s="93" t="str">
        <f>'01 Project Details'!B28</f>
        <v>Drywall - Finish/Texture</v>
      </c>
      <c r="C15" s="128">
        <f t="array" ref="C15">IFERROR(INDEX(tblTradeProspects[],MATCH("CG APPROVED"&amp;$B15,tblTradeProspects[_Status]&amp;tblTradeProspects[Project TO''s],0),COLUMN()+2),"")</f>
        <v>0</v>
      </c>
      <c r="D15" s="222">
        <f t="array" ref="D15">IFERROR(INDEX(tblTradeProspects[],MATCH("CG APPROVED"&amp;$B15,tblTradeProspects[_Status]&amp;tblTradeProspects[Project TO''s],0),COLUMN()+2),"")</f>
        <v>0</v>
      </c>
      <c r="E15" s="223">
        <f t="array" ref="E15">IFERROR(INDEX(tblTradeProspects[],MATCH("CG APPROVED"&amp;$B15,tblTradeProspects[_Status]&amp;tblTradeProspects[Project TO''s],0),COLUMN()+2),"")</f>
        <v>0</v>
      </c>
      <c r="F15" s="136">
        <f t="array" ref="F15">IFERROR(INDEX(tblTradeProspects[],MATCH("CG APPROVED"&amp;$B15,tblTradeProspects[_Status]&amp;tblTradeProspects[Project TO''s],0),COLUMN()+2),"")</f>
        <v>0</v>
      </c>
      <c r="G15" s="307"/>
      <c r="H15" s="106"/>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row>
    <row r="16" spans="1:38">
      <c r="A16" s="452">
        <f>'01 Project Details'!C29</f>
        <v>0</v>
      </c>
      <c r="B16" s="93" t="str">
        <f>'01 Project Details'!B29</f>
        <v>EFIS / Stucco</v>
      </c>
      <c r="C16" s="128">
        <f t="array" ref="C16">IFERROR(INDEX(tblTradeProspects[],MATCH("CG APPROVED"&amp;$B16,tblTradeProspects[_Status]&amp;tblTradeProspects[Project TO''s],0),COLUMN()+2),"")</f>
        <v>0</v>
      </c>
      <c r="D16" s="222">
        <f t="array" ref="D16">IFERROR(INDEX(tblTradeProspects[],MATCH("CG APPROVED"&amp;$B16,tblTradeProspects[_Status]&amp;tblTradeProspects[Project TO''s],0),COLUMN()+2),"")</f>
        <v>0</v>
      </c>
      <c r="E16" s="223">
        <f t="array" ref="E16">IFERROR(INDEX(tblTradeProspects[],MATCH("CG APPROVED"&amp;$B16,tblTradeProspects[_Status]&amp;tblTradeProspects[Project TO''s],0),COLUMN()+2),"")</f>
        <v>0</v>
      </c>
      <c r="F16" s="136">
        <f t="array" ref="F16">IFERROR(INDEX(tblTradeProspects[],MATCH("CG APPROVED"&amp;$B16,tblTradeProspects[_Status]&amp;tblTradeProspects[Project TO''s],0),COLUMN()+2),"")</f>
        <v>0</v>
      </c>
      <c r="G16" s="308"/>
      <c r="H16" s="263"/>
      <c r="I16" s="78"/>
      <c r="J16" s="78"/>
      <c r="K16" s="78"/>
      <c r="L16" s="78"/>
      <c r="M16" s="78"/>
      <c r="N16" s="78"/>
      <c r="O16" s="78"/>
      <c r="P16" s="78"/>
      <c r="Q16" s="78"/>
      <c r="R16" s="78"/>
      <c r="S16" s="78"/>
      <c r="T16" s="78"/>
      <c r="U16" s="78"/>
      <c r="V16" s="78"/>
      <c r="W16" s="78"/>
      <c r="X16" s="78"/>
      <c r="Y16" s="78"/>
      <c r="Z16" s="78"/>
      <c r="AA16" s="78"/>
      <c r="AB16" s="78"/>
      <c r="AC16" s="78"/>
      <c r="AD16" s="78"/>
      <c r="AE16" s="78"/>
      <c r="AF16" s="78"/>
      <c r="AG16" s="78"/>
      <c r="AH16" s="78"/>
      <c r="AI16" s="78"/>
      <c r="AJ16" s="78"/>
      <c r="AK16" s="78"/>
      <c r="AL16" s="79"/>
    </row>
    <row r="17" spans="1:38" ht="15" customHeight="1">
      <c r="A17" s="452">
        <f>'01 Project Details'!C30</f>
        <v>0</v>
      </c>
      <c r="B17" s="93" t="str">
        <f>'01 Project Details'!B30</f>
        <v>Electrical</v>
      </c>
      <c r="C17" s="128">
        <f t="array" ref="C17">IFERROR(INDEX(tblTradeProspects[],MATCH("CG APPROVED"&amp;$B17,tblTradeProspects[_Status]&amp;tblTradeProspects[Project TO''s],0),COLUMN()+2),"")</f>
        <v>0</v>
      </c>
      <c r="D17" s="222">
        <f t="array" ref="D17">IFERROR(INDEX(tblTradeProspects[],MATCH("CG APPROVED"&amp;$B17,tblTradeProspects[_Status]&amp;tblTradeProspects[Project TO''s],0),COLUMN()+2),"")</f>
        <v>0</v>
      </c>
      <c r="E17" s="223">
        <f t="array" ref="E17">IFERROR(INDEX(tblTradeProspects[],MATCH("CG APPROVED"&amp;$B17,tblTradeProspects[_Status]&amp;tblTradeProspects[Project TO''s],0),COLUMN()+2),"")</f>
        <v>0</v>
      </c>
      <c r="F17" s="135">
        <f t="array" ref="F17">IFERROR(INDEX(tblTradeProspects[],MATCH("CG APPROVED"&amp;$B17,tblTradeProspects[_Status]&amp;tblTradeProspects[Project TO''s],0),COLUMN()+2),"")</f>
        <v>0</v>
      </c>
      <c r="G17" s="309"/>
      <c r="H17" s="264"/>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9"/>
    </row>
    <row r="18" spans="1:38">
      <c r="A18" s="452">
        <f>'01 Project Details'!C31</f>
        <v>0</v>
      </c>
      <c r="B18" s="93" t="str">
        <f>'01 Project Details'!B31</f>
        <v>Fencing</v>
      </c>
      <c r="C18" s="128" t="str">
        <f t="array" ref="C18">IFERROR(INDEX(tblTradeProspects[],MATCH("CG APPROVED"&amp;$B18,tblTradeProspects[_Status]&amp;tblTradeProspects[Project TO''s],0),COLUMN()+2),"")</f>
        <v/>
      </c>
      <c r="D18" s="222" t="str">
        <f t="array" ref="D18">IFERROR(INDEX(tblTradeProspects[],MATCH("CG APPROVED"&amp;$B18,tblTradeProspects[_Status]&amp;tblTradeProspects[Project TO''s],0),COLUMN()+2),"")</f>
        <v/>
      </c>
      <c r="E18" s="223" t="str">
        <f t="array" ref="E18">IFERROR(INDEX(tblTradeProspects[],MATCH("CG APPROVED"&amp;$B18,tblTradeProspects[_Status]&amp;tblTradeProspects[Project TO''s],0),COLUMN()+2),"")</f>
        <v/>
      </c>
      <c r="F18" s="133" t="str">
        <f t="array" ref="F18">IFERROR(INDEX(tblTradeProspects[],MATCH("CG APPROVED"&amp;$B18,tblTradeProspects[_Status]&amp;tblTradeProspects[Project TO''s],0),COLUMN()+2),"")</f>
        <v/>
      </c>
      <c r="G18" s="306"/>
      <c r="H18" s="110"/>
      <c r="I18" s="78"/>
      <c r="J18" s="78"/>
      <c r="K18" s="78"/>
      <c r="L18" s="78"/>
      <c r="M18" s="78"/>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row>
    <row r="19" spans="1:38">
      <c r="A19" s="452">
        <f>'01 Project Details'!C32</f>
        <v>0</v>
      </c>
      <c r="B19" s="93" t="str">
        <f>'01 Project Details'!B32</f>
        <v>Fire Alarm</v>
      </c>
      <c r="C19" s="128" t="str">
        <f t="array" ref="C19">IFERROR(INDEX(tblTradeProspects[],MATCH("CG APPROVED"&amp;$B19,tblTradeProspects[_Status]&amp;tblTradeProspects[Project TO''s],0),COLUMN()+2),"")</f>
        <v/>
      </c>
      <c r="D19" s="222" t="str">
        <f t="array" ref="D19">IFERROR(INDEX(tblTradeProspects[],MATCH("CG APPROVED"&amp;$B19,tblTradeProspects[_Status]&amp;tblTradeProspects[Project TO''s],0),COLUMN()+2),"")</f>
        <v/>
      </c>
      <c r="E19" s="223" t="str">
        <f t="array" ref="E19">IFERROR(INDEX(tblTradeProspects[],MATCH("CG APPROVED"&amp;$B19,tblTradeProspects[_Status]&amp;tblTradeProspects[Project TO''s],0),COLUMN()+2),"")</f>
        <v/>
      </c>
      <c r="F19" s="134" t="str">
        <f t="array" ref="F19">IFERROR(INDEX(tblTradeProspects[],MATCH("CG APPROVED"&amp;$B19,tblTradeProspects[_Status]&amp;tblTradeProspects[Project TO''s],0),COLUMN()+2),"")</f>
        <v/>
      </c>
      <c r="G19" s="307"/>
      <c r="H19" s="106"/>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9"/>
    </row>
    <row r="20" spans="1:38">
      <c r="A20" s="452">
        <f>'01 Project Details'!C33</f>
        <v>0</v>
      </c>
      <c r="B20" s="93" t="str">
        <f>'01 Project Details'!B33</f>
        <v xml:space="preserve">Flooring - Carpet </v>
      </c>
      <c r="C20" s="128">
        <f t="array" ref="C20">IFERROR(INDEX(tblTradeProspects[],MATCH("CG APPROVED"&amp;$B20,tblTradeProspects[_Status]&amp;tblTradeProspects[Project TO''s],0),COLUMN()+2),"")</f>
        <v>0</v>
      </c>
      <c r="D20" s="222">
        <f t="array" ref="D20">IFERROR(INDEX(tblTradeProspects[],MATCH("CG APPROVED"&amp;$B20,tblTradeProspects[_Status]&amp;tblTradeProspects[Project TO''s],0),COLUMN()+2),"")</f>
        <v>0</v>
      </c>
      <c r="E20" s="223">
        <f t="array" ref="E20">IFERROR(INDEX(tblTradeProspects[],MATCH("CG APPROVED"&amp;$B20,tblTradeProspects[_Status]&amp;tblTradeProspects[Project TO''s],0),COLUMN()+2),"")</f>
        <v>0</v>
      </c>
      <c r="F20" s="134">
        <f t="array" ref="F20">IFERROR(INDEX(tblTradeProspects[],MATCH("CG APPROVED"&amp;$B20,tblTradeProspects[_Status]&amp;tblTradeProspects[Project TO''s],0),COLUMN()+2),"")</f>
        <v>0</v>
      </c>
      <c r="G20" s="307"/>
      <c r="H20" s="106"/>
      <c r="I20" s="78"/>
      <c r="J20" s="78"/>
      <c r="K20" s="78"/>
      <c r="L20" s="78"/>
      <c r="M20" s="78"/>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9"/>
    </row>
    <row r="21" spans="1:38">
      <c r="A21" s="452">
        <f>'01 Project Details'!C34</f>
        <v>0</v>
      </c>
      <c r="B21" s="93" t="str">
        <f>'01 Project Details'!B34</f>
        <v>Flooring - Tile</v>
      </c>
      <c r="C21" s="128">
        <f t="array" ref="C21">IFERROR(INDEX(tblTradeProspects[],MATCH("CG APPROVED"&amp;$B21,tblTradeProspects[_Status]&amp;tblTradeProspects[Project TO''s],0),COLUMN()+2),"")</f>
        <v>0</v>
      </c>
      <c r="D21" s="222">
        <f t="array" ref="D21">IFERROR(INDEX(tblTradeProspects[],MATCH("CG APPROVED"&amp;$B21,tblTradeProspects[_Status]&amp;tblTradeProspects[Project TO''s],0),COLUMN()+2),"")</f>
        <v>0</v>
      </c>
      <c r="E21" s="223">
        <f t="array" ref="E21">IFERROR(INDEX(tblTradeProspects[],MATCH("CG APPROVED"&amp;$B21,tblTradeProspects[_Status]&amp;tblTradeProspects[Project TO''s],0),COLUMN()+2),"")</f>
        <v>0</v>
      </c>
      <c r="F21" s="134">
        <f t="array" ref="F21">IFERROR(INDEX(tblTradeProspects[],MATCH("CG APPROVED"&amp;$B21,tblTradeProspects[_Status]&amp;tblTradeProspects[Project TO''s],0),COLUMN()+2),"")</f>
        <v>0</v>
      </c>
      <c r="G21" s="307"/>
      <c r="H21" s="106"/>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137"/>
    </row>
    <row r="22" spans="1:38">
      <c r="A22" s="452">
        <f>'01 Project Details'!C35</f>
        <v>0</v>
      </c>
      <c r="B22" s="93" t="str">
        <f>'01 Project Details'!B35</f>
        <v>Gutters &amp; Downspouts</v>
      </c>
      <c r="C22" s="128">
        <f t="array" ref="C22">IFERROR(INDEX(tblTradeProspects[],MATCH("CG APPROVED"&amp;$B22,tblTradeProspects[_Status]&amp;tblTradeProspects[Project TO''s],0),COLUMN()+2),"")</f>
        <v>0</v>
      </c>
      <c r="D22" s="222">
        <f t="array" ref="D22">IFERROR(INDEX(tblTradeProspects[],MATCH("CG APPROVED"&amp;$B22,tblTradeProspects[_Status]&amp;tblTradeProspects[Project TO''s],0),COLUMN()+2),"")</f>
        <v>0</v>
      </c>
      <c r="E22" s="223">
        <f t="array" ref="E22">IFERROR(INDEX(tblTradeProspects[],MATCH("CG APPROVED"&amp;$B22,tblTradeProspects[_Status]&amp;tblTradeProspects[Project TO''s],0),COLUMN()+2),"")</f>
        <v>0</v>
      </c>
      <c r="F22" s="134">
        <f t="array" ref="F22">IFERROR(INDEX(tblTradeProspects[],MATCH("CG APPROVED"&amp;$B22,tblTradeProspects[_Status]&amp;tblTradeProspects[Project TO''s],0),COLUMN()+2),"")</f>
        <v>0</v>
      </c>
      <c r="G22" s="307"/>
      <c r="H22" s="106"/>
      <c r="I22" s="78"/>
      <c r="J22" s="78"/>
      <c r="K22" s="78"/>
      <c r="L22" s="78"/>
      <c r="M22" s="78"/>
      <c r="N22" s="78"/>
      <c r="O22" s="78"/>
      <c r="P22" s="78"/>
      <c r="Q22" s="78"/>
      <c r="R22" s="78"/>
      <c r="S22" s="78"/>
      <c r="T22" s="78"/>
      <c r="U22" s="78"/>
      <c r="V22" s="78"/>
      <c r="W22" s="78"/>
      <c r="X22" s="78"/>
      <c r="Y22" s="78"/>
      <c r="Z22" s="78"/>
      <c r="AA22" s="78"/>
      <c r="AB22" s="78"/>
      <c r="AC22" s="78"/>
      <c r="AD22" s="78"/>
      <c r="AE22" s="78"/>
      <c r="AF22" s="78"/>
      <c r="AG22" s="78"/>
      <c r="AH22" s="78"/>
      <c r="AI22" s="78"/>
      <c r="AJ22" s="78"/>
      <c r="AK22" s="78"/>
      <c r="AL22" s="137"/>
    </row>
    <row r="23" spans="1:38">
      <c r="A23" s="452">
        <f>'01 Project Details'!C36</f>
        <v>0</v>
      </c>
      <c r="B23" s="93" t="str">
        <f>'01 Project Details'!B36</f>
        <v>HVAC </v>
      </c>
      <c r="C23" s="128" t="str">
        <f t="array" ref="C23">IFERROR(INDEX(tblTradeProspects[],MATCH("CG APPROVED"&amp;$B23,tblTradeProspects[_Status]&amp;tblTradeProspects[Project TO''s],0),COLUMN()+2),"")</f>
        <v/>
      </c>
      <c r="D23" s="222" t="str">
        <f t="array" ref="D23">IFERROR(INDEX(tblTradeProspects[],MATCH("CG APPROVED"&amp;$B23,tblTradeProspects[_Status]&amp;tblTradeProspects[Project TO''s],0),COLUMN()+2),"")</f>
        <v/>
      </c>
      <c r="E23" s="223" t="str">
        <f t="array" ref="E23">IFERROR(INDEX(tblTradeProspects[],MATCH("CG APPROVED"&amp;$B23,tblTradeProspects[_Status]&amp;tblTradeProspects[Project TO''s],0),COLUMN()+2),"")</f>
        <v/>
      </c>
      <c r="F23" s="133" t="str">
        <f t="array" ref="F23">IFERROR(INDEX(tblTradeProspects[],MATCH("CG APPROVED"&amp;$B23,tblTradeProspects[_Status]&amp;tblTradeProspects[Project TO''s],0),COLUMN()+2),"")</f>
        <v/>
      </c>
      <c r="G23" s="306"/>
      <c r="H23" s="110"/>
      <c r="I23" s="78"/>
      <c r="J23" s="78"/>
      <c r="K23" s="78"/>
      <c r="L23" s="78"/>
      <c r="M23" s="78"/>
      <c r="N23" s="78"/>
      <c r="O23" s="78"/>
      <c r="P23" s="78"/>
      <c r="Q23" s="78"/>
      <c r="R23" s="78"/>
      <c r="S23" s="78"/>
      <c r="T23" s="78"/>
      <c r="U23" s="78"/>
      <c r="V23" s="78"/>
      <c r="W23" s="78"/>
      <c r="X23" s="78"/>
      <c r="Y23" s="78"/>
      <c r="Z23" s="78"/>
      <c r="AA23" s="78"/>
      <c r="AB23" s="78"/>
      <c r="AC23" s="78"/>
      <c r="AD23" s="78"/>
      <c r="AE23" s="78"/>
      <c r="AF23" s="78"/>
      <c r="AG23" s="78"/>
      <c r="AH23" s="78"/>
      <c r="AI23" s="78"/>
      <c r="AJ23" s="78"/>
      <c r="AK23" s="78"/>
      <c r="AL23" s="79"/>
    </row>
    <row r="24" spans="1:38" ht="15" customHeight="1">
      <c r="A24" s="452">
        <f>'01 Project Details'!C37</f>
        <v>0</v>
      </c>
      <c r="B24" s="93" t="str">
        <f>'01 Project Details'!B37</f>
        <v>ICF</v>
      </c>
      <c r="C24" s="128" t="str">
        <f t="array" ref="C24">IFERROR(INDEX(tblTradeProspects[],MATCH("CG APPROVED"&amp;$B24,tblTradeProspects[_Status]&amp;tblTradeProspects[Project TO''s],0),COLUMN()+2),"")</f>
        <v/>
      </c>
      <c r="D24" s="222" t="str">
        <f t="array" ref="D24">IFERROR(INDEX(tblTradeProspects[],MATCH("CG APPROVED"&amp;$B24,tblTradeProspects[_Status]&amp;tblTradeProspects[Project TO''s],0),COLUMN()+2),"")</f>
        <v/>
      </c>
      <c r="E24" s="223" t="str">
        <f t="array" ref="E24">IFERROR(INDEX(tblTradeProspects[],MATCH("CG APPROVED"&amp;$B24,tblTradeProspects[_Status]&amp;tblTradeProspects[Project TO''s],0),COLUMN()+2),"")</f>
        <v/>
      </c>
      <c r="F24" s="134" t="str">
        <f t="array" ref="F24">IFERROR(INDEX(tblTradeProspects[],MATCH("CG APPROVED"&amp;$B24,tblTradeProspects[_Status]&amp;tblTradeProspects[Project TO''s],0),COLUMN()+2),"")</f>
        <v/>
      </c>
      <c r="G24" s="307"/>
      <c r="H24" s="106"/>
      <c r="I24" s="78"/>
      <c r="J24" s="78"/>
      <c r="K24" s="78"/>
      <c r="L24" s="78"/>
      <c r="M24" s="78"/>
      <c r="N24" s="78"/>
      <c r="O24" s="78"/>
      <c r="P24" s="78"/>
      <c r="Q24" s="78"/>
      <c r="R24" s="78"/>
      <c r="S24" s="78"/>
      <c r="T24" s="78"/>
      <c r="U24" s="78"/>
      <c r="V24" s="78"/>
      <c r="W24" s="78"/>
      <c r="X24" s="78"/>
      <c r="Y24" s="78"/>
      <c r="Z24" s="78"/>
      <c r="AA24" s="78"/>
      <c r="AB24" s="78"/>
      <c r="AC24" s="78"/>
      <c r="AD24" s="78"/>
      <c r="AE24" s="78"/>
      <c r="AF24" s="78"/>
      <c r="AG24" s="78"/>
      <c r="AH24" s="78"/>
      <c r="AI24" s="78"/>
      <c r="AJ24" s="78"/>
      <c r="AK24" s="78"/>
      <c r="AL24" s="78"/>
    </row>
    <row r="25" spans="1:38">
      <c r="A25" s="452">
        <f>'01 Project Details'!C38</f>
        <v>0</v>
      </c>
      <c r="B25" s="93" t="str">
        <f>'01 Project Details'!B38</f>
        <v>Insulation</v>
      </c>
      <c r="C25" s="128">
        <f t="array" ref="C25">IFERROR(INDEX(tblTradeProspects[],MATCH("CG APPROVED"&amp;$B25,tblTradeProspects[_Status]&amp;tblTradeProspects[Project TO''s],0),COLUMN()+2),"")</f>
        <v>0</v>
      </c>
      <c r="D25" s="222">
        <f t="array" ref="D25">IFERROR(INDEX(tblTradeProspects[],MATCH("CG APPROVED"&amp;$B25,tblTradeProspects[_Status]&amp;tblTradeProspects[Project TO''s],0),COLUMN()+2),"")</f>
        <v>0</v>
      </c>
      <c r="E25" s="226">
        <f t="array" ref="E25">IFERROR(INDEX(tblTradeProspects[],MATCH("CG APPROVED"&amp;$B25,tblTradeProspects[_Status]&amp;tblTradeProspects[Project TO''s],0),COLUMN()+2),"")</f>
        <v>0</v>
      </c>
      <c r="F25" s="138">
        <f t="array" ref="F25">IFERROR(INDEX(tblTradeProspects[],MATCH("CG APPROVED"&amp;$B25,tblTradeProspects[_Status]&amp;tblTradeProspects[Project TO''s],0),COLUMN()+2),"")</f>
        <v>0</v>
      </c>
      <c r="G25" s="310"/>
      <c r="H25" s="265"/>
      <c r="I25" s="78"/>
      <c r="J25" s="78"/>
      <c r="K25" s="78"/>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9"/>
    </row>
    <row r="26" spans="1:38">
      <c r="A26" s="452">
        <f>'01 Project Details'!C39</f>
        <v>0</v>
      </c>
      <c r="B26" s="93" t="str">
        <f>'01 Project Details'!B39</f>
        <v>Landscaping</v>
      </c>
      <c r="C26" s="128">
        <f t="array" ref="C26">IFERROR(INDEX(tblTradeProspects[],MATCH("CG APPROVED"&amp;$B26,tblTradeProspects[_Status]&amp;tblTradeProspects[Project TO''s],0),COLUMN()+2),"")</f>
        <v>0</v>
      </c>
      <c r="D26" s="222">
        <f t="array" ref="D26">IFERROR(INDEX(tblTradeProspects[],MATCH("CG APPROVED"&amp;$B26,tblTradeProspects[_Status]&amp;tblTradeProspects[Project TO''s],0),COLUMN()+2),"")</f>
        <v>0</v>
      </c>
      <c r="E26" s="223">
        <f t="array" ref="E26">IFERROR(INDEX(tblTradeProspects[],MATCH("CG APPROVED"&amp;$B26,tblTradeProspects[_Status]&amp;tblTradeProspects[Project TO''s],0),COLUMN()+2),"")</f>
        <v>0</v>
      </c>
      <c r="F26" s="139">
        <f t="array" ref="F26">IFERROR(INDEX(tblTradeProspects[],MATCH("CG APPROVED"&amp;$B26,tblTradeProspects[_Status]&amp;tblTradeProspects[Project TO''s],0),COLUMN()+2),"")</f>
        <v>0</v>
      </c>
      <c r="G26" s="305"/>
      <c r="H26" s="79"/>
      <c r="I26" s="78"/>
      <c r="J26" s="78"/>
      <c r="K26" s="78"/>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9"/>
    </row>
    <row r="27" spans="1:38">
      <c r="A27" s="452">
        <f>'01 Project Details'!C40</f>
        <v>0</v>
      </c>
      <c r="B27" s="93" t="str">
        <f>'01 Project Details'!B40</f>
        <v>Masonry</v>
      </c>
      <c r="C27" s="128" t="str">
        <f t="array" ref="C27">IFERROR(INDEX(tblTradeProspects[],MATCH("CG APPROVED"&amp;$B27,tblTradeProspects[_Status]&amp;tblTradeProspects[Project TO''s],0),COLUMN()+2),"")</f>
        <v/>
      </c>
      <c r="D27" s="222" t="str">
        <f t="array" ref="D27">IFERROR(INDEX(tblTradeProspects[],MATCH("CG APPROVED"&amp;$B27,tblTradeProspects[_Status]&amp;tblTradeProspects[Project TO''s],0),COLUMN()+2),"")</f>
        <v/>
      </c>
      <c r="E27" s="223" t="str">
        <f t="array" ref="E27">IFERROR(INDEX(tblTradeProspects[],MATCH("CG APPROVED"&amp;$B27,tblTradeProspects[_Status]&amp;tblTradeProspects[Project TO''s],0),COLUMN()+2),"")</f>
        <v/>
      </c>
      <c r="F27" s="133" t="str">
        <f t="array" ref="F27">IFERROR(INDEX(tblTradeProspects[],MATCH("CG APPROVED"&amp;$B27,tblTradeProspects[_Status]&amp;tblTradeProspects[Project TO''s],0),COLUMN()+2),"")</f>
        <v/>
      </c>
      <c r="G27" s="306"/>
      <c r="H27" s="110"/>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row>
    <row r="28" spans="1:38">
      <c r="A28" s="452">
        <f>'01 Project Details'!C41</f>
        <v>0</v>
      </c>
      <c r="B28" s="93" t="str">
        <f>'01 Project Details'!B41</f>
        <v>Paint </v>
      </c>
      <c r="C28" s="128">
        <f t="array" ref="C28">IFERROR(INDEX(tblTradeProspects[],MATCH("CG APPROVED"&amp;$B28,tblTradeProspects[_Status]&amp;tblTradeProspects[Project TO''s],0),COLUMN()+2),"")</f>
        <v>0</v>
      </c>
      <c r="D28" s="222">
        <f t="array" ref="D28">IFERROR(INDEX(tblTradeProspects[],MATCH("CG APPROVED"&amp;$B28,tblTradeProspects[_Status]&amp;tblTradeProspects[Project TO''s],0),COLUMN()+2),"")</f>
        <v>0</v>
      </c>
      <c r="E28" s="226">
        <f t="array" ref="E28">IFERROR(INDEX(tblTradeProspects[],MATCH("CG APPROVED"&amp;$B28,tblTradeProspects[_Status]&amp;tblTradeProspects[Project TO''s],0),COLUMN()+2),"")</f>
        <v>0</v>
      </c>
      <c r="F28" s="140">
        <f t="array" ref="F28">IFERROR(INDEX(tblTradeProspects[],MATCH("CG APPROVED"&amp;$B28,tblTradeProspects[_Status]&amp;tblTradeProspects[Project TO''s],0),COLUMN()+2),"")</f>
        <v>0</v>
      </c>
      <c r="G28" s="305"/>
      <c r="H28" s="79"/>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9"/>
    </row>
    <row r="29" spans="1:38">
      <c r="A29" s="452">
        <f>'01 Project Details'!C42</f>
        <v>0</v>
      </c>
      <c r="B29" s="93" t="str">
        <f>'01 Project Details'!B42</f>
        <v>Plumbing</v>
      </c>
      <c r="C29" s="128">
        <f t="array" ref="C29">IFERROR(INDEX(tblTradeProspects[],MATCH("CG APPROVED"&amp;$B29,tblTradeProspects[_Status]&amp;tblTradeProspects[Project TO''s],0),COLUMN()+2),"")</f>
        <v>0</v>
      </c>
      <c r="D29" s="222">
        <f t="array" ref="D29">IFERROR(INDEX(tblTradeProspects[],MATCH("CG APPROVED"&amp;$B29,tblTradeProspects[_Status]&amp;tblTradeProspects[Project TO''s],0),COLUMN()+2),"")</f>
        <v>0</v>
      </c>
      <c r="E29" s="223">
        <f t="array" ref="E29">IFERROR(INDEX(tblTradeProspects[],MATCH("CG APPROVED"&amp;$B29,tblTradeProspects[_Status]&amp;tblTradeProspects[Project TO''s],0),COLUMN()+2),"")</f>
        <v>0</v>
      </c>
      <c r="F29" s="133">
        <f t="array" ref="F29">IFERROR(INDEX(tblTradeProspects[],MATCH("CG APPROVED"&amp;$B29,tblTradeProspects[_Status]&amp;tblTradeProspects[Project TO''s],0),COLUMN()+2),"")</f>
        <v>0</v>
      </c>
      <c r="G29" s="306"/>
      <c r="H29" s="110"/>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137"/>
    </row>
    <row r="30" spans="1:38">
      <c r="A30" s="452">
        <f>'01 Project Details'!C43</f>
        <v>0</v>
      </c>
      <c r="B30" s="93" t="str">
        <f>'01 Project Details'!B43</f>
        <v>Restroom  Partitions &amp; Accessories</v>
      </c>
      <c r="C30" s="128">
        <f t="array" ref="C30">IFERROR(INDEX(tblTradeProspects[],MATCH("CG APPROVED"&amp;$B30,tblTradeProspects[_Status]&amp;tblTradeProspects[Project TO''s],0),COLUMN()+2),"")</f>
        <v>0</v>
      </c>
      <c r="D30" s="222">
        <f t="array" ref="D30">IFERROR(INDEX(tblTradeProspects[],MATCH("CG APPROVED"&amp;$B30,tblTradeProspects[_Status]&amp;tblTradeProspects[Project TO''s],0),COLUMN()+2),"")</f>
        <v>0</v>
      </c>
      <c r="E30" s="223">
        <f t="array" ref="E30">IFERROR(INDEX(tblTradeProspects[],MATCH("CG APPROVED"&amp;$B30,tblTradeProspects[_Status]&amp;tblTradeProspects[Project TO''s],0),COLUMN()+2),"")</f>
        <v>0</v>
      </c>
      <c r="F30" s="133">
        <f t="array" ref="F30">IFERROR(INDEX(tblTradeProspects[],MATCH("CG APPROVED"&amp;$B30,tblTradeProspects[_Status]&amp;tblTradeProspects[Project TO''s],0),COLUMN()+2),"")</f>
        <v>0</v>
      </c>
      <c r="G30" s="306"/>
      <c r="H30" s="110"/>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9"/>
    </row>
    <row r="31" spans="1:38">
      <c r="A31" s="452">
        <f>'01 Project Details'!C44</f>
        <v>0</v>
      </c>
      <c r="B31" s="93" t="str">
        <f>'01 Project Details'!B44</f>
        <v>Roofing</v>
      </c>
      <c r="C31" s="128" t="str">
        <f t="array" ref="C31">IFERROR(INDEX(tblTradeProspects[],MATCH("CG APPROVED"&amp;$B31,tblTradeProspects[_Status]&amp;tblTradeProspects[Project TO''s],0),COLUMN()+2),"")</f>
        <v/>
      </c>
      <c r="D31" s="222" t="str">
        <f t="array" ref="D31">IFERROR(INDEX(tblTradeProspects[],MATCH("CG APPROVED"&amp;$B31,tblTradeProspects[_Status]&amp;tblTradeProspects[Project TO''s],0),COLUMN()+2),"")</f>
        <v/>
      </c>
      <c r="E31" s="223" t="str">
        <f t="array" ref="E31">IFERROR(INDEX(tblTradeProspects[],MATCH("CG APPROVED"&amp;$B31,tblTradeProspects[_Status]&amp;tblTradeProspects[Project TO''s],0),COLUMN()+2),"")</f>
        <v/>
      </c>
      <c r="F31" s="134" t="str">
        <f t="array" ref="F31">IFERROR(INDEX(tblTradeProspects[],MATCH("CG APPROVED"&amp;$B31,tblTradeProspects[_Status]&amp;tblTradeProspects[Project TO''s],0),COLUMN()+2),"")</f>
        <v/>
      </c>
      <c r="G31" s="307"/>
      <c r="H31" s="106"/>
      <c r="I31" s="78"/>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9"/>
    </row>
    <row r="32" spans="1:38">
      <c r="A32" s="452">
        <f>'01 Project Details'!C45</f>
        <v>0</v>
      </c>
      <c r="B32" s="93" t="str">
        <f>'01 Project Details'!B45</f>
        <v>Scaffolding</v>
      </c>
      <c r="C32" s="128" t="str">
        <f t="array" ref="C32">IFERROR(INDEX(tblTradeProspects[],MATCH("CG APPROVED"&amp;$B32,tblTradeProspects[_Status]&amp;tblTradeProspects[Project TO''s],0),COLUMN()+2),"")</f>
        <v/>
      </c>
      <c r="D32" s="222" t="str">
        <f t="array" ref="D32">IFERROR(INDEX(tblTradeProspects[],MATCH("CG APPROVED"&amp;$B32,tblTradeProspects[_Status]&amp;tblTradeProspects[Project TO''s],0),COLUMN()+2),"")</f>
        <v/>
      </c>
      <c r="E32" s="223" t="str">
        <f t="array" ref="E32">IFERROR(INDEX(tblTradeProspects[],MATCH("CG APPROVED"&amp;$B32,tblTradeProspects[_Status]&amp;tblTradeProspects[Project TO''s],0),COLUMN()+2),"")</f>
        <v/>
      </c>
      <c r="F32" s="139" t="str">
        <f t="array" ref="F32">IFERROR(INDEX(tblTradeProspects[],MATCH("CG APPROVED"&amp;$B32,tblTradeProspects[_Status]&amp;tblTradeProspects[Project TO''s],0),COLUMN()+2),"")</f>
        <v/>
      </c>
      <c r="G32" s="305"/>
      <c r="H32" s="79"/>
      <c r="I32" s="78"/>
      <c r="J32" s="78"/>
      <c r="K32" s="78"/>
      <c r="L32" s="78"/>
      <c r="M32" s="78"/>
      <c r="N32" s="78"/>
      <c r="O32" s="78"/>
      <c r="P32" s="78"/>
      <c r="Q32" s="78"/>
      <c r="R32" s="78"/>
      <c r="S32" s="78"/>
      <c r="T32" s="78"/>
      <c r="U32" s="78"/>
      <c r="V32" s="78"/>
      <c r="W32" s="78"/>
      <c r="X32" s="78"/>
      <c r="Y32" s="78"/>
      <c r="Z32" s="78"/>
      <c r="AA32" s="78"/>
      <c r="AB32" s="78"/>
      <c r="AC32" s="78"/>
      <c r="AD32" s="78"/>
      <c r="AE32" s="78"/>
      <c r="AF32" s="78"/>
      <c r="AG32" s="78"/>
      <c r="AH32" s="78"/>
      <c r="AI32" s="78"/>
      <c r="AJ32" s="78"/>
      <c r="AK32" s="78"/>
      <c r="AL32" s="78"/>
    </row>
    <row r="33" spans="1:38" ht="15" customHeight="1">
      <c r="A33" s="452">
        <f>'01 Project Details'!C46</f>
        <v>0</v>
      </c>
      <c r="B33" s="93" t="str">
        <f>'01 Project Details'!B46</f>
        <v>Septic Systems</v>
      </c>
      <c r="C33" s="128" t="str">
        <f t="array" ref="C33">IFERROR(INDEX(tblTradeProspects[],MATCH("CG APPROVED"&amp;$B33,tblTradeProspects[_Status]&amp;tblTradeProspects[Project TO''s],0),COLUMN()+2),"")</f>
        <v/>
      </c>
      <c r="D33" s="222" t="str">
        <f t="array" ref="D33">IFERROR(INDEX(tblTradeProspects[],MATCH("CG APPROVED"&amp;$B33,tblTradeProspects[_Status]&amp;tblTradeProspects[Project TO''s],0),COLUMN()+2),"")</f>
        <v/>
      </c>
      <c r="E33" s="223" t="str">
        <f t="array" ref="E33">IFERROR(INDEX(tblTradeProspects[],MATCH("CG APPROVED"&amp;$B33,tblTradeProspects[_Status]&amp;tblTradeProspects[Project TO''s],0),COLUMN()+2),"")</f>
        <v/>
      </c>
      <c r="F33" s="139" t="str">
        <f t="array" ref="F33">IFERROR(INDEX(tblTradeProspects[],MATCH("CG APPROVED"&amp;$B33,tblTradeProspects[_Status]&amp;tblTradeProspects[Project TO''s],0),COLUMN()+2),"")</f>
        <v/>
      </c>
      <c r="G33" s="305"/>
      <c r="H33" s="79"/>
      <c r="I33" s="78"/>
      <c r="J33" s="78"/>
      <c r="K33" s="78"/>
      <c r="L33" s="78"/>
      <c r="M33" s="78"/>
      <c r="N33" s="78"/>
      <c r="O33" s="78"/>
      <c r="P33" s="78"/>
      <c r="Q33" s="78"/>
      <c r="R33" s="78"/>
      <c r="S33" s="78"/>
      <c r="T33" s="78"/>
      <c r="U33" s="78"/>
      <c r="V33" s="78"/>
      <c r="W33" s="78"/>
      <c r="X33" s="78"/>
      <c r="Y33" s="78"/>
      <c r="Z33" s="78"/>
      <c r="AA33" s="78"/>
      <c r="AB33" s="78"/>
      <c r="AC33" s="78"/>
      <c r="AD33" s="78"/>
      <c r="AE33" s="78"/>
      <c r="AF33" s="78"/>
      <c r="AG33" s="78"/>
      <c r="AH33" s="78"/>
      <c r="AI33" s="78"/>
      <c r="AJ33" s="78"/>
      <c r="AK33" s="78"/>
      <c r="AL33" s="79"/>
    </row>
    <row r="34" spans="1:38">
      <c r="A34" s="452">
        <f>'01 Project Details'!C47</f>
        <v>0</v>
      </c>
      <c r="B34" s="93" t="str">
        <f>'01 Project Details'!B47</f>
        <v>Siding, Soffits, Fascia</v>
      </c>
      <c r="C34" s="128">
        <f t="array" ref="C34">IFERROR(INDEX(tblTradeProspects[],MATCH("CG APPROVED"&amp;$B34,tblTradeProspects[_Status]&amp;tblTradeProspects[Project TO''s],0),COLUMN()+2),"")</f>
        <v>0</v>
      </c>
      <c r="D34" s="222">
        <f t="array" ref="D34">IFERROR(INDEX(tblTradeProspects[],MATCH("CG APPROVED"&amp;$B34,tblTradeProspects[_Status]&amp;tblTradeProspects[Project TO''s],0),COLUMN()+2),"")</f>
        <v>0</v>
      </c>
      <c r="E34" s="227">
        <f t="array" ref="E34">IFERROR(INDEX(tblTradeProspects[],MATCH("CG APPROVED"&amp;$B34,tblTradeProspects[_Status]&amp;tblTradeProspects[Project TO''s],0),COLUMN()+2),"")</f>
        <v>0</v>
      </c>
      <c r="F34" s="134">
        <f t="array" ref="F34">IFERROR(INDEX(tblTradeProspects[],MATCH("CG APPROVED"&amp;$B34,tblTradeProspects[_Status]&amp;tblTradeProspects[Project TO''s],0),COLUMN()+2),"")</f>
        <v>0</v>
      </c>
      <c r="G34" s="310"/>
      <c r="H34" s="265"/>
      <c r="I34" s="78"/>
      <c r="J34" s="78"/>
      <c r="K34" s="78"/>
      <c r="L34" s="78"/>
      <c r="M34" s="78"/>
      <c r="N34" s="78"/>
      <c r="O34" s="78"/>
      <c r="P34" s="78"/>
      <c r="Q34" s="78"/>
      <c r="R34" s="78"/>
      <c r="S34" s="78"/>
      <c r="T34" s="78"/>
      <c r="U34" s="78"/>
      <c r="V34" s="78"/>
      <c r="W34" s="78"/>
      <c r="X34" s="78"/>
      <c r="Y34" s="78"/>
      <c r="Z34" s="78"/>
      <c r="AA34" s="78"/>
      <c r="AB34" s="78"/>
      <c r="AC34" s="78"/>
      <c r="AD34" s="78"/>
      <c r="AE34" s="78"/>
      <c r="AF34" s="78"/>
      <c r="AG34" s="78"/>
      <c r="AH34" s="78"/>
      <c r="AI34" s="78"/>
      <c r="AJ34" s="78"/>
      <c r="AK34" s="78"/>
      <c r="AL34" s="79"/>
    </row>
    <row r="35" spans="1:38">
      <c r="A35" s="452">
        <f>'01 Project Details'!C48</f>
        <v>0</v>
      </c>
      <c r="B35" s="93" t="str">
        <f>'01 Project Details'!B48</f>
        <v>Siteworks</v>
      </c>
      <c r="C35" s="128">
        <f t="array" ref="C35">IFERROR(INDEX(tblTradeProspects[],MATCH("CG APPROVED"&amp;$B35,tblTradeProspects[_Status]&amp;tblTradeProspects[Project TO''s],0),COLUMN()+2),"")</f>
        <v>0</v>
      </c>
      <c r="D35" s="222">
        <f t="array" ref="D35">IFERROR(INDEX(tblTradeProspects[],MATCH("CG APPROVED"&amp;$B35,tblTradeProspects[_Status]&amp;tblTradeProspects[Project TO''s],0),COLUMN()+2),"")</f>
        <v>0</v>
      </c>
      <c r="E35" s="223">
        <f t="array" ref="E35">IFERROR(INDEX(tblTradeProspects[],MATCH("CG APPROVED"&amp;$B35,tblTradeProspects[_Status]&amp;tblTradeProspects[Project TO''s],0),COLUMN()+2),"")</f>
        <v>0</v>
      </c>
      <c r="F35" s="133">
        <f t="array" ref="F35">IFERROR(INDEX(tblTradeProspects[],MATCH("CG APPROVED"&amp;$B35,tblTradeProspects[_Status]&amp;tblTradeProspects[Project TO''s],0),COLUMN()+2),"")</f>
        <v>0</v>
      </c>
      <c r="G35" s="306"/>
      <c r="H35" s="110"/>
      <c r="I35" s="78"/>
      <c r="J35" s="78"/>
      <c r="K35" s="78"/>
      <c r="L35" s="78"/>
      <c r="M35" s="78"/>
      <c r="N35" s="78"/>
      <c r="O35" s="78"/>
      <c r="P35" s="78"/>
      <c r="Q35" s="78"/>
      <c r="R35" s="78"/>
      <c r="S35" s="78"/>
      <c r="T35" s="78"/>
      <c r="U35" s="78"/>
      <c r="V35" s="78"/>
      <c r="W35" s="78"/>
      <c r="X35" s="78"/>
      <c r="Y35" s="78"/>
      <c r="Z35" s="78"/>
      <c r="AA35" s="78"/>
      <c r="AB35" s="78"/>
      <c r="AC35" s="78"/>
      <c r="AD35" s="78"/>
      <c r="AE35" s="78"/>
      <c r="AF35" s="78"/>
      <c r="AG35" s="78"/>
      <c r="AH35" s="78"/>
      <c r="AI35" s="78"/>
      <c r="AJ35" s="78"/>
      <c r="AK35" s="78"/>
      <c r="AL35" s="79"/>
    </row>
    <row r="36" spans="1:38">
      <c r="A36" s="452" t="str">
        <f>'01 Project Details'!C49</f>
        <v>NO</v>
      </c>
      <c r="B36" s="93" t="str">
        <f>'01 Project Details'!B49</f>
        <v xml:space="preserve">Tree Removal </v>
      </c>
      <c r="C36" s="128" t="str">
        <f t="array" ref="C36">IFERROR(INDEX(tblTradeProspects[],MATCH("CG APPROVED"&amp;$B36,tblTradeProspects[_Status]&amp;tblTradeProspects[Project TO''s],0),COLUMN()+2),"")</f>
        <v/>
      </c>
      <c r="D36" s="222" t="str">
        <f t="array" ref="D36">IFERROR(INDEX(tblTradeProspects[],MATCH("CG APPROVED"&amp;$B36,tblTradeProspects[_Status]&amp;tblTradeProspects[Project TO''s],0),COLUMN()+2),"")</f>
        <v/>
      </c>
      <c r="E36" s="223" t="str">
        <f t="array" ref="E36">IFERROR(INDEX(tblTradeProspects[],MATCH("CG APPROVED"&amp;$B36,tblTradeProspects[_Status]&amp;tblTradeProspects[Project TO''s],0),COLUMN()+2),"")</f>
        <v/>
      </c>
      <c r="F36" s="133" t="str">
        <f t="array" ref="F36">IFERROR(INDEX(tblTradeProspects[],MATCH("CG APPROVED"&amp;$B36,tblTradeProspects[_Status]&amp;tblTradeProspects[Project TO''s],0),COLUMN()+2),"")</f>
        <v/>
      </c>
      <c r="G36" s="306"/>
      <c r="H36" s="110"/>
      <c r="I36" s="78"/>
      <c r="J36" s="78"/>
      <c r="K36" s="78"/>
      <c r="L36" s="78"/>
      <c r="M36" s="78"/>
      <c r="N36" s="78"/>
      <c r="O36" s="78"/>
      <c r="P36" s="78"/>
      <c r="Q36" s="78"/>
      <c r="R36" s="78"/>
      <c r="S36" s="78"/>
      <c r="T36" s="78"/>
      <c r="U36" s="78"/>
      <c r="V36" s="78"/>
      <c r="W36" s="78"/>
      <c r="X36" s="78"/>
      <c r="Y36" s="78"/>
      <c r="Z36" s="78"/>
      <c r="AA36" s="78"/>
      <c r="AB36" s="78"/>
      <c r="AC36" s="78"/>
      <c r="AD36" s="78"/>
      <c r="AE36" s="78"/>
      <c r="AF36" s="78"/>
      <c r="AG36" s="78"/>
      <c r="AH36" s="78"/>
      <c r="AI36" s="78"/>
      <c r="AJ36" s="78"/>
      <c r="AK36" s="78"/>
      <c r="AL36" s="79"/>
    </row>
    <row r="37" spans="1:38">
      <c r="A37" s="452" t="str">
        <f>'01 Project Details'!C50</f>
        <v>NO</v>
      </c>
      <c r="B37" s="93" t="str">
        <f>'01 Project Details'!B50</f>
        <v xml:space="preserve">Wall Paper Removal </v>
      </c>
      <c r="C37" s="128" t="str">
        <f t="array" ref="C37">IFERROR(INDEX(tblTradeProspects[],MATCH("CG APPROVED"&amp;$B37,tblTradeProspects[_Status]&amp;tblTradeProspects[Project TO''s],0),COLUMN()+2),"")</f>
        <v/>
      </c>
      <c r="D37" s="222" t="str">
        <f t="array" ref="D37">IFERROR(INDEX(tblTradeProspects[],MATCH("CG APPROVED"&amp;$B37,tblTradeProspects[_Status]&amp;tblTradeProspects[Project TO''s],0),COLUMN()+2),"")</f>
        <v/>
      </c>
      <c r="E37" s="223" t="str">
        <f t="array" ref="E37">IFERROR(INDEX(tblTradeProspects[],MATCH("CG APPROVED"&amp;$B37,tblTradeProspects[_Status]&amp;tblTradeProspects[Project TO''s],0),COLUMN()+2),"")</f>
        <v/>
      </c>
      <c r="F37" s="133" t="str">
        <f t="array" ref="F37">IFERROR(INDEX(tblTradeProspects[],MATCH("CG APPROVED"&amp;$B37,tblTradeProspects[_Status]&amp;tblTradeProspects[Project TO''s],0),COLUMN()+2),"")</f>
        <v/>
      </c>
      <c r="G37" s="306"/>
      <c r="H37" s="110"/>
      <c r="I37" s="78"/>
      <c r="J37" s="78"/>
      <c r="K37" s="78"/>
      <c r="L37" s="78"/>
      <c r="M37" s="78"/>
      <c r="N37" s="78"/>
      <c r="O37" s="78"/>
      <c r="P37" s="78"/>
      <c r="Q37" s="78"/>
      <c r="R37" s="78"/>
      <c r="S37" s="78"/>
      <c r="T37" s="78"/>
      <c r="U37" s="78"/>
      <c r="V37" s="78"/>
      <c r="W37" s="78"/>
      <c r="X37" s="78"/>
      <c r="Y37" s="78"/>
      <c r="Z37" s="78"/>
      <c r="AA37" s="78"/>
      <c r="AB37" s="78"/>
      <c r="AC37" s="78"/>
      <c r="AD37" s="78"/>
      <c r="AE37" s="78"/>
      <c r="AF37" s="78"/>
      <c r="AG37" s="78"/>
      <c r="AH37" s="78"/>
      <c r="AI37" s="78"/>
      <c r="AJ37" s="78"/>
      <c r="AK37" s="78"/>
      <c r="AL37" s="78"/>
    </row>
    <row r="38" spans="1:38">
      <c r="A38" s="452" t="str">
        <f>'01 Project Details'!C51</f>
        <v>NO</v>
      </c>
      <c r="B38" s="93" t="str">
        <f>'01 Project Details'!B51</f>
        <v>Welding</v>
      </c>
      <c r="C38" s="128" t="str">
        <f t="array" ref="C38">IFERROR(INDEX(tblTradeProspects[],MATCH("CG APPROVED"&amp;$B38,tblTradeProspects[_Status]&amp;tblTradeProspects[Project TO''s],0),COLUMN()+2),"")</f>
        <v/>
      </c>
      <c r="D38" s="222" t="str">
        <f t="array" ref="D38">IFERROR(INDEX(tblTradeProspects[],MATCH("CG APPROVED"&amp;$B38,tblTradeProspects[_Status]&amp;tblTradeProspects[Project TO''s],0),COLUMN()+2),"")</f>
        <v/>
      </c>
      <c r="E38" s="223" t="str">
        <f t="array" ref="E38">IFERROR(INDEX(tblTradeProspects[],MATCH("CG APPROVED"&amp;$B38,tblTradeProspects[_Status]&amp;tblTradeProspects[Project TO''s],0),COLUMN()+2),"")</f>
        <v/>
      </c>
      <c r="F38" s="134" t="str">
        <f t="array" ref="F38">IFERROR(INDEX(tblTradeProspects[],MATCH("CG APPROVED"&amp;$B38,tblTradeProspects[_Status]&amp;tblTradeProspects[Project TO''s],0),COLUMN()+2),"")</f>
        <v/>
      </c>
      <c r="G38" s="134"/>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9"/>
    </row>
    <row r="39" spans="1:38">
      <c r="A39" s="452" t="str">
        <f>'01 Project Details'!C52</f>
        <v>NO</v>
      </c>
      <c r="B39" s="93" t="str">
        <f>'01 Project Details'!B52</f>
        <v>Additional #1A</v>
      </c>
      <c r="C39" s="128" t="str">
        <f t="array" ref="C39">IFERROR(INDEX(tblTradeProspects[],MATCH("CG APPROVED"&amp;$B39,tblTradeProspects[_Status]&amp;tblTradeProspects[Project TO''s],0),COLUMN()+2),"")</f>
        <v/>
      </c>
      <c r="D39" s="222" t="str">
        <f t="array" ref="D39">IFERROR(INDEX(tblTradeProspects[],MATCH("CG APPROVED"&amp;$B39,tblTradeProspects[_Status]&amp;tblTradeProspects[Project TO''s],0),COLUMN()+2),"")</f>
        <v/>
      </c>
      <c r="E39" s="223" t="str">
        <f t="array" ref="E39">IFERROR(INDEX(tblTradeProspects[],MATCH("CG APPROVED"&amp;$B39,tblTradeProspects[_Status]&amp;tblTradeProspects[Project TO''s],0),COLUMN()+2),"")</f>
        <v/>
      </c>
      <c r="F39" s="133" t="str">
        <f t="array" ref="F39">IFERROR(INDEX(tblTradeProspects[],MATCH("CG APPROVED"&amp;$B39,tblTradeProspects[_Status]&amp;tblTradeProspects[Project TO''s],0),COLUMN()+2),"")</f>
        <v/>
      </c>
      <c r="G39" s="133"/>
      <c r="H39" s="78"/>
      <c r="I39" s="78"/>
      <c r="J39" s="78"/>
      <c r="K39" s="78"/>
      <c r="L39" s="78"/>
      <c r="M39" s="78"/>
      <c r="N39" s="78"/>
      <c r="O39" s="78"/>
      <c r="P39" s="78"/>
      <c r="Q39" s="78"/>
      <c r="R39" s="78"/>
      <c r="S39" s="78"/>
      <c r="T39" s="78"/>
      <c r="U39" s="78"/>
      <c r="V39" s="78"/>
      <c r="W39" s="78"/>
      <c r="X39" s="78"/>
      <c r="Y39" s="78"/>
      <c r="Z39" s="78"/>
      <c r="AA39" s="78"/>
      <c r="AB39" s="78"/>
      <c r="AC39" s="78"/>
      <c r="AD39" s="78"/>
      <c r="AE39" s="78"/>
      <c r="AF39" s="78"/>
      <c r="AG39" s="78"/>
      <c r="AH39" s="78"/>
      <c r="AI39" s="78"/>
      <c r="AJ39" s="78"/>
      <c r="AK39" s="78"/>
      <c r="AL39" s="79"/>
    </row>
    <row r="40" spans="1:38">
      <c r="A40" s="452" t="str">
        <f>'01 Project Details'!C53</f>
        <v>NO</v>
      </c>
      <c r="B40" s="93" t="str">
        <f>'01 Project Details'!B53</f>
        <v>Additional #2A</v>
      </c>
      <c r="C40" s="128" t="str">
        <f t="array" ref="C40">IFERROR(INDEX(tblTradeProspects[],MATCH("CG APPROVED"&amp;$B40,tblTradeProspects[_Status]&amp;tblTradeProspects[Project TO''s],0),COLUMN()+2),"")</f>
        <v/>
      </c>
      <c r="D40" s="222" t="str">
        <f t="array" ref="D40">IFERROR(INDEX(tblTradeProspects[],MATCH("CG APPROVED"&amp;$B40,tblTradeProspects[_Status]&amp;tblTradeProspects[Project TO''s],0),COLUMN()+2),"")</f>
        <v/>
      </c>
      <c r="E40" s="223" t="str">
        <f t="array" ref="E40">IFERROR(INDEX(tblTradeProspects[],MATCH("CG APPROVED"&amp;$B40,tblTradeProspects[_Status]&amp;tblTradeProspects[Project TO''s],0),COLUMN()+2),"")</f>
        <v/>
      </c>
      <c r="F40" s="133" t="str">
        <f t="array" ref="F40">IFERROR(INDEX(tblTradeProspects[],MATCH("CG APPROVED"&amp;$B40,tblTradeProspects[_Status]&amp;tblTradeProspects[Project TO''s],0),COLUMN()+2),"")</f>
        <v/>
      </c>
      <c r="G40" s="133"/>
      <c r="H40" s="78"/>
      <c r="I40" s="78"/>
      <c r="J40" s="78"/>
      <c r="K40" s="78"/>
      <c r="L40" s="78"/>
      <c r="M40" s="78"/>
      <c r="N40" s="78"/>
      <c r="O40" s="78"/>
      <c r="P40" s="78"/>
      <c r="Q40" s="78"/>
      <c r="R40" s="78"/>
      <c r="S40" s="78"/>
      <c r="T40" s="78"/>
      <c r="U40" s="78"/>
      <c r="V40" s="78"/>
      <c r="W40" s="78"/>
      <c r="X40" s="78"/>
      <c r="Y40" s="78"/>
      <c r="Z40" s="78"/>
      <c r="AA40" s="78"/>
      <c r="AB40" s="78"/>
      <c r="AC40" s="78"/>
      <c r="AD40" s="78"/>
      <c r="AE40" s="78"/>
      <c r="AF40" s="78"/>
      <c r="AG40" s="78"/>
      <c r="AH40" s="78"/>
      <c r="AI40" s="78"/>
      <c r="AJ40" s="78"/>
      <c r="AK40" s="78"/>
      <c r="AL40" s="79"/>
    </row>
    <row r="41" spans="1:38">
      <c r="A41" s="452" t="str">
        <f>'01 Project Details'!C54</f>
        <v>NO</v>
      </c>
      <c r="B41" s="93" t="str">
        <f>'01 Project Details'!B54</f>
        <v>Additional #3A</v>
      </c>
      <c r="C41" s="128" t="str">
        <f t="array" ref="C41">IFERROR(INDEX(tblTradeProspects[],MATCH("CG APPROVED"&amp;$B41,tblTradeProspects[_Status]&amp;tblTradeProspects[Project TO''s],0),COLUMN()+2),"")</f>
        <v/>
      </c>
      <c r="D41" s="222" t="str">
        <f t="array" ref="D41">IFERROR(INDEX(tblTradeProspects[],MATCH("CG APPROVED"&amp;$B41,tblTradeProspects[_Status]&amp;tblTradeProspects[Project TO''s],0),COLUMN()+2),"")</f>
        <v/>
      </c>
      <c r="E41" s="223" t="str">
        <f t="array" ref="E41">IFERROR(INDEX(tblTradeProspects[],MATCH("CG APPROVED"&amp;$B41,tblTradeProspects[_Status]&amp;tblTradeProspects[Project TO''s],0),COLUMN()+2),"")</f>
        <v/>
      </c>
      <c r="F41" s="133" t="str">
        <f t="array" ref="F41">IFERROR(INDEX(tblTradeProspects[],MATCH("CG APPROVED"&amp;$B41,tblTradeProspects[_Status]&amp;tblTradeProspects[Project TO''s],0),COLUMN()+2),"")</f>
        <v/>
      </c>
      <c r="G41" s="133"/>
      <c r="H41" s="78"/>
      <c r="I41" s="78"/>
      <c r="J41" s="78"/>
      <c r="K41" s="78"/>
      <c r="L41" s="78"/>
      <c r="M41" s="78"/>
      <c r="N41" s="78"/>
      <c r="O41" s="78"/>
      <c r="P41" s="78"/>
      <c r="Q41" s="78"/>
      <c r="R41" s="78"/>
      <c r="S41" s="78"/>
      <c r="T41" s="78"/>
      <c r="U41" s="78"/>
      <c r="V41" s="78"/>
      <c r="W41" s="78"/>
      <c r="X41" s="78"/>
      <c r="Y41" s="78"/>
      <c r="Z41" s="78"/>
      <c r="AA41" s="78"/>
      <c r="AB41" s="78"/>
      <c r="AC41" s="78"/>
      <c r="AD41" s="78"/>
      <c r="AE41" s="78"/>
      <c r="AF41" s="78"/>
      <c r="AG41" s="78"/>
      <c r="AH41" s="78"/>
      <c r="AI41" s="78"/>
      <c r="AJ41" s="78"/>
      <c r="AK41" s="78"/>
      <c r="AL41" s="78"/>
    </row>
    <row r="42" spans="1:38">
      <c r="A42" s="452" t="str">
        <f>'01 Project Details'!C55</f>
        <v>NO</v>
      </c>
      <c r="B42" s="93" t="str">
        <f>'01 Project Details'!B55</f>
        <v>Additional #4A</v>
      </c>
      <c r="C42" s="128" t="str">
        <f t="array" ref="C42">IFERROR(INDEX(tblTradeProspects[],MATCH("CG APPROVED"&amp;$B42,tblTradeProspects[_Status]&amp;tblTradeProspects[Project TO''s],0),COLUMN()+2),"")</f>
        <v/>
      </c>
      <c r="D42" s="222" t="str">
        <f t="array" ref="D42">IFERROR(INDEX(tblTradeProspects[],MATCH("CG APPROVED"&amp;$B42,tblTradeProspects[_Status]&amp;tblTradeProspects[Project TO''s],0),COLUMN()+2),"")</f>
        <v/>
      </c>
      <c r="E42" s="223" t="str">
        <f t="array" ref="E42">IFERROR(INDEX(tblTradeProspects[],MATCH("CG APPROVED"&amp;$B42,tblTradeProspects[_Status]&amp;tblTradeProspects[Project TO''s],0),COLUMN()+2),"")</f>
        <v/>
      </c>
      <c r="F42" s="133" t="str">
        <f t="array" ref="F42">IFERROR(INDEX(tblTradeProspects[],MATCH("CG APPROVED"&amp;$B42,tblTradeProspects[_Status]&amp;tblTradeProspects[Project TO''s],0),COLUMN()+2),"")</f>
        <v/>
      </c>
      <c r="G42" s="133"/>
      <c r="H42" s="78"/>
      <c r="I42" s="78"/>
      <c r="J42" s="78"/>
      <c r="K42" s="78"/>
      <c r="L42" s="78"/>
      <c r="M42" s="78"/>
      <c r="N42" s="78"/>
      <c r="O42" s="78"/>
      <c r="P42" s="78"/>
      <c r="Q42" s="78"/>
      <c r="R42" s="78"/>
      <c r="S42" s="78"/>
      <c r="T42" s="78"/>
      <c r="U42" s="78"/>
      <c r="V42" s="78"/>
      <c r="W42" s="78"/>
      <c r="X42" s="78"/>
      <c r="Y42" s="78"/>
      <c r="Z42" s="78"/>
      <c r="AA42" s="78"/>
      <c r="AB42" s="78"/>
      <c r="AC42" s="78"/>
      <c r="AD42" s="78"/>
      <c r="AE42" s="78"/>
      <c r="AF42" s="78"/>
      <c r="AG42" s="78"/>
      <c r="AH42" s="78"/>
      <c r="AI42" s="78"/>
      <c r="AJ42" s="78"/>
      <c r="AK42" s="78"/>
      <c r="AL42" s="106"/>
    </row>
    <row r="43" spans="1:38">
      <c r="A43" s="452" t="str">
        <f>'01 Project Details'!C56</f>
        <v>NO</v>
      </c>
      <c r="B43" s="93" t="str">
        <f>'01 Project Details'!B56</f>
        <v>Additional #5A</v>
      </c>
      <c r="C43" s="128" t="str">
        <f t="array" ref="C43">IFERROR(INDEX(tblTradeProspects[],MATCH("CG APPROVED"&amp;$B43,tblTradeProspects[_Status]&amp;tblTradeProspects[Project TO''s],0),COLUMN()+2),"")</f>
        <v/>
      </c>
      <c r="D43" s="222" t="str">
        <f t="array" ref="D43">IFERROR(INDEX(tblTradeProspects[],MATCH("CG APPROVED"&amp;$B43,tblTradeProspects[_Status]&amp;tblTradeProspects[Project TO''s],0),COLUMN()+2),"")</f>
        <v/>
      </c>
      <c r="E43" s="223" t="str">
        <f t="array" ref="E43">IFERROR(INDEX(tblTradeProspects[],MATCH("CG APPROVED"&amp;$B43,tblTradeProspects[_Status]&amp;tblTradeProspects[Project TO''s],0),COLUMN()+2),"")</f>
        <v/>
      </c>
      <c r="F43" s="92" t="str">
        <f t="array" ref="F43">IFERROR(INDEX(tblTradeProspects[],MATCH("CG APPROVED"&amp;$B43,tblTradeProspects[_Status]&amp;tblTradeProspects[Project TO''s],0),COLUMN()+2),"")</f>
        <v/>
      </c>
      <c r="G43" s="92"/>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row>
  </sheetData>
  <mergeCells count="1">
    <mergeCell ref="I3:AL3"/>
  </mergeCells>
  <conditionalFormatting sqref="J38:AL43 A4:AL7 D8:AL37 D38:H43 A8:C43">
    <cfRule type="expression" dxfId="2" priority="3">
      <formula>$A4="NO"</formula>
    </cfRule>
  </conditionalFormatting>
  <conditionalFormatting sqref="I38:I43">
    <cfRule type="expression" dxfId="1" priority="1">
      <formula>$A38="NO"</formula>
    </cfRule>
  </conditionalFormatting>
  <dataValidations disablePrompts="1" count="2">
    <dataValidation type="list" allowBlank="1" showInputMessage="1" showErrorMessage="1" sqref="A4" xr:uid="{00000000-0002-0000-0700-000000000000}">
      <formula1>", NO, YES,"</formula1>
    </dataValidation>
    <dataValidation type="list" allowBlank="1" showInputMessage="1" showErrorMessage="1" sqref="H38:AL43" xr:uid="{00000000-0002-0000-0700-000001000000}">
      <formula1>"NO, YES"</formula1>
    </dataValidation>
  </dataValidations>
  <pageMargins left="0.7" right="0.7" top="0.75" bottom="0.75" header="0.3" footer="0.3"/>
  <pageSetup scale="29" fitToHeight="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529" r:id="rId4" name="Button 25">
              <controlPr defaultSize="0" print="0" autoFill="0" autoPict="0" macro="[0]!Toggle_Hiding_Not_Required">
                <anchor moveWithCells="1" sizeWithCells="1">
                  <from>
                    <xdr:col>7</xdr:col>
                    <xdr:colOff>142875</xdr:colOff>
                    <xdr:row>0</xdr:row>
                    <xdr:rowOff>123825</xdr:rowOff>
                  </from>
                  <to>
                    <xdr:col>10</xdr:col>
                    <xdr:colOff>200025</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D5"/>
  <sheetViews>
    <sheetView workbookViewId="0">
      <selection activeCell="D5" sqref="D5"/>
    </sheetView>
  </sheetViews>
  <sheetFormatPr defaultColWidth="9.140625" defaultRowHeight="15"/>
  <cols>
    <col min="1" max="1" width="21.7109375" style="241" customWidth="1"/>
    <col min="2" max="2" width="19.85546875" style="241" customWidth="1"/>
    <col min="3" max="4" width="35.7109375" style="241" customWidth="1"/>
    <col min="5" max="16384" width="9.140625" style="241"/>
  </cols>
  <sheetData>
    <row r="1" spans="1:4" ht="34.5" thickBot="1">
      <c r="A1" s="608" t="s">
        <v>546</v>
      </c>
      <c r="B1" s="609"/>
      <c r="C1" s="609"/>
      <c r="D1" s="610"/>
    </row>
    <row r="2" spans="1:4" ht="27" thickBot="1">
      <c r="A2" s="605" t="str">
        <f>'01 Project Details'!B2</f>
        <v xml:space="preserve">PT#    </v>
      </c>
      <c r="B2" s="606"/>
      <c r="C2" s="606"/>
      <c r="D2" s="607"/>
    </row>
    <row r="3" spans="1:4" ht="15.75" thickBot="1">
      <c r="A3" s="29" t="s">
        <v>60</v>
      </c>
      <c r="B3" s="29"/>
      <c r="C3" s="29" t="s">
        <v>79</v>
      </c>
      <c r="D3" s="29" t="s">
        <v>64</v>
      </c>
    </row>
    <row r="4" spans="1:4" ht="15.75" thickBot="1">
      <c r="A4" s="452"/>
      <c r="B4" s="453"/>
      <c r="C4" s="453"/>
    </row>
    <row r="5" spans="1:4" ht="68.25" customHeight="1" thickBot="1">
      <c r="A5" s="317" t="s">
        <v>547</v>
      </c>
      <c r="B5" s="453"/>
      <c r="C5" s="285"/>
    </row>
  </sheetData>
  <sheetProtection algorithmName="SHA-512" hashValue="YI6O6nxckAg1EcUEK1+x1/PVcgT2qqgleElORvktgC7jaWbJ7LU0DblIoJQIQ05eYNBzNG9+tZN9D2Ch89hQtA==" saltValue="aSVJWUvtgQ/0jWh3MlLUYA==" spinCount="100000" sheet="1" objects="1" scenarios="1"/>
  <mergeCells count="2">
    <mergeCell ref="A2:D2"/>
    <mergeCell ref="A1:D1"/>
  </mergeCells>
  <conditionalFormatting sqref="A4:C4 A5:B5">
    <cfRule type="expression" dxfId="0" priority="1">
      <formula>$A4="NO"</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F100"/>
  <sheetViews>
    <sheetView zoomScaleNormal="100" workbookViewId="0">
      <selection activeCell="F2" sqref="F2"/>
    </sheetView>
  </sheetViews>
  <sheetFormatPr defaultColWidth="8.85546875" defaultRowHeight="15"/>
  <cols>
    <col min="1" max="1" width="25.28515625" bestFit="1" customWidth="1"/>
    <col min="2" max="2" width="9.140625" style="1"/>
    <col min="3" max="3" width="13.28515625" bestFit="1" customWidth="1"/>
  </cols>
  <sheetData>
    <row r="1" spans="1:6">
      <c r="A1" s="4" t="s">
        <v>548</v>
      </c>
      <c r="C1" s="4" t="s">
        <v>549</v>
      </c>
      <c r="D1">
        <f t="array" ref="D1">MATCH(TRUE,ISERROR(A:A),0)-2</f>
        <v>5</v>
      </c>
      <c r="F1" s="4" t="s">
        <v>550</v>
      </c>
    </row>
    <row r="2" spans="1:6">
      <c r="A2" t="s">
        <v>551</v>
      </c>
      <c r="B2" s="1" t="s">
        <v>552</v>
      </c>
      <c r="F2">
        <v>2019</v>
      </c>
    </row>
    <row r="3" spans="1:6">
      <c r="A3" t="s">
        <v>553</v>
      </c>
      <c r="B3" s="1" t="s">
        <v>552</v>
      </c>
      <c r="F3">
        <v>2020</v>
      </c>
    </row>
    <row r="4" spans="1:6">
      <c r="A4" t="s">
        <v>554</v>
      </c>
      <c r="B4" s="1" t="s">
        <v>552</v>
      </c>
      <c r="F4">
        <v>2021</v>
      </c>
    </row>
    <row r="5" spans="1:6">
      <c r="A5" t="s">
        <v>555</v>
      </c>
      <c r="B5" s="1" t="s">
        <v>552</v>
      </c>
      <c r="F5">
        <v>2022</v>
      </c>
    </row>
    <row r="6" spans="1:6">
      <c r="A6" s="5" t="s">
        <v>556</v>
      </c>
      <c r="B6" s="2" t="s">
        <v>552</v>
      </c>
      <c r="F6">
        <v>2023</v>
      </c>
    </row>
    <row r="7" spans="1:6">
      <c r="A7" s="6" t="e">
        <f t="array" ref="A7">INDEX(tblRequiredPTO[],SMALL(IF((INDEX(tblRequiredPTO[],,2)="Yes"),MATCH(ROW(tblRequiredPTO[]),ROW(tblRequiredPTO[])),""),ROWS(A$7:$A7)),COLUMNS($A$1:A1))</f>
        <v>#NUM!</v>
      </c>
      <c r="B7" s="3" t="s">
        <v>557</v>
      </c>
      <c r="F7">
        <v>2024</v>
      </c>
    </row>
    <row r="8" spans="1:6">
      <c r="A8" t="e">
        <f t="array" ref="A8">INDEX(tblRequiredPTO[],SMALL(IF((INDEX(tblRequiredPTO[],,2)="Yes"),MATCH(ROW(tblRequiredPTO[]),ROW(tblRequiredPTO[])),""),ROWS(A$7:$A8)),COLUMNS($A$1:A1))</f>
        <v>#NUM!</v>
      </c>
      <c r="B8" s="1" t="s">
        <v>557</v>
      </c>
      <c r="F8">
        <v>2025</v>
      </c>
    </row>
    <row r="9" spans="1:6">
      <c r="A9" t="e">
        <f t="array" ref="A9">INDEX(tblRequiredPTO[],SMALL(IF((INDEX(tblRequiredPTO[],,2)="Yes"),MATCH(ROW(tblRequiredPTO[]),ROW(tblRequiredPTO[])),""),ROWS(A$7:$A9)),COLUMNS($A$1:A1))</f>
        <v>#NUM!</v>
      </c>
      <c r="B9" s="1" t="s">
        <v>557</v>
      </c>
      <c r="F9">
        <v>2026</v>
      </c>
    </row>
    <row r="10" spans="1:6">
      <c r="A10" t="e">
        <f t="array" ref="A10">INDEX(tblRequiredPTO[],SMALL(IF((INDEX(tblRequiredPTO[],,2)="Yes"),MATCH(ROW(tblRequiredPTO[]),ROW(tblRequiredPTO[])),""),ROWS(A$7:$A10)),COLUMNS($A$1:A1))</f>
        <v>#NUM!</v>
      </c>
      <c r="B10" s="1" t="s">
        <v>557</v>
      </c>
      <c r="F10">
        <v>2027</v>
      </c>
    </row>
    <row r="11" spans="1:6">
      <c r="A11" t="e">
        <f t="array" ref="A11">INDEX(tblRequiredPTO[],SMALL(IF((INDEX(tblRequiredPTO[],,2)="Yes"),MATCH(ROW(tblRequiredPTO[]),ROW(tblRequiredPTO[])),""),ROWS(A$7:$A11)),COLUMNS($A$1:A1))</f>
        <v>#NUM!</v>
      </c>
      <c r="B11" s="1" t="s">
        <v>557</v>
      </c>
      <c r="F11">
        <v>2028</v>
      </c>
    </row>
    <row r="12" spans="1:6">
      <c r="A12" t="e">
        <f t="array" ref="A12">INDEX(tblRequiredPTO[],SMALL(IF((INDEX(tblRequiredPTO[],,2)="Yes"),MATCH(ROW(tblRequiredPTO[]),ROW(tblRequiredPTO[])),""),ROWS(A$7:$A12)),COLUMNS($A$1:A1))</f>
        <v>#NUM!</v>
      </c>
      <c r="B12" s="1" t="s">
        <v>557</v>
      </c>
      <c r="F12">
        <v>2029</v>
      </c>
    </row>
    <row r="13" spans="1:6">
      <c r="A13" t="e">
        <f t="array" ref="A13">INDEX(tblRequiredPTO[],SMALL(IF((INDEX(tblRequiredPTO[],,2)="Yes"),MATCH(ROW(tblRequiredPTO[]),ROW(tblRequiredPTO[])),""),ROWS(A$7:$A13)),COLUMNS($A$1:A1))</f>
        <v>#NUM!</v>
      </c>
      <c r="B13" s="1" t="s">
        <v>557</v>
      </c>
      <c r="F13">
        <v>2030</v>
      </c>
    </row>
    <row r="14" spans="1:6">
      <c r="A14" t="e">
        <f t="array" ref="A14">INDEX(tblRequiredPTO[],SMALL(IF((INDEX(tblRequiredPTO[],,2)="Yes"),MATCH(ROW(tblRequiredPTO[]),ROW(tblRequiredPTO[])),""),ROWS(A$7:$A14)),COLUMNS($A$1:A1))</f>
        <v>#NUM!</v>
      </c>
      <c r="B14" s="1" t="s">
        <v>557</v>
      </c>
      <c r="F14">
        <v>2031</v>
      </c>
    </row>
    <row r="15" spans="1:6">
      <c r="A15" t="e">
        <f t="array" ref="A15">INDEX(tblRequiredPTO[],SMALL(IF((INDEX(tblRequiredPTO[],,2)="Yes"),MATCH(ROW(tblRequiredPTO[]),ROW(tblRequiredPTO[])),""),ROWS(A$7:$A15)),COLUMNS($A$1:A1))</f>
        <v>#NUM!</v>
      </c>
      <c r="B15" s="1" t="s">
        <v>557</v>
      </c>
      <c r="F15">
        <v>2032</v>
      </c>
    </row>
    <row r="16" spans="1:6">
      <c r="A16" t="e">
        <f t="array" ref="A16">INDEX(tblRequiredPTO[],SMALL(IF((INDEX(tblRequiredPTO[],,2)="Yes"),MATCH(ROW(tblRequiredPTO[]),ROW(tblRequiredPTO[])),""),ROWS(A$7:$A16)),COLUMNS($A$1:A1))</f>
        <v>#NUM!</v>
      </c>
      <c r="B16" s="1" t="s">
        <v>557</v>
      </c>
    </row>
    <row r="17" spans="1:2">
      <c r="A17" t="e">
        <f t="array" ref="A17">INDEX(tblRequiredPTO[],SMALL(IF((INDEX(tblRequiredPTO[],,2)="Yes"),MATCH(ROW(tblRequiredPTO[]),ROW(tblRequiredPTO[])),""),ROWS(A$7:$A17)),COLUMNS($A$1:A1))</f>
        <v>#NUM!</v>
      </c>
      <c r="B17" s="1" t="s">
        <v>557</v>
      </c>
    </row>
    <row r="18" spans="1:2">
      <c r="A18" t="e">
        <f t="array" ref="A18">INDEX(tblRequiredPTO[],SMALL(IF((INDEX(tblRequiredPTO[],,2)="Yes"),MATCH(ROW(tblRequiredPTO[]),ROW(tblRequiredPTO[])),""),ROWS(A$7:$A18)),COLUMNS($A$1:A1))</f>
        <v>#NUM!</v>
      </c>
      <c r="B18" s="1" t="s">
        <v>557</v>
      </c>
    </row>
    <row r="19" spans="1:2">
      <c r="A19" t="e">
        <f t="array" ref="A19">INDEX(tblRequiredPTO[],SMALL(IF((INDEX(tblRequiredPTO[],,2)="Yes"),MATCH(ROW(tblRequiredPTO[]),ROW(tblRequiredPTO[])),""),ROWS(A$7:$A19)),COLUMNS($A$1:A1))</f>
        <v>#NUM!</v>
      </c>
      <c r="B19" s="1" t="s">
        <v>557</v>
      </c>
    </row>
    <row r="20" spans="1:2">
      <c r="A20" t="e">
        <f t="array" ref="A20">INDEX(tblRequiredPTO[],SMALL(IF((INDEX(tblRequiredPTO[],,2)="Yes"),MATCH(ROW(tblRequiredPTO[]),ROW(tblRequiredPTO[])),""),ROWS(A$7:$A20)),COLUMNS($A$1:A1))</f>
        <v>#NUM!</v>
      </c>
      <c r="B20" s="1" t="s">
        <v>557</v>
      </c>
    </row>
    <row r="21" spans="1:2">
      <c r="A21" t="e">
        <f t="array" ref="A21">INDEX(tblRequiredPTO[],SMALL(IF((INDEX(tblRequiredPTO[],,2)="Yes"),MATCH(ROW(tblRequiredPTO[]),ROW(tblRequiredPTO[])),""),ROWS(A$7:$A21)),COLUMNS($A$1:A1))</f>
        <v>#NUM!</v>
      </c>
      <c r="B21" s="1" t="s">
        <v>557</v>
      </c>
    </row>
    <row r="22" spans="1:2">
      <c r="A22" t="e">
        <f t="array" ref="A22">INDEX(tblRequiredPTO[],SMALL(IF((INDEX(tblRequiredPTO[],,2)="Yes"),MATCH(ROW(tblRequiredPTO[]),ROW(tblRequiredPTO[])),""),ROWS(A$7:$A22)),COLUMNS($A$1:A1))</f>
        <v>#NUM!</v>
      </c>
      <c r="B22" s="1" t="s">
        <v>557</v>
      </c>
    </row>
    <row r="23" spans="1:2">
      <c r="A23" t="e">
        <f t="array" ref="A23">INDEX(tblRequiredPTO[],SMALL(IF((INDEX(tblRequiredPTO[],,2)="Yes"),MATCH(ROW(tblRequiredPTO[]),ROW(tblRequiredPTO[])),""),ROWS(A$7:$A23)),COLUMNS($A$1:A1))</f>
        <v>#NUM!</v>
      </c>
      <c r="B23" s="1" t="s">
        <v>557</v>
      </c>
    </row>
    <row r="24" spans="1:2">
      <c r="A24" t="e">
        <f t="array" ref="A24">INDEX(tblRequiredPTO[],SMALL(IF((INDEX(tblRequiredPTO[],,2)="Yes"),MATCH(ROW(tblRequiredPTO[]),ROW(tblRequiredPTO[])),""),ROWS(A$7:$A24)),COLUMNS($A$1:A1))</f>
        <v>#NUM!</v>
      </c>
      <c r="B24" s="1" t="s">
        <v>557</v>
      </c>
    </row>
    <row r="25" spans="1:2">
      <c r="A25" t="e">
        <f t="array" ref="A25">INDEX(tblRequiredPTO[],SMALL(IF((INDEX(tblRequiredPTO[],,2)="Yes"),MATCH(ROW(tblRequiredPTO[]),ROW(tblRequiredPTO[])),""),ROWS(A$7:$A25)),COLUMNS($A$1:A1))</f>
        <v>#NUM!</v>
      </c>
      <c r="B25" s="1" t="s">
        <v>557</v>
      </c>
    </row>
    <row r="26" spans="1:2">
      <c r="A26" t="e">
        <f t="array" ref="A26">INDEX(tblRequiredPTO[],SMALL(IF((INDEX(tblRequiredPTO[],,2)="Yes"),MATCH(ROW(tblRequiredPTO[]),ROW(tblRequiredPTO[])),""),ROWS(A$7:$A26)),COLUMNS($A$1:A1))</f>
        <v>#NUM!</v>
      </c>
      <c r="B26" s="1" t="s">
        <v>557</v>
      </c>
    </row>
    <row r="27" spans="1:2">
      <c r="A27" t="e">
        <f t="array" ref="A27">INDEX(tblRequiredPTO[],SMALL(IF((INDEX(tblRequiredPTO[],,2)="Yes"),MATCH(ROW(tblRequiredPTO[]),ROW(tblRequiredPTO[])),""),ROWS(A$7:$A27)),COLUMNS($A$1:A1))</f>
        <v>#NUM!</v>
      </c>
      <c r="B27" s="1" t="s">
        <v>557</v>
      </c>
    </row>
    <row r="28" spans="1:2">
      <c r="A28" t="e">
        <f t="array" ref="A28">INDEX(tblRequiredPTO[],SMALL(IF((INDEX(tblRequiredPTO[],,2)="Yes"),MATCH(ROW(tblRequiredPTO[]),ROW(tblRequiredPTO[])),""),ROWS(A$7:$A28)),COLUMNS($A$1:A1))</f>
        <v>#NUM!</v>
      </c>
      <c r="B28" s="1" t="s">
        <v>557</v>
      </c>
    </row>
    <row r="29" spans="1:2">
      <c r="A29" t="e">
        <f t="array" ref="A29">INDEX(tblRequiredPTO[],SMALL(IF((INDEX(tblRequiredPTO[],,2)="Yes"),MATCH(ROW(tblRequiredPTO[]),ROW(tblRequiredPTO[])),""),ROWS(A$7:$A29)),COLUMNS($A$1:A1))</f>
        <v>#NUM!</v>
      </c>
      <c r="B29" s="1" t="s">
        <v>557</v>
      </c>
    </row>
    <row r="30" spans="1:2">
      <c r="A30" t="e">
        <f t="array" ref="A30">INDEX(tblRequiredPTO[],SMALL(IF((INDEX(tblRequiredPTO[],,2)="Yes"),MATCH(ROW(tblRequiredPTO[]),ROW(tblRequiredPTO[])),""),ROWS(A$7:$A30)),COLUMNS($A$1:A1))</f>
        <v>#NUM!</v>
      </c>
      <c r="B30" s="1" t="s">
        <v>557</v>
      </c>
    </row>
    <row r="31" spans="1:2">
      <c r="A31" t="e">
        <f t="array" ref="A31">INDEX(tblRequiredPTO[],SMALL(IF((INDEX(tblRequiredPTO[],,2)="Yes"),MATCH(ROW(tblRequiredPTO[]),ROW(tblRequiredPTO[])),""),ROWS(A$7:$A31)),COLUMNS($A$1:A1))</f>
        <v>#NUM!</v>
      </c>
      <c r="B31" s="1" t="s">
        <v>557</v>
      </c>
    </row>
    <row r="32" spans="1:2">
      <c r="A32" t="e">
        <f t="array" ref="A32">INDEX(tblRequiredPTO[],SMALL(IF((INDEX(tblRequiredPTO[],,2)="Yes"),MATCH(ROW(tblRequiredPTO[]),ROW(tblRequiredPTO[])),""),ROWS(A$7:$A32)),COLUMNS($A$1:A1))</f>
        <v>#NUM!</v>
      </c>
      <c r="B32" s="1" t="s">
        <v>557</v>
      </c>
    </row>
    <row r="33" spans="1:2">
      <c r="A33" t="e">
        <f t="array" ref="A33">INDEX(tblRequiredPTO[],SMALL(IF((INDEX(tblRequiredPTO[],,2)="Yes"),MATCH(ROW(tblRequiredPTO[]),ROW(tblRequiredPTO[])),""),ROWS(A$7:$A33)),COLUMNS($A$1:A1))</f>
        <v>#NUM!</v>
      </c>
      <c r="B33" s="1" t="s">
        <v>557</v>
      </c>
    </row>
    <row r="34" spans="1:2">
      <c r="A34" t="e">
        <f t="array" ref="A34">INDEX(tblRequiredPTO[],SMALL(IF((INDEX(tblRequiredPTO[],,2)="Yes"),MATCH(ROW(tblRequiredPTO[]),ROW(tblRequiredPTO[])),""),ROWS(A$7:$A34)),COLUMNS($A$1:A1))</f>
        <v>#NUM!</v>
      </c>
      <c r="B34" s="1" t="s">
        <v>557</v>
      </c>
    </row>
    <row r="35" spans="1:2">
      <c r="A35" t="e">
        <f t="array" ref="A35">INDEX(tblRequiredPTO[],SMALL(IF((INDEX(tblRequiredPTO[],,2)="Yes"),MATCH(ROW(tblRequiredPTO[]),ROW(tblRequiredPTO[])),""),ROWS(A$7:$A35)),COLUMNS($A$1:A1))</f>
        <v>#NUM!</v>
      </c>
      <c r="B35" s="1" t="s">
        <v>557</v>
      </c>
    </row>
    <row r="36" spans="1:2">
      <c r="A36" t="e">
        <f t="array" ref="A36">INDEX(tblRequiredPTO[],SMALL(IF((INDEX(tblRequiredPTO[],,2)="Yes"),MATCH(ROW(tblRequiredPTO[]),ROW(tblRequiredPTO[])),""),ROWS(A$7:$A36)),COLUMNS($A$1:A1))</f>
        <v>#NUM!</v>
      </c>
      <c r="B36" s="1" t="s">
        <v>557</v>
      </c>
    </row>
    <row r="37" spans="1:2">
      <c r="A37" t="e">
        <f t="array" ref="A37">INDEX(tblRequiredPTO[],SMALL(IF((INDEX(tblRequiredPTO[],,2)="Yes"),MATCH(ROW(tblRequiredPTO[]),ROW(tblRequiredPTO[])),""),ROWS(A$7:$A37)),COLUMNS($A$1:A1))</f>
        <v>#NUM!</v>
      </c>
      <c r="B37" s="1" t="s">
        <v>557</v>
      </c>
    </row>
    <row r="38" spans="1:2">
      <c r="A38" t="e">
        <f t="array" ref="A38">INDEX(tblRequiredPTO[],SMALL(IF((INDEX(tblRequiredPTO[],,2)="Yes"),MATCH(ROW(tblRequiredPTO[]),ROW(tblRequiredPTO[])),""),ROWS(A$7:$A38)),COLUMNS($A$1:A1))</f>
        <v>#NUM!</v>
      </c>
      <c r="B38" s="1" t="s">
        <v>557</v>
      </c>
    </row>
    <row r="39" spans="1:2">
      <c r="A39" t="e">
        <f t="array" ref="A39">INDEX(tblRequiredPTO[],SMALL(IF((INDEX(tblRequiredPTO[],,2)="Yes"),MATCH(ROW(tblRequiredPTO[]),ROW(tblRequiredPTO[])),""),ROWS(A$7:$A39)),COLUMNS($A$1:A1))</f>
        <v>#NUM!</v>
      </c>
      <c r="B39" s="1" t="s">
        <v>557</v>
      </c>
    </row>
    <row r="40" spans="1:2">
      <c r="A40" t="e">
        <f t="array" ref="A40">INDEX(tblRequiredPTO[],SMALL(IF((INDEX(tblRequiredPTO[],,2)="Yes"),MATCH(ROW(tblRequiredPTO[]),ROW(tblRequiredPTO[])),""),ROWS(A$7:$A40)),COLUMNS($A$1:A1))</f>
        <v>#NUM!</v>
      </c>
      <c r="B40" s="1" t="s">
        <v>557</v>
      </c>
    </row>
    <row r="41" spans="1:2">
      <c r="A41" t="e">
        <f t="array" ref="A41">INDEX(tblRequiredPTO[],SMALL(IF((INDEX(tblRequiredPTO[],,2)="Yes"),MATCH(ROW(tblRequiredPTO[]),ROW(tblRequiredPTO[])),""),ROWS(A$7:$A41)),COLUMNS($A$1:A1))</f>
        <v>#NUM!</v>
      </c>
      <c r="B41" s="1" t="s">
        <v>557</v>
      </c>
    </row>
    <row r="42" spans="1:2">
      <c r="A42" t="e">
        <f t="array" ref="A42">INDEX(tblRequiredPTO[],SMALL(IF((INDEX(tblRequiredPTO[],,2)="Yes"),MATCH(ROW(tblRequiredPTO[]),ROW(tblRequiredPTO[])),""),ROWS(A$7:$A42)),COLUMNS($A$1:A1))</f>
        <v>#NUM!</v>
      </c>
      <c r="B42" s="1" t="s">
        <v>557</v>
      </c>
    </row>
    <row r="43" spans="1:2">
      <c r="A43" t="e">
        <f t="array" ref="A43">INDEX(tblRequiredPTO[],SMALL(IF((INDEX(tblRequiredPTO[],,2)="Yes"),MATCH(ROW(tblRequiredPTO[]),ROW(tblRequiredPTO[])),""),ROWS(A$7:$A43)),COLUMNS($A$1:A1))</f>
        <v>#NUM!</v>
      </c>
      <c r="B43" s="1" t="s">
        <v>557</v>
      </c>
    </row>
    <row r="44" spans="1:2">
      <c r="A44" t="e">
        <f t="array" ref="A44">INDEX(tblRequiredPTO[],SMALL(IF((INDEX(tblRequiredPTO[],,2)="Yes"),MATCH(ROW(tblRequiredPTO[]),ROW(tblRequiredPTO[])),""),ROWS(A$7:$A44)),COLUMNS($A$1:A1))</f>
        <v>#NUM!</v>
      </c>
      <c r="B44" s="1" t="s">
        <v>557</v>
      </c>
    </row>
    <row r="45" spans="1:2">
      <c r="A45" t="e">
        <f t="array" ref="A45">INDEX(tblRequiredPTO[],SMALL(IF((INDEX(tblRequiredPTO[],,2)="Yes"),MATCH(ROW(tblRequiredPTO[]),ROW(tblRequiredPTO[])),""),ROWS(A$7:$A45)),COLUMNS($A$1:A1))</f>
        <v>#NUM!</v>
      </c>
      <c r="B45" s="1" t="s">
        <v>557</v>
      </c>
    </row>
    <row r="46" spans="1:2">
      <c r="A46" t="e">
        <f t="array" ref="A46">INDEX(tblRequiredPTO[],SMALL(IF((INDEX(tblRequiredPTO[],,2)="Yes"),MATCH(ROW(tblRequiredPTO[]),ROW(tblRequiredPTO[])),""),ROWS(A$7:$A46)),COLUMNS($A$1:A1))</f>
        <v>#NUM!</v>
      </c>
      <c r="B46" s="1" t="s">
        <v>557</v>
      </c>
    </row>
    <row r="47" spans="1:2">
      <c r="A47" t="e">
        <f t="array" ref="A47">INDEX(tblRequiredPTO[],SMALL(IF((INDEX(tblRequiredPTO[],,2)="Yes"),MATCH(ROW(tblRequiredPTO[]),ROW(tblRequiredPTO[])),""),ROWS(A$7:$A47)),COLUMNS($A$1:A1))</f>
        <v>#NUM!</v>
      </c>
      <c r="B47" s="1" t="s">
        <v>557</v>
      </c>
    </row>
    <row r="48" spans="1:2">
      <c r="A48" t="e">
        <f t="array" ref="A48">INDEX(tblRequiredPTO[],SMALL(IF((INDEX(tblRequiredPTO[],,2)="Yes"),MATCH(ROW(tblRequiredPTO[]),ROW(tblRequiredPTO[])),""),ROWS(A$7:$A48)),COLUMNS($A$1:A1))</f>
        <v>#NUM!</v>
      </c>
      <c r="B48" s="1" t="s">
        <v>557</v>
      </c>
    </row>
    <row r="49" spans="1:2">
      <c r="A49" t="e">
        <f t="array" ref="A49">INDEX(tblRequiredPTO[],SMALL(IF((INDEX(tblRequiredPTO[],,2)="Yes"),MATCH(ROW(tblRequiredPTO[]),ROW(tblRequiredPTO[])),""),ROWS(A$7:$A49)),COLUMNS($A$1:A1))</f>
        <v>#NUM!</v>
      </c>
      <c r="B49" s="1" t="s">
        <v>557</v>
      </c>
    </row>
    <row r="50" spans="1:2">
      <c r="A50" t="e">
        <f t="array" ref="A50">INDEX(tblRequiredPTO[],SMALL(IF((INDEX(tblRequiredPTO[],,2)="Yes"),MATCH(ROW(tblRequiredPTO[]),ROW(tblRequiredPTO[])),""),ROWS(A$7:$A50)),COLUMNS($A$1:A1))</f>
        <v>#NUM!</v>
      </c>
      <c r="B50" s="1" t="s">
        <v>557</v>
      </c>
    </row>
    <row r="51" spans="1:2">
      <c r="A51" t="e">
        <f t="array" ref="A51">INDEX(tblRequiredPTO[],SMALL(IF((INDEX(tblRequiredPTO[],,2)="Yes"),MATCH(ROW(tblRequiredPTO[]),ROW(tblRequiredPTO[])),""),ROWS(A$7:$A51)),COLUMNS($A$1:A1))</f>
        <v>#NUM!</v>
      </c>
      <c r="B51" s="1" t="s">
        <v>557</v>
      </c>
    </row>
    <row r="52" spans="1:2">
      <c r="A52" t="e">
        <f t="array" ref="A52">INDEX(tblRequiredPTO[],SMALL(IF((INDEX(tblRequiredPTO[],,2)="Yes"),MATCH(ROW(tblRequiredPTO[]),ROW(tblRequiredPTO[])),""),ROWS(A$7:$A52)),COLUMNS($A$1:A1))</f>
        <v>#NUM!</v>
      </c>
      <c r="B52" s="1" t="s">
        <v>557</v>
      </c>
    </row>
    <row r="53" spans="1:2">
      <c r="A53" t="e">
        <f t="array" ref="A53">INDEX(tblRequiredPTO[],SMALL(IF((INDEX(tblRequiredPTO[],,2)="Yes"),MATCH(ROW(tblRequiredPTO[]),ROW(tblRequiredPTO[])),""),ROWS(A$7:$A53)),COLUMNS($A$1:A1))</f>
        <v>#NUM!</v>
      </c>
      <c r="B53" s="1" t="s">
        <v>557</v>
      </c>
    </row>
    <row r="54" spans="1:2">
      <c r="A54" t="e">
        <f t="array" ref="A54">INDEX(tblRequiredPTO[],SMALL(IF((INDEX(tblRequiredPTO[],,2)="Yes"),MATCH(ROW(tblRequiredPTO[]),ROW(tblRequiredPTO[])),""),ROWS(A$7:$A54)),COLUMNS($A$1:A1))</f>
        <v>#NUM!</v>
      </c>
      <c r="B54" s="1" t="s">
        <v>557</v>
      </c>
    </row>
    <row r="55" spans="1:2">
      <c r="A55" t="e">
        <f t="array" ref="A55">INDEX(tblRequiredPTO[],SMALL(IF((INDEX(tblRequiredPTO[],,2)="Yes"),MATCH(ROW(tblRequiredPTO[]),ROW(tblRequiredPTO[])),""),ROWS(A$7:$A55)),COLUMNS($A$1:A1))</f>
        <v>#NUM!</v>
      </c>
      <c r="B55" s="1" t="s">
        <v>557</v>
      </c>
    </row>
    <row r="56" spans="1:2">
      <c r="A56" t="e">
        <f t="array" ref="A56">INDEX(tblRequiredPTO[],SMALL(IF((INDEX(tblRequiredPTO[],,2)="Yes"),MATCH(ROW(tblRequiredPTO[]),ROW(tblRequiredPTO[])),""),ROWS(A$7:$A56)),COLUMNS($A$1:A1))</f>
        <v>#NUM!</v>
      </c>
      <c r="B56" s="1" t="s">
        <v>557</v>
      </c>
    </row>
    <row r="57" spans="1:2">
      <c r="A57" t="e">
        <f t="array" ref="A57">INDEX(tblRequiredPTO[],SMALL(IF((INDEX(tblRequiredPTO[],,2)="Yes"),MATCH(ROW(tblRequiredPTO[]),ROW(tblRequiredPTO[])),""),ROWS(A$7:$A57)),COLUMNS($A$1:A1))</f>
        <v>#NUM!</v>
      </c>
      <c r="B57" s="1" t="s">
        <v>557</v>
      </c>
    </row>
    <row r="58" spans="1:2">
      <c r="A58" t="e">
        <f t="array" ref="A58">INDEX(tblRequiredPTO[],SMALL(IF((INDEX(tblRequiredPTO[],,2)="Yes"),MATCH(ROW(tblRequiredPTO[]),ROW(tblRequiredPTO[])),""),ROWS(A$7:$A58)),COLUMNS($A$1:A1))</f>
        <v>#NUM!</v>
      </c>
      <c r="B58" s="1" t="s">
        <v>557</v>
      </c>
    </row>
    <row r="59" spans="1:2">
      <c r="A59" t="e">
        <f t="array" ref="A59">INDEX(tblRequiredPTO[],SMALL(IF((INDEX(tblRequiredPTO[],,2)="Yes"),MATCH(ROW(tblRequiredPTO[]),ROW(tblRequiredPTO[])),""),ROWS(A$7:$A59)),COLUMNS($A$1:A1))</f>
        <v>#NUM!</v>
      </c>
      <c r="B59" s="1" t="s">
        <v>557</v>
      </c>
    </row>
    <row r="60" spans="1:2">
      <c r="A60" t="e">
        <f t="array" ref="A60">INDEX(tblRequiredPTO[],SMALL(IF((INDEX(tblRequiredPTO[],,2)="Yes"),MATCH(ROW(tblRequiredPTO[]),ROW(tblRequiredPTO[])),""),ROWS(A$7:$A60)),COLUMNS($A$1:A1))</f>
        <v>#NUM!</v>
      </c>
      <c r="B60" s="1" t="s">
        <v>557</v>
      </c>
    </row>
    <row r="61" spans="1:2">
      <c r="A61" t="e">
        <f t="array" ref="A61">INDEX(tblRequiredPTO[],SMALL(IF((INDEX(tblRequiredPTO[],,2)="Yes"),MATCH(ROW(tblRequiredPTO[]),ROW(tblRequiredPTO[])),""),ROWS(A$7:$A61)),COLUMNS($A$1:A1))</f>
        <v>#NUM!</v>
      </c>
      <c r="B61" s="1" t="s">
        <v>557</v>
      </c>
    </row>
    <row r="62" spans="1:2">
      <c r="A62" t="e">
        <f t="array" ref="A62">INDEX(tblRequiredPTO[],SMALL(IF((INDEX(tblRequiredPTO[],,2)="Yes"),MATCH(ROW(tblRequiredPTO[]),ROW(tblRequiredPTO[])),""),ROWS(A$7:$A62)),COLUMNS($A$1:A1))</f>
        <v>#NUM!</v>
      </c>
      <c r="B62" s="1" t="s">
        <v>557</v>
      </c>
    </row>
    <row r="63" spans="1:2">
      <c r="A63" t="e">
        <f t="array" ref="A63">INDEX(tblRequiredPTO[],SMALL(IF((INDEX(tblRequiredPTO[],,2)="Yes"),MATCH(ROW(tblRequiredPTO[]),ROW(tblRequiredPTO[])),""),ROWS(A$7:$A63)),COLUMNS($A$1:A1))</f>
        <v>#NUM!</v>
      </c>
      <c r="B63" s="1" t="s">
        <v>557</v>
      </c>
    </row>
    <row r="64" spans="1:2">
      <c r="A64" t="e">
        <f t="array" ref="A64">INDEX(tblRequiredPTO[],SMALL(IF((INDEX(tblRequiredPTO[],,2)="Yes"),MATCH(ROW(tblRequiredPTO[]),ROW(tblRequiredPTO[])),""),ROWS(A$7:$A64)),COLUMNS($A$1:A1))</f>
        <v>#NUM!</v>
      </c>
      <c r="B64" s="1" t="s">
        <v>557</v>
      </c>
    </row>
    <row r="65" spans="1:2">
      <c r="A65" t="e">
        <f t="array" ref="A65">INDEX(tblRequiredPTO[],SMALL(IF((INDEX(tblRequiredPTO[],,2)="Yes"),MATCH(ROW(tblRequiredPTO[]),ROW(tblRequiredPTO[])),""),ROWS(A$7:$A65)),COLUMNS($A$1:A1))</f>
        <v>#NUM!</v>
      </c>
      <c r="B65" s="1" t="s">
        <v>557</v>
      </c>
    </row>
    <row r="66" spans="1:2">
      <c r="A66" t="e">
        <f t="array" ref="A66">INDEX(tblRequiredPTO[],SMALL(IF((INDEX(tblRequiredPTO[],,2)="Yes"),MATCH(ROW(tblRequiredPTO[]),ROW(tblRequiredPTO[])),""),ROWS(A$7:$A66)),COLUMNS($A$1:A1))</f>
        <v>#NUM!</v>
      </c>
      <c r="B66" s="1" t="s">
        <v>557</v>
      </c>
    </row>
    <row r="67" spans="1:2">
      <c r="A67" t="e">
        <f t="array" ref="A67">INDEX(tblRequiredPTO[],SMALL(IF((INDEX(tblRequiredPTO[],,2)="Yes"),MATCH(ROW(tblRequiredPTO[]),ROW(tblRequiredPTO[])),""),ROWS(A$7:$A67)),COLUMNS($A$1:A1))</f>
        <v>#NUM!</v>
      </c>
      <c r="B67" s="1" t="s">
        <v>557</v>
      </c>
    </row>
    <row r="68" spans="1:2">
      <c r="A68" t="e">
        <f t="array" ref="A68">INDEX(tblRequiredPTO[],SMALL(IF((INDEX(tblRequiredPTO[],,2)="Yes"),MATCH(ROW(tblRequiredPTO[]),ROW(tblRequiredPTO[])),""),ROWS(A$7:$A68)),COLUMNS($A$1:A1))</f>
        <v>#NUM!</v>
      </c>
      <c r="B68" s="1" t="s">
        <v>557</v>
      </c>
    </row>
    <row r="69" spans="1:2">
      <c r="A69" t="e">
        <f t="array" ref="A69">INDEX(tblRequiredPTO[],SMALL(IF((INDEX(tblRequiredPTO[],,2)="Yes"),MATCH(ROW(tblRequiredPTO[]),ROW(tblRequiredPTO[])),""),ROWS(A$7:$A69)),COLUMNS($A$1:A1))</f>
        <v>#NUM!</v>
      </c>
      <c r="B69" s="1" t="s">
        <v>557</v>
      </c>
    </row>
    <row r="70" spans="1:2">
      <c r="A70" t="e">
        <f t="array" ref="A70">INDEX(tblRequiredPTO[],SMALL(IF((INDEX(tblRequiredPTO[],,2)="Yes"),MATCH(ROW(tblRequiredPTO[]),ROW(tblRequiredPTO[])),""),ROWS(A$7:$A70)),COLUMNS($A$1:A1))</f>
        <v>#NUM!</v>
      </c>
      <c r="B70" s="1" t="s">
        <v>557</v>
      </c>
    </row>
    <row r="71" spans="1:2">
      <c r="A71" t="e">
        <f t="array" ref="A71">INDEX(tblRequiredPTO[],SMALL(IF((INDEX(tblRequiredPTO[],,2)="Yes"),MATCH(ROW(tblRequiredPTO[]),ROW(tblRequiredPTO[])),""),ROWS(A$7:$A71)),COLUMNS($A$1:A1))</f>
        <v>#NUM!</v>
      </c>
      <c r="B71" s="1" t="s">
        <v>557</v>
      </c>
    </row>
    <row r="72" spans="1:2">
      <c r="A72" t="e">
        <f t="array" ref="A72">INDEX(tblRequiredPTO[],SMALL(IF((INDEX(tblRequiredPTO[],,2)="Yes"),MATCH(ROW(tblRequiredPTO[]),ROW(tblRequiredPTO[])),""),ROWS(A$7:$A72)),COLUMNS($A$1:A1))</f>
        <v>#NUM!</v>
      </c>
      <c r="B72" s="1" t="s">
        <v>557</v>
      </c>
    </row>
    <row r="73" spans="1:2">
      <c r="A73" t="e">
        <f t="array" ref="A73">INDEX(tblRequiredPTO[],SMALL(IF((INDEX(tblRequiredPTO[],,2)="Yes"),MATCH(ROW(tblRequiredPTO[]),ROW(tblRequiredPTO[])),""),ROWS(A$7:$A73)),COLUMNS($A$1:A1))</f>
        <v>#NUM!</v>
      </c>
      <c r="B73" s="1" t="s">
        <v>557</v>
      </c>
    </row>
    <row r="74" spans="1:2">
      <c r="A74" t="e">
        <f t="array" ref="A74">INDEX(tblRequiredPTO[],SMALL(IF((INDEX(tblRequiredPTO[],,2)="Yes"),MATCH(ROW(tblRequiredPTO[]),ROW(tblRequiredPTO[])),""),ROWS(A$7:$A74)),COLUMNS($A$1:A1))</f>
        <v>#NUM!</v>
      </c>
      <c r="B74" s="1" t="s">
        <v>557</v>
      </c>
    </row>
    <row r="75" spans="1:2">
      <c r="A75" t="e">
        <f t="array" ref="A75">INDEX(tblRequiredPTO[],SMALL(IF((INDEX(tblRequiredPTO[],,2)="Yes"),MATCH(ROW(tblRequiredPTO[]),ROW(tblRequiredPTO[])),""),ROWS(A$7:$A75)),COLUMNS($A$1:A1))</f>
        <v>#NUM!</v>
      </c>
      <c r="B75" s="1" t="s">
        <v>557</v>
      </c>
    </row>
    <row r="76" spans="1:2">
      <c r="A76" t="e">
        <f t="array" ref="A76">INDEX(tblRequiredPTO[],SMALL(IF((INDEX(tblRequiredPTO[],,2)="Yes"),MATCH(ROW(tblRequiredPTO[]),ROW(tblRequiredPTO[])),""),ROWS(A$7:$A76)),COLUMNS($A$1:A1))</f>
        <v>#NUM!</v>
      </c>
      <c r="B76" s="1" t="s">
        <v>557</v>
      </c>
    </row>
    <row r="77" spans="1:2">
      <c r="A77" t="e">
        <f t="array" ref="A77">INDEX(tblRequiredPTO[],SMALL(IF((INDEX(tblRequiredPTO[],,2)="Yes"),MATCH(ROW(tblRequiredPTO[]),ROW(tblRequiredPTO[])),""),ROWS(A$7:$A77)),COLUMNS($A$1:A1))</f>
        <v>#NUM!</v>
      </c>
      <c r="B77" s="1" t="s">
        <v>557</v>
      </c>
    </row>
    <row r="78" spans="1:2">
      <c r="A78" t="e">
        <f t="array" ref="A78">INDEX(tblRequiredPTO[],SMALL(IF((INDEX(tblRequiredPTO[],,2)="Yes"),MATCH(ROW(tblRequiredPTO[]),ROW(tblRequiredPTO[])),""),ROWS(A$7:$A78)),COLUMNS($A$1:A1))</f>
        <v>#NUM!</v>
      </c>
      <c r="B78" s="1" t="s">
        <v>557</v>
      </c>
    </row>
    <row r="79" spans="1:2">
      <c r="A79" t="e">
        <f t="array" ref="A79">INDEX(tblRequiredPTO[],SMALL(IF((INDEX(tblRequiredPTO[],,2)="Yes"),MATCH(ROW(tblRequiredPTO[]),ROW(tblRequiredPTO[])),""),ROWS(A$7:$A79)),COLUMNS($A$1:A1))</f>
        <v>#NUM!</v>
      </c>
      <c r="B79" s="1" t="s">
        <v>557</v>
      </c>
    </row>
    <row r="80" spans="1:2">
      <c r="A80" t="e">
        <f t="array" ref="A80">INDEX(tblRequiredPTO[],SMALL(IF((INDEX(tblRequiredPTO[],,2)="Yes"),MATCH(ROW(tblRequiredPTO[]),ROW(tblRequiredPTO[])),""),ROWS(A$7:$A80)),COLUMNS($A$1:A1))</f>
        <v>#NUM!</v>
      </c>
      <c r="B80" s="1" t="s">
        <v>557</v>
      </c>
    </row>
    <row r="81" spans="1:2">
      <c r="A81" t="e">
        <f t="array" ref="A81">INDEX(tblRequiredPTO[],SMALL(IF((INDEX(tblRequiredPTO[],,2)="Yes"),MATCH(ROW(tblRequiredPTO[]),ROW(tblRequiredPTO[])),""),ROWS(A$7:$A81)),COLUMNS($A$1:A1))</f>
        <v>#NUM!</v>
      </c>
      <c r="B81" s="1" t="s">
        <v>557</v>
      </c>
    </row>
    <row r="82" spans="1:2">
      <c r="A82" t="e">
        <f t="array" ref="A82">INDEX(tblRequiredPTO[],SMALL(IF((INDEX(tblRequiredPTO[],,2)="Yes"),MATCH(ROW(tblRequiredPTO[]),ROW(tblRequiredPTO[])),""),ROWS(A$7:$A82)),COLUMNS($A$1:A1))</f>
        <v>#NUM!</v>
      </c>
      <c r="B82" s="1" t="s">
        <v>557</v>
      </c>
    </row>
    <row r="83" spans="1:2">
      <c r="A83" t="e">
        <f t="array" ref="A83">INDEX(tblRequiredPTO[],SMALL(IF((INDEX(tblRequiredPTO[],,2)="Yes"),MATCH(ROW(tblRequiredPTO[]),ROW(tblRequiredPTO[])),""),ROWS(A$7:$A83)),COLUMNS($A$1:A1))</f>
        <v>#NUM!</v>
      </c>
      <c r="B83" s="1" t="s">
        <v>557</v>
      </c>
    </row>
    <row r="84" spans="1:2">
      <c r="A84" t="e">
        <f t="array" ref="A84">INDEX(tblRequiredPTO[],SMALL(IF((INDEX(tblRequiredPTO[],,2)="Yes"),MATCH(ROW(tblRequiredPTO[]),ROW(tblRequiredPTO[])),""),ROWS(A$7:$A84)),COLUMNS($A$1:A1))</f>
        <v>#NUM!</v>
      </c>
      <c r="B84" s="1" t="s">
        <v>557</v>
      </c>
    </row>
    <row r="85" spans="1:2">
      <c r="A85" t="e">
        <f t="array" ref="A85">INDEX(tblRequiredPTO[],SMALL(IF((INDEX(tblRequiredPTO[],,2)="Yes"),MATCH(ROW(tblRequiredPTO[]),ROW(tblRequiredPTO[])),""),ROWS(A$7:$A85)),COLUMNS($A$1:A1))</f>
        <v>#NUM!</v>
      </c>
      <c r="B85" s="1" t="s">
        <v>557</v>
      </c>
    </row>
    <row r="86" spans="1:2">
      <c r="A86" t="e">
        <f t="array" ref="A86">INDEX(tblRequiredPTO[],SMALL(IF((INDEX(tblRequiredPTO[],,2)="Yes"),MATCH(ROW(tblRequiredPTO[]),ROW(tblRequiredPTO[])),""),ROWS(A$7:$A86)),COLUMNS($A$1:A1))</f>
        <v>#NUM!</v>
      </c>
      <c r="B86" s="1" t="s">
        <v>557</v>
      </c>
    </row>
    <row r="87" spans="1:2">
      <c r="A87" t="e">
        <f t="array" ref="A87">INDEX(tblRequiredPTO[],SMALL(IF((INDEX(tblRequiredPTO[],,2)="Yes"),MATCH(ROW(tblRequiredPTO[]),ROW(tblRequiredPTO[])),""),ROWS(A$7:$A87)),COLUMNS($A$1:A1))</f>
        <v>#NUM!</v>
      </c>
      <c r="B87" s="1" t="s">
        <v>557</v>
      </c>
    </row>
    <row r="88" spans="1:2">
      <c r="A88" t="e">
        <f t="array" ref="A88">INDEX(tblRequiredPTO[],SMALL(IF((INDEX(tblRequiredPTO[],,2)="Yes"),MATCH(ROW(tblRequiredPTO[]),ROW(tblRequiredPTO[])),""),ROWS(A$7:$A88)),COLUMNS($A$1:A1))</f>
        <v>#NUM!</v>
      </c>
      <c r="B88" s="1" t="s">
        <v>557</v>
      </c>
    </row>
    <row r="89" spans="1:2">
      <c r="A89" t="e">
        <f t="array" ref="A89">INDEX(tblRequiredPTO[],SMALL(IF((INDEX(tblRequiredPTO[],,2)="Yes"),MATCH(ROW(tblRequiredPTO[]),ROW(tblRequiredPTO[])),""),ROWS(A$7:$A89)),COLUMNS($A$1:A1))</f>
        <v>#NUM!</v>
      </c>
      <c r="B89" s="1" t="s">
        <v>557</v>
      </c>
    </row>
    <row r="90" spans="1:2">
      <c r="A90" t="e">
        <f t="array" ref="A90">INDEX(tblRequiredPTO[],SMALL(IF((INDEX(tblRequiredPTO[],,2)="Yes"),MATCH(ROW(tblRequiredPTO[]),ROW(tblRequiredPTO[])),""),ROWS(A$7:$A90)),COLUMNS($A$1:A1))</f>
        <v>#NUM!</v>
      </c>
      <c r="B90" s="1" t="s">
        <v>557</v>
      </c>
    </row>
    <row r="91" spans="1:2">
      <c r="A91" t="e">
        <f t="array" ref="A91">INDEX(tblRequiredPTO[],SMALL(IF((INDEX(tblRequiredPTO[],,2)="Yes"),MATCH(ROW(tblRequiredPTO[]),ROW(tblRequiredPTO[])),""),ROWS(A$7:$A91)),COLUMNS($A$1:A1))</f>
        <v>#NUM!</v>
      </c>
      <c r="B91" s="1" t="s">
        <v>557</v>
      </c>
    </row>
    <row r="92" spans="1:2">
      <c r="A92" t="e">
        <f t="array" ref="A92">INDEX(tblRequiredPTO[],SMALL(IF((INDEX(tblRequiredPTO[],,2)="Yes"),MATCH(ROW(tblRequiredPTO[]),ROW(tblRequiredPTO[])),""),ROWS(A$7:$A92)),COLUMNS($A$1:A1))</f>
        <v>#NUM!</v>
      </c>
      <c r="B92" s="1" t="s">
        <v>557</v>
      </c>
    </row>
    <row r="93" spans="1:2">
      <c r="A93" t="e">
        <f t="array" ref="A93">INDEX(tblRequiredPTO[],SMALL(IF((INDEX(tblRequiredPTO[],,2)="Yes"),MATCH(ROW(tblRequiredPTO[]),ROW(tblRequiredPTO[])),""),ROWS(A$7:$A93)),COLUMNS($A$1:A1))</f>
        <v>#NUM!</v>
      </c>
      <c r="B93" s="1" t="s">
        <v>557</v>
      </c>
    </row>
    <row r="94" spans="1:2">
      <c r="A94" t="e">
        <f t="array" ref="A94">INDEX(tblRequiredPTO[],SMALL(IF((INDEX(tblRequiredPTO[],,2)="Yes"),MATCH(ROW(tblRequiredPTO[]),ROW(tblRequiredPTO[])),""),ROWS(A$7:$A94)),COLUMNS($A$1:A1))</f>
        <v>#NUM!</v>
      </c>
      <c r="B94" s="1" t="s">
        <v>557</v>
      </c>
    </row>
    <row r="95" spans="1:2">
      <c r="A95" t="e">
        <f t="array" ref="A95">INDEX(tblRequiredPTO[],SMALL(IF((INDEX(tblRequiredPTO[],,2)="Yes"),MATCH(ROW(tblRequiredPTO[]),ROW(tblRequiredPTO[])),""),ROWS(A$7:$A95)),COLUMNS($A$1:A1))</f>
        <v>#NUM!</v>
      </c>
      <c r="B95" s="1" t="s">
        <v>557</v>
      </c>
    </row>
    <row r="96" spans="1:2">
      <c r="A96" t="e">
        <f t="array" ref="A96">INDEX(tblRequiredPTO[],SMALL(IF((INDEX(tblRequiredPTO[],,2)="Yes"),MATCH(ROW(tblRequiredPTO[]),ROW(tblRequiredPTO[])),""),ROWS(A$7:$A96)),COLUMNS($A$1:A1))</f>
        <v>#NUM!</v>
      </c>
      <c r="B96" s="1" t="s">
        <v>557</v>
      </c>
    </row>
    <row r="97" spans="1:2">
      <c r="A97" t="e">
        <f t="array" ref="A97">INDEX(tblRequiredPTO[],SMALL(IF((INDEX(tblRequiredPTO[],,2)="Yes"),MATCH(ROW(tblRequiredPTO[]),ROW(tblRequiredPTO[])),""),ROWS(A$7:$A97)),COLUMNS($A$1:A1))</f>
        <v>#NUM!</v>
      </c>
      <c r="B97" s="1" t="s">
        <v>557</v>
      </c>
    </row>
    <row r="98" spans="1:2">
      <c r="A98" t="e">
        <f t="array" ref="A98">INDEX(tblRequiredPTO[],SMALL(IF((INDEX(tblRequiredPTO[],,2)="Yes"),MATCH(ROW(tblRequiredPTO[]),ROW(tblRequiredPTO[])),""),ROWS(A$7:$A98)),COLUMNS($A$1:A1))</f>
        <v>#NUM!</v>
      </c>
      <c r="B98" s="1" t="s">
        <v>557</v>
      </c>
    </row>
    <row r="99" spans="1:2">
      <c r="A99" t="e">
        <f t="array" ref="A99">INDEX(tblRequiredPTO[],SMALL(IF((INDEX(tblRequiredPTO[],,2)="Yes"),MATCH(ROW(tblRequiredPTO[]),ROW(tblRequiredPTO[])),""),ROWS(A$7:$A99)),COLUMNS($A$1:A1))</f>
        <v>#NUM!</v>
      </c>
      <c r="B99" s="1" t="s">
        <v>557</v>
      </c>
    </row>
    <row r="100" spans="1:2">
      <c r="A100" t="e">
        <f t="array" ref="A100">INDEX(tblRequiredPTO[],SMALL(IF((INDEX(tblRequiredPTO[],,2)="Yes"),MATCH(ROW(tblRequiredPTO[]),ROW(tblRequiredPTO[])),""),ROWS(A$7:$A100)),COLUMNS($A$1:A1))</f>
        <v>#NUM!</v>
      </c>
      <c r="B100" s="1" t="s">
        <v>557</v>
      </c>
    </row>
  </sheetData>
  <sheetProtection algorithmName="SHA-512" hashValue="xpkMrlHH5nnbz//pCjePbHFv7uu/EiyoNkiLM/kyGGQeGsa68xYNsiZ4U+UQQ8xRO5cpjVwHKBlKB6/dm/1/xg==" saltValue="VIvuxh7mQI9zUz/0QKZ6Wg==" spinCount="100000" sheet="1" objects="1" scenarios="1"/>
  <sortState xmlns:xlrd2="http://schemas.microsoft.com/office/spreadsheetml/2017/richdata2" ref="A2:A6">
    <sortCondition ref="A4"/>
  </sortState>
  <pageMargins left="0.7" right="0.7" top="0.75" bottom="0.75" header="0.3" footer="0.3"/>
  <pageSetup orientation="portrait" horizontalDpi="4294967293"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LDCDocument" ma:contentTypeID="0x0101008F3029ACB0BF6F45AEEC6936C32429400083D81F2D61DC5E4088A3444FA36DB391" ma:contentTypeVersion="42" ma:contentTypeDescription="Create a new document." ma:contentTypeScope="" ma:versionID="8dbb9e8a1749f447100b1770b644e75f">
  <xsd:schema xmlns:xsd="http://www.w3.org/2001/XMLSchema" xmlns:xs="http://www.w3.org/2001/XMLSchema" xmlns:p="http://schemas.microsoft.com/office/2006/metadata/properties" xmlns:ns2="f9b0ca43-a10a-4f3b-b51d-6cc8e3ba41b9" xmlns:ns3="f9cdac55-45d0-476d-a4c3-80cc5bd4581a" xmlns:ns4="4afa89d3-d1f7-49af-b432-954c29da75bd" targetNamespace="http://schemas.microsoft.com/office/2006/metadata/properties" ma:root="true" ma:fieldsID="853b23e5340986f4f2526411bf379e6f" ns2:_="" ns3:_="" ns4:_="">
    <xsd:import namespace="f9b0ca43-a10a-4f3b-b51d-6cc8e3ba41b9"/>
    <xsd:import namespace="f9cdac55-45d0-476d-a4c3-80cc5bd4581a"/>
    <xsd:import namespace="4afa89d3-d1f7-49af-b432-954c29da75bd"/>
    <xsd:element name="properties">
      <xsd:complexType>
        <xsd:sequence>
          <xsd:element name="documentManagement">
            <xsd:complexType>
              <xsd:all>
                <xsd:element ref="ns2:WHQLocationNoCD" minOccurs="0"/>
                <xsd:element ref="ns2:PTNumberCD" minOccurs="0"/>
                <xsd:element ref="ns2:ASIDate_CD" minOccurs="0"/>
                <xsd:element ref="ns2:AffectedDwgSpec_CD" minOccurs="0"/>
                <xsd:element ref="ns3:Discipline_CD" minOccurs="0"/>
                <xsd:element ref="ns3:DrawingPhase_CD" minOccurs="0"/>
                <xsd:element ref="ns2:IssuanceDate_CD" minOccurs="0"/>
                <xsd:element ref="ns2:RevisionNo_CD" minOccurs="0"/>
                <xsd:element ref="ns2:RevisionDescription_CD" minOccurs="0"/>
                <xsd:element ref="ns4:MediaServiceMetadata" minOccurs="0"/>
                <xsd:element ref="ns4:MediaServiceFastMetadata" minOccurs="0"/>
                <xsd:element ref="ns4:MediaServiceAutoKeyPoints" minOccurs="0"/>
                <xsd:element ref="ns4:MediaServiceKeyPoints" minOccurs="0"/>
                <xsd:element ref="ns4:MediaServiceAutoTags" minOccurs="0"/>
                <xsd:element ref="ns4:MediaServiceGenerationTime" minOccurs="0"/>
                <xsd:element ref="ns4:MediaServiceEventHashCode" minOccurs="0"/>
                <xsd:element ref="ns4:MediaServiceObjectDetectorVersions" minOccurs="0"/>
                <xsd:element ref="ns4:MediaServiceSearchProperties" minOccurs="0"/>
                <xsd:element ref="ns4:MediaServiceDateTaken" minOccurs="0"/>
                <xsd:element ref="ns4:MediaServiceOCR"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b0ca43-a10a-4f3b-b51d-6cc8e3ba41b9" elementFormDefault="qualified">
    <xsd:import namespace="http://schemas.microsoft.com/office/2006/documentManagement/types"/>
    <xsd:import namespace="http://schemas.microsoft.com/office/infopath/2007/PartnerControls"/>
    <xsd:element name="WHQLocationNoCD" ma:index="8" nillable="true" ma:displayName="WHQ Location" ma:internalName="WHQLocationNoCD" ma:readOnly="false">
      <xsd:simpleType>
        <xsd:restriction base="dms:Text">
          <xsd:maxLength value="255"/>
        </xsd:restriction>
      </xsd:simpleType>
    </xsd:element>
    <xsd:element name="PTNumberCD" ma:index="9" nillable="true" ma:displayName="PT No." ma:internalName="PTNumberCD" ma:readOnly="false">
      <xsd:simpleType>
        <xsd:restriction base="dms:Text">
          <xsd:maxLength value="255"/>
        </xsd:restriction>
      </xsd:simpleType>
    </xsd:element>
    <xsd:element name="ASIDate_CD" ma:index="10" nillable="true" ma:displayName="ASI Date" ma:format="DateOnly" ma:internalName="ASIDate_CD" ma:readOnly="false">
      <xsd:simpleType>
        <xsd:restriction base="dms:DateTime"/>
      </xsd:simpleType>
    </xsd:element>
    <xsd:element name="AffectedDwgSpec_CD" ma:index="11" nillable="true" ma:displayName="Affected Dwg/Spec" ma:hidden="true" ma:internalName="AffectedDwgSpec_CD" ma:readOnly="false">
      <xsd:simpleType>
        <xsd:restriction base="dms:Text">
          <xsd:maxLength value="255"/>
        </xsd:restriction>
      </xsd:simpleType>
    </xsd:element>
    <xsd:element name="IssuanceDate_CD" ma:index="14" nillable="true" ma:displayName="Issuance Date" ma:format="DateOnly" ma:internalName="IssuanceDate_CD" ma:readOnly="false">
      <xsd:simpleType>
        <xsd:restriction base="dms:DateTime"/>
      </xsd:simpleType>
    </xsd:element>
    <xsd:element name="RevisionNo_CD" ma:index="15" nillable="true" ma:displayName="Revision No." ma:internalName="RevisionNo_CD" ma:readOnly="false">
      <xsd:simpleType>
        <xsd:restriction base="dms:Text">
          <xsd:maxLength value="255"/>
        </xsd:restriction>
      </xsd:simpleType>
    </xsd:element>
    <xsd:element name="RevisionDescription_CD" ma:index="16" nillable="true" ma:displayName="Revision Description" ma:internalName="RevisionDescription_CD"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9cdac55-45d0-476d-a4c3-80cc5bd4581a" elementFormDefault="qualified">
    <xsd:import namespace="http://schemas.microsoft.com/office/2006/documentManagement/types"/>
    <xsd:import namespace="http://schemas.microsoft.com/office/infopath/2007/PartnerControls"/>
    <xsd:element name="Discipline_CD" ma:index="12" nillable="true" ma:displayName="Discipline" ma:list="5d8e042c-c36a-4b05-b9b3-2b96fd4e4168" ma:internalName="Discipline_CD" ma:readOnly="false" ma:showField="Title" ma:web="f9cdac55-45d0-476d-a4c3-80cc5bd4581a">
      <xsd:simpleType>
        <xsd:restriction base="dms:Lookup"/>
      </xsd:simpleType>
    </xsd:element>
    <xsd:element name="DrawingPhase_CD" ma:index="13" nillable="true" ma:displayName="Drawing Phase" ma:hidden="true" ma:list="af0c86ef-8eec-47da-95d0-0eadab8a41f1" ma:internalName="DrawingPhase_CD" ma:readOnly="false" ma:showField="Title" ma:web="f9cdac55-45d0-476d-a4c3-80cc5bd4581a">
      <xsd:simpleType>
        <xsd:restriction base="dms:Lookup"/>
      </xsd:simpleType>
    </xsd:element>
  </xsd:schema>
  <xsd:schema xmlns:xsd="http://www.w3.org/2001/XMLSchema" xmlns:xs="http://www.w3.org/2001/XMLSchema" xmlns:dms="http://schemas.microsoft.com/office/2006/documentManagement/types" xmlns:pc="http://schemas.microsoft.com/office/infopath/2007/PartnerControls" targetNamespace="4afa89d3-d1f7-49af-b432-954c29da75bd" elementFormDefault="qualified">
    <xsd:import namespace="http://schemas.microsoft.com/office/2006/documentManagement/types"/>
    <xsd:import namespace="http://schemas.microsoft.com/office/infopath/2007/PartnerControls"/>
    <xsd:element name="MediaServiceMetadata" ma:index="17" nillable="true" ma:displayName="MediaServiceMetadata" ma:hidden="true" ma:internalName="MediaServiceMetadata" ma:readOnly="true">
      <xsd:simpleType>
        <xsd:restriction base="dms:Note"/>
      </xsd:simpleType>
    </xsd:element>
    <xsd:element name="MediaServiceFastMetadata" ma:index="18" nillable="true" ma:displayName="MediaServiceFastMetadata" ma:hidden="true" ma:internalName="MediaServiceFastMetadata" ma:readOnly="true">
      <xsd:simpleType>
        <xsd:restriction base="dms:Note"/>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ServiceAutoTags" ma:index="21" nillable="true" ma:displayName="Tags" ma:internalName="MediaServiceAutoTags"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DateTaken" ma:index="26" nillable="true" ma:displayName="MediaServiceDateTaken" ma:hidden="true" ma:indexed="true" ma:internalName="MediaServiceDateTaken" ma:readOnly="true">
      <xsd:simpleType>
        <xsd:restriction base="dms:Text"/>
      </xsd:simpleType>
    </xsd:element>
    <xsd:element name="MediaServiceOCR" ma:index="27" nillable="true" ma:displayName="Extracted Text" ma:internalName="MediaServiceOCR" ma:readOnly="true">
      <xsd:simpleType>
        <xsd:restriction base="dms:Note">
          <xsd:maxLength value="255"/>
        </xsd:restriction>
      </xsd:simpleType>
    </xsd:element>
    <xsd:element name="MediaLengthInSeconds" ma:index="2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opic"/>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visionDescription_CD xmlns="f9b0ca43-a10a-4f3b-b51d-6cc8e3ba41b9" xsi:nil="true"/>
    <ASIDate_CD xmlns="f9b0ca43-a10a-4f3b-b51d-6cc8e3ba41b9" xsi:nil="true"/>
    <DrawingPhase_CD xmlns="f9cdac55-45d0-476d-a4c3-80cc5bd4581a" xsi:nil="true"/>
    <RevisionNo_CD xmlns="f9b0ca43-a10a-4f3b-b51d-6cc8e3ba41b9" xsi:nil="true"/>
    <IssuanceDate_CD xmlns="f9b0ca43-a10a-4f3b-b51d-6cc8e3ba41b9" xsi:nil="true"/>
    <PTNumberCD xmlns="f9b0ca43-a10a-4f3b-b51d-6cc8e3ba41b9">15333</PTNumberCD>
    <WHQLocationNoCD xmlns="f9b0ca43-a10a-4f3b-b51d-6cc8e3ba41b9">USA4227</WHQLocationNoCD>
    <Discipline_CD xmlns="f9cdac55-45d0-476d-a4c3-80cc5bd4581a" xsi:nil="true"/>
    <AffectedDwgSpec_CD xmlns="f9b0ca43-a10a-4f3b-b51d-6cc8e3ba41b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C0CC6FA-C28D-44F3-9DB9-C36DC4F6FB26}"/>
</file>

<file path=customXml/itemProps2.xml><?xml version="1.0" encoding="utf-8"?>
<ds:datastoreItem xmlns:ds="http://schemas.openxmlformats.org/officeDocument/2006/customXml" ds:itemID="{FA779334-28C2-49B2-A68A-3D68D4D2AF15}"/>
</file>

<file path=customXml/itemProps3.xml><?xml version="1.0" encoding="utf-8"?>
<ds:datastoreItem xmlns:ds="http://schemas.openxmlformats.org/officeDocument/2006/customXml" ds:itemID="{20505D21-F275-477F-914A-1349009EE94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"Barrick, Jonathan Scott" &lt;JBARRICK@bethel.jw.org&gt;;jonathanbarrick@gmail.com</dc:creator>
  <cp:keywords/>
  <dc:description/>
  <cp:lastModifiedBy>Torres, Tobias</cp:lastModifiedBy>
  <cp:revision/>
  <dcterms:created xsi:type="dcterms:W3CDTF">2017-05-29T22:49:20Z</dcterms:created>
  <dcterms:modified xsi:type="dcterms:W3CDTF">2025-03-12T20:12:05Z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0x0101008F3029ACB0BF6F45AEEC6936C32429400083D81F2D61DC5E4088A3444FA36DB391</vt:lpwstr>
  </property>
  <property fmtid="{D5CDD505-2E9C-101B-9397-08002B2CF9AE}" pid="3" name="Order">
    <vt:r8>136800</vt:r8>
  </property>
  <property fmtid="{D5CDD505-2E9C-101B-9397-08002B2CF9AE}" pid="4" name="xd_Signature">
    <vt:bool>false</vt:bool>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y fmtid="{D5CDD505-2E9C-101B-9397-08002B2CF9AE}" pid="9" name="TriggerFlowInfo">
    <vt:lpwstr/>
  </property>
  <property fmtid="{D5CDD505-2E9C-101B-9397-08002B2CF9AE}" pid="10" name="MediaServiceImageTags">
    <vt:lpwstr/>
  </property>
  <property fmtid="{D5CDD505-2E9C-101B-9397-08002B2CF9AE}" pid="11" name="_ColorHex">
    <vt:lpwstr/>
  </property>
  <property fmtid="{D5CDD505-2E9C-101B-9397-08002B2CF9AE}" pid="12" name="_Emoji">
    <vt:lpwstr/>
  </property>
  <property fmtid="{D5CDD505-2E9C-101B-9397-08002B2CF9AE}" pid="13" name="_ColorTag">
    <vt:lpwstr/>
  </property>
  <property fmtid="{D5CDD505-2E9C-101B-9397-08002B2CF9AE}" pid="14" name="_SourceUrl">
    <vt:lpwstr/>
  </property>
  <property fmtid="{D5CDD505-2E9C-101B-9397-08002B2CF9AE}" pid="15" name="_SharedFileIndex">
    <vt:lpwstr/>
  </property>
</Properties>
</file>